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Ami_gemel\"/>
    </mc:Choice>
  </mc:AlternateContent>
  <xr:revisionPtr revIDLastSave="0" documentId="13_ncr:1_{AC3B28E7-01D9-4499-ADE8-2B7793F8C1C9}" xr6:coauthVersionLast="36" xr6:coauthVersionMax="36" xr10:uidLastSave="{00000000-0000-0000-0000-000000000000}"/>
  <bookViews>
    <workbookView xWindow="-120" yWindow="-120" windowWidth="29040" windowHeight="15720" tabRatio="840" firstSheet="1" activeTab="7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ויהש'!$A$1:$AA$263</definedName>
    <definedName name="_xlnm._FilterDatabase" localSheetId="7" hidden="1">'קרנות סל'!$A$1:$Y$175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D28" i="2"/>
  <c r="B28" i="2"/>
  <c r="D27" i="2"/>
  <c r="B27" i="2"/>
  <c r="D26" i="2"/>
  <c r="B26" i="2"/>
  <c r="B25" i="2"/>
  <c r="D25" i="2" s="1"/>
  <c r="D24" i="2"/>
  <c r="B24" i="2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E28" i="2" s="1"/>
  <c r="E20" i="2"/>
  <c r="E16" i="2"/>
  <c r="E8" i="2"/>
  <c r="E27" i="2"/>
  <c r="E7" i="2"/>
  <c r="E29" i="2"/>
  <c r="E17" i="2"/>
  <c r="E13" i="2"/>
  <c r="E9" i="2"/>
  <c r="E5" i="2"/>
  <c r="E6" i="2"/>
  <c r="E23" i="2"/>
  <c r="E19" i="2"/>
  <c r="E11" i="2"/>
  <c r="E26" i="2"/>
  <c r="E22" i="2"/>
  <c r="E18" i="2"/>
  <c r="E14" i="2"/>
  <c r="E10" i="2"/>
  <c r="E3" i="2"/>
  <c r="D30" i="2"/>
  <c r="E25" i="2" l="1"/>
  <c r="E4" i="2"/>
  <c r="E24" i="2"/>
  <c r="E21" i="2"/>
  <c r="E15" i="2"/>
  <c r="E12" i="2"/>
  <c r="E30" i="2" l="1"/>
</calcChain>
</file>

<file path=xl/sharedStrings.xml><?xml version="1.0" encoding="utf-8"?>
<sst xmlns="http://schemas.openxmlformats.org/spreadsheetml/2006/main" count="28326" uniqueCount="3281">
  <si>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</si>
  <si>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</si>
  <si>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</si>
  <si>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</si>
  <si>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</si>
  <si>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</si>
  <si>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</si>
  <si>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</si>
  <si>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</si>
  <si>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</si>
  <si>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</si>
  <si>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</si>
  <si>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</si>
  <si>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</si>
  <si>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</si>
  <si>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</si>
  <si>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</si>
  <si>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</si>
  <si>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</si>
  <si>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</si>
  <si>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</si>
  <si>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</si>
  <si>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</si>
  <si>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</si>
  <si>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</si>
  <si>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</si>
  <si>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שחר</t>
  </si>
  <si>
    <t>ממשל שקלית 0825</t>
  </si>
  <si>
    <t>IL0011355570</t>
  </si>
  <si>
    <t>לא צמוד למדד המחירים לצרכן ריבית קבועה</t>
  </si>
  <si>
    <t>ישראל</t>
  </si>
  <si>
    <t>TASE</t>
  </si>
  <si>
    <t>RF</t>
  </si>
  <si>
    <t>פנימי</t>
  </si>
  <si>
    <t>ILS</t>
  </si>
  <si>
    <t>31/08/2025</t>
  </si>
  <si>
    <t>שווי הוגן</t>
  </si>
  <si>
    <t>גליל</t>
  </si>
  <si>
    <t>ממשלתית צמודה 0.5% 0529</t>
  </si>
  <si>
    <t>IL0011570236</t>
  </si>
  <si>
    <t>צמוד למדד המחירים לצרכן בריבית קבועה</t>
  </si>
  <si>
    <t>31/05/2029</t>
  </si>
  <si>
    <t>ממשלתית צמודה 0726</t>
  </si>
  <si>
    <t>IL0011695645</t>
  </si>
  <si>
    <t>31/07/2026</t>
  </si>
  <si>
    <t>ממשלתית שקלית 1.3% 04/32</t>
  </si>
  <si>
    <t>IL0011806606</t>
  </si>
  <si>
    <t>30/04/2032</t>
  </si>
  <si>
    <t>ממשלתית צמודה 1.10% 1028</t>
  </si>
  <si>
    <t>IL0011973265</t>
  </si>
  <si>
    <t>31/10/2028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</si>
  <si>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</si>
  <si>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</si>
  <si>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</si>
  <si>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</si>
  <si>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</si>
  <si>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</si>
  <si>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מ.ק.מ. 415</t>
  </si>
  <si>
    <t>IL0082504171</t>
  </si>
  <si>
    <t>02/04/2025</t>
  </si>
  <si>
    <t>מלווה קצר מועד 1214</t>
  </si>
  <si>
    <t>IL0082412185</t>
  </si>
  <si>
    <t>04/12/2024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</si>
  <si>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</si>
  <si>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</si>
  <si>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</si>
  <si>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</si>
  <si>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</si>
  <si>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</si>
  <si>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ממשל צמודה 0545</t>
  </si>
  <si>
    <t>IL0011348658</t>
  </si>
  <si>
    <t>31/05/2045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</si>
  <si>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</si>
  <si>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</si>
  <si>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</si>
  <si>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</si>
  <si>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</si>
  <si>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</si>
  <si>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</si>
  <si>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</si>
  <si>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</si>
  <si>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</si>
  <si>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</si>
  <si>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1.00% 03/30</t>
  </si>
  <si>
    <t>IL0011609851</t>
  </si>
  <si>
    <t>31/03/2030</t>
  </si>
  <si>
    <t>Treasury Bill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</si>
  <si>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</si>
  <si>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</si>
  <si>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</si>
  <si>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</si>
  <si>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</si>
  <si>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</si>
  <si>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</si>
  <si>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</si>
  <si>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</si>
  <si>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</si>
  <si>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</si>
  <si>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</si>
  <si>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</si>
  <si>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</si>
  <si>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</si>
  <si>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</si>
  <si>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שקלית 0335</t>
  </si>
  <si>
    <t>IL0012023326</t>
  </si>
  <si>
    <t>30/03/2035</t>
  </si>
  <si>
    <t>ממשלתי משתנה 1130</t>
  </si>
  <si>
    <t>IL0011665523</t>
  </si>
  <si>
    <t>29/11/2030</t>
  </si>
  <si>
    <t>ממשלתי שקלי  1026</t>
  </si>
  <si>
    <t>IL0010994569</t>
  </si>
  <si>
    <t>30/10/2026</t>
  </si>
  <si>
    <t>ממשל צמודה 1131</t>
  </si>
  <si>
    <t>IL0011722209</t>
  </si>
  <si>
    <t>30/11/2031</t>
  </si>
  <si>
    <t>ממשל שיקלית 0928</t>
  </si>
  <si>
    <t>IL0011508798</t>
  </si>
  <si>
    <t>28/09/2028</t>
  </si>
  <si>
    <t>ממשל שקלית 0226</t>
  </si>
  <si>
    <t>IL0011746976</t>
  </si>
  <si>
    <t>27/02/2026</t>
  </si>
  <si>
    <t>מ.ק.מ. 915</t>
  </si>
  <si>
    <t>IL0082509121</t>
  </si>
  <si>
    <t>03/09/2025</t>
  </si>
  <si>
    <t>מלווה קצר מועד 1114</t>
  </si>
  <si>
    <t>IL0082411195</t>
  </si>
  <si>
    <t>06/11/2024</t>
  </si>
  <si>
    <t>ממשל שקלית 0347</t>
  </si>
  <si>
    <t>IL0011401937</t>
  </si>
  <si>
    <t>31/03/2047</t>
  </si>
  <si>
    <t>ממשלתי צמודה 0536</t>
  </si>
  <si>
    <t>IL0010977085</t>
  </si>
  <si>
    <t>30/05/2036</t>
  </si>
  <si>
    <t>ממשלתית שקלית 0537</t>
  </si>
  <si>
    <t>IL0011661803</t>
  </si>
  <si>
    <t>31/05/2037</t>
  </si>
  <si>
    <t>מלווה קצר מועד 715</t>
  </si>
  <si>
    <t>IL0082507141</t>
  </si>
  <si>
    <t>02/07/2025</t>
  </si>
  <si>
    <t>ממשל שקלית 0327</t>
  </si>
  <si>
    <t>IL0011393449</t>
  </si>
  <si>
    <t>31/03/2027</t>
  </si>
  <si>
    <t>מדינת ישראל</t>
  </si>
  <si>
    <t>ISRAEL 5 1/2 03/12/34</t>
  </si>
  <si>
    <t>US46514BRL35</t>
  </si>
  <si>
    <t>אחר</t>
  </si>
  <si>
    <t>BBB+</t>
  </si>
  <si>
    <t>Moodys</t>
  </si>
  <si>
    <t>12/03/2034</t>
  </si>
  <si>
    <t>T 4 7/8 10/31/28</t>
  </si>
  <si>
    <t>US91282CJF95</t>
  </si>
  <si>
    <t>מלווה קצר מועד 125</t>
  </si>
  <si>
    <t>IL0082501284</t>
  </si>
  <si>
    <t>08/01/2025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</si>
  <si>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</si>
  <si>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</si>
  <si>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</si>
  <si>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</si>
  <si>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</si>
  <si>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</si>
  <si>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</si>
  <si>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</si>
  <si>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</si>
  <si>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</si>
  <si>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</si>
  <si>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</si>
  <si>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</si>
  <si>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</si>
  <si>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</si>
  <si>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</si>
  <si>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</si>
  <si>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</si>
  <si>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</si>
  <si>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</si>
  <si>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</si>
  <si>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</si>
  <si>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</si>
  <si>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</si>
  <si>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</si>
  <si>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</si>
  <si>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</si>
  <si>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</si>
  <si>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</si>
  <si>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</si>
  <si>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</si>
  <si>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</si>
  <si>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</si>
  <si>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</si>
  <si>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</si>
  <si>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</si>
  <si>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</si>
  <si>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</si>
  <si>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</si>
  <si>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</si>
  <si>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</si>
  <si>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</si>
  <si>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</si>
  <si>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</si>
  <si>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</si>
  <si>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</si>
  <si>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</si>
  <si>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</si>
  <si>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</si>
  <si>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</si>
  <si>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</si>
  <si>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</si>
  <si>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</si>
  <si>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</si>
  <si>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</si>
  <si>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31/12/2019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</si>
  <si>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</si>
  <si>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</si>
  <si>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</si>
  <si>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</si>
  <si>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</si>
  <si>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</si>
  <si>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</si>
  <si>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</si>
  <si>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</si>
  <si>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</si>
  <si>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</si>
  <si>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</si>
  <si>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</si>
  <si>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</si>
  <si>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</si>
  <si>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N/R</t>
  </si>
  <si>
    <t>NR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</si>
  <si>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</si>
  <si>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</si>
  <si>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</si>
  <si>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</si>
  <si>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</si>
  <si>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</si>
  <si>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</si>
  <si>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</si>
  <si>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</si>
  <si>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</si>
  <si>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</si>
  <si>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</si>
  <si>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</si>
  <si>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</si>
  <si>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</si>
  <si>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</si>
  <si>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</si>
  <si>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</si>
  <si>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</si>
  <si>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</si>
  <si>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</si>
  <si>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</si>
  <si>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</si>
  <si>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</si>
  <si>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</si>
  <si>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</si>
  <si>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</si>
  <si>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</si>
  <si>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</si>
  <si>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</si>
  <si>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</si>
  <si>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</si>
  <si>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</si>
  <si>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</si>
  <si>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</si>
  <si>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</si>
  <si>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</si>
  <si>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</si>
  <si>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</si>
  <si>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</si>
  <si>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</si>
  <si>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</si>
  <si>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</si>
  <si>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</si>
  <si>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</si>
  <si>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</si>
  <si>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</si>
  <si>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</si>
  <si>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</si>
  <si>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</si>
  <si>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</si>
  <si>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</si>
  <si>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</si>
  <si>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</si>
  <si>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</si>
  <si>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</si>
  <si>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</si>
  <si>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</si>
  <si>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</si>
  <si>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</si>
  <si>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</si>
  <si>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</si>
  <si>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</si>
  <si>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</si>
  <si>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</si>
  <si>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</si>
  <si>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</si>
  <si>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</si>
  <si>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</si>
  <si>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</si>
  <si>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</si>
  <si>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</si>
  <si>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</si>
  <si>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</si>
  <si>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</si>
  <si>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</si>
  <si>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</si>
  <si>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</si>
  <si>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</si>
  <si>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</si>
  <si>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</si>
  <si>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</si>
  <si>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</si>
  <si>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</si>
  <si>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</si>
  <si>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</si>
  <si>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</si>
  <si>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</si>
  <si>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</si>
  <si>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</si>
  <si>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</si>
  <si>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</si>
  <si>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</si>
  <si>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</si>
  <si>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</si>
  <si>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</si>
  <si>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</si>
  <si>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</si>
  <si>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</si>
  <si>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</si>
  <si>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</si>
  <si>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</si>
  <si>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</si>
  <si>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</si>
  <si>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</si>
  <si>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</si>
  <si>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</si>
  <si>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</si>
  <si>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</si>
  <si>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</si>
  <si>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</si>
  <si>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</si>
  <si>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</si>
  <si>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</si>
  <si>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</si>
  <si>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</si>
  <si>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</si>
  <si>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</si>
  <si>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</si>
  <si>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</si>
  <si>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</si>
  <si>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</si>
  <si>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</si>
  <si>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</si>
  <si>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</si>
  <si>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</si>
  <si>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</si>
  <si>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</si>
  <si>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</si>
  <si>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</si>
  <si>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</si>
  <si>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</si>
  <si>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</si>
  <si>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</si>
  <si>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</si>
  <si>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</si>
  <si>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</si>
  <si>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</si>
  <si>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</si>
  <si>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</si>
  <si>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</si>
  <si>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</si>
  <si>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</si>
  <si>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</si>
  <si>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</si>
  <si>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</si>
  <si>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</si>
  <si>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</si>
  <si>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</si>
  <si>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</si>
  <si>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</si>
  <si>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</si>
  <si>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</si>
  <si>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</si>
  <si>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</si>
  <si>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</si>
  <si>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</si>
  <si>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</si>
  <si>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</si>
  <si>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</si>
  <si>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</si>
  <si>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</si>
  <si>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</si>
  <si>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</si>
  <si>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</si>
  <si>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</si>
  <si>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</si>
  <si>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</si>
  <si>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</si>
  <si>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</si>
  <si>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</si>
  <si>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</si>
  <si>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</si>
  <si>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</si>
  <si>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</si>
  <si>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</si>
  <si>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</si>
  <si>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</si>
  <si>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</si>
  <si>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</si>
  <si>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</si>
  <si>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</si>
  <si>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</si>
  <si>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</si>
  <si>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</si>
  <si>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</si>
  <si>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</si>
  <si>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</si>
  <si>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</si>
  <si>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</si>
  <si>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</si>
  <si>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</si>
  <si>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</si>
  <si>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</si>
  <si>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</si>
  <si>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</si>
  <si>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</si>
  <si>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</si>
  <si>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</si>
  <si>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</si>
  <si>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</si>
  <si>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</si>
  <si>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</si>
  <si>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</si>
  <si>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</si>
  <si>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</si>
  <si>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</si>
  <si>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</si>
  <si>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</si>
  <si>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</si>
  <si>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</si>
  <si>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</si>
  <si>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</si>
  <si>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</si>
  <si>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</si>
  <si>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</si>
  <si>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</si>
  <si>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</si>
  <si>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</si>
  <si>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</si>
  <si>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</si>
  <si>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</si>
  <si>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</si>
  <si>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</si>
  <si>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</si>
  <si>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</si>
  <si>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</si>
  <si>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</si>
  <si>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</si>
  <si>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</si>
  <si>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</si>
  <si>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</si>
  <si>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</si>
  <si>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</si>
  <si>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</si>
  <si>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</si>
  <si>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</si>
  <si>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</si>
  <si>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</si>
  <si>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</si>
  <si>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</si>
  <si>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</si>
  <si>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</si>
  <si>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</si>
  <si>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</si>
  <si>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</si>
  <si>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</si>
  <si>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</si>
  <si>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</si>
  <si>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</si>
  <si>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</si>
  <si>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</si>
  <si>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</si>
  <si>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</si>
  <si>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</si>
  <si>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</si>
  <si>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</si>
  <si>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</si>
  <si>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</si>
  <si>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</si>
  <si>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</si>
  <si>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</si>
  <si>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</si>
  <si>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</si>
  <si>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</si>
  <si>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</si>
  <si>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</si>
  <si>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</si>
  <si>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</si>
  <si>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</si>
  <si>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</si>
  <si>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</si>
  <si>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</si>
  <si>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</si>
  <si>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</si>
  <si>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</si>
  <si>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</si>
  <si>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</si>
  <si>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</si>
  <si>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</si>
  <si>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</si>
  <si>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</si>
  <si>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</si>
  <si>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</si>
  <si>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</si>
  <si>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</si>
  <si>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</si>
  <si>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</si>
  <si>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</si>
  <si>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</si>
  <si>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</si>
  <si>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</si>
  <si>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</si>
  <si>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</si>
  <si>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</si>
  <si>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</si>
  <si>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</si>
  <si>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</si>
  <si>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</si>
  <si>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</si>
  <si>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</si>
  <si>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</si>
  <si>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</si>
  <si>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</si>
  <si>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</si>
  <si>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</si>
  <si>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</si>
  <si>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</si>
  <si>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</si>
  <si>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</si>
  <si>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</si>
  <si>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</si>
  <si>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</si>
  <si>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</si>
  <si>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</si>
  <si>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</si>
  <si>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</si>
  <si>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</si>
  <si>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</si>
  <si>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</si>
  <si>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</si>
  <si>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</si>
  <si>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</si>
  <si>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</si>
  <si>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</si>
  <si>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</si>
  <si>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</si>
  <si>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</si>
  <si>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</si>
  <si>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</si>
  <si>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</si>
  <si>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</si>
  <si>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</si>
  <si>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</si>
  <si>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</si>
  <si>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</si>
  <si>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</si>
  <si>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</si>
  <si>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</si>
  <si>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</si>
  <si>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</si>
  <si>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</si>
  <si>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</si>
  <si>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</si>
  <si>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</si>
  <si>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</si>
  <si>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</si>
  <si>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</si>
  <si>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</si>
  <si>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</si>
  <si>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</si>
  <si>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</si>
  <si>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</si>
  <si>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</si>
  <si>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</si>
  <si>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</si>
  <si>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</si>
  <si>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</si>
  <si>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</si>
  <si>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</si>
  <si>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</si>
  <si>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</si>
  <si>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</si>
  <si>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</si>
  <si>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</si>
  <si>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</si>
  <si>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</si>
  <si>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</si>
  <si>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</si>
  <si>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</si>
  <si>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</si>
  <si>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</si>
  <si>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</si>
  <si>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</si>
  <si>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</si>
  <si>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</si>
  <si>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</si>
  <si>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</si>
  <si>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</si>
  <si>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</si>
  <si>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</si>
  <si>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</si>
  <si>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</si>
  <si>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</si>
  <si>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</si>
  <si>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</si>
  <si>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</si>
  <si>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</si>
  <si>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</si>
  <si>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</si>
  <si>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</si>
  <si>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</si>
  <si>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</si>
  <si>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</si>
  <si>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</si>
  <si>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</si>
  <si>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</si>
  <si>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</si>
  <si>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</si>
  <si>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</si>
  <si>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</si>
  <si>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</si>
  <si>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</si>
  <si>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</si>
  <si>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</si>
  <si>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</si>
  <si>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</si>
  <si>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</si>
  <si>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</si>
  <si>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</si>
  <si>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</si>
  <si>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</si>
  <si>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</si>
  <si>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</si>
  <si>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</si>
  <si>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</si>
  <si>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</si>
  <si>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</si>
  <si>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</si>
  <si>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</si>
  <si>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</si>
  <si>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</si>
  <si>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</si>
  <si>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</si>
  <si>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</si>
  <si>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</si>
  <si>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</si>
  <si>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</si>
  <si>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</si>
  <si>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</si>
  <si>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</si>
  <si>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</si>
  <si>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</si>
  <si>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</si>
  <si>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</si>
  <si>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</si>
  <si>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</si>
  <si>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</si>
  <si>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</si>
  <si>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</si>
  <si>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</si>
  <si>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</si>
  <si>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</si>
  <si>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</si>
  <si>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</si>
  <si>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</si>
  <si>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</si>
  <si>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</si>
  <si>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</si>
  <si>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</si>
  <si>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</si>
  <si>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</si>
  <si>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</si>
  <si>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</si>
  <si>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</si>
  <si>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</si>
  <si>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</si>
  <si>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</si>
  <si>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</si>
  <si>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</si>
  <si>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</si>
  <si>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</si>
  <si>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</si>
  <si>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</si>
  <si>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</si>
  <si>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</si>
  <si>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</si>
  <si>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</si>
  <si>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</si>
  <si>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</si>
  <si>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</si>
  <si>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</si>
  <si>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</si>
  <si>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</si>
  <si>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</si>
  <si>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</si>
  <si>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</si>
  <si>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</si>
  <si>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</si>
  <si>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</si>
  <si>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</si>
  <si>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</si>
  <si>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</si>
  <si>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</si>
  <si>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</si>
  <si>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</si>
  <si>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</si>
  <si>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</si>
  <si>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</si>
  <si>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</si>
  <si>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</si>
  <si>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</si>
  <si>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</si>
  <si>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</si>
  <si>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</si>
  <si>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</si>
  <si>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</si>
  <si>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</si>
  <si>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</si>
  <si>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</si>
  <si>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</si>
  <si>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</si>
  <si>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</si>
  <si>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</si>
  <si>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</si>
  <si>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</si>
  <si>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</si>
  <si>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</si>
  <si>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</si>
  <si>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</si>
  <si>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</si>
  <si>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</si>
  <si>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</si>
  <si>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</si>
  <si>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</si>
  <si>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</si>
  <si>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</si>
  <si>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</si>
  <si>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</si>
  <si>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</si>
  <si>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</si>
  <si>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</si>
  <si>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</si>
  <si>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</si>
  <si>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</si>
  <si>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</si>
  <si>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</si>
  <si>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</si>
  <si>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</si>
  <si>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</si>
  <si>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</si>
  <si>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</si>
  <si>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</si>
  <si>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</si>
  <si>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</si>
  <si>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</si>
  <si>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</si>
  <si>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</si>
  <si>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</si>
  <si>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</si>
  <si>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</si>
  <si>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</si>
  <si>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</si>
  <si>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</si>
  <si>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</si>
  <si>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</si>
  <si>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</si>
  <si>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</si>
  <si>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</si>
  <si>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</si>
  <si>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</si>
  <si>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</si>
  <si>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</si>
  <si>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</si>
  <si>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</si>
  <si>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</si>
  <si>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</si>
  <si>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</si>
  <si>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</si>
  <si>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</si>
  <si>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</si>
  <si>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</si>
  <si>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</si>
  <si>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</si>
  <si>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</si>
  <si>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</si>
  <si>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</si>
  <si>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</si>
  <si>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</si>
  <si>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</si>
  <si>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</si>
  <si>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</si>
  <si>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</si>
  <si>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</si>
  <si>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</si>
  <si>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</si>
  <si>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</si>
  <si>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</si>
  <si>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</si>
  <si>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</si>
  <si>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</si>
  <si>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</si>
  <si>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</si>
  <si>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</si>
  <si>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</si>
  <si>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</si>
  <si>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</si>
  <si>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</si>
  <si>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</si>
  <si>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</si>
  <si>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</si>
  <si>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</si>
  <si>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</si>
  <si>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</si>
  <si>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</si>
  <si>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</si>
  <si>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</si>
  <si>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</si>
  <si>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</si>
  <si>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</si>
  <si>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</si>
  <si>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</si>
  <si>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</si>
  <si>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</si>
  <si>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</si>
  <si>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</si>
  <si>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</si>
  <si>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</si>
  <si>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</si>
  <si>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</si>
  <si>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</si>
  <si>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</si>
  <si>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</si>
  <si>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</si>
  <si>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</si>
  <si>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</si>
  <si>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</si>
  <si>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</si>
  <si>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</si>
  <si>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</si>
  <si>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</si>
  <si>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</si>
  <si>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</si>
  <si>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</si>
  <si>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</si>
  <si>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</si>
  <si>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</si>
  <si>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</si>
  <si>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</si>
  <si>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</si>
  <si>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</si>
  <si>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</si>
  <si>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</si>
  <si>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</si>
  <si>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</si>
  <si>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</si>
  <si>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</si>
  <si>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</si>
  <si>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</si>
  <si>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</si>
  <si>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</si>
  <si>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</si>
  <si>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</si>
  <si>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</si>
  <si>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</si>
  <si>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</si>
  <si>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</si>
  <si>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</si>
  <si>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</si>
  <si>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</si>
  <si>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</si>
  <si>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</si>
  <si>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</si>
  <si>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</si>
  <si>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</si>
  <si>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</si>
  <si>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</si>
  <si>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</si>
  <si>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</si>
  <si>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</si>
  <si>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</si>
  <si>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</si>
  <si>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</si>
  <si>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</si>
  <si>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</si>
  <si>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</si>
  <si>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</si>
  <si>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</si>
  <si>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</si>
  <si>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</si>
  <si>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</si>
  <si>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</si>
  <si>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</si>
  <si>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</si>
  <si>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</si>
  <si>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</si>
  <si>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</si>
  <si>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</si>
  <si>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</si>
  <si>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</si>
  <si>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</si>
  <si>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</si>
  <si>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</si>
  <si>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</si>
  <si>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</si>
  <si>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</si>
  <si>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</si>
  <si>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</si>
  <si>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</si>
  <si>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</si>
  <si>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</si>
  <si>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</si>
  <si>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</si>
  <si>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</si>
  <si>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</si>
  <si>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</si>
  <si>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</si>
  <si>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</si>
  <si>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</si>
  <si>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</si>
  <si>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</si>
  <si>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</si>
  <si>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</si>
  <si>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</si>
  <si>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</si>
  <si>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</si>
  <si>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</si>
  <si>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</si>
  <si>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</si>
  <si>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</si>
  <si>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</si>
  <si>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</si>
  <si>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</si>
  <si>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</si>
  <si>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</si>
  <si>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</si>
  <si>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</si>
  <si>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</si>
  <si>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</si>
  <si>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</si>
  <si>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</si>
  <si>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</si>
  <si>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</si>
  <si>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</si>
  <si>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</si>
  <si>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</si>
  <si>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</si>
  <si>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</si>
  <si>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</si>
  <si>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</si>
  <si>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</si>
  <si>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</si>
  <si>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</si>
  <si>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</si>
  <si>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</si>
  <si>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</si>
  <si>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</si>
  <si>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</si>
  <si>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</si>
  <si>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</si>
  <si>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</si>
  <si>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</si>
  <si>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</si>
  <si>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</si>
  <si>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</si>
  <si>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</si>
  <si>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</si>
  <si>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</si>
  <si>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</si>
  <si>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</si>
  <si>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</si>
  <si>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</si>
  <si>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</si>
  <si>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</si>
  <si>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</si>
  <si>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</si>
  <si>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</si>
  <si>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</si>
  <si>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</si>
  <si>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</si>
  <si>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</si>
  <si>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</si>
  <si>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</si>
  <si>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</si>
  <si>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</si>
  <si>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</si>
  <si>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</si>
  <si>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</si>
  <si>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</si>
  <si>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</si>
  <si>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</si>
  <si>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</si>
  <si>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</si>
  <si>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</si>
  <si>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</si>
  <si>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</si>
  <si>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</si>
  <si>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</si>
  <si>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</si>
  <si>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</si>
  <si>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</si>
  <si>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</si>
  <si>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</si>
  <si>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</si>
  <si>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</si>
  <si>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</si>
  <si>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</si>
  <si>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</si>
  <si>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</si>
  <si>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</si>
  <si>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</si>
  <si>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</si>
  <si>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</si>
  <si>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</si>
  <si>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</si>
  <si>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</si>
  <si>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</si>
  <si>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</si>
  <si>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</si>
  <si>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</si>
  <si>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</si>
  <si>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</si>
  <si>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</si>
  <si>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</si>
  <si>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</si>
  <si>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</si>
  <si>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</si>
  <si>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</si>
  <si>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</si>
  <si>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</si>
  <si>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</si>
  <si>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</si>
  <si>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</si>
  <si>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</si>
  <si>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</si>
  <si>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</si>
  <si>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</si>
  <si>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</si>
  <si>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</si>
  <si>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</si>
  <si>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</si>
  <si>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</si>
  <si>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</si>
  <si>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</si>
  <si>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</si>
  <si>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</si>
  <si>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</si>
  <si>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</si>
  <si>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</si>
  <si>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</si>
  <si>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</si>
  <si>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</si>
  <si>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</si>
  <si>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</si>
  <si>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</si>
  <si>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</si>
  <si>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</si>
  <si>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</si>
  <si>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</si>
  <si>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</si>
  <si>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</si>
  <si>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</si>
  <si>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</si>
  <si>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</si>
  <si>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</si>
  <si>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</si>
  <si>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</si>
  <si>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</si>
  <si>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</si>
  <si>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</si>
  <si>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</si>
  <si>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</si>
  <si>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</si>
  <si>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</si>
  <si>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</si>
  <si>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</si>
  <si>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</si>
  <si>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</si>
  <si>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</si>
  <si>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</si>
  <si>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</si>
  <si>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</si>
  <si>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</si>
  <si>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</si>
  <si>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</si>
  <si>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</si>
  <si>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</si>
  <si>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</si>
  <si>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</si>
  <si>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</si>
  <si>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</si>
  <si>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</si>
  <si>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</si>
  <si>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</si>
  <si>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</si>
  <si>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</si>
  <si>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</si>
  <si>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</si>
  <si>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</si>
  <si>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</si>
  <si>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</si>
  <si>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</si>
  <si>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</si>
  <si>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</si>
  <si>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</si>
  <si>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</si>
  <si>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</si>
  <si>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</si>
  <si>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</si>
  <si>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</si>
  <si>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</si>
  <si>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</si>
  <si>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</si>
  <si>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</si>
  <si>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</si>
  <si>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</si>
  <si>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</si>
  <si>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</si>
  <si>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</si>
  <si>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</si>
  <si>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</si>
  <si>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</si>
  <si>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</si>
  <si>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</si>
  <si>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</si>
  <si>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</si>
  <si>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</si>
  <si>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</si>
  <si>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</si>
  <si>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</si>
  <si>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</si>
  <si>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</si>
  <si>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</si>
  <si>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</si>
  <si>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</si>
  <si>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</si>
  <si>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</si>
  <si>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</si>
  <si>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</si>
  <si>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</si>
  <si>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</si>
  <si>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</si>
  <si>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</si>
  <si>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</si>
  <si>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</si>
  <si>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</si>
  <si>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</si>
  <si>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</si>
  <si>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</si>
  <si>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</si>
  <si>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</si>
  <si>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</si>
  <si>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</si>
  <si>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</si>
  <si>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</si>
  <si>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</si>
  <si>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</si>
  <si>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</si>
  <si>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</si>
  <si>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</si>
  <si>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</si>
  <si>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</si>
  <si>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</si>
  <si>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</si>
  <si>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</si>
  <si>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</si>
  <si>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</si>
  <si>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</si>
  <si>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</si>
  <si>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</si>
  <si>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</si>
  <si>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</si>
  <si>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</si>
  <si>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</si>
  <si>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</si>
  <si>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</si>
  <si>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</si>
  <si>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</si>
  <si>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</si>
  <si>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</si>
  <si>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</si>
  <si>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</si>
  <si>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</si>
  <si>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</si>
  <si>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</si>
  <si>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</si>
  <si>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</si>
  <si>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</si>
  <si>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</si>
  <si>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</si>
  <si>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</si>
  <si>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</si>
  <si>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</si>
  <si>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</si>
  <si>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</si>
  <si>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</si>
  <si>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</si>
  <si>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</si>
  <si>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</si>
  <si>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</si>
  <si>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</si>
  <si>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</si>
  <si>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</si>
  <si>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</si>
  <si>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</si>
  <si>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</si>
  <si>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</si>
  <si>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</si>
  <si>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</si>
  <si>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</si>
  <si>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</si>
  <si>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</si>
  <si>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</si>
  <si>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</si>
  <si>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</si>
  <si>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</si>
  <si>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</si>
  <si>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</si>
  <si>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</si>
  <si>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</si>
  <si>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SGD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</si>
  <si>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</si>
  <si>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</si>
  <si>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</si>
  <si>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</si>
  <si>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</si>
  <si>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</si>
  <si>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</si>
  <si>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</si>
  <si>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</si>
  <si>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</si>
  <si>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</si>
  <si>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</si>
  <si>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</si>
  <si>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</si>
  <si>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</si>
  <si>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</si>
  <si>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</si>
  <si>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</si>
  <si>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</si>
  <si>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</si>
  <si>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</si>
  <si>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</si>
  <si>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</si>
  <si>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</si>
  <si>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</si>
  <si>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</si>
  <si>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</si>
  <si>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</si>
  <si>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</si>
  <si>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</si>
  <si>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</si>
  <si>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</si>
  <si>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</si>
  <si>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</si>
  <si>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</si>
  <si>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</si>
  <si>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</si>
  <si>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</si>
  <si>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</si>
  <si>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</si>
  <si>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</si>
  <si>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</si>
  <si>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</si>
  <si>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</si>
  <si>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</si>
  <si>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</si>
  <si>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</si>
  <si>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</si>
  <si>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</si>
  <si>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</si>
  <si>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</si>
  <si>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</si>
  <si>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</si>
  <si>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</si>
  <si>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</si>
  <si>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</si>
  <si>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</si>
  <si>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</si>
  <si>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</si>
  <si>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</si>
  <si>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</si>
  <si>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</si>
  <si>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</si>
  <si>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</si>
  <si>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</si>
  <si>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</si>
  <si>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</si>
  <si>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</si>
  <si>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</si>
  <si>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</si>
  <si>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</si>
  <si>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</si>
  <si>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</si>
  <si>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</si>
  <si>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</si>
  <si>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</si>
  <si>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</si>
  <si>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</si>
  <si>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</si>
  <si>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</si>
  <si>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</si>
  <si>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</si>
  <si>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</si>
  <si>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</si>
  <si>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</si>
  <si>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</si>
  <si>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</si>
  <si>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</si>
  <si>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</si>
  <si>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</si>
  <si>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</si>
  <si>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</si>
  <si>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</si>
  <si>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</si>
  <si>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</si>
  <si>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</si>
  <si>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</si>
  <si>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</si>
  <si>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</si>
  <si>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</si>
  <si>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</si>
  <si>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</si>
  <si>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</si>
  <si>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</si>
  <si>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</si>
  <si>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</si>
  <si>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</si>
  <si>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</si>
  <si>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</si>
  <si>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</si>
  <si>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</si>
  <si>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</si>
  <si>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</si>
  <si>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</si>
  <si>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</si>
  <si>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</si>
  <si>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161</t>
  </si>
  <si>
    <t>9943</t>
  </si>
  <si>
    <t>6.10528E+11</t>
  </si>
  <si>
    <t>#N/A</t>
  </si>
  <si>
    <t xml:space="preserve">EUR   </t>
  </si>
  <si>
    <t>17/09/24</t>
  </si>
  <si>
    <t>21/11/24</t>
  </si>
  <si>
    <t>0</t>
  </si>
  <si>
    <t>לאומי</t>
  </si>
  <si>
    <t>6.10531E+11</t>
  </si>
  <si>
    <t xml:space="preserve">USD   </t>
  </si>
  <si>
    <t>6.10529E+11</t>
  </si>
  <si>
    <t>17/09/25</t>
  </si>
  <si>
    <t>6.1053E+11</t>
  </si>
  <si>
    <t>6.13548E+11</t>
  </si>
  <si>
    <t>30/09/24</t>
  </si>
  <si>
    <t>31/10/24</t>
  </si>
  <si>
    <t>12468</t>
  </si>
  <si>
    <t>510960586</t>
  </si>
  <si>
    <t>ח.פ</t>
  </si>
  <si>
    <t>הלוואות לחברים עמי גמל (ריבית צמוד פריים)</t>
  </si>
  <si>
    <t>29994013</t>
  </si>
  <si>
    <t>03/11/2016</t>
  </si>
  <si>
    <t>other</t>
  </si>
  <si>
    <t>30/12/2028</t>
  </si>
  <si>
    <t xml:space="preserve">הלוואות עמיתים </t>
  </si>
  <si>
    <t>512475203</t>
  </si>
  <si>
    <t>כביש 6 צפון  הגדלת מינוף</t>
  </si>
  <si>
    <t>25032021</t>
  </si>
  <si>
    <t>25/03/2021</t>
  </si>
  <si>
    <t>AA-</t>
  </si>
  <si>
    <t>30/06/2048</t>
  </si>
  <si>
    <t>מרווח הוגן</t>
  </si>
  <si>
    <t>כביש 6 צפון  הלוואה לזמן ארוך</t>
  </si>
  <si>
    <t>24032021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</si>
  <si>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</si>
  <si>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</si>
  <si>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</si>
  <si>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</si>
  <si>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</si>
  <si>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</si>
  <si>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03/01/2024</t>
  </si>
  <si>
    <t>שגריר רכב</t>
  </si>
  <si>
    <t>515158665</t>
  </si>
  <si>
    <t>שגריר כתב אופציה ל.ס</t>
  </si>
  <si>
    <t>IL0011383796</t>
  </si>
  <si>
    <t>08/06/2025</t>
  </si>
  <si>
    <t>29/06/2022</t>
  </si>
  <si>
    <t>06/08/2024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</si>
  <si>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</si>
  <si>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</si>
  <si>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</si>
  <si>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</si>
  <si>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</si>
  <si>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</si>
  <si>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קסם קרנות נאמנות בע"מ</t>
  </si>
  <si>
    <t>510938608</t>
  </si>
  <si>
    <t>קסם KTF ת"א 100</t>
  </si>
  <si>
    <t>IL0051133457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</si>
  <si>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</si>
  <si>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</si>
  <si>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</si>
  <si>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</si>
  <si>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</si>
  <si>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</si>
  <si>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</si>
  <si>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</si>
  <si>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Invesco investment management limited</t>
  </si>
  <si>
    <t>549300FEA3DT84FOZ304</t>
  </si>
  <si>
    <t>INV-US SEN-G</t>
  </si>
  <si>
    <t>LU0564079282</t>
  </si>
  <si>
    <t>CREDIT SUISSE</t>
  </si>
  <si>
    <t>EXD7DEVFDH4HOFFQ7349</t>
  </si>
  <si>
    <t>CS NOVA LUX GLB SEN</t>
  </si>
  <si>
    <t>LU0635707705</t>
  </si>
  <si>
    <t>MTF ת"א 25  40</t>
  </si>
  <si>
    <t>IL0051098973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</si>
  <si>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</si>
  <si>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</si>
  <si>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</si>
  <si>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</si>
  <si>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</si>
  <si>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</si>
  <si>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</si>
  <si>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</si>
  <si>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</si>
  <si>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</si>
  <si>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</si>
  <si>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</si>
  <si>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</si>
  <si>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</si>
  <si>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קרן סל תא 125</t>
  </si>
  <si>
    <t>IL0011488991</t>
  </si>
  <si>
    <t>מור ניהול קרנות נאמנות בע"מ</t>
  </si>
  <si>
    <t>514884485</t>
  </si>
  <si>
    <t>מור סל S&amp;P 500 ממ</t>
  </si>
  <si>
    <t>IL0011658288</t>
  </si>
  <si>
    <t>מור סל אי.בנקים מש</t>
  </si>
  <si>
    <t>IL0011877649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</si>
  <si>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</si>
  <si>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</si>
  <si>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</si>
  <si>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</si>
  <si>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</si>
  <si>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</si>
  <si>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</si>
  <si>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</si>
  <si>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</si>
  <si>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</si>
  <si>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</si>
  <si>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</si>
  <si>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</si>
  <si>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</si>
  <si>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 xml:space="preserve">BlackRock  Asset Managment </t>
  </si>
  <si>
    <t>5493004330BCAPB3GT42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</si>
  <si>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</si>
  <si>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</si>
  <si>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</si>
  <si>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</si>
  <si>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</si>
  <si>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</si>
  <si>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</si>
  <si>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</si>
  <si>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</si>
  <si>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</si>
  <si>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</si>
  <si>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</si>
  <si>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הראל סל תל בונד 60</t>
  </si>
  <si>
    <t>IL0011504730</t>
  </si>
  <si>
    <t>הראל סל תל בונד שקלי</t>
  </si>
  <si>
    <t>IL0011505232</t>
  </si>
  <si>
    <t>מור סל )4D(י NASDAQ 100</t>
  </si>
  <si>
    <t>IL0011658361</t>
  </si>
  <si>
    <t>מניות בחו"ל חשופות מט"ח</t>
  </si>
  <si>
    <t>MSCI Emerging Markets (4D) ETF קסם</t>
  </si>
  <si>
    <t>IL0011458127</t>
  </si>
  <si>
    <t>שווקים מתעוררים</t>
  </si>
  <si>
    <t>הראל סל 4A S&amp;P 500 מנוטרלת</t>
  </si>
  <si>
    <t>IL0011491375</t>
  </si>
  <si>
    <t>ילין לפידות ניהול קרנות נאמנות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</si>
  <si>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</si>
  <si>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</si>
  <si>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</si>
  <si>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</si>
  <si>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</si>
  <si>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</si>
  <si>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</si>
  <si>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</si>
  <si>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</si>
  <si>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</si>
  <si>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</si>
  <si>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</si>
  <si>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</si>
  <si>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CEF ishares russell</t>
  </si>
  <si>
    <t>US4642876555</t>
  </si>
  <si>
    <t>Invesco QQQ  trust NAS1</t>
  </si>
  <si>
    <t>US46090E1038</t>
  </si>
  <si>
    <t>LYXOR ETF</t>
  </si>
  <si>
    <t>213800VZW861M5FHMD50</t>
  </si>
  <si>
    <t>LYXETF S&amp;P500</t>
  </si>
  <si>
    <t>LU1135865084</t>
  </si>
  <si>
    <t>SOURCE S&amp;P 500 UCITS ETF</t>
  </si>
  <si>
    <t>IE00B3YCGJ38</t>
  </si>
  <si>
    <t>S&amp;P 500</t>
  </si>
  <si>
    <t>SPDR S&amp;P 500 UCITS</t>
  </si>
  <si>
    <t>IE000XZSV718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</si>
  <si>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</si>
  <si>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</si>
  <si>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</si>
  <si>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</si>
  <si>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</si>
  <si>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</si>
  <si>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>INVESCO S&amp;P 500 UCITS ETF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</si>
  <si>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</si>
  <si>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</si>
  <si>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</si>
  <si>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</si>
  <si>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</si>
  <si>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</si>
  <si>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</si>
  <si>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</si>
  <si>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</si>
  <si>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</si>
  <si>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</si>
  <si>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</si>
  <si>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ISH $ CORP BD $A</t>
  </si>
  <si>
    <t>IE00BYXYYJ35</t>
  </si>
  <si>
    <t>Ishares $ Short Duration Corp Bond</t>
  </si>
  <si>
    <t>IE00BYXYYP94</t>
  </si>
  <si>
    <t>קסם 500 P&amp;S PR מנוטרלת מטבע</t>
  </si>
  <si>
    <t>IL0011466047</t>
  </si>
  <si>
    <t>Ishares DJ construction</t>
  </si>
  <si>
    <t>US4642887529</t>
  </si>
  <si>
    <t>ISHARES NASDAQ100 ETF USD</t>
  </si>
  <si>
    <t>IE00B53SZB19</t>
  </si>
  <si>
    <t>LYX CORE EURSTX</t>
  </si>
  <si>
    <t>LU0908500753</t>
  </si>
  <si>
    <t>Spdr s&amp;p 500 etf trust</t>
  </si>
  <si>
    <t>US78462F1030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</si>
  <si>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</si>
  <si>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</si>
  <si>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</si>
  <si>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</si>
  <si>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</si>
  <si>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</si>
  <si>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</si>
  <si>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</si>
  <si>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</si>
  <si>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</si>
  <si>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</si>
  <si>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</si>
  <si>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תל בונד שקלי 50</t>
  </si>
  <si>
    <t>IL0011501686</t>
  </si>
  <si>
    <t>מור סל )4A(י NASDAQ 100 מנוטרל</t>
  </si>
  <si>
    <t>IL0011658445</t>
  </si>
  <si>
    <t>קסם ETF תא בנקים</t>
  </si>
  <si>
    <t>IL0011464307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</si>
  <si>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</si>
  <si>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</si>
  <si>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</si>
  <si>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</si>
  <si>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</si>
  <si>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</si>
  <si>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תכלית סל תלבונד תשו</t>
  </si>
  <si>
    <t>IL0011452591</t>
  </si>
  <si>
    <t>500UFP EQUITY</t>
  </si>
  <si>
    <t>5493007YUEI1FG9SC192</t>
  </si>
  <si>
    <t>AMUNDI S&amp;P 500</t>
  </si>
  <si>
    <t>LU1681049018</t>
  </si>
  <si>
    <t>KRANESHARES</t>
  </si>
  <si>
    <t>549300VLDRC0RUX0E553</t>
  </si>
  <si>
    <t>KraneShares Csi China Internet Etf</t>
  </si>
  <si>
    <t>US5007673065</t>
  </si>
  <si>
    <t>SPDR BLOOMBERG SASB</t>
  </si>
  <si>
    <t>IE0004TYCC17</t>
  </si>
  <si>
    <t>EUREX </t>
  </si>
  <si>
    <t>SPDR SASB US CORP</t>
  </si>
  <si>
    <t>IE00BLF7VX27</t>
  </si>
  <si>
    <t>SXLE LN</t>
  </si>
  <si>
    <t>549300M0AUGU3NFNF319</t>
  </si>
  <si>
    <t>SPDR US ENERGY</t>
  </si>
  <si>
    <t>IE00BWBXM492</t>
  </si>
  <si>
    <t>Real Estate Credit Investments Pcc ltd</t>
  </si>
  <si>
    <t>SPDR US TECH</t>
  </si>
  <si>
    <t>IE00BWBXM948</t>
  </si>
  <si>
    <t>VANG $CORPBD $A</t>
  </si>
  <si>
    <t>IE00BGYWFK87</t>
  </si>
  <si>
    <t>VANG FTSE EM $A</t>
  </si>
  <si>
    <t>IE00BK5BR733</t>
  </si>
  <si>
    <t>VANG FTSE EM USDA</t>
  </si>
  <si>
    <t>WisdomTree Europe ltd</t>
  </si>
  <si>
    <t>549300SEVJBU47TE8855</t>
  </si>
  <si>
    <t>Wisdomtree Japan</t>
  </si>
  <si>
    <t>US97717W8516</t>
  </si>
  <si>
    <t>WSDTRE CHN EXST</t>
  </si>
  <si>
    <t>549300RMMYLGSFFMT454</t>
  </si>
  <si>
    <t>WSDMTR JP USD H</t>
  </si>
  <si>
    <t>IE00BYQCZD50</t>
  </si>
  <si>
    <t>Energy s.sector spdr</t>
  </si>
  <si>
    <t>US81369Y5069</t>
  </si>
  <si>
    <t>Financial sel sector spdr</t>
  </si>
  <si>
    <t>US81369Y6059</t>
  </si>
  <si>
    <t>Industrial select</t>
  </si>
  <si>
    <t>US81369Y7040</t>
  </si>
  <si>
    <t>INVESCO SOLAR ETF</t>
  </si>
  <si>
    <t>US46138G7060</t>
  </si>
  <si>
    <t>Ishares phlx sox semicon</t>
  </si>
  <si>
    <t>US4642875235</t>
  </si>
  <si>
    <t>REAL EST SEL SEC</t>
  </si>
  <si>
    <t>US81369y8600</t>
  </si>
  <si>
    <t>SPDR BBG 0-3 $CP</t>
  </si>
  <si>
    <t>IE00BC7GZX26</t>
  </si>
  <si>
    <t>הראל סל תא בנקים</t>
  </si>
  <si>
    <t>IL0011489494</t>
  </si>
  <si>
    <t>520018078</t>
  </si>
  <si>
    <t>IL0006046119</t>
  </si>
  <si>
    <t>בנק הפועלים בע"מ</t>
  </si>
  <si>
    <t>520000118</t>
  </si>
  <si>
    <t>פועלים</t>
  </si>
  <si>
    <t>IL0006625771</t>
  </si>
  <si>
    <t xml:space="preserve">אורמת טכנולגיות אינק </t>
  </si>
  <si>
    <t>880326081</t>
  </si>
  <si>
    <t>אורמת טכנולוגיות</t>
  </si>
  <si>
    <t>US6866881021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</si>
  <si>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</si>
  <si>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</si>
  <si>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</si>
  <si>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</si>
  <si>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</si>
  <si>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</si>
  <si>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</si>
  <si>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</si>
  <si>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</si>
  <si>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</si>
  <si>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</si>
  <si>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</si>
  <si>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</si>
  <si>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</si>
  <si>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</si>
  <si>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</si>
  <si>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</si>
  <si>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</si>
  <si>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</si>
  <si>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</si>
  <si>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</si>
  <si>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</si>
  <si>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</si>
  <si>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</si>
  <si>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</si>
  <si>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</si>
  <si>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</si>
  <si>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</si>
  <si>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הבנק הבינלאומי הראשון לישראל בע"מ</t>
  </si>
  <si>
    <t>520029083</t>
  </si>
  <si>
    <t>בינלאומי 5</t>
  </si>
  <si>
    <t>IL0005930388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</si>
  <si>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</si>
  <si>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</si>
  <si>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</si>
  <si>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</si>
  <si>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</si>
  <si>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</si>
  <si>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</si>
  <si>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</si>
  <si>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</si>
  <si>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</si>
  <si>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</si>
  <si>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</si>
  <si>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</si>
  <si>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</si>
  <si>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</si>
  <si>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</si>
  <si>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</si>
  <si>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</si>
  <si>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</si>
  <si>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</si>
  <si>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</si>
  <si>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</si>
  <si>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</si>
  <si>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</si>
  <si>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</si>
  <si>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</si>
  <si>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</si>
  <si>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</si>
  <si>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</si>
  <si>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</si>
  <si>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</si>
  <si>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</si>
  <si>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</si>
  <si>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</si>
  <si>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</si>
  <si>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</si>
  <si>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</si>
  <si>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</si>
  <si>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</si>
  <si>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</si>
  <si>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</si>
  <si>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</si>
  <si>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</si>
  <si>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</si>
  <si>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</si>
  <si>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</si>
  <si>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</si>
  <si>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</si>
  <si>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</si>
  <si>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</si>
  <si>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</si>
  <si>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</si>
  <si>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</si>
  <si>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</si>
  <si>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</si>
  <si>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</si>
  <si>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</si>
  <si>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</si>
  <si>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</si>
  <si>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</si>
  <si>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</si>
  <si>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</si>
  <si>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</si>
  <si>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</si>
  <si>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</si>
  <si>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</si>
  <si>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</si>
  <si>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</si>
  <si>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</si>
  <si>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</si>
  <si>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</si>
  <si>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</si>
  <si>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</si>
  <si>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</si>
  <si>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</si>
  <si>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</si>
  <si>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</si>
  <si>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</si>
  <si>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</si>
  <si>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</si>
  <si>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</si>
  <si>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</si>
  <si>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</si>
  <si>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</si>
  <si>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</si>
  <si>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</si>
  <si>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</si>
  <si>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</si>
  <si>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</si>
  <si>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</si>
  <si>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</si>
  <si>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</si>
  <si>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</si>
  <si>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</si>
  <si>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</si>
  <si>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</si>
  <si>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</si>
  <si>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</si>
  <si>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</si>
  <si>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</si>
  <si>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</si>
  <si>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</si>
  <si>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</si>
  <si>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</si>
  <si>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</si>
  <si>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</si>
  <si>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</si>
  <si>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</si>
  <si>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</si>
  <si>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</si>
  <si>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</si>
  <si>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</si>
  <si>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</si>
  <si>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</si>
  <si>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</si>
  <si>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</si>
  <si>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</si>
  <si>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</si>
  <si>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</si>
  <si>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</si>
  <si>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</si>
  <si>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</si>
  <si>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</si>
  <si>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</si>
  <si>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</si>
  <si>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</si>
  <si>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</si>
  <si>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</si>
  <si>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</si>
  <si>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</si>
  <si>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</si>
  <si>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</si>
  <si>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</si>
  <si>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</si>
  <si>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</si>
  <si>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</si>
  <si>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</si>
  <si>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</si>
  <si>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</si>
  <si>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איסתא בע"מ</t>
  </si>
  <si>
    <t>520042763</t>
  </si>
  <si>
    <t>איסתא</t>
  </si>
  <si>
    <t>IL0010810740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</si>
  <si>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</si>
  <si>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</si>
  <si>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</si>
  <si>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</si>
  <si>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</si>
  <si>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</si>
  <si>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</si>
  <si>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</si>
  <si>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Energean plc</t>
  </si>
  <si>
    <t>10758801</t>
  </si>
  <si>
    <t>אנרג'יאן</t>
  </si>
  <si>
    <t>GB00BG12Y042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</si>
  <si>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</si>
  <si>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</si>
  <si>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</si>
  <si>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</si>
  <si>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</si>
  <si>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</si>
  <si>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</si>
  <si>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ביג מרכזי קניות (2004) בע"מ</t>
  </si>
  <si>
    <t>513623314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</si>
  <si>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</si>
  <si>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</si>
  <si>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</si>
  <si>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</si>
  <si>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</si>
  <si>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</si>
  <si>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</si>
  <si>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</si>
  <si>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</si>
  <si>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</si>
  <si>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</si>
  <si>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</si>
  <si>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</si>
  <si>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</si>
  <si>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</si>
  <si>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</si>
  <si>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</si>
  <si>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</si>
  <si>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</si>
  <si>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</si>
  <si>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</si>
  <si>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</si>
  <si>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</si>
  <si>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</si>
  <si>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</si>
  <si>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</si>
  <si>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</si>
  <si>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</si>
  <si>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</si>
  <si>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</si>
  <si>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</si>
  <si>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</si>
  <si>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</si>
  <si>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</si>
  <si>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</si>
  <si>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</si>
  <si>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</si>
  <si>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</si>
  <si>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</si>
  <si>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</si>
  <si>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</si>
  <si>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</si>
  <si>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טיב טעם הולדינגס 1 בע"מ</t>
  </si>
  <si>
    <t>520041187</t>
  </si>
  <si>
    <t>טיב טעם</t>
  </si>
  <si>
    <t>IL0001030100</t>
  </si>
  <si>
    <t>טלסיס בע"מ</t>
  </si>
  <si>
    <t>520038100</t>
  </si>
  <si>
    <t>טלסיס</t>
  </si>
  <si>
    <t>IL0003540197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</si>
  <si>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</si>
  <si>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</si>
  <si>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</si>
  <si>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</si>
  <si>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</si>
  <si>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</si>
  <si>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</si>
  <si>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</si>
  <si>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ישרס חברה להשקעות בע"מ</t>
  </si>
  <si>
    <t>520017807</t>
  </si>
  <si>
    <t>ישרס</t>
  </si>
  <si>
    <t>IL0006130343</t>
  </si>
  <si>
    <t>מבנה נדל"ן (כ.ד)  בע"מ</t>
  </si>
  <si>
    <t>520024126</t>
  </si>
  <si>
    <t>מבנה</t>
  </si>
  <si>
    <t>IL0002260193</t>
  </si>
  <si>
    <t>מנורה מבטחים החזקות בע"מ</t>
  </si>
  <si>
    <t>520007469</t>
  </si>
  <si>
    <t>מנורה מבטחים החזקות</t>
  </si>
  <si>
    <t>IL0005660183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</si>
  <si>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</si>
  <si>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</si>
  <si>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</si>
  <si>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</si>
  <si>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</si>
  <si>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</si>
  <si>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נאוויטס פט יהש</t>
  </si>
  <si>
    <t>IL0011419699</t>
  </si>
  <si>
    <t>נופר אנרגי</t>
  </si>
  <si>
    <t>חברה לנכסים ולבנין בע"מ</t>
  </si>
  <si>
    <t>520025438</t>
  </si>
  <si>
    <t>נכסים ובנין</t>
  </si>
  <si>
    <t>IL0006990175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</si>
  <si>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</si>
  <si>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</si>
  <si>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</si>
  <si>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</si>
  <si>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</si>
  <si>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</si>
  <si>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</si>
  <si>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</si>
  <si>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</si>
  <si>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</si>
  <si>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</si>
  <si>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</si>
  <si>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פז בית זיקוק לנפט-אשדוד בע"מ</t>
  </si>
  <si>
    <t>513775163</t>
  </si>
  <si>
    <t>פז בית זיקוק אשדוד</t>
  </si>
  <si>
    <t>IL0011989105</t>
  </si>
  <si>
    <t>פריורטק בע"מ</t>
  </si>
  <si>
    <t>520037797</t>
  </si>
  <si>
    <t>פריורטק</t>
  </si>
  <si>
    <t>IL0003280133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</si>
  <si>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</si>
  <si>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</si>
  <si>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</si>
  <si>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</si>
  <si>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</si>
  <si>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</si>
  <si>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</t>
  </si>
  <si>
    <t>IL0004250176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</si>
  <si>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</si>
  <si>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</si>
  <si>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</si>
  <si>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</si>
  <si>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</si>
  <si>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</si>
  <si>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</si>
  <si>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</si>
  <si>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</si>
  <si>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</si>
  <si>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</si>
  <si>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</si>
  <si>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שופר-סל בע"מ</t>
  </si>
  <si>
    <t>520022732</t>
  </si>
  <si>
    <t>שופרסל</t>
  </si>
  <si>
    <t>IL0007770378</t>
  </si>
  <si>
    <t>שיכון ובינוי בע"מ</t>
  </si>
  <si>
    <t>520036104</t>
  </si>
  <si>
    <t>שיכון ובינוי</t>
  </si>
  <si>
    <t>IL0010819428</t>
  </si>
  <si>
    <t>תדיראן גרופ בע"מ</t>
  </si>
  <si>
    <t>520036732</t>
  </si>
  <si>
    <t>תדיראן גרופ</t>
  </si>
  <si>
    <t>IL0002580129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</si>
  <si>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</si>
  <si>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</si>
  <si>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</si>
  <si>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</si>
  <si>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</si>
  <si>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</si>
  <si>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</si>
  <si>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</si>
  <si>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</si>
  <si>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</si>
  <si>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Nova measuring inst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</si>
  <si>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</si>
  <si>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</si>
  <si>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</si>
  <si>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</si>
  <si>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</si>
  <si>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</si>
  <si>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</si>
  <si>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</si>
  <si>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</si>
  <si>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</si>
  <si>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</si>
  <si>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</si>
  <si>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</si>
  <si>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</si>
  <si>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</si>
  <si>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</si>
  <si>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</si>
  <si>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</si>
  <si>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</si>
  <si>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</si>
  <si>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</si>
  <si>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CATERPILLAR</t>
  </si>
  <si>
    <t>EDBQKYOPJUCJKLOJDE72</t>
  </si>
  <si>
    <t>CATERPILLAR INC FOR</t>
  </si>
  <si>
    <t>US1491231015</t>
  </si>
  <si>
    <t>NYSE </t>
  </si>
  <si>
    <t>Capital Markets </t>
  </si>
  <si>
    <t>איתוראן איתור ושליטה בע"מ</t>
  </si>
  <si>
    <t>520043811</t>
  </si>
  <si>
    <t>Ituran Location And Control</t>
  </si>
  <si>
    <t>IL0010818685</t>
  </si>
  <si>
    <t>Meta Platforms Inc</t>
  </si>
  <si>
    <t>BQ4BKCS1HXDV9HN80Z93</t>
  </si>
  <si>
    <t>Meta Platforms, Inc</t>
  </si>
  <si>
    <t>US30303M1027</t>
  </si>
  <si>
    <t>MONDELEZ INTERNATIONAL</t>
  </si>
  <si>
    <t>549300DV9GIB88LZ5P30</t>
  </si>
  <si>
    <t>MONDELEZ INTERNA</t>
  </si>
  <si>
    <t>US6092071058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</si>
  <si>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</si>
  <si>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</si>
  <si>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</si>
  <si>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</si>
  <si>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</si>
  <si>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</si>
  <si>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</si>
  <si>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</si>
  <si>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RWE AG</t>
  </si>
  <si>
    <t>529900GB7KCA94ACC940</t>
  </si>
  <si>
    <t>RWE GY</t>
  </si>
  <si>
    <t>DE0007037129</t>
  </si>
  <si>
    <t>SHL TELEMEDICINE LTD</t>
  </si>
  <si>
    <t>512527383</t>
  </si>
  <si>
    <t>SHL Telemedicine Ltd</t>
  </si>
  <si>
    <t>IL0010855885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</si>
  <si>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</si>
  <si>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</si>
  <si>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</si>
  <si>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</si>
  <si>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</si>
  <si>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</si>
  <si>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</si>
  <si>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</si>
  <si>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</si>
  <si>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</si>
  <si>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</si>
  <si>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</si>
  <si>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</si>
  <si>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</si>
  <si>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</si>
  <si>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</si>
  <si>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</si>
  <si>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</si>
  <si>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קבוצת אורון אחזקות והשקעות בע"מ</t>
  </si>
  <si>
    <t>513432765</t>
  </si>
  <si>
    <t>אורון קב אגח ג חסום עד 20/01/25</t>
  </si>
  <si>
    <t>IL0011977639</t>
  </si>
  <si>
    <t>30/06/2029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</si>
  <si>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</si>
  <si>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</si>
  <si>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</si>
  <si>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</si>
  <si>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</si>
  <si>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</si>
  <si>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</si>
  <si>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</si>
  <si>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</si>
  <si>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</si>
  <si>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</si>
  <si>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אג"ח יז</t>
  </si>
  <si>
    <t>IL0011587321</t>
  </si>
  <si>
    <t>A+</t>
  </si>
  <si>
    <t>20/01/2027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</si>
  <si>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</si>
  <si>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</si>
  <si>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</si>
  <si>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</si>
  <si>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</si>
  <si>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</si>
  <si>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</si>
  <si>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</si>
  <si>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</si>
  <si>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</si>
  <si>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</si>
  <si>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</si>
  <si>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</si>
  <si>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</si>
  <si>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</si>
  <si>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</si>
  <si>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</si>
  <si>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</si>
  <si>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</si>
  <si>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</si>
  <si>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</si>
  <si>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</si>
  <si>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</si>
  <si>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</si>
  <si>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</si>
  <si>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</si>
  <si>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</si>
  <si>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</si>
  <si>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</si>
  <si>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</si>
  <si>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</si>
  <si>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</si>
  <si>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</si>
  <si>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</si>
  <si>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</si>
  <si>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</si>
  <si>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</si>
  <si>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A</t>
  </si>
  <si>
    <t>01/09/2026</t>
  </si>
  <si>
    <t>אנלייט אנרגיה אגח ד</t>
  </si>
  <si>
    <t>IL0072002566</t>
  </si>
  <si>
    <t>02/09/2029</t>
  </si>
  <si>
    <t>אקסטל לימיטד</t>
  </si>
  <si>
    <t>1811308</t>
  </si>
  <si>
    <t>אקסטל אג"ח ג</t>
  </si>
  <si>
    <t>IL0011750416</t>
  </si>
  <si>
    <t>31/03/2026</t>
  </si>
  <si>
    <t>ארפורט אגח ט</t>
  </si>
  <si>
    <t>IL0011609448</t>
  </si>
  <si>
    <t>30/08/2035</t>
  </si>
  <si>
    <t>ביג  ח</t>
  </si>
  <si>
    <t>IL0011389249</t>
  </si>
  <si>
    <t>12/04/2026</t>
  </si>
  <si>
    <t>ביג אגח טו</t>
  </si>
  <si>
    <t>IL0011622219</t>
  </si>
  <si>
    <t>31/01/2030</t>
  </si>
  <si>
    <t>בית זיקוק אשדוד אגח 2</t>
  </si>
  <si>
    <t>IL0011994881</t>
  </si>
  <si>
    <t>גבאי מניבים ופיתוח בע"מ</t>
  </si>
  <si>
    <t>520032178</t>
  </si>
  <si>
    <t>גבאי מניבים אגח י</t>
  </si>
  <si>
    <t>IL0077102395</t>
  </si>
  <si>
    <t>30/06/2026</t>
  </si>
  <si>
    <t>ג'י סיטי בע"מ</t>
  </si>
  <si>
    <t>520033234</t>
  </si>
  <si>
    <t>ג'י סיטי  אגח יג</t>
  </si>
  <si>
    <t>IL0012606526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</si>
  <si>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</si>
  <si>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</si>
  <si>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</si>
  <si>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</si>
  <si>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</si>
  <si>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</si>
  <si>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</si>
  <si>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</si>
  <si>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</si>
  <si>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</si>
  <si>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</si>
  <si>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</si>
  <si>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</si>
  <si>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</si>
  <si>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</si>
  <si>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</si>
  <si>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</si>
  <si>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</si>
  <si>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</si>
  <si>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</si>
  <si>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</si>
  <si>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</si>
  <si>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</si>
  <si>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</si>
  <si>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</si>
  <si>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</si>
  <si>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</si>
  <si>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</si>
  <si>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</si>
  <si>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</si>
  <si>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</si>
  <si>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</si>
  <si>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</si>
  <si>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</si>
  <si>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</si>
  <si>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חג'ג' אגח יד 02/01/2028</t>
  </si>
  <si>
    <t>IL0012066069</t>
  </si>
  <si>
    <t>02/01/2028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</si>
  <si>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</si>
  <si>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</si>
  <si>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</si>
  <si>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</si>
  <si>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</si>
  <si>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</si>
  <si>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</si>
  <si>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</si>
  <si>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</si>
  <si>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</si>
  <si>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</si>
  <si>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</si>
  <si>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</si>
  <si>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</si>
  <si>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</si>
  <si>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</si>
  <si>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</si>
  <si>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</si>
  <si>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</si>
  <si>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</si>
  <si>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</si>
  <si>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</si>
  <si>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</si>
  <si>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</si>
  <si>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</si>
  <si>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</si>
  <si>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</si>
  <si>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</si>
  <si>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</si>
  <si>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</si>
  <si>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</si>
  <si>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</si>
  <si>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</si>
  <si>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  אגח 179</t>
  </si>
  <si>
    <t>IL0060403727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</si>
  <si>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</si>
  <si>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</si>
  <si>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</si>
  <si>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</si>
  <si>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</si>
  <si>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</si>
  <si>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</si>
  <si>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</si>
  <si>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</si>
  <si>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</si>
  <si>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</si>
  <si>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</si>
  <si>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</si>
  <si>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</si>
  <si>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</si>
  <si>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</si>
  <si>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</si>
  <si>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</si>
  <si>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</si>
  <si>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</si>
  <si>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</si>
  <si>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31/12/2026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</si>
  <si>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</si>
  <si>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</si>
  <si>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</si>
  <si>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</si>
  <si>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</si>
  <si>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</si>
  <si>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</si>
  <si>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</si>
  <si>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</si>
  <si>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</si>
  <si>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</si>
  <si>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</si>
  <si>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</si>
  <si>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</si>
  <si>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</si>
  <si>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</si>
  <si>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 טפחות הנפ אגח57</t>
  </si>
  <si>
    <t>IL0023104230</t>
  </si>
  <si>
    <t>02/03/2025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</si>
  <si>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</si>
  <si>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</si>
  <si>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</si>
  <si>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</si>
  <si>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</si>
  <si>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</si>
  <si>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</si>
  <si>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</si>
  <si>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</si>
  <si>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</si>
  <si>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</si>
  <si>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ה חסום 03/12/24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</si>
  <si>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</si>
  <si>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</si>
  <si>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</si>
  <si>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</si>
  <si>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</si>
  <si>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</si>
  <si>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</si>
  <si>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01/07/2029</t>
  </si>
  <si>
    <t>מליסרון אגח י'</t>
  </si>
  <si>
    <t>IL0032301900</t>
  </si>
  <si>
    <t>10/07/2025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</si>
  <si>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</si>
  <si>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</si>
  <si>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</si>
  <si>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</si>
  <si>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</si>
  <si>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</si>
  <si>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</si>
  <si>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</si>
  <si>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</si>
  <si>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</si>
  <si>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אגח ז</t>
  </si>
  <si>
    <t>IL0011841918</t>
  </si>
  <si>
    <t>31/12/2030</t>
  </si>
  <si>
    <t>קבוצת מנרב  בע"מ</t>
  </si>
  <si>
    <t>520034505</t>
  </si>
  <si>
    <t>מנרב אגח ד</t>
  </si>
  <si>
    <t>IL0015501690</t>
  </si>
  <si>
    <t>15/04/2032</t>
  </si>
  <si>
    <t>סטרוברי פילדס ריט לימיטד</t>
  </si>
  <si>
    <t>1863501</t>
  </si>
  <si>
    <t>סטרוברי אגח ג</t>
  </si>
  <si>
    <t>IL0011790198</t>
  </si>
  <si>
    <t>ספיר קורפ בע"מ</t>
  </si>
  <si>
    <t>520038340</t>
  </si>
  <si>
    <t>ספיר קורפ אגח יח</t>
  </si>
  <si>
    <t>IL0036501406</t>
  </si>
  <si>
    <t>15/07/2025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</si>
  <si>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</si>
  <si>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</si>
  <si>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</si>
  <si>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</si>
  <si>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</si>
  <si>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</si>
  <si>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</si>
  <si>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</si>
  <si>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</si>
  <si>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</si>
  <si>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</si>
  <si>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</si>
  <si>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</si>
  <si>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</si>
  <si>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</si>
  <si>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</si>
  <si>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</si>
  <si>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</si>
  <si>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</si>
  <si>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</si>
  <si>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</si>
  <si>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</si>
  <si>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</si>
  <si>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</si>
  <si>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</si>
  <si>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</si>
  <si>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</si>
  <si>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</si>
  <si>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</si>
  <si>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</si>
  <si>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</si>
  <si>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</si>
  <si>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</si>
  <si>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רוטשטיין נדל"ן  בע"מ</t>
  </si>
  <si>
    <t>520039959</t>
  </si>
  <si>
    <t>רוטשטיין אגח יא</t>
  </si>
  <si>
    <t>IL0011971772</t>
  </si>
  <si>
    <t>14/07/2025</t>
  </si>
  <si>
    <t>ריט 1 אגח ז</t>
  </si>
  <si>
    <t>IL0011712713</t>
  </si>
  <si>
    <t>20/09/2034</t>
  </si>
  <si>
    <t xml:space="preserve">א.נ שוהם בידנס בע"מ </t>
  </si>
  <si>
    <t>520043860</t>
  </si>
  <si>
    <t>שוהם ביזנס אגח ד</t>
  </si>
  <si>
    <t>IL0011820474</t>
  </si>
  <si>
    <t>BBB</t>
  </si>
  <si>
    <t>31/12/2025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</si>
  <si>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</si>
  <si>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</si>
  <si>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</si>
  <si>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</si>
  <si>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</si>
  <si>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</si>
  <si>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</si>
  <si>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</si>
  <si>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</si>
  <si>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</si>
  <si>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</si>
  <si>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</si>
  <si>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</si>
  <si>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</si>
  <si>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</si>
  <si>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</si>
  <si>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</si>
  <si>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</si>
  <si>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</si>
  <si>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</si>
  <si>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</si>
  <si>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</si>
  <si>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גב ים אגח ט</t>
  </si>
  <si>
    <t>IL0075902192</t>
  </si>
  <si>
    <t>30/06/2033</t>
  </si>
  <si>
    <t>גב ים אגח יא</t>
  </si>
  <si>
    <t>IL0012083395</t>
  </si>
  <si>
    <t>גבאי מניבים אגח יג</t>
  </si>
  <si>
    <t>IL0077102965</t>
  </si>
  <si>
    <t>30/06/2027</t>
  </si>
  <si>
    <t>ג'נריישן קפיטל בע"מ</t>
  </si>
  <si>
    <t>515846558</t>
  </si>
  <si>
    <t>ג'נריישן קפיטל אגח ב</t>
  </si>
  <si>
    <t>IL0011775264</t>
  </si>
  <si>
    <t>30/06/2031</t>
  </si>
  <si>
    <t>יוניברסל אגח ו</t>
  </si>
  <si>
    <t>IL0011926164</t>
  </si>
  <si>
    <t>10/02/2031</t>
  </si>
  <si>
    <t>כלל ביטוח אגח א</t>
  </si>
  <si>
    <t>IL0011934812</t>
  </si>
  <si>
    <t>28/02/2028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</si>
  <si>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</si>
  <si>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</si>
  <si>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</si>
  <si>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</si>
  <si>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</si>
  <si>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</si>
  <si>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</si>
  <si>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</si>
  <si>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סלע נדלן אגח ב</t>
  </si>
  <si>
    <t>IL0011329278</t>
  </si>
  <si>
    <t>13/01/2025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</si>
  <si>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</si>
  <si>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</si>
  <si>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</si>
  <si>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</si>
  <si>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</si>
  <si>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</si>
  <si>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</si>
  <si>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</si>
  <si>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ש.י.ר שלמה נדל"ן בע"מ</t>
  </si>
  <si>
    <t>513957472</t>
  </si>
  <si>
    <t>שלמה נדלן אגח ד</t>
  </si>
  <si>
    <t>IL0011576688</t>
  </si>
  <si>
    <t>31/10/2030</t>
  </si>
  <si>
    <t>דיסק מנ אגח טז</t>
  </si>
  <si>
    <t>IL0012031576</t>
  </si>
  <si>
    <t>20/03/2035</t>
  </si>
  <si>
    <t>נופר אנרג אגח א</t>
  </si>
  <si>
    <t>IL0011793408</t>
  </si>
  <si>
    <t>עמרם אברהם חברה לבנין בע"מ</t>
  </si>
  <si>
    <t>513201582</t>
  </si>
  <si>
    <t>עמרם אברהם אגח א</t>
  </si>
  <si>
    <t>IL0011880445</t>
  </si>
  <si>
    <t>אמות אגח ד</t>
  </si>
  <si>
    <t>IL0011331498</t>
  </si>
  <si>
    <t>02/07/2028</t>
  </si>
  <si>
    <t>בתי זקוק לנפט בע"מ</t>
  </si>
  <si>
    <t>520036658</t>
  </si>
  <si>
    <t>בזן  אגח ט</t>
  </si>
  <si>
    <t>IL0025904611</t>
  </si>
  <si>
    <t>30/09/2025</t>
  </si>
  <si>
    <t>ביג אגח ז</t>
  </si>
  <si>
    <t>IL0011360844</t>
  </si>
  <si>
    <t>11/05/2025</t>
  </si>
  <si>
    <t>ג'י סיטי אגח יב</t>
  </si>
  <si>
    <t>IL0012606039</t>
  </si>
  <si>
    <t>ג'י סיטי אגח יד</t>
  </si>
  <si>
    <t>IL0012607367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</si>
  <si>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</si>
  <si>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</si>
  <si>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</si>
  <si>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</si>
  <si>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</si>
  <si>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</si>
  <si>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</si>
  <si>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</si>
  <si>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טמפו משקאות בע"מ</t>
  </si>
  <si>
    <t>513682625</t>
  </si>
  <si>
    <t>טמפו  אגח ב</t>
  </si>
  <si>
    <t>IL0011335119</t>
  </si>
  <si>
    <t>31/12/2024</t>
  </si>
  <si>
    <t>כללביט אגח ט</t>
  </si>
  <si>
    <t>IL0011360505</t>
  </si>
  <si>
    <t>31/07/2025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</si>
  <si>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</si>
  <si>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</si>
  <si>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</si>
  <si>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</si>
  <si>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</si>
  <si>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</si>
  <si>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מבני תעש אגח כג</t>
  </si>
  <si>
    <t>IL0022605450</t>
  </si>
  <si>
    <t>30/09/2026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</si>
  <si>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</si>
  <si>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</si>
  <si>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</si>
  <si>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</si>
  <si>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</si>
  <si>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</si>
  <si>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</si>
  <si>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</si>
  <si>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</si>
  <si>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</si>
  <si>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</si>
  <si>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</si>
  <si>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</si>
  <si>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</si>
  <si>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</si>
  <si>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</si>
  <si>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</si>
  <si>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</si>
  <si>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</si>
  <si>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</si>
  <si>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</si>
  <si>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</si>
  <si>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</si>
  <si>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</si>
  <si>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</si>
  <si>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</si>
  <si>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</si>
  <si>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</si>
  <si>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</si>
  <si>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</si>
  <si>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</si>
  <si>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</si>
  <si>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</si>
  <si>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</si>
  <si>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אגח 7</t>
  </si>
  <si>
    <t>IL0011297418</t>
  </si>
  <si>
    <t>שיכון ובינוי אגח 8</t>
  </si>
  <si>
    <t>IL0011358889</t>
  </si>
  <si>
    <t>01/05/2029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</si>
  <si>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</si>
  <si>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</si>
  <si>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</si>
  <si>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</si>
  <si>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</si>
  <si>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</si>
  <si>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אבגול תעשיות 1953 בע"מ</t>
  </si>
  <si>
    <t>510119068</t>
  </si>
  <si>
    <t>אבגול אגח ג</t>
  </si>
  <si>
    <t>IL0011332892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</si>
  <si>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</si>
  <si>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</si>
  <si>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</si>
  <si>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</si>
  <si>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</si>
  <si>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</si>
  <si>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</si>
  <si>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</si>
  <si>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</si>
  <si>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</si>
  <si>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</si>
  <si>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</si>
  <si>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</si>
  <si>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</si>
  <si>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30/11/2036</t>
  </si>
  <si>
    <t>אזורים סדרה 14</t>
  </si>
  <si>
    <t>IL0071504448</t>
  </si>
  <si>
    <t>31/12/2028</t>
  </si>
  <si>
    <t>אייסיאל   אגח ז</t>
  </si>
  <si>
    <t>IL0028103724</t>
  </si>
  <si>
    <t>31/12/2034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</si>
  <si>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</si>
  <si>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</si>
  <si>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</si>
  <si>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</si>
  <si>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</si>
  <si>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</si>
  <si>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</si>
  <si>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</si>
  <si>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</si>
  <si>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</si>
  <si>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</si>
  <si>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</si>
  <si>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</si>
  <si>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</si>
  <si>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</si>
  <si>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</si>
  <si>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</si>
  <si>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</si>
  <si>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</si>
  <si>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</si>
  <si>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</si>
  <si>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</si>
  <si>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</si>
  <si>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</si>
  <si>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</si>
  <si>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</si>
  <si>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</si>
  <si>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</si>
  <si>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</si>
  <si>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</si>
  <si>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</si>
  <si>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</si>
  <si>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</si>
  <si>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</si>
  <si>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</si>
  <si>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31/12/2032</t>
  </si>
  <si>
    <t>בזק אגח 13</t>
  </si>
  <si>
    <t>IL0023003093</t>
  </si>
  <si>
    <t>02/12/2035</t>
  </si>
  <si>
    <t>בזק אגח 14</t>
  </si>
  <si>
    <t>IL0023003176</t>
  </si>
  <si>
    <t>01/06/2035</t>
  </si>
  <si>
    <t>ביג אג"ח ט'</t>
  </si>
  <si>
    <t>IL0011410508</t>
  </si>
  <si>
    <t>20/12/2026</t>
  </si>
  <si>
    <t>ביג אגח יח</t>
  </si>
  <si>
    <t>IL0011742264</t>
  </si>
  <si>
    <t>30/03/2031</t>
  </si>
  <si>
    <t>בתי זיקוק אגח יג</t>
  </si>
  <si>
    <t>IL0011953465</t>
  </si>
  <si>
    <t>26/09/2032</t>
  </si>
  <si>
    <t>גב ים אגח ח</t>
  </si>
  <si>
    <t>IL0075901517</t>
  </si>
  <si>
    <t>גב ים אגח י</t>
  </si>
  <si>
    <t>IL0075902846</t>
  </si>
  <si>
    <t>01/07/2035</t>
  </si>
  <si>
    <t>גב ים סד' ו'</t>
  </si>
  <si>
    <t>IL0075901285</t>
  </si>
  <si>
    <t>דיסקונט מנפיקים הת ד</t>
  </si>
  <si>
    <t>IL0074800496</t>
  </si>
  <si>
    <t>30/10/2022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</si>
  <si>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</si>
  <si>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</si>
  <si>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</si>
  <si>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</si>
  <si>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</si>
  <si>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</si>
  <si>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</si>
  <si>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</si>
  <si>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</si>
  <si>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</si>
  <si>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</si>
  <si>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</si>
  <si>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</si>
  <si>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</si>
  <si>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</si>
  <si>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</si>
  <si>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</si>
  <si>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01/01/2025</t>
  </si>
  <si>
    <t>הראל הנפק אגח יח</t>
  </si>
  <si>
    <t>IL0011826661</t>
  </si>
  <si>
    <t>וילאר אינטרנשיונל בע"מ</t>
  </si>
  <si>
    <t>520038910</t>
  </si>
  <si>
    <t>וילאר אינטרנ' ח'</t>
  </si>
  <si>
    <t>IL0041601563</t>
  </si>
  <si>
    <t>27/06/2025</t>
  </si>
  <si>
    <t>חג'ג' אגח יב</t>
  </si>
  <si>
    <t>IL0082303772</t>
  </si>
  <si>
    <t>חג'ג' אגח יג 5.62%</t>
  </si>
  <si>
    <t>IL0011900409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</si>
  <si>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</si>
  <si>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</si>
  <si>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</si>
  <si>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</si>
  <si>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</si>
  <si>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אגח ט"ו</t>
  </si>
  <si>
    <t>IL0011617698</t>
  </si>
  <si>
    <t>ירושלים הנפ אגח יט</t>
  </si>
  <si>
    <t>IL0012014333</t>
  </si>
  <si>
    <t>31/01/2031</t>
  </si>
  <si>
    <t>ישראל קנדה אגח ז</t>
  </si>
  <si>
    <t>IL0043402127</t>
  </si>
  <si>
    <t>לוזון רונסון</t>
  </si>
  <si>
    <t>560040545</t>
  </si>
  <si>
    <t>לוזון רונסון אגח א 8.15% 25/09/2030</t>
  </si>
  <si>
    <t>IL0012023409</t>
  </si>
  <si>
    <t>25/09/2030</t>
  </si>
  <si>
    <t>מגדל הון  אגח ו</t>
  </si>
  <si>
    <t>IL0011427858</t>
  </si>
  <si>
    <t>מגדל הון אגח יב</t>
  </si>
  <si>
    <t>IL0011975732</t>
  </si>
  <si>
    <t>31/12/2031</t>
  </si>
  <si>
    <t>מגה אור אגח י</t>
  </si>
  <si>
    <t>IL0011783672</t>
  </si>
  <si>
    <t>מגה אור אגח יא</t>
  </si>
  <si>
    <t>IL0011783755</t>
  </si>
  <si>
    <t>מזרחי הנפקות 40</t>
  </si>
  <si>
    <t>IL0023101673</t>
  </si>
  <si>
    <t>מישורים השקעות נדלן בעמ</t>
  </si>
  <si>
    <t>511491839</t>
  </si>
  <si>
    <t>מישורים אגח ט</t>
  </si>
  <si>
    <t>IL0011787970</t>
  </si>
  <si>
    <t>מליסרון  אגח כא</t>
  </si>
  <si>
    <t>IL0011946386</t>
  </si>
  <si>
    <t>01/01/2037</t>
  </si>
  <si>
    <t>ממן-מסופי מטען וניטול בע"מ</t>
  </si>
  <si>
    <t>520036435</t>
  </si>
  <si>
    <t>ממן אגח ב</t>
  </si>
  <si>
    <t>IL0023800464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</si>
  <si>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</si>
  <si>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</si>
  <si>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</si>
  <si>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</si>
  <si>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</si>
  <si>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</si>
  <si>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מקורות חברת מים בע"מ</t>
  </si>
  <si>
    <t>520010869</t>
  </si>
  <si>
    <t>מקורות אגח 11</t>
  </si>
  <si>
    <t>IL0011584765</t>
  </si>
  <si>
    <t>31/12/2053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</si>
  <si>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</si>
  <si>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</si>
  <si>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</si>
  <si>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</si>
  <si>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</si>
  <si>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</si>
  <si>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</si>
  <si>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נכסים ובניין  אגח ט</t>
  </si>
  <si>
    <t>IL0069902125</t>
  </si>
  <si>
    <t>נכסים ובנין אגח י</t>
  </si>
  <si>
    <t>IL0011936304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</si>
  <si>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</si>
  <si>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</si>
  <si>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</si>
  <si>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</si>
  <si>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</si>
  <si>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</si>
  <si>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</si>
  <si>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</si>
  <si>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</si>
  <si>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ישראל בע"מ</t>
  </si>
  <si>
    <t>511930125</t>
  </si>
  <si>
    <t>סלקום אגח יב</t>
  </si>
  <si>
    <t>IL0011430803</t>
  </si>
  <si>
    <t>05/01/2028</t>
  </si>
  <si>
    <t>פניקס הון אגח יא</t>
  </si>
  <si>
    <t>IL0011593592</t>
  </si>
  <si>
    <t>פניקס הון אגח יב</t>
  </si>
  <si>
    <t>IL0011955858</t>
  </si>
  <si>
    <t>05/02/2032</t>
  </si>
  <si>
    <t>פתאל החז  אגח ב</t>
  </si>
  <si>
    <t>IL0011508129</t>
  </si>
  <si>
    <t>פתאל החזקות אגח ג</t>
  </si>
  <si>
    <t>IL0011617854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</si>
  <si>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</si>
  <si>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</si>
  <si>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</si>
  <si>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</si>
  <si>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</si>
  <si>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</si>
  <si>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</si>
  <si>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</si>
  <si>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</si>
  <si>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ריט בע"מ</t>
  </si>
  <si>
    <t>515983476</t>
  </si>
  <si>
    <t>קיסטון ריט אגח א</t>
  </si>
  <si>
    <t>IL0011821878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</si>
  <si>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</si>
  <si>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</si>
  <si>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</si>
  <si>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</si>
  <si>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</si>
  <si>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</si>
  <si>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30/11/2029</t>
  </si>
  <si>
    <t>רוטשטיין אגח ח</t>
  </si>
  <si>
    <t>IL0053901828</t>
  </si>
  <si>
    <t xml:space="preserve">רותם שני יזמות והשקעות בע"מ
</t>
  </si>
  <si>
    <t>512287517</t>
  </si>
  <si>
    <t>רותם שני אגח</t>
  </si>
  <si>
    <t>IL0011739963</t>
  </si>
  <si>
    <t>30/06/2025</t>
  </si>
  <si>
    <t>רותם שני אגח ב</t>
  </si>
  <si>
    <t>IL0011878977</t>
  </si>
  <si>
    <t>ריבוע נדלן אגח ט</t>
  </si>
  <si>
    <t>IL0011745564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</si>
  <si>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</si>
  <si>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</si>
  <si>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</si>
  <si>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</si>
  <si>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</si>
  <si>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</si>
  <si>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</si>
  <si>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>שיכון ובינוי אגח 10</t>
  </si>
  <si>
    <t>IL0011751323</t>
  </si>
  <si>
    <t>30/04/2030</t>
  </si>
  <si>
    <t>שיכון ובינוי אגח 6</t>
  </si>
  <si>
    <t>IL0011297335</t>
  </si>
  <si>
    <t>שכון ובי אגח 9</t>
  </si>
  <si>
    <t>IL0011673865</t>
  </si>
  <si>
    <t>Chamoss International Limited</t>
  </si>
  <si>
    <t>633896</t>
  </si>
  <si>
    <t>שמוס אגח א</t>
  </si>
  <si>
    <t>IL0011559510</t>
  </si>
  <si>
    <t>10/07/2028</t>
  </si>
  <si>
    <t>שפיר הנדסה ותעשיה בע"מ</t>
  </si>
  <si>
    <t>514892801</t>
  </si>
  <si>
    <t>שפיר הנדס אגח ג</t>
  </si>
  <si>
    <t>IL0011784175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</si>
  <si>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</si>
  <si>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</si>
  <si>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</si>
  <si>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</si>
  <si>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</si>
  <si>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</si>
  <si>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</si>
  <si>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</si>
  <si>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R/S</t>
  </si>
  <si>
    <t>31/07/2024</t>
  </si>
  <si>
    <t>סאפיינס אינטרנשיונל קורפוריישן N.V</t>
  </si>
  <si>
    <t>53368</t>
  </si>
  <si>
    <t>סאפיינס אגח ב</t>
  </si>
  <si>
    <t>IL0011419368</t>
  </si>
  <si>
    <t>01/01/2026</t>
  </si>
  <si>
    <t>נכסים ובנין ד</t>
  </si>
  <si>
    <t>IL0069901549</t>
  </si>
  <si>
    <t>חוזים עתידיים בחול</t>
  </si>
  <si>
    <t>10527</t>
  </si>
  <si>
    <t>ESZ4_S&amp;P500 EMINI FUT dec2024</t>
  </si>
  <si>
    <t>ESZ4 Index</t>
  </si>
  <si>
    <t>CME </t>
  </si>
  <si>
    <t>HWBZ4_Nasdq100 Micro fut dec24</t>
  </si>
  <si>
    <t>HWBZ4</t>
  </si>
  <si>
    <t>HWAZ4_sp500 Mic fut dec24</t>
  </si>
  <si>
    <t>HWAZ4 Index</t>
  </si>
  <si>
    <t>MESZ4_mini MSCI Emg Mkt  dec 24</t>
  </si>
  <si>
    <t>MESZ4</t>
  </si>
  <si>
    <t>אלומיי אופ 2</t>
  </si>
  <si>
    <t>IL0012030826</t>
  </si>
  <si>
    <t>IL0010826357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</si>
  <si>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</si>
  <si>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</si>
  <si>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</si>
  <si>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</si>
  <si>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</si>
  <si>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</si>
  <si>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</si>
  <si>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</si>
  <si>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</si>
  <si>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</si>
  <si>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</si>
  <si>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</si>
  <si>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</si>
  <si>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</si>
  <si>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</si>
  <si>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</si>
  <si>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</si>
  <si>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פיימנט טכנולוגיות</t>
  </si>
  <si>
    <t>515166544</t>
  </si>
  <si>
    <t>פיימנט אפ 1</t>
  </si>
  <si>
    <t>IL0011808842</t>
  </si>
  <si>
    <t>IL0011808768</t>
  </si>
  <si>
    <t>15/10/2024</t>
  </si>
  <si>
    <t>קונטיניואל בע"מ</t>
  </si>
  <si>
    <t>514949973</t>
  </si>
  <si>
    <t>קונטיניואל אופ</t>
  </si>
  <si>
    <t>IL0011822785</t>
  </si>
  <si>
    <t>IL0011822603</t>
  </si>
  <si>
    <t>12/12/2024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</si>
  <si>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</si>
  <si>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</si>
  <si>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</si>
  <si>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</si>
  <si>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</si>
  <si>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</si>
  <si>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</si>
  <si>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</si>
  <si>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</si>
  <si>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</si>
  <si>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</si>
  <si>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09/09/2024</t>
  </si>
  <si>
    <t>Coller Credit Opportunities I General Partner, L.P.</t>
  </si>
  <si>
    <t>89525</t>
  </si>
  <si>
    <t>Coller Credit Opportunities</t>
  </si>
  <si>
    <t>02/09/2021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</si>
  <si>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</si>
  <si>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</si>
  <si>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</si>
  <si>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</si>
  <si>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</si>
  <si>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נוקד</t>
  </si>
  <si>
    <t>515419356</t>
  </si>
  <si>
    <t>קרן נוקד אגח</t>
  </si>
  <si>
    <t>כתובת:  הארבעה 30 תל אביב</t>
  </si>
  <si>
    <t>26/07/2022</t>
  </si>
  <si>
    <t>19/09/2024</t>
  </si>
  <si>
    <t>קרן נוקד אופורטוניטי</t>
  </si>
  <si>
    <t>27512</t>
  </si>
  <si>
    <t>ALPHA OPPORTUNITIES LP</t>
  </si>
  <si>
    <t>27/07/2022</t>
  </si>
  <si>
    <t>17/09/2024</t>
  </si>
  <si>
    <t>אי.בי.אי IBI</t>
  </si>
  <si>
    <t>550270045</t>
  </si>
  <si>
    <t>איבו קרן מלונאות ש.מ - עמי גמל 30.08.2032</t>
  </si>
  <si>
    <t>05/02/2023</t>
  </si>
  <si>
    <t>17/07/2024</t>
  </si>
  <si>
    <t>פורמה</t>
  </si>
  <si>
    <t>530278654</t>
  </si>
  <si>
    <t>Forma Fund I</t>
  </si>
  <si>
    <t>Address: 20 Raul Valenberg , Tel Aviv, Israel</t>
  </si>
  <si>
    <t>03/04/2019</t>
  </si>
  <si>
    <t>15/08/2024</t>
  </si>
  <si>
    <t>פורטיסימו</t>
  </si>
  <si>
    <t>530278498</t>
  </si>
  <si>
    <t>FORTISSIMO 2</t>
  </si>
  <si>
    <t>כתובת: הארבעה 30 , תל אביב, ישראל</t>
  </si>
  <si>
    <t>25/08/2024</t>
  </si>
  <si>
    <t xml:space="preserve">Klirmark Opportunity Fund </t>
  </si>
  <si>
    <t>CO-101523</t>
  </si>
  <si>
    <t>Klirmark Fund IV- More</t>
  </si>
  <si>
    <t>24/04/2023</t>
  </si>
  <si>
    <t>22/09/2024</t>
  </si>
  <si>
    <t>Klirmark</t>
  </si>
  <si>
    <t>KLIRMARK OPPOTUNITY III</t>
  </si>
  <si>
    <t>כתובת: ז'בוטינסקי 2 , רמת גן , ישראל</t>
  </si>
  <si>
    <t>13/11/2019</t>
  </si>
  <si>
    <t>12/09/2024</t>
  </si>
  <si>
    <t>Liquidity Capital</t>
  </si>
  <si>
    <t>28352</t>
  </si>
  <si>
    <t>Liquidity Capital II</t>
  </si>
  <si>
    <t>כתובת: דרך ששת הימים 30 , בני ברק</t>
  </si>
  <si>
    <t>17/02/2021</t>
  </si>
  <si>
    <t>Qumra Opportunity Fund GP, L.P.</t>
  </si>
  <si>
    <t>873792462</t>
  </si>
  <si>
    <t>Qumra Opportunity Fund</t>
  </si>
  <si>
    <t>10/05/2021</t>
  </si>
  <si>
    <t>Vintage</t>
  </si>
  <si>
    <t>7836236</t>
  </si>
  <si>
    <t>Vintage Fund of Funds IV</t>
  </si>
  <si>
    <t>כתובת: אבא אבן 12 , הרצליה פיתוח , ישראל</t>
  </si>
  <si>
    <t>30/04/2019</t>
  </si>
  <si>
    <t>אלפא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</si>
  <si>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</si>
  <si>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</si>
  <si>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</si>
  <si>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</si>
  <si>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</si>
  <si>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</si>
  <si>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</si>
  <si>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</si>
  <si>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29/08/2024</t>
  </si>
  <si>
    <t>540290103</t>
  </si>
  <si>
    <t>יסודות נדלן ג'</t>
  </si>
  <si>
    <t>04/12/2019</t>
  </si>
  <si>
    <t>02/09/2024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</si>
  <si>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</si>
  <si>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</si>
  <si>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</si>
  <si>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</si>
  <si>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</si>
  <si>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</si>
  <si>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</si>
  <si>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28/08/2024</t>
  </si>
  <si>
    <t>קוגיטו קפיטל פאנד 2 שותף כללי בע"מ</t>
  </si>
  <si>
    <t>550270912</t>
  </si>
  <si>
    <t>קוגיטו קפיטל 2</t>
  </si>
  <si>
    <t>06/02/2022</t>
  </si>
  <si>
    <t>530278514</t>
  </si>
  <si>
    <t>קרן בלקסטון</t>
  </si>
  <si>
    <t>20/04/2020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</si>
  <si>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</si>
  <si>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</si>
  <si>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</si>
  <si>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</si>
  <si>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</si>
  <si>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</si>
  <si>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</si>
  <si>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</si>
  <si>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</si>
  <si>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</si>
  <si>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</si>
  <si>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</si>
  <si>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</si>
  <si>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</si>
  <si>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</si>
  <si>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</si>
  <si>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</si>
  <si>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</si>
  <si>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24/09/2024</t>
  </si>
  <si>
    <t>HarbourVest GP LLC</t>
  </si>
  <si>
    <t>Electra Capital PM II Feeder</t>
  </si>
  <si>
    <t>Address: 4890 West Kennedy blvd. Tampa, FL 33609 USA</t>
  </si>
  <si>
    <t>15/05/2023</t>
  </si>
  <si>
    <t>16/09/2024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</si>
  <si>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</si>
  <si>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</si>
  <si>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</si>
  <si>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</si>
  <si>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</si>
  <si>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</si>
  <si>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FRG-X GP,LP</t>
  </si>
  <si>
    <t>86-2034928</t>
  </si>
  <si>
    <t>Faro Point FIVF III (F-5)</t>
  </si>
  <si>
    <t>17/06/2024</t>
  </si>
  <si>
    <t>18/09/2024</t>
  </si>
  <si>
    <t>Insight Partners</t>
  </si>
  <si>
    <t>851058800</t>
  </si>
  <si>
    <t>INSIGHT PARTNERS XII</t>
  </si>
  <si>
    <t>Address: 1114 Avenue of the Americas , New York , NY</t>
  </si>
  <si>
    <t>12/07/2021</t>
  </si>
  <si>
    <t>invesco</t>
  </si>
  <si>
    <t>Invesco Direct Lending II</t>
  </si>
  <si>
    <t>08/04/2024</t>
  </si>
  <si>
    <t>05/09/2024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</si>
  <si>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</si>
  <si>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</si>
  <si>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</si>
  <si>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</si>
  <si>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</si>
  <si>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</si>
  <si>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PHOENIX CO INVEST</t>
  </si>
  <si>
    <t>13139</t>
  </si>
  <si>
    <t>The Phoenix Anchor Fund</t>
  </si>
  <si>
    <t>23/10/2023</t>
  </si>
  <si>
    <t>IBI</t>
  </si>
  <si>
    <t>IBI Consumer</t>
  </si>
  <si>
    <t>כתובת:  אחד העם 9 תל אביב</t>
  </si>
  <si>
    <t>29/08/2019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</si>
  <si>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</si>
  <si>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</si>
  <si>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</si>
  <si>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</si>
  <si>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</si>
  <si>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</si>
  <si>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</si>
  <si>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</si>
  <si>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12/08/2024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</si>
  <si>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</si>
  <si>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</si>
  <si>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</si>
  <si>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</si>
  <si>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</si>
  <si>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20/12/2015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</si>
  <si>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</si>
  <si>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</si>
  <si>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</si>
  <si>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</si>
  <si>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</si>
  <si>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</si>
  <si>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</si>
  <si>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</si>
  <si>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21/06/2016</t>
  </si>
  <si>
    <t>Oak Street Real Estate Capital Fund VI, LP</t>
  </si>
  <si>
    <t>9492</t>
  </si>
  <si>
    <t>Blue Owl RE Fund VI</t>
  </si>
  <si>
    <t>16/05/2023</t>
  </si>
  <si>
    <t>23/09/2024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</si>
  <si>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</si>
  <si>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</si>
  <si>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</si>
  <si>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</si>
  <si>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</si>
  <si>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20/06/2024</t>
  </si>
  <si>
    <t>SDL Management III Ltd</t>
  </si>
  <si>
    <t>28110</t>
  </si>
  <si>
    <t>Dover Street XI L.P</t>
  </si>
  <si>
    <t>22/06/2023</t>
  </si>
  <si>
    <t>Pantheon PGIF IV GP (LUX) S.à r.l</t>
  </si>
  <si>
    <t>ECP Fund V</t>
  </si>
  <si>
    <t>07/06/2023</t>
  </si>
  <si>
    <t>Electra America Hospitality AKA LLC</t>
  </si>
  <si>
    <t>89834</t>
  </si>
  <si>
    <t>Electra America Principal Hospitality</t>
  </si>
  <si>
    <t>15/03/2022</t>
  </si>
  <si>
    <t>Electra Capital Advisors LLC</t>
  </si>
  <si>
    <t>87-4404526</t>
  </si>
  <si>
    <t>electra capital Pm fund Lp</t>
  </si>
  <si>
    <t>07/06/2021</t>
  </si>
  <si>
    <t>Electra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</si>
  <si>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</si>
  <si>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</si>
  <si>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</si>
  <si>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</si>
  <si>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</si>
  <si>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</si>
  <si>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</si>
  <si>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</si>
  <si>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Hanaco II GP, L.P.</t>
  </si>
  <si>
    <t>89458</t>
  </si>
  <si>
    <t>hanaco II L.P</t>
  </si>
  <si>
    <t>22/07/2021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</si>
  <si>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</si>
  <si>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</si>
  <si>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</si>
  <si>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</si>
  <si>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</si>
  <si>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</si>
  <si>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</si>
  <si>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</si>
  <si>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</si>
  <si>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</si>
  <si>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</si>
  <si>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</si>
  <si>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</si>
  <si>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</si>
  <si>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</si>
  <si>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</si>
  <si>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</si>
  <si>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</si>
  <si>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</si>
  <si>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89415</t>
  </si>
  <si>
    <t>Pagaya Smartresi F1</t>
  </si>
  <si>
    <t>01/07/2021</t>
  </si>
  <si>
    <t>28/07/2024</t>
  </si>
  <si>
    <t>פנתאון</t>
  </si>
  <si>
    <t>B 201.101</t>
  </si>
  <si>
    <t>PANTHEON ACCESS</t>
  </si>
  <si>
    <t>Address: 10 Finsbury Square, London</t>
  </si>
  <si>
    <t>10/05/2018</t>
  </si>
  <si>
    <t>22/08/2024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</si>
  <si>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</si>
  <si>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</si>
  <si>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</si>
  <si>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</si>
  <si>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</si>
  <si>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</si>
  <si>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</si>
  <si>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24/06/2024</t>
  </si>
  <si>
    <t>Starlight Bond FP I GP LIMITED</t>
  </si>
  <si>
    <t>90109</t>
  </si>
  <si>
    <t>Starlight Bond FP I LP</t>
  </si>
  <si>
    <t>24/01/2023</t>
  </si>
  <si>
    <t>Target Global Growth II GP S.à r.l.</t>
  </si>
  <si>
    <t>89655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</si>
  <si>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</si>
  <si>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</si>
  <si>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</si>
  <si>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</si>
  <si>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</si>
  <si>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</si>
  <si>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Viola Credit GL II General</t>
  </si>
  <si>
    <t>89851</t>
  </si>
  <si>
    <t>Viola Credit GL II Limited Partnership</t>
  </si>
  <si>
    <t>24/10/2022</t>
  </si>
  <si>
    <t>וויו (veev) גרופ</t>
  </si>
  <si>
    <t>832652993</t>
  </si>
  <si>
    <t>C  וויו גרופ</t>
  </si>
  <si>
    <t>US9224741010</t>
  </si>
  <si>
    <t>08/03/2021</t>
  </si>
  <si>
    <t>28/11/2023</t>
  </si>
  <si>
    <t>VERTEX</t>
  </si>
  <si>
    <t>VERTEX VENTURES OB LIMITED PARTNERSHIP</t>
  </si>
  <si>
    <t>27970024</t>
  </si>
  <si>
    <t>20/07/2021</t>
  </si>
  <si>
    <t>25/09/2024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</si>
  <si>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</si>
  <si>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</si>
  <si>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</si>
  <si>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</si>
  <si>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</si>
  <si>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</si>
  <si>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</si>
  <si>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</si>
  <si>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</si>
  <si>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</si>
  <si>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</si>
  <si>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</si>
  <si>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</si>
  <si>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</si>
  <si>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</si>
  <si>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</si>
  <si>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Verbit Inc</t>
  </si>
  <si>
    <t>28460</t>
  </si>
  <si>
    <t>27970019</t>
  </si>
  <si>
    <t>13/05/2021</t>
  </si>
  <si>
    <t>10/04/2024</t>
  </si>
  <si>
    <t>גב-ים נגב בע"מ</t>
  </si>
  <si>
    <t>514189596</t>
  </si>
  <si>
    <t>גב-ים נגב אגח ב-רמ</t>
  </si>
  <si>
    <t>IL0012084534</t>
  </si>
  <si>
    <t>11/07/2024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</si>
  <si>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</si>
  <si>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</si>
  <si>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</si>
  <si>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</si>
  <si>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</si>
  <si>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</si>
  <si>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</si>
  <si>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</si>
  <si>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</si>
  <si>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</si>
  <si>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</si>
  <si>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</si>
  <si>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</si>
  <si>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</si>
  <si>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</si>
  <si>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</si>
  <si>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אי תלות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</si>
  <si>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</si>
  <si>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</si>
  <si>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</si>
  <si>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</si>
  <si>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</si>
  <si>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</si>
  <si>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</si>
  <si>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</si>
  <si>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</si>
  <si>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</si>
  <si>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</si>
  <si>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</si>
  <si>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</si>
  <si>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</si>
  <si>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</si>
  <si>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</si>
  <si>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</si>
  <si>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</si>
  <si>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</si>
  <si>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</si>
  <si>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</si>
  <si>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</si>
  <si>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</si>
  <si>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</si>
  <si>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</si>
  <si>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</si>
  <si>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</si>
  <si>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</si>
  <si>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לוויתן בונד בע"מ</t>
  </si>
  <si>
    <t>516223864</t>
  </si>
  <si>
    <t>LVIATH 6 1/2 30/06/2027</t>
  </si>
  <si>
    <t>IL0011677825</t>
  </si>
  <si>
    <t>18/10/2023</t>
  </si>
  <si>
    <t>BB-</t>
  </si>
  <si>
    <t>26/10/2021</t>
  </si>
  <si>
    <t>אנרג'יאן ישראל פיננס בע"מ</t>
  </si>
  <si>
    <t>516301843</t>
  </si>
  <si>
    <t>ENOIGA 5 3/8 03/30/28</t>
  </si>
  <si>
    <t>IL0011736738</t>
  </si>
  <si>
    <t>17/03/2021</t>
  </si>
  <si>
    <t>30/03/2028</t>
  </si>
  <si>
    <t>PROSPECT CAPITAL CORP</t>
  </si>
  <si>
    <t>549300FSD8T39P5Q0O47</t>
  </si>
  <si>
    <t>PROSPECT CAPITAL</t>
  </si>
  <si>
    <t>US74348T5083</t>
  </si>
  <si>
    <t>27/04/2021</t>
  </si>
  <si>
    <t>11/03/2026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</si>
  <si>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</si>
  <si>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</si>
  <si>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</si>
  <si>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</si>
  <si>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</si>
  <si>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</si>
  <si>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</si>
  <si>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</si>
  <si>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22/01/2025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</si>
  <si>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</si>
  <si>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</si>
  <si>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</si>
  <si>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</si>
  <si>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</si>
  <si>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</si>
  <si>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חפציבה חופים בע"מ</t>
  </si>
  <si>
    <t>513718734</t>
  </si>
  <si>
    <t>חפציבה חופים אג"ח א' חש 2/09</t>
  </si>
  <si>
    <t>1113562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</si>
  <si>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</si>
  <si>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</si>
  <si>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</si>
  <si>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</si>
  <si>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</si>
  <si>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</si>
  <si>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</si>
  <si>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</si>
  <si>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</si>
  <si>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</si>
  <si>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</si>
  <si>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</si>
  <si>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</si>
  <si>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</si>
  <si>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</si>
  <si>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</si>
  <si>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</si>
  <si>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</si>
  <si>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</si>
  <si>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</si>
  <si>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</si>
  <si>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</si>
  <si>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07/08/2024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</si>
  <si>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</si>
  <si>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</si>
  <si>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</si>
  <si>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</si>
  <si>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</si>
  <si>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</si>
  <si>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אלביט מערכות נעמ1-ל</t>
  </si>
  <si>
    <t>IL0011991572</t>
  </si>
  <si>
    <t>31/08/2023</t>
  </si>
  <si>
    <t>04/08/2028</t>
  </si>
  <si>
    <t>Alto III</t>
  </si>
  <si>
    <t>Blue Atlantic PTNR</t>
  </si>
  <si>
    <t>Brack Capital</t>
  </si>
  <si>
    <t>86-3690594</t>
  </si>
  <si>
    <t>-</t>
  </si>
  <si>
    <t>Fimi Israel Opportunity 6</t>
  </si>
  <si>
    <t>Hamilton Co-invest IV</t>
  </si>
  <si>
    <t>HarbourVest Dover  X</t>
  </si>
  <si>
    <t>801-53287</t>
  </si>
  <si>
    <t>Pantheon Access Feeder 2017</t>
  </si>
  <si>
    <t>B 283012</t>
  </si>
  <si>
    <t>RN157039</t>
  </si>
  <si>
    <t>B241115</t>
  </si>
  <si>
    <t>Vintage IV</t>
  </si>
  <si>
    <t>Vintage Secondary IV</t>
  </si>
  <si>
    <t>אלקטרה II</t>
  </si>
  <si>
    <t>נוי 2</t>
  </si>
  <si>
    <t>פורטיסימו 2</t>
  </si>
  <si>
    <t>פורטיסימו V</t>
  </si>
  <si>
    <t>SO307155</t>
  </si>
  <si>
    <t>ICG Europe VII</t>
  </si>
  <si>
    <t>ICG North American Private Debt II</t>
  </si>
  <si>
    <t>Klirmark Fund III</t>
  </si>
  <si>
    <t>CO – 121764</t>
  </si>
  <si>
    <t>Liquidity Capital  II</t>
  </si>
  <si>
    <t>יסודות נדלן ב</t>
  </si>
  <si>
    <t>יסודות נדלן ג</t>
  </si>
  <si>
    <t>EQT Infrastructure V (יורו)</t>
  </si>
  <si>
    <t>Faro Point</t>
  </si>
  <si>
    <t>Insight Partners XII</t>
  </si>
  <si>
    <t>ניתן לצאת מהקרן בכל עת</t>
  </si>
  <si>
    <t>פורטיסימו VI</t>
  </si>
  <si>
    <t>Electra Capital PM II  Feeder 3</t>
  </si>
  <si>
    <t>Invesco</t>
  </si>
  <si>
    <t>More Alternative Credit  CLO</t>
  </si>
  <si>
    <t>נוקד אגח</t>
  </si>
  <si>
    <t>נוקד אופורטוניטי</t>
  </si>
  <si>
    <t>נוקד אקוויטי</t>
  </si>
  <si>
    <t>מירב מגן</t>
  </si>
  <si>
    <t>merav@ami2.co.il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</si>
</sst>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3" xfId="4" applyNumberFormat="1" applyFont="1" applyFill="1" applyBorder="1" applyAlignment="1">
      <alignment horizontal="center" vertical="center" wrapText="1"/>
    </xf>
    <xf numFmtId="167" fontId="26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7" fontId="2" fillId="0" borderId="0" xfId="4" applyNumberFormat="1" applyFont="1" applyFill="1" applyBorder="1"/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8" fillId="0" borderId="0" xfId="0" applyFont="1" applyAlignment="1">
      <alignment horizontal="right"/>
    </xf>
    <xf numFmtId="0" fontId="0" fillId="0" borderId="0" xfId="0"/>
    <xf numFmtId="14" fontId="2" fillId="0" borderId="0" xfId="0" applyNumberFormat="1" applyFont="1" applyProtection="1">
      <protection locked="0"/>
    </xf>
    <xf numFmtId="43" fontId="2" fillId="0" borderId="0" xfId="1" applyNumberFormat="1" applyFont="1"/>
    <xf numFmtId="43" fontId="2" fillId="0" borderId="0" xfId="1" applyFont="1"/>
    <xf numFmtId="43" fontId="9" fillId="0" borderId="0" xfId="1" applyFill="1"/>
    <xf numFmtId="10" fontId="2" fillId="0" borderId="0" xfId="4" applyNumberFormat="1" applyFont="1" applyProtection="1">
      <protection locked="0"/>
    </xf>
    <xf numFmtId="14" fontId="2" fillId="0" borderId="0" xfId="0" applyNumberFormat="1" applyFont="1"/>
    <xf numFmtId="0" fontId="29" fillId="0" borderId="21" xfId="0" applyFont="1" applyBorder="1" applyAlignment="1">
      <alignment vertical="center" wrapText="1"/>
    </xf>
    <xf numFmtId="43" fontId="9" fillId="0" borderId="0" xfId="1" applyNumberFormat="1"/>
    <xf numFmtId="43" fontId="9" fillId="0" borderId="0" xfId="1"/>
    <xf numFmtId="10" fontId="9" fillId="0" borderId="0" xfId="4" applyNumberFormat="1"/>
    <xf numFmtId="0" fontId="3" fillId="0" borderId="0" xfId="0" applyFont="1" applyProtection="1">
      <protection locked="0"/>
    </xf>
    <xf numFmtId="0" fontId="2" fillId="0" borderId="0" xfId="0" applyFont="1" applyFill="1"/>
    <xf numFmtId="0" fontId="2" fillId="0" borderId="0" xfId="0" applyFont="1" applyFill="1" applyProtection="1">
      <protection locked="0"/>
    </xf>
    <xf numFmtId="0" fontId="28" fillId="0" borderId="0" xfId="0" applyFont="1" applyFill="1" applyAlignment="1">
      <alignment horizontal="right"/>
    </xf>
    <xf numFmtId="0" fontId="0" fillId="0" borderId="0" xfId="0" applyFill="1"/>
    <xf numFmtId="14" fontId="2" fillId="0" borderId="0" xfId="0" applyNumberFormat="1" applyFont="1" applyFill="1" applyProtection="1">
      <protection locked="0"/>
    </xf>
    <xf numFmtId="43" fontId="2" fillId="0" borderId="0" xfId="1" applyNumberFormat="1" applyFont="1" applyFill="1"/>
    <xf numFmtId="43" fontId="2" fillId="0" borderId="0" xfId="1" applyFont="1" applyFill="1"/>
    <xf numFmtId="10" fontId="2" fillId="0" borderId="0" xfId="4" applyNumberFormat="1" applyFont="1" applyFill="1" applyProtection="1">
      <protection locked="0"/>
    </xf>
    <xf numFmtId="14" fontId="2" fillId="0" borderId="0" xfId="0" applyNumberFormat="1" applyFont="1" applyFill="1"/>
    <xf numFmtId="43" fontId="2" fillId="0" borderId="0" xfId="0" applyNumberFormat="1" applyFon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G_54_520042581_gm_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28" sqref="D28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228</v>
      </c>
      <c r="B1" s="36"/>
      <c r="C1" s="36"/>
      <c r="D1" s="36"/>
    </row>
    <row r="3" spans="1:8">
      <c r="A3" t="s">
        <v>229</v>
      </c>
      <c r="D3" s="104" t="s">
        <v>230</v>
      </c>
    </row>
    <row r="5" spans="1:8">
      <c r="A5" t="s">
        <v>231</v>
      </c>
      <c r="D5" s="104" t="s">
        <v>1245</v>
      </c>
    </row>
    <row r="7" spans="1:8">
      <c r="A7" t="s">
        <v>232</v>
      </c>
      <c r="D7" s="104" t="s">
        <v>1250</v>
      </c>
    </row>
    <row r="8" spans="1:8">
      <c r="D8" s="34"/>
      <c r="E8" s="34"/>
      <c r="F8" s="34"/>
      <c r="G8" s="34"/>
      <c r="H8" s="34"/>
    </row>
    <row r="9" spans="1:8">
      <c r="A9" t="s">
        <v>233</v>
      </c>
      <c r="D9" s="104">
        <v>2024</v>
      </c>
    </row>
    <row r="11" spans="1:8">
      <c r="A11" t="s">
        <v>234</v>
      </c>
      <c r="D11" s="104" t="s">
        <v>1318</v>
      </c>
    </row>
    <row r="13" spans="1:8">
      <c r="A13" t="s">
        <v>235</v>
      </c>
      <c r="D13" s="105">
        <f>IFERROR(VLOOKUP(D11,'File Name Info'!A35:B121,2,0),"תא מחושב")</f>
        <v>520042581</v>
      </c>
    </row>
    <row r="15" spans="1:8" ht="15">
      <c r="A15" s="20" t="s">
        <v>236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237</v>
      </c>
      <c r="B17" s="18" t="s">
        <v>238</v>
      </c>
      <c r="C17" s="18"/>
      <c r="D17" s="106" t="s">
        <v>3279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239</v>
      </c>
      <c r="C19" s="18"/>
      <c r="D19" s="106">
        <v>526794652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240</v>
      </c>
      <c r="C21" s="18"/>
      <c r="D21" s="107" t="s">
        <v>3280</v>
      </c>
    </row>
    <row r="22" spans="1:8">
      <c r="A22" s="16"/>
      <c r="B22" s="17"/>
      <c r="C22" s="17"/>
    </row>
    <row r="23" spans="1:8" ht="15">
      <c r="A23" s="20" t="s">
        <v>241</v>
      </c>
      <c r="D23" t="s">
        <v>242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2" sqref="A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1218</v>
      </c>
      <c r="D1" s="141"/>
      <c r="E1" s="142"/>
    </row>
    <row r="2" spans="1:5" ht="39.75" customHeight="1">
      <c r="A2" s="47"/>
      <c r="B2" s="137" t="s">
        <v>36</v>
      </c>
      <c r="C2" s="48" t="s">
        <v>944</v>
      </c>
      <c r="D2" s="137" t="s">
        <v>22</v>
      </c>
      <c r="E2" s="142" t="s">
        <v>1219</v>
      </c>
    </row>
    <row r="3" spans="1:5">
      <c r="A3" s="50" t="s">
        <v>997</v>
      </c>
      <c r="B3" s="138">
        <f>SUM('מזומנים ושווי מזומנים'!O:O)</f>
        <v>100136.27800000002</v>
      </c>
      <c r="C3" s="51"/>
      <c r="D3" s="138">
        <f>B3+C3</f>
        <v>100136.27800000002</v>
      </c>
      <c r="E3" s="143">
        <f>SUM('מזומנים ושווי מזומנים'!O:O)/B30</f>
        <v>4.8998685651192642E-2</v>
      </c>
    </row>
    <row r="4" spans="1:5">
      <c r="A4" s="50" t="s">
        <v>1007</v>
      </c>
      <c r="B4" s="138">
        <f>SUM('איגרות חוב ממשלתיות'!U:U)</f>
        <v>430734.11900000012</v>
      </c>
      <c r="C4" s="51"/>
      <c r="D4" s="138">
        <f t="shared" ref="D4:D29" si="0">B4+C4</f>
        <v>430734.11900000012</v>
      </c>
      <c r="E4" s="143">
        <f>SUM('איגרות חוב ממשלתיות'!U:U)/B30</f>
        <v>0.21076682814318706</v>
      </c>
    </row>
    <row r="5" spans="1:5">
      <c r="A5" s="50" t="s">
        <v>1011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1012</v>
      </c>
      <c r="B6" s="138">
        <f>SUM('איגרות חוב'!AD:AD)</f>
        <v>304899.06800000009</v>
      </c>
      <c r="C6" s="51"/>
      <c r="D6" s="138">
        <f t="shared" si="0"/>
        <v>304899.06800000009</v>
      </c>
      <c r="E6" s="143">
        <f>SUM('איגרות חוב'!AD:AD)/B30</f>
        <v>0.14919321834863494</v>
      </c>
    </row>
    <row r="7" spans="1:5">
      <c r="A7" s="50" t="s">
        <v>1019</v>
      </c>
      <c r="B7" s="138">
        <f>SUM('מניות מבכ ויהש'!U:U)</f>
        <v>247360.74799999988</v>
      </c>
      <c r="C7" s="51"/>
      <c r="D7" s="138">
        <f t="shared" si="0"/>
        <v>247360.74799999988</v>
      </c>
      <c r="E7" s="143">
        <f>SUM('מניות מבכ ויהש'!U:U)/B30</f>
        <v>0.12103856639944087</v>
      </c>
    </row>
    <row r="8" spans="1:5">
      <c r="A8" s="50" t="s">
        <v>520</v>
      </c>
      <c r="B8" s="138">
        <f>SUM('קרנות סל'!T:T)</f>
        <v>589615.67599999986</v>
      </c>
      <c r="C8" s="51"/>
      <c r="D8" s="138">
        <f t="shared" si="0"/>
        <v>589615.67599999986</v>
      </c>
      <c r="E8" s="143">
        <f>SUM('קרנות סל'!T:T)/B30</f>
        <v>0.28851075494676798</v>
      </c>
    </row>
    <row r="9" spans="1:5">
      <c r="A9" s="50" t="s">
        <v>1032</v>
      </c>
      <c r="B9" s="138">
        <f>SUM('קרנות נאמנות'!T:T)</f>
        <v>32569.802000000003</v>
      </c>
      <c r="C9" s="51"/>
      <c r="D9" s="138">
        <f t="shared" si="0"/>
        <v>32569.802000000003</v>
      </c>
      <c r="E9" s="143">
        <f>SUM('קרנות נאמנות'!T:T)/B30</f>
        <v>1.5937056197750682E-2</v>
      </c>
    </row>
    <row r="10" spans="1:5">
      <c r="A10" s="50" t="s">
        <v>1163</v>
      </c>
      <c r="B10" s="138">
        <f>SUM('כתבי אופציה'!W:W)</f>
        <v>57.681000000000012</v>
      </c>
      <c r="C10" s="51"/>
      <c r="D10" s="138">
        <f t="shared" si="0"/>
        <v>57.681000000000012</v>
      </c>
      <c r="E10" s="143">
        <f>SUM('כתבי אופציה'!W:W)/B30</f>
        <v>2.8224468129786515E-5</v>
      </c>
    </row>
    <row r="11" spans="1:5">
      <c r="A11" s="50" t="s">
        <v>1035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1168</v>
      </c>
      <c r="B12" s="138">
        <f>SUM('חוזים עתידיים'!R:R)</f>
        <v>2380.4549999999999</v>
      </c>
      <c r="C12" s="51"/>
      <c r="D12" s="138">
        <f t="shared" si="0"/>
        <v>2380.4549999999999</v>
      </c>
      <c r="E12" s="143">
        <f>SUM('חוזים עתידיים'!R:R)/B30</f>
        <v>1.1648042905270529E-3</v>
      </c>
    </row>
    <row r="13" spans="1:5">
      <c r="A13" s="50" t="s">
        <v>1040</v>
      </c>
      <c r="B13" s="138">
        <f>SUM('מוצרים מובנים'!Z:Z)</f>
        <v>7159.8609999999999</v>
      </c>
      <c r="C13" s="51"/>
      <c r="D13" s="138">
        <f t="shared" si="0"/>
        <v>7159.8609999999999</v>
      </c>
      <c r="E13" s="143">
        <f>SUM('מוצרים מובנים'!Z:Z)/B30</f>
        <v>3.5034633346890894E-3</v>
      </c>
    </row>
    <row r="14" spans="1:5">
      <c r="A14" s="50" t="s">
        <v>1047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1048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1054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1058</v>
      </c>
      <c r="B17" s="138">
        <f>SUM('לא סחיר ניירות ערך מסחריים'!AI:AI)</f>
        <v>1033.7339999999999</v>
      </c>
      <c r="C17" s="51"/>
      <c r="D17" s="138">
        <f t="shared" si="0"/>
        <v>1033.7339999999999</v>
      </c>
      <c r="E17" s="143">
        <f>SUM('לא סחיר ניירות ערך מסחריים'!AI:AI)/B30</f>
        <v>5.0582674256127193E-4</v>
      </c>
    </row>
    <row r="18" spans="1:5">
      <c r="A18" s="50" t="s">
        <v>1060</v>
      </c>
      <c r="B18" s="138">
        <f>SUM('לא סחיר איגרות חוב'!AG:AG)</f>
        <v>23305.183000000001</v>
      </c>
      <c r="C18" s="51"/>
      <c r="D18" s="138">
        <f t="shared" si="0"/>
        <v>23305.183000000001</v>
      </c>
      <c r="E18" s="143">
        <f>SUM('לא סחיר איגרות חוב'!AG:AG)/B30</f>
        <v>1.1403692634356935E-2</v>
      </c>
    </row>
    <row r="19" spans="1:5">
      <c r="A19" s="50" t="s">
        <v>1063</v>
      </c>
      <c r="B19" s="138">
        <f>SUM('לא סחיר מניות מבכ ויהש'!X:X)</f>
        <v>1527.6029999999998</v>
      </c>
      <c r="C19" s="51"/>
      <c r="D19" s="138">
        <f t="shared" si="0"/>
        <v>1527.6029999999998</v>
      </c>
      <c r="E19" s="143">
        <f>SUM('לא סחיר מניות מבכ ויהש'!X:X)/B30</f>
        <v>7.4748673199955375E-4</v>
      </c>
    </row>
    <row r="20" spans="1:5">
      <c r="A20" s="50" t="s">
        <v>824</v>
      </c>
      <c r="B20" s="138">
        <f>SUM('קרנות השקעה'!W:W)</f>
        <v>269565.408</v>
      </c>
      <c r="C20" s="51"/>
      <c r="D20" s="138">
        <f t="shared" si="0"/>
        <v>269565.408</v>
      </c>
      <c r="E20" s="143">
        <f>SUM('קרנות השקעה'!W:W)/B30</f>
        <v>0.13190375109635577</v>
      </c>
    </row>
    <row r="21" spans="1:5">
      <c r="A21" s="50" t="s">
        <v>1179</v>
      </c>
      <c r="B21" s="138">
        <f>SUM('לא סחיר כתבי אופציה'!Z:Z)</f>
        <v>1.5169999999999999</v>
      </c>
      <c r="C21" s="51"/>
      <c r="D21" s="138">
        <f t="shared" si="0"/>
        <v>1.5169999999999999</v>
      </c>
      <c r="E21" s="143">
        <f>SUM('לא סחיר כתבי אופציה'!Z:Z)/B30</f>
        <v>7.4229847181716914E-7</v>
      </c>
    </row>
    <row r="22" spans="1:5">
      <c r="A22" s="50" t="s">
        <v>1078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1087</v>
      </c>
      <c r="B23" s="138">
        <f>SUM('לא סחיר נגזרים אחרים'!R:R)</f>
        <v>4316.1450000000004</v>
      </c>
      <c r="C23" s="51"/>
      <c r="D23" s="138">
        <f t="shared" si="0"/>
        <v>4316.1450000000004</v>
      </c>
      <c r="E23" s="143">
        <f>SUM('לא סחיר נגזרים אחרים'!R:R)/B30</f>
        <v>2.1119761619257191E-3</v>
      </c>
    </row>
    <row r="24" spans="1:5">
      <c r="A24" s="50" t="s">
        <v>1080</v>
      </c>
      <c r="B24" s="138">
        <f>SUM(הלוואות!AT:AT)</f>
        <v>28682.253999999997</v>
      </c>
      <c r="C24" s="51"/>
      <c r="D24" s="138">
        <f t="shared" si="0"/>
        <v>28682.253999999997</v>
      </c>
      <c r="E24" s="143">
        <f>SUM(הלוואות!AT:AT)/B30</f>
        <v>1.4034801128854243E-2</v>
      </c>
    </row>
    <row r="25" spans="1:5">
      <c r="A25" s="50" t="s">
        <v>1099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1104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1107</v>
      </c>
      <c r="B27" s="138">
        <f>SUM('זכויות מקרקעין'!S:S)</f>
        <v>777.93399999999997</v>
      </c>
      <c r="C27" s="51"/>
      <c r="D27" s="138">
        <f t="shared" si="0"/>
        <v>777.93399999999997</v>
      </c>
      <c r="E27" s="143">
        <f>SUM('זכויות מקרקעין'!S:S)/B30</f>
        <v>3.806586811961883E-4</v>
      </c>
    </row>
    <row r="28" spans="1:5">
      <c r="A28" s="50" t="s">
        <v>1141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1109</v>
      </c>
      <c r="B29" s="138">
        <f>SUM('נכסים אחרים'!N:N)</f>
        <v>-471.13799999999992</v>
      </c>
      <c r="C29" s="51"/>
      <c r="D29" s="138">
        <f t="shared" si="0"/>
        <v>-471.13799999999992</v>
      </c>
      <c r="E29" s="143">
        <f>SUM('נכסים אחרים'!N:N)/B30</f>
        <v>-2.3053725604152761E-4</v>
      </c>
    </row>
    <row r="30" spans="1:5">
      <c r="A30" s="49" t="s">
        <v>1220</v>
      </c>
      <c r="B30" s="139">
        <f>IF(SUM(B3:B29)=0,0.0001,SUM(B3:B29))</f>
        <v>2043652.3279999997</v>
      </c>
      <c r="C30" s="52">
        <f t="shared" ref="C30:E30" si="1">SUM(C3:C29)</f>
        <v>0</v>
      </c>
      <c r="D30" s="139">
        <f t="shared" si="1"/>
        <v>2043652.3279999997</v>
      </c>
      <c r="E30" s="144">
        <f t="shared" si="1"/>
        <v>0.99999999999999989</v>
      </c>
    </row>
    <row r="31" spans="1:5">
      <c r="A31" s="50" t="s">
        <v>1217</v>
      </c>
      <c r="B31" s="138"/>
      <c r="C31" s="51"/>
      <c r="D31" s="138"/>
      <c r="E31" s="143"/>
    </row>
    <row r="32" spans="1:5">
      <c r="A32" s="50" t="s">
        <v>1221</v>
      </c>
      <c r="B32" s="138">
        <f>SUM('יתרות התחייבות להשקעה'!O:O)</f>
        <v>71343.686380964005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75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210</v>
      </c>
      <c r="D1" s="22" t="s">
        <v>211</v>
      </c>
      <c r="E1" s="22" t="s">
        <v>212</v>
      </c>
      <c r="F1" s="22" t="s">
        <v>5</v>
      </c>
      <c r="G1" s="22" t="s">
        <v>6</v>
      </c>
      <c r="H1" s="22" t="s">
        <v>159</v>
      </c>
      <c r="I1" s="22" t="s">
        <v>214</v>
      </c>
      <c r="J1" s="22" t="s">
        <v>10</v>
      </c>
      <c r="K1" s="22" t="s">
        <v>11</v>
      </c>
      <c r="L1" s="22" t="s">
        <v>169</v>
      </c>
      <c r="M1" s="165" t="s">
        <v>18</v>
      </c>
      <c r="N1" s="167" t="s">
        <v>14</v>
      </c>
      <c r="O1" s="22" t="s">
        <v>20</v>
      </c>
      <c r="P1" s="171" t="s">
        <v>24</v>
      </c>
      <c r="Q1" s="171" t="s">
        <v>25</v>
      </c>
    </row>
    <row r="2" spans="1:17">
      <c r="A2" s="2">
        <v>14076</v>
      </c>
      <c r="B2" s="2">
        <v>14077</v>
      </c>
      <c r="C2" s="2" t="s">
        <v>1222</v>
      </c>
      <c r="D2" s="2" t="s">
        <v>1223</v>
      </c>
      <c r="E2" s="4" t="s">
        <v>366</v>
      </c>
      <c r="F2" s="2" t="s">
        <v>1000</v>
      </c>
      <c r="G2" s="2" t="s">
        <v>30</v>
      </c>
      <c r="H2" s="2" t="s">
        <v>173</v>
      </c>
      <c r="I2" s="2" t="s">
        <v>1224</v>
      </c>
      <c r="J2" s="2" t="s">
        <v>462</v>
      </c>
      <c r="K2" s="2" t="s">
        <v>95</v>
      </c>
      <c r="L2" s="155">
        <v>3.1280000000000001</v>
      </c>
      <c r="M2" s="166">
        <v>3.71</v>
      </c>
      <c r="N2" s="168">
        <v>0</v>
      </c>
      <c r="O2" s="156">
        <v>11.603</v>
      </c>
      <c r="P2" s="172">
        <v>1.6275545484327601E-2</v>
      </c>
      <c r="Q2" s="172">
        <v>9.8858433635847106E-4</v>
      </c>
    </row>
    <row r="3" spans="1:17">
      <c r="A3" s="2">
        <v>14076</v>
      </c>
      <c r="B3" s="2">
        <v>14077</v>
      </c>
      <c r="C3" s="2" t="s">
        <v>1222</v>
      </c>
      <c r="D3" s="2" t="s">
        <v>1223</v>
      </c>
      <c r="E3" s="21" t="s">
        <v>366</v>
      </c>
      <c r="F3" s="2" t="s">
        <v>1000</v>
      </c>
      <c r="G3" s="2" t="s">
        <v>30</v>
      </c>
      <c r="H3" s="2" t="s">
        <v>173</v>
      </c>
      <c r="I3" s="2" t="s">
        <v>1224</v>
      </c>
      <c r="J3" s="2" t="s">
        <v>462</v>
      </c>
      <c r="K3" s="2" t="s">
        <v>1225</v>
      </c>
      <c r="L3" s="156">
        <v>1.6619999999999999</v>
      </c>
      <c r="M3" s="166">
        <v>4.1524000000000001</v>
      </c>
      <c r="N3" s="169">
        <v>0</v>
      </c>
      <c r="O3" s="156">
        <v>6.9009999999999998</v>
      </c>
      <c r="P3" s="172">
        <v>9.6799193969727606E-3</v>
      </c>
      <c r="Q3" s="172">
        <v>5.8796288593058804E-4</v>
      </c>
    </row>
    <row r="4" spans="1:17">
      <c r="A4" s="2">
        <v>14076</v>
      </c>
      <c r="B4" s="2">
        <v>14077</v>
      </c>
      <c r="C4" s="2" t="s">
        <v>1222</v>
      </c>
      <c r="D4" s="2" t="s">
        <v>1223</v>
      </c>
      <c r="E4" s="21" t="s">
        <v>366</v>
      </c>
      <c r="F4" s="2" t="s">
        <v>998</v>
      </c>
      <c r="G4" s="2" t="s">
        <v>30</v>
      </c>
      <c r="H4" s="2" t="s">
        <v>173</v>
      </c>
      <c r="I4" s="2" t="s">
        <v>1224</v>
      </c>
      <c r="J4" s="2" t="s">
        <v>462</v>
      </c>
      <c r="K4" s="2" t="s">
        <v>34</v>
      </c>
      <c r="L4" s="156">
        <v>694.423</v>
      </c>
      <c r="M4" s="166">
        <v>1</v>
      </c>
      <c r="N4" s="169">
        <v>3.7999999999999999E-2</v>
      </c>
      <c r="O4" s="156">
        <v>694.423</v>
      </c>
      <c r="P4" s="172">
        <v>0.97404438082532097</v>
      </c>
      <c r="Q4" s="172">
        <v>5.9163916731954501E-2</v>
      </c>
    </row>
    <row r="5" spans="1:17">
      <c r="A5" s="2">
        <v>14076</v>
      </c>
      <c r="B5" s="2">
        <v>14077</v>
      </c>
      <c r="C5" s="2" t="s">
        <v>1222</v>
      </c>
      <c r="D5" s="2" t="s">
        <v>1223</v>
      </c>
      <c r="E5" s="21" t="s">
        <v>366</v>
      </c>
      <c r="F5" s="2" t="s">
        <v>998</v>
      </c>
      <c r="G5" s="2" t="s">
        <v>30</v>
      </c>
      <c r="H5" s="2" t="s">
        <v>173</v>
      </c>
      <c r="I5" s="2" t="s">
        <v>1224</v>
      </c>
      <c r="J5" s="2" t="s">
        <v>462</v>
      </c>
      <c r="K5" s="2" t="s">
        <v>34</v>
      </c>
      <c r="L5" s="156">
        <v>0</v>
      </c>
      <c r="M5" s="166">
        <v>1</v>
      </c>
      <c r="N5" s="169">
        <v>3.7999999999999999E-2</v>
      </c>
      <c r="O5" s="156">
        <v>0</v>
      </c>
      <c r="P5" s="172">
        <v>1.5429337894949999E-7</v>
      </c>
      <c r="Q5" s="172">
        <v>9.3718528684754112E-9</v>
      </c>
    </row>
    <row r="6" spans="1:17">
      <c r="A6" s="2">
        <v>14076</v>
      </c>
      <c r="B6" s="2">
        <v>14078</v>
      </c>
      <c r="C6" s="2" t="s">
        <v>1222</v>
      </c>
      <c r="D6" s="2" t="s">
        <v>1223</v>
      </c>
      <c r="E6" s="21" t="s">
        <v>366</v>
      </c>
      <c r="F6" s="2" t="s">
        <v>1000</v>
      </c>
      <c r="G6" s="2" t="s">
        <v>30</v>
      </c>
      <c r="H6" s="2" t="s">
        <v>173</v>
      </c>
      <c r="I6" s="2" t="s">
        <v>1224</v>
      </c>
      <c r="J6" s="2" t="s">
        <v>462</v>
      </c>
      <c r="K6" s="2" t="s">
        <v>95</v>
      </c>
      <c r="L6" s="156">
        <v>0.76400000000000001</v>
      </c>
      <c r="M6" s="166">
        <v>3.71</v>
      </c>
      <c r="N6" s="169">
        <v>0</v>
      </c>
      <c r="O6" s="156">
        <v>2.8359999999999999</v>
      </c>
      <c r="P6" s="172">
        <v>3.4252226445929602E-2</v>
      </c>
      <c r="Q6" s="172">
        <v>2.31989909957054E-3</v>
      </c>
    </row>
    <row r="7" spans="1:17">
      <c r="A7" s="2">
        <v>14076</v>
      </c>
      <c r="B7" s="2">
        <v>14078</v>
      </c>
      <c r="C7" s="2" t="s">
        <v>1222</v>
      </c>
      <c r="D7" s="2" t="s">
        <v>1223</v>
      </c>
      <c r="E7" s="21" t="s">
        <v>366</v>
      </c>
      <c r="F7" s="2" t="s">
        <v>1000</v>
      </c>
      <c r="G7" s="2" t="s">
        <v>30</v>
      </c>
      <c r="H7" s="2" t="s">
        <v>173</v>
      </c>
      <c r="I7" s="2" t="s">
        <v>1224</v>
      </c>
      <c r="J7" s="2" t="s">
        <v>462</v>
      </c>
      <c r="K7" s="2" t="s">
        <v>1225</v>
      </c>
      <c r="L7" s="156">
        <v>2.9000000000000001E-2</v>
      </c>
      <c r="M7" s="166">
        <v>4.1524000000000001</v>
      </c>
      <c r="N7" s="169">
        <v>0</v>
      </c>
      <c r="O7" s="156">
        <v>0.12</v>
      </c>
      <c r="P7" s="172">
        <v>1.45074373581178E-3</v>
      </c>
      <c r="Q7" s="172">
        <v>9.8258695437805697E-5</v>
      </c>
    </row>
    <row r="8" spans="1:17">
      <c r="A8" s="2">
        <v>14076</v>
      </c>
      <c r="B8" s="2">
        <v>14078</v>
      </c>
      <c r="C8" s="2" t="s">
        <v>1222</v>
      </c>
      <c r="D8" s="2" t="s">
        <v>1223</v>
      </c>
      <c r="E8" s="21" t="s">
        <v>366</v>
      </c>
      <c r="F8" s="2" t="s">
        <v>998</v>
      </c>
      <c r="G8" s="2" t="s">
        <v>30</v>
      </c>
      <c r="H8" s="2" t="s">
        <v>173</v>
      </c>
      <c r="I8" s="2" t="s">
        <v>1224</v>
      </c>
      <c r="J8" s="2" t="s">
        <v>462</v>
      </c>
      <c r="K8" s="2" t="s">
        <v>34</v>
      </c>
      <c r="L8" s="156">
        <v>79.849000000000004</v>
      </c>
      <c r="M8" s="166">
        <v>1</v>
      </c>
      <c r="N8" s="169">
        <v>3.7999999999999999E-2</v>
      </c>
      <c r="O8" s="156">
        <v>79.849000000000004</v>
      </c>
      <c r="P8" s="172">
        <v>0.96429690905270204</v>
      </c>
      <c r="Q8" s="172">
        <v>6.5311711475499107E-2</v>
      </c>
    </row>
    <row r="9" spans="1:17">
      <c r="A9" s="2">
        <v>14076</v>
      </c>
      <c r="B9" s="2">
        <v>14078</v>
      </c>
      <c r="C9" s="2" t="s">
        <v>1222</v>
      </c>
      <c r="D9" s="2" t="s">
        <v>1223</v>
      </c>
      <c r="E9" s="21" t="s">
        <v>366</v>
      </c>
      <c r="F9" s="2" t="s">
        <v>998</v>
      </c>
      <c r="G9" s="2" t="s">
        <v>30</v>
      </c>
      <c r="H9" s="2" t="s">
        <v>173</v>
      </c>
      <c r="I9" s="2" t="s">
        <v>1224</v>
      </c>
      <c r="J9" s="2" t="s">
        <v>462</v>
      </c>
      <c r="K9" s="2" t="s">
        <v>34</v>
      </c>
      <c r="L9" s="156">
        <v>0</v>
      </c>
      <c r="M9" s="166">
        <v>1</v>
      </c>
      <c r="N9" s="169">
        <v>3.7999999999999999E-2</v>
      </c>
      <c r="O9" s="156">
        <v>0</v>
      </c>
      <c r="P9" s="172">
        <v>1.2076555677792799E-7</v>
      </c>
      <c r="Q9" s="172">
        <v>8.1794363607432805E-9</v>
      </c>
    </row>
    <row r="10" spans="1:17">
      <c r="A10" s="2">
        <v>14076</v>
      </c>
      <c r="B10" s="2">
        <v>14079</v>
      </c>
      <c r="C10" s="2" t="s">
        <v>1222</v>
      </c>
      <c r="D10" s="2" t="s">
        <v>1223</v>
      </c>
      <c r="E10" s="21" t="s">
        <v>366</v>
      </c>
      <c r="F10" s="2" t="s">
        <v>1000</v>
      </c>
      <c r="G10" s="2" t="s">
        <v>30</v>
      </c>
      <c r="H10" s="2" t="s">
        <v>173</v>
      </c>
      <c r="I10" s="2" t="s">
        <v>1224</v>
      </c>
      <c r="J10" s="2" t="s">
        <v>462</v>
      </c>
      <c r="K10" s="2" t="s">
        <v>95</v>
      </c>
      <c r="L10" s="156">
        <v>1.111</v>
      </c>
      <c r="M10" s="166">
        <v>3.71</v>
      </c>
      <c r="N10" s="169">
        <v>0</v>
      </c>
      <c r="O10" s="156">
        <v>4.1239999999999997</v>
      </c>
      <c r="P10" s="172">
        <v>2.7756038931580101E-2</v>
      </c>
      <c r="Q10" s="172">
        <v>1.0824863077595699E-3</v>
      </c>
    </row>
    <row r="11" spans="1:17">
      <c r="A11" s="2">
        <v>14076</v>
      </c>
      <c r="B11" s="2">
        <v>14079</v>
      </c>
      <c r="C11" s="2" t="s">
        <v>1222</v>
      </c>
      <c r="D11" s="2" t="s">
        <v>1223</v>
      </c>
      <c r="E11" s="21" t="s">
        <v>366</v>
      </c>
      <c r="F11" s="2" t="s">
        <v>1000</v>
      </c>
      <c r="G11" s="2" t="s">
        <v>30</v>
      </c>
      <c r="H11" s="2" t="s">
        <v>173</v>
      </c>
      <c r="I11" s="2" t="s">
        <v>1224</v>
      </c>
      <c r="J11" s="2" t="s">
        <v>462</v>
      </c>
      <c r="K11" s="2" t="s">
        <v>1225</v>
      </c>
      <c r="L11" s="156">
        <v>0.88400000000000001</v>
      </c>
      <c r="M11" s="166">
        <v>4.1524000000000001</v>
      </c>
      <c r="N11" s="169">
        <v>0</v>
      </c>
      <c r="O11" s="156">
        <v>3.669</v>
      </c>
      <c r="P11" s="172">
        <v>2.4696185857694002E-2</v>
      </c>
      <c r="Q11" s="172">
        <v>9.6315195085069796E-4</v>
      </c>
    </row>
    <row r="12" spans="1:17">
      <c r="A12" s="2">
        <v>14076</v>
      </c>
      <c r="B12" s="2">
        <v>14079</v>
      </c>
      <c r="C12" s="2" t="s">
        <v>1222</v>
      </c>
      <c r="D12" s="2" t="s">
        <v>1223</v>
      </c>
      <c r="E12" s="21" t="s">
        <v>366</v>
      </c>
      <c r="F12" s="2" t="s">
        <v>998</v>
      </c>
      <c r="G12" s="2" t="s">
        <v>30</v>
      </c>
      <c r="H12" s="2" t="s">
        <v>173</v>
      </c>
      <c r="I12" s="2" t="s">
        <v>1224</v>
      </c>
      <c r="J12" s="2" t="s">
        <v>462</v>
      </c>
      <c r="K12" s="2" t="s">
        <v>34</v>
      </c>
      <c r="L12" s="156">
        <v>140.77000000000001</v>
      </c>
      <c r="M12" s="166">
        <v>1</v>
      </c>
      <c r="N12" s="169">
        <v>3.7999999999999999E-2</v>
      </c>
      <c r="O12" s="156">
        <v>140.77000000000001</v>
      </c>
      <c r="P12" s="172">
        <v>0.94754764058758001</v>
      </c>
      <c r="Q12" s="172">
        <v>3.6954384932747601E-2</v>
      </c>
    </row>
    <row r="13" spans="1:17">
      <c r="A13" s="2">
        <v>14076</v>
      </c>
      <c r="B13" s="2">
        <v>14079</v>
      </c>
      <c r="C13" s="2" t="s">
        <v>1222</v>
      </c>
      <c r="D13" s="2" t="s">
        <v>1223</v>
      </c>
      <c r="E13" s="21" t="s">
        <v>366</v>
      </c>
      <c r="F13" s="2" t="s">
        <v>998</v>
      </c>
      <c r="G13" s="2" t="s">
        <v>30</v>
      </c>
      <c r="H13" s="2" t="s">
        <v>173</v>
      </c>
      <c r="I13" s="2" t="s">
        <v>1224</v>
      </c>
      <c r="J13" s="2" t="s">
        <v>462</v>
      </c>
      <c r="K13" s="2" t="s">
        <v>34</v>
      </c>
      <c r="L13" s="156">
        <v>0</v>
      </c>
      <c r="M13" s="166">
        <v>1</v>
      </c>
      <c r="N13" s="169">
        <v>3.7999999999999999E-2</v>
      </c>
      <c r="O13" s="156">
        <v>0</v>
      </c>
      <c r="P13" s="172">
        <v>1.3462314632893699E-7</v>
      </c>
      <c r="Q13" s="172">
        <v>5.2503065357349204E-9</v>
      </c>
    </row>
    <row r="14" spans="1:17">
      <c r="A14" s="2">
        <v>14076</v>
      </c>
      <c r="B14" s="2">
        <v>15394</v>
      </c>
      <c r="C14" s="2" t="s">
        <v>1222</v>
      </c>
      <c r="D14" s="2" t="s">
        <v>1223</v>
      </c>
      <c r="E14" s="21" t="s">
        <v>366</v>
      </c>
      <c r="F14" s="2" t="s">
        <v>998</v>
      </c>
      <c r="G14" s="2" t="s">
        <v>30</v>
      </c>
      <c r="H14" s="2" t="s">
        <v>173</v>
      </c>
      <c r="I14" s="2" t="s">
        <v>1224</v>
      </c>
      <c r="J14" s="2" t="s">
        <v>462</v>
      </c>
      <c r="K14" s="2" t="s">
        <v>34</v>
      </c>
      <c r="L14" s="156">
        <v>2E-3</v>
      </c>
      <c r="M14" s="166">
        <v>1</v>
      </c>
      <c r="N14" s="169">
        <v>0</v>
      </c>
      <c r="O14" s="156">
        <v>2E-3</v>
      </c>
      <c r="P14" s="172">
        <v>2.28749456193777E-4</v>
      </c>
      <c r="Q14" s="172">
        <v>1.52863253944193E-6</v>
      </c>
    </row>
    <row r="15" spans="1:17">
      <c r="A15" s="2">
        <v>14076</v>
      </c>
      <c r="B15" s="2">
        <v>15394</v>
      </c>
      <c r="C15" s="2" t="s">
        <v>1222</v>
      </c>
      <c r="D15" s="2" t="s">
        <v>1223</v>
      </c>
      <c r="E15" s="21" t="s">
        <v>366</v>
      </c>
      <c r="F15" s="2" t="s">
        <v>998</v>
      </c>
      <c r="G15" s="2" t="s">
        <v>30</v>
      </c>
      <c r="H15" s="2" t="s">
        <v>173</v>
      </c>
      <c r="I15" s="2" t="s">
        <v>1224</v>
      </c>
      <c r="J15" s="2" t="s">
        <v>462</v>
      </c>
      <c r="K15" s="2" t="s">
        <v>34</v>
      </c>
      <c r="L15" s="156">
        <v>7.1239999999999997</v>
      </c>
      <c r="M15" s="166">
        <v>1</v>
      </c>
      <c r="N15" s="169">
        <v>0</v>
      </c>
      <c r="O15" s="156">
        <v>7.1239999999999997</v>
      </c>
      <c r="P15" s="172">
        <v>0.999771250543806</v>
      </c>
      <c r="Q15" s="172">
        <v>6.6810338743939204E-3</v>
      </c>
    </row>
    <row r="16" spans="1:17">
      <c r="A16" s="2">
        <v>161</v>
      </c>
      <c r="B16" s="2">
        <v>1434</v>
      </c>
      <c r="C16" s="2" t="s">
        <v>1222</v>
      </c>
      <c r="D16" s="2" t="s">
        <v>1223</v>
      </c>
      <c r="E16" s="21" t="s">
        <v>366</v>
      </c>
      <c r="F16" s="2" t="s">
        <v>998</v>
      </c>
      <c r="G16" s="2" t="s">
        <v>30</v>
      </c>
      <c r="H16" s="2" t="s">
        <v>173</v>
      </c>
      <c r="I16" s="2" t="s">
        <v>1224</v>
      </c>
      <c r="J16" s="2" t="s">
        <v>462</v>
      </c>
      <c r="K16" s="2" t="s">
        <v>34</v>
      </c>
      <c r="L16" s="156">
        <v>0</v>
      </c>
      <c r="M16" s="166">
        <v>1</v>
      </c>
      <c r="N16" s="169">
        <v>3.7999999999999999E-2</v>
      </c>
      <c r="O16" s="156">
        <v>0</v>
      </c>
      <c r="P16" s="172">
        <v>-1.35391039735238E-7</v>
      </c>
      <c r="Q16" s="172">
        <v>-7.9953923231386513E-9</v>
      </c>
    </row>
    <row r="17" spans="1:17">
      <c r="A17" s="2">
        <v>161</v>
      </c>
      <c r="B17" s="2">
        <v>1434</v>
      </c>
      <c r="C17" s="2" t="s">
        <v>1222</v>
      </c>
      <c r="D17" s="2" t="s">
        <v>1223</v>
      </c>
      <c r="E17" s="21" t="s">
        <v>366</v>
      </c>
      <c r="F17" s="2" t="s">
        <v>1000</v>
      </c>
      <c r="G17" s="2" t="s">
        <v>30</v>
      </c>
      <c r="H17" s="2" t="s">
        <v>173</v>
      </c>
      <c r="I17" s="2" t="s">
        <v>1224</v>
      </c>
      <c r="J17" s="2" t="s">
        <v>462</v>
      </c>
      <c r="K17" s="2" t="s">
        <v>95</v>
      </c>
      <c r="L17" s="156">
        <v>5.1920000000000002</v>
      </c>
      <c r="M17" s="166">
        <v>3.71</v>
      </c>
      <c r="N17" s="169">
        <v>0</v>
      </c>
      <c r="O17" s="156">
        <v>19.260999999999999</v>
      </c>
      <c r="P17" s="172">
        <v>1.4487246823051801E-2</v>
      </c>
      <c r="Q17" s="172">
        <v>8.5553092921772801E-4</v>
      </c>
    </row>
    <row r="18" spans="1:17">
      <c r="A18" s="2">
        <v>161</v>
      </c>
      <c r="B18" s="2">
        <v>1434</v>
      </c>
      <c r="C18" s="2" t="s">
        <v>1222</v>
      </c>
      <c r="D18" s="2" t="s">
        <v>1223</v>
      </c>
      <c r="E18" s="21" t="s">
        <v>366</v>
      </c>
      <c r="F18" s="2" t="s">
        <v>1000</v>
      </c>
      <c r="G18" s="2" t="s">
        <v>30</v>
      </c>
      <c r="H18" s="2" t="s">
        <v>173</v>
      </c>
      <c r="I18" s="2" t="s">
        <v>1224</v>
      </c>
      <c r="J18" s="2" t="s">
        <v>462</v>
      </c>
      <c r="K18" s="2" t="s">
        <v>1225</v>
      </c>
      <c r="L18" s="156">
        <v>51.863</v>
      </c>
      <c r="M18" s="166">
        <v>4.1524000000000001</v>
      </c>
      <c r="N18" s="169">
        <v>0</v>
      </c>
      <c r="O18" s="156">
        <v>215.35599999999999</v>
      </c>
      <c r="P18" s="172">
        <v>0.161985132923116</v>
      </c>
      <c r="Q18" s="172">
        <v>9.5658818395128395E-3</v>
      </c>
    </row>
    <row r="19" spans="1:17">
      <c r="A19" s="2">
        <v>161</v>
      </c>
      <c r="B19" s="2">
        <v>1434</v>
      </c>
      <c r="C19" s="2" t="s">
        <v>1222</v>
      </c>
      <c r="D19" s="2" t="s">
        <v>1223</v>
      </c>
      <c r="E19" s="21" t="s">
        <v>366</v>
      </c>
      <c r="F19" s="2" t="s">
        <v>998</v>
      </c>
      <c r="G19" s="2" t="s">
        <v>30</v>
      </c>
      <c r="H19" s="2" t="s">
        <v>173</v>
      </c>
      <c r="I19" s="2" t="s">
        <v>1224</v>
      </c>
      <c r="J19" s="2" t="s">
        <v>462</v>
      </c>
      <c r="K19" s="2" t="s">
        <v>34</v>
      </c>
      <c r="L19" s="156">
        <v>1094.866</v>
      </c>
      <c r="M19" s="166">
        <v>1</v>
      </c>
      <c r="N19" s="169">
        <v>3.7999999999999999E-2</v>
      </c>
      <c r="O19" s="156">
        <v>1094.866</v>
      </c>
      <c r="P19" s="172">
        <v>0.82352775564487102</v>
      </c>
      <c r="Q19" s="172">
        <v>4.86326680720576E-2</v>
      </c>
    </row>
    <row r="20" spans="1:17">
      <c r="A20" s="2">
        <v>161</v>
      </c>
      <c r="B20" s="2">
        <v>9938</v>
      </c>
      <c r="C20" s="2" t="s">
        <v>1222</v>
      </c>
      <c r="D20" s="2" t="s">
        <v>1223</v>
      </c>
      <c r="E20" s="21" t="s">
        <v>366</v>
      </c>
      <c r="F20" s="2" t="s">
        <v>998</v>
      </c>
      <c r="G20" s="2" t="s">
        <v>30</v>
      </c>
      <c r="H20" s="2" t="s">
        <v>173</v>
      </c>
      <c r="I20" s="2" t="s">
        <v>1224</v>
      </c>
      <c r="J20" s="2" t="s">
        <v>462</v>
      </c>
      <c r="K20" s="2" t="s">
        <v>34</v>
      </c>
      <c r="L20" s="156">
        <v>0</v>
      </c>
      <c r="M20" s="166">
        <v>1</v>
      </c>
      <c r="N20" s="169">
        <v>3.7999999999999999E-2</v>
      </c>
      <c r="O20" s="156">
        <v>0</v>
      </c>
      <c r="P20" s="172">
        <v>-1.00096796642393E-8</v>
      </c>
      <c r="Q20" s="172">
        <v>-1.35708156353496E-9</v>
      </c>
    </row>
    <row r="21" spans="1:17">
      <c r="A21" s="2">
        <v>161</v>
      </c>
      <c r="B21" s="2">
        <v>9938</v>
      </c>
      <c r="C21" s="2" t="s">
        <v>1222</v>
      </c>
      <c r="D21" s="2" t="s">
        <v>1223</v>
      </c>
      <c r="E21" s="4" t="s">
        <v>366</v>
      </c>
      <c r="F21" s="2" t="s">
        <v>1000</v>
      </c>
      <c r="G21" s="2" t="s">
        <v>30</v>
      </c>
      <c r="H21" s="2" t="s">
        <v>173</v>
      </c>
      <c r="I21" s="2" t="s">
        <v>1224</v>
      </c>
      <c r="J21" s="2" t="s">
        <v>462</v>
      </c>
      <c r="K21" s="2" t="s">
        <v>95</v>
      </c>
      <c r="L21" s="156">
        <v>534.33299999999997</v>
      </c>
      <c r="M21" s="166">
        <v>3.71</v>
      </c>
      <c r="N21" s="170">
        <v>0</v>
      </c>
      <c r="O21" s="156">
        <v>1982.374</v>
      </c>
      <c r="P21" s="172">
        <v>0.22047699209190399</v>
      </c>
      <c r="Q21" s="172">
        <v>2.9891592057686999E-2</v>
      </c>
    </row>
    <row r="22" spans="1:17">
      <c r="A22" s="2">
        <v>161</v>
      </c>
      <c r="B22" s="2">
        <v>9938</v>
      </c>
      <c r="C22" s="2" t="s">
        <v>1222</v>
      </c>
      <c r="D22" s="2" t="s">
        <v>1223</v>
      </c>
      <c r="E22" s="4" t="s">
        <v>366</v>
      </c>
      <c r="F22" s="2" t="s">
        <v>1000</v>
      </c>
      <c r="G22" s="2" t="s">
        <v>30</v>
      </c>
      <c r="H22" s="2" t="s">
        <v>173</v>
      </c>
      <c r="I22" s="2" t="s">
        <v>1224</v>
      </c>
      <c r="J22" s="2" t="s">
        <v>462</v>
      </c>
      <c r="K22" s="2" t="s">
        <v>1226</v>
      </c>
      <c r="L22" s="156">
        <v>5</v>
      </c>
      <c r="M22" s="166">
        <v>0.47660000000000002</v>
      </c>
      <c r="N22" s="170">
        <v>0</v>
      </c>
      <c r="O22" s="156">
        <v>2.383</v>
      </c>
      <c r="P22" s="172">
        <v>2.6503407377646902E-4</v>
      </c>
      <c r="Q22" s="172">
        <v>3.5932504065597897E-5</v>
      </c>
    </row>
    <row r="23" spans="1:17">
      <c r="A23" s="2">
        <v>161</v>
      </c>
      <c r="B23" s="2">
        <v>9938</v>
      </c>
      <c r="C23" s="2" t="s">
        <v>1222</v>
      </c>
      <c r="D23" s="2" t="s">
        <v>1223</v>
      </c>
      <c r="E23" s="4" t="s">
        <v>366</v>
      </c>
      <c r="F23" s="2" t="s">
        <v>1000</v>
      </c>
      <c r="G23" s="2" t="s">
        <v>30</v>
      </c>
      <c r="H23" s="2" t="s">
        <v>173</v>
      </c>
      <c r="I23" s="2" t="s">
        <v>1224</v>
      </c>
      <c r="J23" s="2" t="s">
        <v>462</v>
      </c>
      <c r="K23" s="2" t="s">
        <v>1227</v>
      </c>
      <c r="L23" s="156">
        <v>0.98199999999999998</v>
      </c>
      <c r="M23" s="166">
        <v>2.8908</v>
      </c>
      <c r="N23" s="170">
        <v>0</v>
      </c>
      <c r="O23" s="156">
        <v>2.8370000000000002</v>
      </c>
      <c r="P23" s="172">
        <v>3.1557903451082299E-4</v>
      </c>
      <c r="Q23" s="172">
        <v>4.2785234287050201E-5</v>
      </c>
    </row>
    <row r="24" spans="1:17">
      <c r="A24" s="2">
        <v>161</v>
      </c>
      <c r="B24" s="2">
        <v>9938</v>
      </c>
      <c r="C24" s="2" t="s">
        <v>1222</v>
      </c>
      <c r="D24" s="2" t="s">
        <v>1223</v>
      </c>
      <c r="E24" s="4" t="s">
        <v>366</v>
      </c>
      <c r="F24" s="2" t="s">
        <v>1000</v>
      </c>
      <c r="G24" s="2" t="s">
        <v>30</v>
      </c>
      <c r="H24" s="2" t="s">
        <v>173</v>
      </c>
      <c r="I24" s="2" t="s">
        <v>1224</v>
      </c>
      <c r="J24" s="2" t="s">
        <v>462</v>
      </c>
      <c r="K24" s="2" t="s">
        <v>1225</v>
      </c>
      <c r="L24" s="156">
        <v>69.198999999999998</v>
      </c>
      <c r="M24" s="166">
        <v>4.1524000000000001</v>
      </c>
      <c r="N24" s="170">
        <v>0</v>
      </c>
      <c r="O24" s="156">
        <v>287.34399999999999</v>
      </c>
      <c r="P24" s="172">
        <v>3.1957983577604397E-2</v>
      </c>
      <c r="Q24" s="172">
        <v>4.3327650609901701E-3</v>
      </c>
    </row>
    <row r="25" spans="1:17">
      <c r="A25" s="2">
        <v>161</v>
      </c>
      <c r="B25" s="2">
        <v>9938</v>
      </c>
      <c r="C25" s="2" t="s">
        <v>1222</v>
      </c>
      <c r="D25" s="2" t="s">
        <v>1223</v>
      </c>
      <c r="E25" s="4" t="s">
        <v>366</v>
      </c>
      <c r="F25" s="2" t="s">
        <v>1000</v>
      </c>
      <c r="G25" s="2" t="s">
        <v>30</v>
      </c>
      <c r="H25" s="2" t="s">
        <v>173</v>
      </c>
      <c r="I25" s="2" t="s">
        <v>1224</v>
      </c>
      <c r="J25" s="2" t="s">
        <v>462</v>
      </c>
      <c r="K25" s="2" t="s">
        <v>1228</v>
      </c>
      <c r="L25" s="156">
        <v>3.3130000000000002</v>
      </c>
      <c r="M25" s="166">
        <v>0.55689999999999995</v>
      </c>
      <c r="N25" s="170">
        <v>0</v>
      </c>
      <c r="O25" s="156">
        <v>1.845</v>
      </c>
      <c r="P25" s="172">
        <v>2.0520137006813799E-4</v>
      </c>
      <c r="Q25" s="172">
        <v>2.78205702352761E-5</v>
      </c>
    </row>
    <row r="26" spans="1:17">
      <c r="A26" s="2">
        <v>161</v>
      </c>
      <c r="B26" s="2">
        <v>9938</v>
      </c>
      <c r="C26" s="2" t="s">
        <v>1222</v>
      </c>
      <c r="D26" s="2" t="s">
        <v>1223</v>
      </c>
      <c r="E26" s="4" t="s">
        <v>366</v>
      </c>
      <c r="F26" s="2" t="s">
        <v>1000</v>
      </c>
      <c r="G26" s="2" t="s">
        <v>30</v>
      </c>
      <c r="H26" s="2" t="s">
        <v>173</v>
      </c>
      <c r="I26" s="2" t="s">
        <v>1224</v>
      </c>
      <c r="J26" s="2" t="s">
        <v>462</v>
      </c>
      <c r="K26" s="2" t="s">
        <v>1229</v>
      </c>
      <c r="L26" s="156">
        <v>21.811</v>
      </c>
      <c r="M26" s="166">
        <v>4.9748000000000001</v>
      </c>
      <c r="N26" s="170">
        <v>0</v>
      </c>
      <c r="O26" s="156">
        <v>108.506</v>
      </c>
      <c r="P26" s="172">
        <v>1.20678988326854E-2</v>
      </c>
      <c r="Q26" s="172">
        <v>1.6361285841095901E-3</v>
      </c>
    </row>
    <row r="27" spans="1:17">
      <c r="A27" s="2">
        <v>161</v>
      </c>
      <c r="B27" s="2">
        <v>9938</v>
      </c>
      <c r="C27" s="2" t="s">
        <v>1222</v>
      </c>
      <c r="D27" s="2" t="s">
        <v>1223</v>
      </c>
      <c r="E27" s="4" t="s">
        <v>366</v>
      </c>
      <c r="F27" s="2" t="s">
        <v>998</v>
      </c>
      <c r="G27" s="2" t="s">
        <v>30</v>
      </c>
      <c r="H27" s="2" t="s">
        <v>173</v>
      </c>
      <c r="I27" s="2" t="s">
        <v>1224</v>
      </c>
      <c r="J27" s="2" t="s">
        <v>462</v>
      </c>
      <c r="K27" s="2" t="s">
        <v>34</v>
      </c>
      <c r="L27" s="156">
        <v>6370.5829999999996</v>
      </c>
      <c r="M27" s="166">
        <v>1</v>
      </c>
      <c r="N27" s="170">
        <v>3.7999999999999999E-2</v>
      </c>
      <c r="O27" s="156">
        <v>6370.5829999999996</v>
      </c>
      <c r="P27" s="172">
        <v>0.70852777343116002</v>
      </c>
      <c r="Q27" s="172">
        <v>9.6060014988399306E-2</v>
      </c>
    </row>
    <row r="28" spans="1:17">
      <c r="A28" s="2">
        <v>161</v>
      </c>
      <c r="B28" s="2">
        <v>9938</v>
      </c>
      <c r="C28" s="2" t="s">
        <v>1222</v>
      </c>
      <c r="D28" s="2" t="s">
        <v>1223</v>
      </c>
      <c r="E28" s="4" t="s">
        <v>366</v>
      </c>
      <c r="F28" s="2" t="s">
        <v>1000</v>
      </c>
      <c r="G28" s="2" t="s">
        <v>30</v>
      </c>
      <c r="H28" s="2" t="s">
        <v>173</v>
      </c>
      <c r="I28" s="2" t="s">
        <v>1224</v>
      </c>
      <c r="J28" s="2" t="s">
        <v>462</v>
      </c>
      <c r="K28" s="2" t="s">
        <v>1230</v>
      </c>
      <c r="L28" s="156">
        <v>53.548000000000002</v>
      </c>
      <c r="M28" s="166">
        <v>4.3964999999999996</v>
      </c>
      <c r="N28" s="170">
        <v>0</v>
      </c>
      <c r="O28" s="156">
        <v>235.42400000000001</v>
      </c>
      <c r="P28" s="172">
        <v>2.61835475957456E-2</v>
      </c>
      <c r="Q28" s="172">
        <v>3.5498848017157698E-3</v>
      </c>
    </row>
    <row r="29" spans="1:17">
      <c r="A29" s="2">
        <v>161</v>
      </c>
      <c r="B29" s="2">
        <v>9938</v>
      </c>
      <c r="C29" s="2" t="s">
        <v>1222</v>
      </c>
      <c r="D29" s="2" t="s">
        <v>1223</v>
      </c>
      <c r="E29" s="4" t="s">
        <v>366</v>
      </c>
      <c r="F29" s="2" t="s">
        <v>998</v>
      </c>
      <c r="G29" s="2" t="s">
        <v>30</v>
      </c>
      <c r="H29" s="2" t="s">
        <v>173</v>
      </c>
      <c r="I29" s="2" t="s">
        <v>1224</v>
      </c>
      <c r="J29" s="2" t="s">
        <v>462</v>
      </c>
      <c r="K29" s="2" t="s">
        <v>34</v>
      </c>
      <c r="L29" s="156">
        <v>0</v>
      </c>
      <c r="M29" s="166">
        <v>1</v>
      </c>
      <c r="N29" s="170">
        <v>0</v>
      </c>
      <c r="O29" s="156">
        <v>0</v>
      </c>
      <c r="P29" s="172">
        <v>2.2243732587198399E-12</v>
      </c>
      <c r="Q29" s="172">
        <v>3.0157368078554697E-13</v>
      </c>
    </row>
    <row r="30" spans="1:17">
      <c r="A30" s="2">
        <v>161</v>
      </c>
      <c r="B30" s="2">
        <v>9942</v>
      </c>
      <c r="C30" s="2" t="s">
        <v>1222</v>
      </c>
      <c r="D30" s="2" t="s">
        <v>1223</v>
      </c>
      <c r="E30" s="4" t="s">
        <v>366</v>
      </c>
      <c r="F30" s="2" t="s">
        <v>998</v>
      </c>
      <c r="G30" s="2" t="s">
        <v>30</v>
      </c>
      <c r="H30" s="2" t="s">
        <v>173</v>
      </c>
      <c r="I30" s="2" t="s">
        <v>1224</v>
      </c>
      <c r="J30" s="2" t="s">
        <v>462</v>
      </c>
      <c r="K30" s="2" t="s">
        <v>34</v>
      </c>
      <c r="L30" s="156">
        <v>0</v>
      </c>
      <c r="M30" s="166">
        <v>1</v>
      </c>
      <c r="N30" s="170">
        <v>3.7999999999999999E-2</v>
      </c>
      <c r="O30" s="156">
        <v>0</v>
      </c>
      <c r="P30" s="172">
        <v>-1.29044215396111E-8</v>
      </c>
      <c r="Q30" s="172">
        <v>-1.8548310566097E-9</v>
      </c>
    </row>
    <row r="31" spans="1:17">
      <c r="A31" s="2">
        <v>161</v>
      </c>
      <c r="B31" s="2">
        <v>9942</v>
      </c>
      <c r="C31" s="2" t="s">
        <v>1222</v>
      </c>
      <c r="D31" s="2" t="s">
        <v>1223</v>
      </c>
      <c r="E31" s="4" t="s">
        <v>366</v>
      </c>
      <c r="F31" s="2" t="s">
        <v>1000</v>
      </c>
      <c r="G31" s="2" t="s">
        <v>30</v>
      </c>
      <c r="H31" s="2" t="s">
        <v>173</v>
      </c>
      <c r="I31" s="2" t="s">
        <v>1224</v>
      </c>
      <c r="J31" s="2" t="s">
        <v>462</v>
      </c>
      <c r="K31" s="2" t="s">
        <v>95</v>
      </c>
      <c r="L31" s="156">
        <v>588.86300000000006</v>
      </c>
      <c r="M31" s="166">
        <v>3.71</v>
      </c>
      <c r="N31" s="170">
        <v>0</v>
      </c>
      <c r="O31" s="156">
        <v>2184.683</v>
      </c>
      <c r="P31" s="172">
        <v>0.16583569609663601</v>
      </c>
      <c r="Q31" s="172">
        <v>2.3836574035522199E-2</v>
      </c>
    </row>
    <row r="32" spans="1:17">
      <c r="A32" s="2">
        <v>161</v>
      </c>
      <c r="B32" s="2">
        <v>9942</v>
      </c>
      <c r="C32" s="2" t="s">
        <v>1222</v>
      </c>
      <c r="D32" s="2" t="s">
        <v>1223</v>
      </c>
      <c r="E32" s="4" t="s">
        <v>366</v>
      </c>
      <c r="F32" s="2" t="s">
        <v>1000</v>
      </c>
      <c r="G32" s="2" t="s">
        <v>30</v>
      </c>
      <c r="H32" s="2" t="s">
        <v>173</v>
      </c>
      <c r="I32" s="2" t="s">
        <v>1224</v>
      </c>
      <c r="J32" s="2" t="s">
        <v>462</v>
      </c>
      <c r="K32" s="2" t="s">
        <v>1226</v>
      </c>
      <c r="L32" s="156">
        <v>8.35</v>
      </c>
      <c r="M32" s="166">
        <v>0.47660000000000002</v>
      </c>
      <c r="N32" s="170">
        <v>0</v>
      </c>
      <c r="O32" s="156">
        <v>3.98</v>
      </c>
      <c r="P32" s="172">
        <v>3.0208567648971701E-4</v>
      </c>
      <c r="Q32" s="172">
        <v>4.3420613065850101E-5</v>
      </c>
    </row>
    <row r="33" spans="1:17">
      <c r="A33" s="2">
        <v>161</v>
      </c>
      <c r="B33" s="2">
        <v>9942</v>
      </c>
      <c r="C33" s="2" t="s">
        <v>1222</v>
      </c>
      <c r="D33" s="2" t="s">
        <v>1223</v>
      </c>
      <c r="E33" s="4" t="s">
        <v>366</v>
      </c>
      <c r="F33" s="2" t="s">
        <v>1000</v>
      </c>
      <c r="G33" s="2" t="s">
        <v>30</v>
      </c>
      <c r="H33" s="2" t="s">
        <v>173</v>
      </c>
      <c r="I33" s="2" t="s">
        <v>1224</v>
      </c>
      <c r="J33" s="2" t="s">
        <v>462</v>
      </c>
      <c r="K33" s="2" t="s">
        <v>1227</v>
      </c>
      <c r="L33" s="156">
        <v>1.9330000000000001</v>
      </c>
      <c r="M33" s="166">
        <v>2.8908</v>
      </c>
      <c r="N33" s="170">
        <v>0</v>
      </c>
      <c r="O33" s="156">
        <v>5.5880000000000001</v>
      </c>
      <c r="P33" s="172">
        <v>4.2419810757022701E-4</v>
      </c>
      <c r="Q33" s="172">
        <v>6.0972576078759103E-5</v>
      </c>
    </row>
    <row r="34" spans="1:17">
      <c r="A34" s="2">
        <v>161</v>
      </c>
      <c r="B34" s="2">
        <v>9942</v>
      </c>
      <c r="C34" s="2" t="s">
        <v>1222</v>
      </c>
      <c r="D34" s="2" t="s">
        <v>1223</v>
      </c>
      <c r="E34" s="4" t="s">
        <v>366</v>
      </c>
      <c r="F34" s="2" t="s">
        <v>1000</v>
      </c>
      <c r="G34" s="2" t="s">
        <v>30</v>
      </c>
      <c r="H34" s="2" t="s">
        <v>173</v>
      </c>
      <c r="I34" s="2" t="s">
        <v>1224</v>
      </c>
      <c r="J34" s="2" t="s">
        <v>462</v>
      </c>
      <c r="K34" s="2" t="s">
        <v>1225</v>
      </c>
      <c r="L34" s="156">
        <v>170.44499999999999</v>
      </c>
      <c r="M34" s="166">
        <v>4.1524000000000001</v>
      </c>
      <c r="N34" s="170">
        <v>0</v>
      </c>
      <c r="O34" s="156">
        <v>707.75699999999995</v>
      </c>
      <c r="P34" s="172">
        <v>5.3724701463427602E-2</v>
      </c>
      <c r="Q34" s="172">
        <v>7.7221783615457496E-3</v>
      </c>
    </row>
    <row r="35" spans="1:17">
      <c r="A35" s="2">
        <v>161</v>
      </c>
      <c r="B35" s="2">
        <v>9942</v>
      </c>
      <c r="C35" s="2" t="s">
        <v>1222</v>
      </c>
      <c r="D35" s="2" t="s">
        <v>1223</v>
      </c>
      <c r="E35" s="4" t="s">
        <v>366</v>
      </c>
      <c r="F35" s="2" t="s">
        <v>1000</v>
      </c>
      <c r="G35" s="2" t="s">
        <v>30</v>
      </c>
      <c r="H35" s="2" t="s">
        <v>173</v>
      </c>
      <c r="I35" s="2" t="s">
        <v>1224</v>
      </c>
      <c r="J35" s="2" t="s">
        <v>462</v>
      </c>
      <c r="K35" s="2" t="s">
        <v>1228</v>
      </c>
      <c r="L35" s="156">
        <v>6.91</v>
      </c>
      <c r="M35" s="166">
        <v>0.55689999999999995</v>
      </c>
      <c r="N35" s="170">
        <v>0</v>
      </c>
      <c r="O35" s="156">
        <v>3.8479999999999999</v>
      </c>
      <c r="P35" s="172">
        <v>2.92127564845386E-4</v>
      </c>
      <c r="Q35" s="172">
        <v>4.1989273064564897E-5</v>
      </c>
    </row>
    <row r="36" spans="1:17">
      <c r="A36" s="2">
        <v>161</v>
      </c>
      <c r="B36" s="2">
        <v>9942</v>
      </c>
      <c r="C36" s="2" t="s">
        <v>1222</v>
      </c>
      <c r="D36" s="2" t="s">
        <v>1223</v>
      </c>
      <c r="E36" s="4" t="s">
        <v>366</v>
      </c>
      <c r="F36" s="2" t="s">
        <v>1000</v>
      </c>
      <c r="G36" s="2" t="s">
        <v>30</v>
      </c>
      <c r="H36" s="2" t="s">
        <v>173</v>
      </c>
      <c r="I36" s="2" t="s">
        <v>1224</v>
      </c>
      <c r="J36" s="2" t="s">
        <v>462</v>
      </c>
      <c r="K36" s="2" t="s">
        <v>1229</v>
      </c>
      <c r="L36" s="156">
        <v>42.286000000000001</v>
      </c>
      <c r="M36" s="166">
        <v>4.9748000000000001</v>
      </c>
      <c r="N36" s="170">
        <v>0</v>
      </c>
      <c r="O36" s="156">
        <v>210.36199999999999</v>
      </c>
      <c r="P36" s="172">
        <v>1.5968238994499302E-2</v>
      </c>
      <c r="Q36" s="172">
        <v>2.2952121887406902E-3</v>
      </c>
    </row>
    <row r="37" spans="1:17">
      <c r="A37" s="2">
        <v>161</v>
      </c>
      <c r="B37" s="2">
        <v>9942</v>
      </c>
      <c r="C37" s="2" t="s">
        <v>1222</v>
      </c>
      <c r="D37" s="2" t="s">
        <v>1223</v>
      </c>
      <c r="E37" s="4" t="s">
        <v>366</v>
      </c>
      <c r="F37" s="2" t="s">
        <v>998</v>
      </c>
      <c r="G37" s="2" t="s">
        <v>30</v>
      </c>
      <c r="H37" s="2" t="s">
        <v>173</v>
      </c>
      <c r="I37" s="2" t="s">
        <v>1224</v>
      </c>
      <c r="J37" s="2" t="s">
        <v>462</v>
      </c>
      <c r="K37" s="2" t="s">
        <v>34</v>
      </c>
      <c r="L37" s="156">
        <v>9833.634</v>
      </c>
      <c r="M37" s="166">
        <v>1</v>
      </c>
      <c r="N37" s="170">
        <v>3.7999999999999999E-2</v>
      </c>
      <c r="O37" s="156">
        <v>9833.634</v>
      </c>
      <c r="P37" s="172">
        <v>0.74645504487051195</v>
      </c>
      <c r="Q37" s="172">
        <v>0.107292527242607</v>
      </c>
    </row>
    <row r="38" spans="1:17">
      <c r="A38" s="2">
        <v>161</v>
      </c>
      <c r="B38" s="2">
        <v>9942</v>
      </c>
      <c r="C38" s="2" t="s">
        <v>1222</v>
      </c>
      <c r="D38" s="2" t="s">
        <v>1223</v>
      </c>
      <c r="E38" s="4" t="s">
        <v>366</v>
      </c>
      <c r="F38" s="2" t="s">
        <v>1000</v>
      </c>
      <c r="G38" s="2" t="s">
        <v>30</v>
      </c>
      <c r="H38" s="2" t="s">
        <v>173</v>
      </c>
      <c r="I38" s="2" t="s">
        <v>1224</v>
      </c>
      <c r="J38" s="2" t="s">
        <v>462</v>
      </c>
      <c r="K38" s="2" t="s">
        <v>1230</v>
      </c>
      <c r="L38" s="156">
        <v>50.933</v>
      </c>
      <c r="M38" s="166">
        <v>4.3964999999999996</v>
      </c>
      <c r="N38" s="170">
        <v>0</v>
      </c>
      <c r="O38" s="156">
        <v>223.92699999999999</v>
      </c>
      <c r="P38" s="172">
        <v>1.6997920130441799E-2</v>
      </c>
      <c r="Q38" s="172">
        <v>2.4432145260394702E-3</v>
      </c>
    </row>
    <row r="39" spans="1:17">
      <c r="A39" s="2">
        <v>161</v>
      </c>
      <c r="B39" s="2">
        <v>9943</v>
      </c>
      <c r="C39" s="2" t="s">
        <v>1222</v>
      </c>
      <c r="D39" s="2" t="s">
        <v>1223</v>
      </c>
      <c r="E39" s="4" t="s">
        <v>366</v>
      </c>
      <c r="F39" s="2" t="s">
        <v>998</v>
      </c>
      <c r="G39" s="2" t="s">
        <v>30</v>
      </c>
      <c r="H39" s="2" t="s">
        <v>173</v>
      </c>
      <c r="I39" s="2" t="s">
        <v>1224</v>
      </c>
      <c r="J39" s="2" t="s">
        <v>462</v>
      </c>
      <c r="K39" s="2" t="s">
        <v>34</v>
      </c>
      <c r="L39" s="156">
        <v>-1E-3</v>
      </c>
      <c r="M39" s="166">
        <v>1</v>
      </c>
      <c r="N39" s="170">
        <v>3.7999999999999999E-2</v>
      </c>
      <c r="O39" s="156">
        <v>-1E-3</v>
      </c>
      <c r="P39" s="172">
        <v>-1.7607136877321099E-8</v>
      </c>
      <c r="Q39" s="172">
        <v>-7.18415271805054E-10</v>
      </c>
    </row>
    <row r="40" spans="1:17">
      <c r="A40" s="2">
        <v>161</v>
      </c>
      <c r="B40" s="2">
        <v>9943</v>
      </c>
      <c r="C40" s="2" t="s">
        <v>1222</v>
      </c>
      <c r="D40" s="2" t="s">
        <v>1223</v>
      </c>
      <c r="E40" s="4" t="s">
        <v>366</v>
      </c>
      <c r="F40" s="2" t="s">
        <v>998</v>
      </c>
      <c r="G40" s="2" t="s">
        <v>30</v>
      </c>
      <c r="H40" s="2" t="s">
        <v>173</v>
      </c>
      <c r="I40" s="2" t="s">
        <v>1224</v>
      </c>
      <c r="J40" s="2" t="s">
        <v>462</v>
      </c>
      <c r="K40" s="2" t="s">
        <v>34</v>
      </c>
      <c r="L40" s="156">
        <v>0</v>
      </c>
      <c r="M40" s="166">
        <v>1</v>
      </c>
      <c r="N40" s="170">
        <v>3.7999999999999999E-2</v>
      </c>
      <c r="O40" s="156">
        <v>0</v>
      </c>
      <c r="P40" s="172">
        <v>9.4083937512402791E-10</v>
      </c>
      <c r="Q40" s="172">
        <v>3.8388602310193696E-11</v>
      </c>
    </row>
    <row r="41" spans="1:17">
      <c r="A41" s="2">
        <v>161</v>
      </c>
      <c r="B41" s="2">
        <v>9943</v>
      </c>
      <c r="C41" s="2" t="s">
        <v>1222</v>
      </c>
      <c r="D41" s="2" t="s">
        <v>1223</v>
      </c>
      <c r="E41" s="4" t="s">
        <v>366</v>
      </c>
      <c r="F41" s="2" t="s">
        <v>1000</v>
      </c>
      <c r="G41" s="2" t="s">
        <v>30</v>
      </c>
      <c r="H41" s="2" t="s">
        <v>173</v>
      </c>
      <c r="I41" s="2" t="s">
        <v>1224</v>
      </c>
      <c r="J41" s="2" t="s">
        <v>462</v>
      </c>
      <c r="K41" s="2" t="s">
        <v>95</v>
      </c>
      <c r="L41" s="156">
        <v>332.50900000000001</v>
      </c>
      <c r="M41" s="166">
        <v>3.71</v>
      </c>
      <c r="N41" s="170">
        <v>0</v>
      </c>
      <c r="O41" s="156">
        <v>1233.607</v>
      </c>
      <c r="P41" s="172">
        <v>1.6580365736261701E-2</v>
      </c>
      <c r="Q41" s="172">
        <v>6.7652043827673002E-4</v>
      </c>
    </row>
    <row r="42" spans="1:17">
      <c r="A42" s="2">
        <v>161</v>
      </c>
      <c r="B42" s="2">
        <v>9943</v>
      </c>
      <c r="C42" s="2" t="s">
        <v>1222</v>
      </c>
      <c r="D42" s="2" t="s">
        <v>1223</v>
      </c>
      <c r="E42" s="4" t="s">
        <v>366</v>
      </c>
      <c r="F42" s="2" t="s">
        <v>1000</v>
      </c>
      <c r="G42" s="2" t="s">
        <v>30</v>
      </c>
      <c r="H42" s="2" t="s">
        <v>173</v>
      </c>
      <c r="I42" s="2" t="s">
        <v>1224</v>
      </c>
      <c r="J42" s="2" t="s">
        <v>462</v>
      </c>
      <c r="K42" s="2" t="s">
        <v>1226</v>
      </c>
      <c r="L42" s="156">
        <v>19.123000000000001</v>
      </c>
      <c r="M42" s="166">
        <v>0.47660000000000002</v>
      </c>
      <c r="N42" s="170">
        <v>0</v>
      </c>
      <c r="O42" s="156">
        <v>9.1140000000000008</v>
      </c>
      <c r="P42" s="172">
        <v>1.2249514545201699E-4</v>
      </c>
      <c r="Q42" s="172">
        <v>4.9981086549092703E-6</v>
      </c>
    </row>
    <row r="43" spans="1:17">
      <c r="A43" s="2">
        <v>161</v>
      </c>
      <c r="B43" s="2">
        <v>9943</v>
      </c>
      <c r="C43" s="2" t="s">
        <v>1222</v>
      </c>
      <c r="D43" s="2" t="s">
        <v>1223</v>
      </c>
      <c r="E43" s="4" t="s">
        <v>366</v>
      </c>
      <c r="F43" s="2" t="s">
        <v>1000</v>
      </c>
      <c r="G43" s="2" t="s">
        <v>30</v>
      </c>
      <c r="H43" s="2" t="s">
        <v>173</v>
      </c>
      <c r="I43" s="2" t="s">
        <v>1224</v>
      </c>
      <c r="J43" s="2" t="s">
        <v>462</v>
      </c>
      <c r="K43" s="2" t="s">
        <v>1227</v>
      </c>
      <c r="L43" s="156">
        <v>1.502</v>
      </c>
      <c r="M43" s="166">
        <v>2.8908</v>
      </c>
      <c r="N43" s="170">
        <v>0</v>
      </c>
      <c r="O43" s="156">
        <v>4.3419999999999996</v>
      </c>
      <c r="P43" s="172">
        <v>5.8358675076343201E-5</v>
      </c>
      <c r="Q43" s="172">
        <v>2.3811800697225502E-6</v>
      </c>
    </row>
    <row r="44" spans="1:17">
      <c r="A44" s="2">
        <v>161</v>
      </c>
      <c r="B44" s="2">
        <v>9943</v>
      </c>
      <c r="C44" s="2" t="s">
        <v>1222</v>
      </c>
      <c r="D44" s="2" t="s">
        <v>1223</v>
      </c>
      <c r="E44" s="4" t="s">
        <v>366</v>
      </c>
      <c r="F44" s="2" t="s">
        <v>1000</v>
      </c>
      <c r="G44" s="2" t="s">
        <v>30</v>
      </c>
      <c r="H44" s="2" t="s">
        <v>173</v>
      </c>
      <c r="I44" s="2" t="s">
        <v>1224</v>
      </c>
      <c r="J44" s="2" t="s">
        <v>462</v>
      </c>
      <c r="K44" s="2" t="s">
        <v>1225</v>
      </c>
      <c r="L44" s="156">
        <v>1419.576</v>
      </c>
      <c r="M44" s="166">
        <v>4.1524000000000001</v>
      </c>
      <c r="N44" s="170">
        <v>0</v>
      </c>
      <c r="O44" s="156">
        <v>5894.6490000000003</v>
      </c>
      <c r="P44" s="172">
        <v>7.9227391637912606E-2</v>
      </c>
      <c r="Q44" s="172">
        <v>3.2326759594440398E-3</v>
      </c>
    </row>
    <row r="45" spans="1:17">
      <c r="A45" s="2">
        <v>161</v>
      </c>
      <c r="B45" s="2">
        <v>9943</v>
      </c>
      <c r="C45" s="2" t="s">
        <v>1222</v>
      </c>
      <c r="D45" s="2" t="s">
        <v>1223</v>
      </c>
      <c r="E45" s="4" t="s">
        <v>366</v>
      </c>
      <c r="F45" s="2" t="s">
        <v>1000</v>
      </c>
      <c r="G45" s="2" t="s">
        <v>30</v>
      </c>
      <c r="H45" s="2" t="s">
        <v>173</v>
      </c>
      <c r="I45" s="2" t="s">
        <v>1224</v>
      </c>
      <c r="J45" s="2" t="s">
        <v>462</v>
      </c>
      <c r="K45" s="2" t="s">
        <v>1228</v>
      </c>
      <c r="L45" s="156">
        <v>0.26</v>
      </c>
      <c r="M45" s="166">
        <v>0.55689999999999995</v>
      </c>
      <c r="N45" s="170">
        <v>0</v>
      </c>
      <c r="O45" s="156">
        <v>0.14499999999999999</v>
      </c>
      <c r="P45" s="172">
        <v>1.9461128068815499E-6</v>
      </c>
      <c r="Q45" s="172">
        <v>7.9406275470031296E-8</v>
      </c>
    </row>
    <row r="46" spans="1:17">
      <c r="A46" s="2">
        <v>161</v>
      </c>
      <c r="B46" s="2">
        <v>9943</v>
      </c>
      <c r="C46" s="2" t="s">
        <v>1222</v>
      </c>
      <c r="D46" s="2" t="s">
        <v>1223</v>
      </c>
      <c r="E46" s="4" t="s">
        <v>366</v>
      </c>
      <c r="F46" s="2" t="s">
        <v>1000</v>
      </c>
      <c r="G46" s="2" t="s">
        <v>30</v>
      </c>
      <c r="H46" s="2" t="s">
        <v>173</v>
      </c>
      <c r="I46" s="2" t="s">
        <v>1224</v>
      </c>
      <c r="J46" s="2" t="s">
        <v>462</v>
      </c>
      <c r="K46" s="2" t="s">
        <v>1229</v>
      </c>
      <c r="L46" s="156">
        <v>133.917</v>
      </c>
      <c r="M46" s="166">
        <v>4.9748000000000001</v>
      </c>
      <c r="N46" s="170">
        <v>0</v>
      </c>
      <c r="O46" s="156">
        <v>666.21100000000001</v>
      </c>
      <c r="P46" s="172">
        <v>8.9542504245488808E-3</v>
      </c>
      <c r="Q46" s="172">
        <v>3.6535583822538899E-4</v>
      </c>
    </row>
    <row r="47" spans="1:17">
      <c r="A47" s="2">
        <v>161</v>
      </c>
      <c r="B47" s="2">
        <v>9943</v>
      </c>
      <c r="C47" s="2" t="s">
        <v>1222</v>
      </c>
      <c r="D47" s="2" t="s">
        <v>1223</v>
      </c>
      <c r="E47" s="4" t="s">
        <v>366</v>
      </c>
      <c r="F47" s="2" t="s">
        <v>998</v>
      </c>
      <c r="G47" s="2" t="s">
        <v>30</v>
      </c>
      <c r="H47" s="2" t="s">
        <v>173</v>
      </c>
      <c r="I47" s="2" t="s">
        <v>1224</v>
      </c>
      <c r="J47" s="2" t="s">
        <v>462</v>
      </c>
      <c r="K47" s="2" t="s">
        <v>34</v>
      </c>
      <c r="L47" s="156">
        <v>23022.302</v>
      </c>
      <c r="M47" s="166">
        <v>1</v>
      </c>
      <c r="N47" s="170">
        <v>3.7999999999999999E-2</v>
      </c>
      <c r="O47" s="156">
        <v>23022.302</v>
      </c>
      <c r="P47" s="172">
        <v>0.30943269326664602</v>
      </c>
      <c r="Q47" s="172">
        <v>1.2625628686107599E-2</v>
      </c>
    </row>
    <row r="48" spans="1:17">
      <c r="A48" s="2">
        <v>161</v>
      </c>
      <c r="B48" s="2">
        <v>9943</v>
      </c>
      <c r="C48" s="2" t="s">
        <v>1222</v>
      </c>
      <c r="D48" s="2" t="s">
        <v>1223</v>
      </c>
      <c r="E48" s="4" t="s">
        <v>366</v>
      </c>
      <c r="F48" s="2" t="s">
        <v>1000</v>
      </c>
      <c r="G48" s="2" t="s">
        <v>30</v>
      </c>
      <c r="H48" s="2" t="s">
        <v>173</v>
      </c>
      <c r="I48" s="2" t="s">
        <v>1224</v>
      </c>
      <c r="J48" s="2" t="s">
        <v>462</v>
      </c>
      <c r="K48" s="2" t="s">
        <v>1230</v>
      </c>
      <c r="L48" s="156">
        <v>35.003999999999998</v>
      </c>
      <c r="M48" s="166">
        <v>4.3964999999999996</v>
      </c>
      <c r="N48" s="170">
        <v>0</v>
      </c>
      <c r="O48" s="156">
        <v>153.89500000000001</v>
      </c>
      <c r="P48" s="172">
        <v>2.0684335675269002E-3</v>
      </c>
      <c r="Q48" s="172">
        <v>8.4397268788179402E-5</v>
      </c>
    </row>
    <row r="49" spans="1:17">
      <c r="A49" s="2">
        <v>161</v>
      </c>
      <c r="B49" s="2">
        <v>9943</v>
      </c>
      <c r="C49" s="2" t="s">
        <v>1222</v>
      </c>
      <c r="D49" s="2" t="s">
        <v>1223</v>
      </c>
      <c r="E49" s="4" t="s">
        <v>366</v>
      </c>
      <c r="F49" s="2" t="s">
        <v>1000</v>
      </c>
      <c r="G49" s="2" t="s">
        <v>30</v>
      </c>
      <c r="H49" s="2" t="s">
        <v>173</v>
      </c>
      <c r="I49" s="2" t="s">
        <v>1224</v>
      </c>
      <c r="J49" s="2" t="s">
        <v>462</v>
      </c>
      <c r="K49" s="2" t="s">
        <v>95</v>
      </c>
      <c r="L49" s="156">
        <v>768.40700000000004</v>
      </c>
      <c r="M49" s="166">
        <v>3.71</v>
      </c>
      <c r="N49" s="170">
        <v>0</v>
      </c>
      <c r="O49" s="156">
        <v>2850.7890000000002</v>
      </c>
      <c r="P49" s="172">
        <v>3.8316208305087501E-2</v>
      </c>
      <c r="Q49" s="172">
        <v>1.56339724032558E-3</v>
      </c>
    </row>
    <row r="50" spans="1:17">
      <c r="A50" s="2">
        <v>161</v>
      </c>
      <c r="B50" s="2">
        <v>9943</v>
      </c>
      <c r="C50" s="2" t="s">
        <v>1222</v>
      </c>
      <c r="D50" s="2" t="s">
        <v>1223</v>
      </c>
      <c r="E50" s="4" t="s">
        <v>366</v>
      </c>
      <c r="F50" s="2" t="s">
        <v>1000</v>
      </c>
      <c r="G50" s="2" t="s">
        <v>30</v>
      </c>
      <c r="H50" s="2" t="s">
        <v>173</v>
      </c>
      <c r="I50" s="2" t="s">
        <v>1224</v>
      </c>
      <c r="J50" s="2" t="s">
        <v>462</v>
      </c>
      <c r="K50" s="2" t="s">
        <v>1226</v>
      </c>
      <c r="L50" s="156">
        <v>5.0359999999999996</v>
      </c>
      <c r="M50" s="166">
        <v>0.47660000000000002</v>
      </c>
      <c r="N50" s="170">
        <v>0</v>
      </c>
      <c r="O50" s="156">
        <v>2.4</v>
      </c>
      <c r="P50" s="172">
        <v>3.2261389968529197E-5</v>
      </c>
      <c r="Q50" s="172">
        <v>1.3163454912935299E-6</v>
      </c>
    </row>
    <row r="51" spans="1:17">
      <c r="A51" s="2">
        <v>161</v>
      </c>
      <c r="B51" s="2">
        <v>9943</v>
      </c>
      <c r="C51" s="2" t="s">
        <v>1222</v>
      </c>
      <c r="D51" s="2" t="s">
        <v>1223</v>
      </c>
      <c r="E51" s="4" t="s">
        <v>366</v>
      </c>
      <c r="F51" s="2" t="s">
        <v>1000</v>
      </c>
      <c r="G51" s="2" t="s">
        <v>30</v>
      </c>
      <c r="H51" s="2" t="s">
        <v>173</v>
      </c>
      <c r="I51" s="2" t="s">
        <v>1224</v>
      </c>
      <c r="J51" s="2" t="s">
        <v>462</v>
      </c>
      <c r="K51" s="2" t="s">
        <v>1227</v>
      </c>
      <c r="L51" s="156">
        <v>0.39700000000000002</v>
      </c>
      <c r="M51" s="166">
        <v>2.8908</v>
      </c>
      <c r="N51" s="170">
        <v>0</v>
      </c>
      <c r="O51" s="156">
        <v>1.1479999999999999</v>
      </c>
      <c r="P51" s="172">
        <v>1.54242522182468E-5</v>
      </c>
      <c r="Q51" s="172">
        <v>6.2934811190310196E-7</v>
      </c>
    </row>
    <row r="52" spans="1:17">
      <c r="A52" s="2">
        <v>161</v>
      </c>
      <c r="B52" s="2">
        <v>9943</v>
      </c>
      <c r="C52" s="2" t="s">
        <v>1222</v>
      </c>
      <c r="D52" s="2" t="s">
        <v>1223</v>
      </c>
      <c r="E52" s="4" t="s">
        <v>366</v>
      </c>
      <c r="F52" s="2" t="s">
        <v>1000</v>
      </c>
      <c r="G52" s="2" t="s">
        <v>30</v>
      </c>
      <c r="H52" s="2" t="s">
        <v>173</v>
      </c>
      <c r="I52" s="2" t="s">
        <v>1224</v>
      </c>
      <c r="J52" s="2" t="s">
        <v>462</v>
      </c>
      <c r="K52" s="2" t="s">
        <v>1225</v>
      </c>
      <c r="L52" s="156">
        <v>156.51599999999999</v>
      </c>
      <c r="M52" s="166">
        <v>4.1524000000000001</v>
      </c>
      <c r="N52" s="170">
        <v>0</v>
      </c>
      <c r="O52" s="156">
        <v>649.91499999999996</v>
      </c>
      <c r="P52" s="172">
        <v>8.7352282513449495E-3</v>
      </c>
      <c r="Q52" s="172">
        <v>3.56419185140337E-4</v>
      </c>
    </row>
    <row r="53" spans="1:17">
      <c r="A53" s="2">
        <v>161</v>
      </c>
      <c r="B53" s="2">
        <v>9943</v>
      </c>
      <c r="C53" s="2" t="s">
        <v>1222</v>
      </c>
      <c r="D53" s="2" t="s">
        <v>1223</v>
      </c>
      <c r="E53" s="4" t="s">
        <v>366</v>
      </c>
      <c r="F53" s="2" t="s">
        <v>1000</v>
      </c>
      <c r="G53" s="2" t="s">
        <v>30</v>
      </c>
      <c r="H53" s="2" t="s">
        <v>173</v>
      </c>
      <c r="I53" s="2" t="s">
        <v>1224</v>
      </c>
      <c r="J53" s="2" t="s">
        <v>462</v>
      </c>
      <c r="K53" s="2" t="s">
        <v>1228</v>
      </c>
      <c r="L53" s="156">
        <v>0.57599999999999996</v>
      </c>
      <c r="M53" s="166">
        <v>0.55689999999999995</v>
      </c>
      <c r="N53" s="170">
        <v>0</v>
      </c>
      <c r="O53" s="156">
        <v>0.32100000000000001</v>
      </c>
      <c r="P53" s="172">
        <v>4.3102656147797701E-6</v>
      </c>
      <c r="Q53" s="172">
        <v>1.7586962972852899E-7</v>
      </c>
    </row>
    <row r="54" spans="1:17">
      <c r="A54" s="2">
        <v>161</v>
      </c>
      <c r="B54" s="2">
        <v>9943</v>
      </c>
      <c r="C54" s="2" t="s">
        <v>1222</v>
      </c>
      <c r="D54" s="2" t="s">
        <v>1223</v>
      </c>
      <c r="E54" s="4" t="s">
        <v>366</v>
      </c>
      <c r="F54" s="2" t="s">
        <v>1000</v>
      </c>
      <c r="G54" s="2" t="s">
        <v>30</v>
      </c>
      <c r="H54" s="2" t="s">
        <v>173</v>
      </c>
      <c r="I54" s="2" t="s">
        <v>1224</v>
      </c>
      <c r="J54" s="2" t="s">
        <v>462</v>
      </c>
      <c r="K54" s="2" t="s">
        <v>1229</v>
      </c>
      <c r="L54" s="156">
        <v>4.9859999999999998</v>
      </c>
      <c r="M54" s="166">
        <v>4.9748000000000001</v>
      </c>
      <c r="N54" s="170">
        <v>0</v>
      </c>
      <c r="O54" s="156">
        <v>24.805</v>
      </c>
      <c r="P54" s="172">
        <v>3.3339782694646598E-4</v>
      </c>
      <c r="Q54" s="172">
        <v>1.36034661474956E-5</v>
      </c>
    </row>
    <row r="55" spans="1:17">
      <c r="A55" s="2">
        <v>161</v>
      </c>
      <c r="B55" s="2">
        <v>9943</v>
      </c>
      <c r="C55" s="2" t="s">
        <v>1222</v>
      </c>
      <c r="D55" s="2" t="s">
        <v>1223</v>
      </c>
      <c r="E55" s="4" t="s">
        <v>366</v>
      </c>
      <c r="F55" s="2" t="s">
        <v>998</v>
      </c>
      <c r="G55" s="2" t="s">
        <v>30</v>
      </c>
      <c r="H55" s="2" t="s">
        <v>173</v>
      </c>
      <c r="I55" s="2" t="s">
        <v>1224</v>
      </c>
      <c r="J55" s="2" t="s">
        <v>462</v>
      </c>
      <c r="K55" s="2" t="s">
        <v>34</v>
      </c>
      <c r="L55" s="156">
        <v>15899.633</v>
      </c>
      <c r="M55" s="166">
        <v>1</v>
      </c>
      <c r="N55" s="170">
        <v>3.7999999999999999E-2</v>
      </c>
      <c r="O55" s="156">
        <v>15899.633</v>
      </c>
      <c r="P55" s="172">
        <v>0.21370001687117601</v>
      </c>
      <c r="Q55" s="172">
        <v>8.7194957803161596E-3</v>
      </c>
    </row>
    <row r="56" spans="1:17">
      <c r="A56" s="2">
        <v>161</v>
      </c>
      <c r="B56" s="2">
        <v>9943</v>
      </c>
      <c r="C56" s="2" t="s">
        <v>1222</v>
      </c>
      <c r="D56" s="2" t="s">
        <v>1223</v>
      </c>
      <c r="E56" s="4" t="s">
        <v>366</v>
      </c>
      <c r="F56" s="2" t="s">
        <v>1000</v>
      </c>
      <c r="G56" s="2" t="s">
        <v>30</v>
      </c>
      <c r="H56" s="2" t="s">
        <v>173</v>
      </c>
      <c r="I56" s="2" t="s">
        <v>1224</v>
      </c>
      <c r="J56" s="2" t="s">
        <v>462</v>
      </c>
      <c r="K56" s="2" t="s">
        <v>1230</v>
      </c>
      <c r="L56" s="156">
        <v>0.88</v>
      </c>
      <c r="M56" s="166">
        <v>4.3964999999999996</v>
      </c>
      <c r="N56" s="170">
        <v>0</v>
      </c>
      <c r="O56" s="156">
        <v>3.8679999999999999</v>
      </c>
      <c r="P56" s="172">
        <v>5.1994551931051099E-5</v>
      </c>
      <c r="Q56" s="172">
        <v>2.1215079100135602E-6</v>
      </c>
    </row>
    <row r="57" spans="1:17">
      <c r="A57" s="2">
        <v>161</v>
      </c>
      <c r="B57" s="2">
        <v>9943</v>
      </c>
      <c r="C57" s="2" t="s">
        <v>1222</v>
      </c>
      <c r="D57" s="2" t="s">
        <v>1223</v>
      </c>
      <c r="E57" s="4" t="s">
        <v>366</v>
      </c>
      <c r="F57" s="2" t="s">
        <v>1000</v>
      </c>
      <c r="G57" s="2" t="s">
        <v>30</v>
      </c>
      <c r="H57" s="2" t="s">
        <v>173</v>
      </c>
      <c r="I57" s="2" t="s">
        <v>1224</v>
      </c>
      <c r="J57" s="2" t="s">
        <v>462</v>
      </c>
      <c r="K57" s="2" t="s">
        <v>95</v>
      </c>
      <c r="L57" s="156">
        <v>0.52800000000000002</v>
      </c>
      <c r="M57" s="166">
        <v>3.71</v>
      </c>
      <c r="N57" s="170">
        <v>0</v>
      </c>
      <c r="O57" s="156">
        <v>1.96</v>
      </c>
      <c r="P57" s="172">
        <v>2.6349392157960999E-5</v>
      </c>
      <c r="Q57" s="172">
        <v>1.07512117733589E-6</v>
      </c>
    </row>
    <row r="58" spans="1:17">
      <c r="A58" s="2">
        <v>161</v>
      </c>
      <c r="B58" s="2">
        <v>9943</v>
      </c>
      <c r="C58" s="2" t="s">
        <v>1222</v>
      </c>
      <c r="D58" s="2" t="s">
        <v>1223</v>
      </c>
      <c r="E58" s="4" t="s">
        <v>366</v>
      </c>
      <c r="F58" s="2" t="s">
        <v>1000</v>
      </c>
      <c r="G58" s="2" t="s">
        <v>30</v>
      </c>
      <c r="H58" s="2" t="s">
        <v>173</v>
      </c>
      <c r="I58" s="2" t="s">
        <v>1224</v>
      </c>
      <c r="J58" s="2" t="s">
        <v>462</v>
      </c>
      <c r="K58" s="2" t="s">
        <v>1226</v>
      </c>
      <c r="L58" s="156">
        <v>0</v>
      </c>
      <c r="M58" s="166">
        <v>0.47660000000000002</v>
      </c>
      <c r="N58" s="170">
        <v>0</v>
      </c>
      <c r="O58" s="156">
        <v>0</v>
      </c>
      <c r="P58" s="172">
        <v>1.92173162650334E-10</v>
      </c>
      <c r="Q58" s="172">
        <v>7.8411462261592894E-12</v>
      </c>
    </row>
    <row r="59" spans="1:17">
      <c r="A59" s="2">
        <v>161</v>
      </c>
      <c r="B59" s="2">
        <v>9943</v>
      </c>
      <c r="C59" s="2" t="s">
        <v>1222</v>
      </c>
      <c r="D59" s="2" t="s">
        <v>1223</v>
      </c>
      <c r="E59" s="4" t="s">
        <v>366</v>
      </c>
      <c r="F59" s="2" t="s">
        <v>1000</v>
      </c>
      <c r="G59" s="2" t="s">
        <v>30</v>
      </c>
      <c r="H59" s="2" t="s">
        <v>173</v>
      </c>
      <c r="I59" s="2" t="s">
        <v>1224</v>
      </c>
      <c r="J59" s="2" t="s">
        <v>462</v>
      </c>
      <c r="K59" s="2" t="s">
        <v>1225</v>
      </c>
      <c r="L59" s="156">
        <v>1.2E-2</v>
      </c>
      <c r="M59" s="166">
        <v>4.1524000000000001</v>
      </c>
      <c r="N59" s="170">
        <v>0</v>
      </c>
      <c r="O59" s="156">
        <v>5.1999999999999998E-2</v>
      </c>
      <c r="P59" s="172">
        <v>6.9428376115052499E-7</v>
      </c>
      <c r="Q59" s="172">
        <v>2.8328515899666201E-8</v>
      </c>
    </row>
    <row r="60" spans="1:17">
      <c r="A60" s="2">
        <v>161</v>
      </c>
      <c r="B60" s="2">
        <v>9943</v>
      </c>
      <c r="C60" s="2" t="s">
        <v>1222</v>
      </c>
      <c r="D60" s="2" t="s">
        <v>1223</v>
      </c>
      <c r="E60" s="4" t="s">
        <v>366</v>
      </c>
      <c r="F60" s="2" t="s">
        <v>1000</v>
      </c>
      <c r="G60" s="2" t="s">
        <v>30</v>
      </c>
      <c r="H60" s="2" t="s">
        <v>173</v>
      </c>
      <c r="I60" s="2" t="s">
        <v>1224</v>
      </c>
      <c r="J60" s="2" t="s">
        <v>462</v>
      </c>
      <c r="K60" s="2" t="s">
        <v>1228</v>
      </c>
      <c r="L60" s="156">
        <v>0</v>
      </c>
      <c r="M60" s="166">
        <v>0.55689999999999995</v>
      </c>
      <c r="N60" s="170">
        <v>0</v>
      </c>
      <c r="O60" s="156">
        <v>0</v>
      </c>
      <c r="P60" s="172">
        <v>1.49700985144735E-10</v>
      </c>
      <c r="Q60" s="172">
        <v>6.1081750361562498E-12</v>
      </c>
    </row>
    <row r="61" spans="1:17">
      <c r="A61" s="2">
        <v>161</v>
      </c>
      <c r="B61" s="2">
        <v>9943</v>
      </c>
      <c r="C61" s="2" t="s">
        <v>1222</v>
      </c>
      <c r="D61" s="2" t="s">
        <v>1223</v>
      </c>
      <c r="E61" s="4" t="s">
        <v>366</v>
      </c>
      <c r="F61" s="2" t="s">
        <v>1000</v>
      </c>
      <c r="G61" s="2" t="s">
        <v>30</v>
      </c>
      <c r="H61" s="2" t="s">
        <v>173</v>
      </c>
      <c r="I61" s="2" t="s">
        <v>1224</v>
      </c>
      <c r="J61" s="2" t="s">
        <v>462</v>
      </c>
      <c r="K61" s="2" t="s">
        <v>1229</v>
      </c>
      <c r="L61" s="156">
        <v>0</v>
      </c>
      <c r="M61" s="166">
        <v>4.9748000000000001</v>
      </c>
      <c r="N61" s="170">
        <v>0</v>
      </c>
      <c r="O61" s="156">
        <v>0</v>
      </c>
      <c r="P61" s="172">
        <v>1.3372822066762902E-9</v>
      </c>
      <c r="Q61" s="172">
        <v>5.4564462506500494E-11</v>
      </c>
    </row>
    <row r="62" spans="1:17">
      <c r="A62" s="2">
        <v>161</v>
      </c>
      <c r="B62" s="2">
        <v>9943</v>
      </c>
      <c r="C62" s="2" t="s">
        <v>1222</v>
      </c>
      <c r="D62" s="2" t="s">
        <v>1223</v>
      </c>
      <c r="E62" s="4" t="s">
        <v>366</v>
      </c>
      <c r="F62" s="2" t="s">
        <v>998</v>
      </c>
      <c r="G62" s="2" t="s">
        <v>30</v>
      </c>
      <c r="H62" s="2" t="s">
        <v>173</v>
      </c>
      <c r="I62" s="2" t="s">
        <v>1224</v>
      </c>
      <c r="J62" s="2" t="s">
        <v>462</v>
      </c>
      <c r="K62" s="2" t="s">
        <v>34</v>
      </c>
      <c r="L62" s="156">
        <v>174.065</v>
      </c>
      <c r="M62" s="166">
        <v>1</v>
      </c>
      <c r="N62" s="170">
        <v>3.7999999999999999E-2</v>
      </c>
      <c r="O62" s="156">
        <v>174.065</v>
      </c>
      <c r="P62" s="172">
        <v>2.3395325871159102E-3</v>
      </c>
      <c r="Q62" s="172">
        <v>9.5458787603029406E-5</v>
      </c>
    </row>
    <row r="63" spans="1:17">
      <c r="A63" s="2">
        <v>161</v>
      </c>
      <c r="B63" s="2">
        <v>9943</v>
      </c>
      <c r="C63" s="2" t="s">
        <v>1222</v>
      </c>
      <c r="D63" s="2" t="s">
        <v>1223</v>
      </c>
      <c r="E63" s="4" t="s">
        <v>366</v>
      </c>
      <c r="F63" s="2" t="s">
        <v>1000</v>
      </c>
      <c r="G63" s="2" t="s">
        <v>30</v>
      </c>
      <c r="H63" s="2" t="s">
        <v>173</v>
      </c>
      <c r="I63" s="2" t="s">
        <v>1224</v>
      </c>
      <c r="J63" s="2" t="s">
        <v>462</v>
      </c>
      <c r="K63" s="2" t="s">
        <v>1230</v>
      </c>
      <c r="L63" s="156">
        <v>0</v>
      </c>
      <c r="M63" s="166">
        <v>4.3964999999999996</v>
      </c>
      <c r="N63" s="170">
        <v>0</v>
      </c>
      <c r="O63" s="156">
        <v>0</v>
      </c>
      <c r="P63" s="172">
        <v>5.9091433039039806E-10</v>
      </c>
      <c r="Q63" s="172">
        <v>2.4110784293823796E-11</v>
      </c>
    </row>
    <row r="64" spans="1:17">
      <c r="A64" s="2">
        <v>161</v>
      </c>
      <c r="B64" s="2">
        <v>9943</v>
      </c>
      <c r="C64" s="2" t="s">
        <v>1222</v>
      </c>
      <c r="D64" s="2" t="s">
        <v>1223</v>
      </c>
      <c r="E64" s="4" t="s">
        <v>366</v>
      </c>
      <c r="F64" s="2" t="s">
        <v>998</v>
      </c>
      <c r="G64" s="2" t="s">
        <v>30</v>
      </c>
      <c r="H64" s="2" t="s">
        <v>173</v>
      </c>
      <c r="I64" s="2" t="s">
        <v>1224</v>
      </c>
      <c r="J64" s="2" t="s">
        <v>462</v>
      </c>
      <c r="K64" s="2" t="s">
        <v>34</v>
      </c>
      <c r="L64" s="156">
        <v>0</v>
      </c>
      <c r="M64" s="166">
        <v>1</v>
      </c>
      <c r="N64" s="170">
        <v>3.7999999999999999E-2</v>
      </c>
      <c r="O64" s="156">
        <v>0</v>
      </c>
      <c r="P64" s="172">
        <v>1.3440562501771801E-10</v>
      </c>
      <c r="Q64" s="172">
        <v>5.4840860443133894E-12</v>
      </c>
    </row>
    <row r="65" spans="1:17">
      <c r="A65" s="2">
        <v>161</v>
      </c>
      <c r="B65" s="2">
        <v>9943</v>
      </c>
      <c r="C65" s="2" t="s">
        <v>1222</v>
      </c>
      <c r="D65" s="2" t="s">
        <v>1223</v>
      </c>
      <c r="E65" s="4" t="s">
        <v>366</v>
      </c>
      <c r="F65" s="2" t="s">
        <v>1000</v>
      </c>
      <c r="G65" s="2" t="s">
        <v>30</v>
      </c>
      <c r="H65" s="2" t="s">
        <v>173</v>
      </c>
      <c r="I65" s="2" t="s">
        <v>1224</v>
      </c>
      <c r="J65" s="2" t="s">
        <v>462</v>
      </c>
      <c r="K65" s="2" t="s">
        <v>95</v>
      </c>
      <c r="L65" s="156">
        <v>3534.27</v>
      </c>
      <c r="M65" s="166">
        <v>3.71</v>
      </c>
      <c r="N65" s="170">
        <v>0</v>
      </c>
      <c r="O65" s="156">
        <v>13112.142</v>
      </c>
      <c r="P65" s="172">
        <v>0.17623455805635899</v>
      </c>
      <c r="Q65" s="172">
        <v>7.1908112494191304E-3</v>
      </c>
    </row>
    <row r="66" spans="1:17">
      <c r="A66" s="2">
        <v>161</v>
      </c>
      <c r="B66" s="2">
        <v>9943</v>
      </c>
      <c r="C66" s="2" t="s">
        <v>1222</v>
      </c>
      <c r="D66" s="2" t="s">
        <v>1223</v>
      </c>
      <c r="E66" s="4" t="s">
        <v>366</v>
      </c>
      <c r="F66" s="2" t="s">
        <v>1000</v>
      </c>
      <c r="G66" s="2" t="s">
        <v>30</v>
      </c>
      <c r="H66" s="2" t="s">
        <v>173</v>
      </c>
      <c r="I66" s="2" t="s">
        <v>1224</v>
      </c>
      <c r="J66" s="2" t="s">
        <v>462</v>
      </c>
      <c r="K66" s="2" t="s">
        <v>1225</v>
      </c>
      <c r="L66" s="156">
        <v>961.60299999999995</v>
      </c>
      <c r="M66" s="166">
        <v>4.1524000000000001</v>
      </c>
      <c r="N66" s="170">
        <v>0</v>
      </c>
      <c r="O66" s="156">
        <v>3992.9609999999998</v>
      </c>
      <c r="P66" s="172">
        <v>5.3667645836152002E-2</v>
      </c>
      <c r="Q66" s="172">
        <v>2.18977433066805E-3</v>
      </c>
    </row>
    <row r="67" spans="1:17">
      <c r="A67" s="2">
        <v>161</v>
      </c>
      <c r="B67" s="2">
        <v>9943</v>
      </c>
      <c r="C67" s="2" t="s">
        <v>1222</v>
      </c>
      <c r="D67" s="2" t="s">
        <v>1223</v>
      </c>
      <c r="E67" s="4" t="s">
        <v>366</v>
      </c>
      <c r="F67" s="2" t="s">
        <v>998</v>
      </c>
      <c r="G67" s="2" t="s">
        <v>30</v>
      </c>
      <c r="H67" s="2" t="s">
        <v>173</v>
      </c>
      <c r="I67" s="2" t="s">
        <v>1224</v>
      </c>
      <c r="J67" s="2" t="s">
        <v>462</v>
      </c>
      <c r="K67" s="2" t="s">
        <v>34</v>
      </c>
      <c r="L67" s="156">
        <v>6703.3249999999998</v>
      </c>
      <c r="M67" s="166">
        <v>1</v>
      </c>
      <c r="N67" s="170">
        <v>3.7999999999999999E-2</v>
      </c>
      <c r="O67" s="156">
        <v>6703.3249999999998</v>
      </c>
      <c r="P67" s="172">
        <v>9.0096457825755899E-2</v>
      </c>
      <c r="Q67" s="172">
        <v>3.6761610753951899E-3</v>
      </c>
    </row>
    <row r="68" spans="1:17">
      <c r="A68" s="2">
        <v>161</v>
      </c>
      <c r="B68" s="2">
        <v>12468</v>
      </c>
      <c r="C68" s="2" t="s">
        <v>1222</v>
      </c>
      <c r="D68" s="2" t="s">
        <v>1223</v>
      </c>
      <c r="E68" s="4" t="s">
        <v>366</v>
      </c>
      <c r="F68" s="2" t="s">
        <v>998</v>
      </c>
      <c r="G68" s="2" t="s">
        <v>30</v>
      </c>
      <c r="H68" s="2" t="s">
        <v>173</v>
      </c>
      <c r="I68" s="2" t="s">
        <v>1224</v>
      </c>
      <c r="J68" s="2" t="s">
        <v>462</v>
      </c>
      <c r="K68" s="2" t="s">
        <v>34</v>
      </c>
      <c r="L68" s="156">
        <v>0</v>
      </c>
      <c r="M68" s="166">
        <v>1</v>
      </c>
      <c r="N68" s="170">
        <v>3.7999999999999999E-2</v>
      </c>
      <c r="O68" s="156">
        <v>0</v>
      </c>
      <c r="P68" s="172">
        <v>-2.448973697879E-7</v>
      </c>
      <c r="Q68" s="172">
        <v>-2.0322216286641899E-8</v>
      </c>
    </row>
    <row r="69" spans="1:17">
      <c r="A69" s="2">
        <v>161</v>
      </c>
      <c r="B69" s="2">
        <v>12468</v>
      </c>
      <c r="C69" s="2" t="s">
        <v>1222</v>
      </c>
      <c r="D69" s="2" t="s">
        <v>1223</v>
      </c>
      <c r="E69" s="4" t="s">
        <v>366</v>
      </c>
      <c r="F69" s="2" t="s">
        <v>1000</v>
      </c>
      <c r="G69" s="2" t="s">
        <v>30</v>
      </c>
      <c r="H69" s="2" t="s">
        <v>173</v>
      </c>
      <c r="I69" s="2" t="s">
        <v>1224</v>
      </c>
      <c r="J69" s="2" t="s">
        <v>462</v>
      </c>
      <c r="K69" s="2" t="s">
        <v>95</v>
      </c>
      <c r="L69" s="156">
        <v>1.204</v>
      </c>
      <c r="M69" s="166">
        <v>3.71</v>
      </c>
      <c r="N69" s="170">
        <v>0</v>
      </c>
      <c r="O69" s="156">
        <v>4.4669999999999996</v>
      </c>
      <c r="P69" s="172">
        <v>3.52856054005306E-3</v>
      </c>
      <c r="Q69" s="172">
        <v>2.92809067478238E-4</v>
      </c>
    </row>
    <row r="70" spans="1:17">
      <c r="A70" s="2">
        <v>161</v>
      </c>
      <c r="B70" s="2">
        <v>12468</v>
      </c>
      <c r="C70" s="2" t="s">
        <v>1222</v>
      </c>
      <c r="D70" s="2" t="s">
        <v>1223</v>
      </c>
      <c r="E70" s="4" t="s">
        <v>366</v>
      </c>
      <c r="F70" s="2" t="s">
        <v>1000</v>
      </c>
      <c r="G70" s="2" t="s">
        <v>30</v>
      </c>
      <c r="H70" s="2" t="s">
        <v>173</v>
      </c>
      <c r="I70" s="2" t="s">
        <v>1224</v>
      </c>
      <c r="J70" s="2" t="s">
        <v>462</v>
      </c>
      <c r="K70" s="2" t="s">
        <v>1225</v>
      </c>
      <c r="L70" s="156">
        <v>3.0070000000000001</v>
      </c>
      <c r="M70" s="166">
        <v>4.1524000000000001</v>
      </c>
      <c r="N70" s="170">
        <v>0</v>
      </c>
      <c r="O70" s="156">
        <v>12.486000000000001</v>
      </c>
      <c r="P70" s="172">
        <v>9.8637824027190801E-3</v>
      </c>
      <c r="Q70" s="172">
        <v>8.1852214078917103E-4</v>
      </c>
    </row>
    <row r="71" spans="1:17">
      <c r="A71" s="2">
        <v>161</v>
      </c>
      <c r="B71" s="2">
        <v>12468</v>
      </c>
      <c r="C71" s="2" t="s">
        <v>1222</v>
      </c>
      <c r="D71" s="2" t="s">
        <v>1223</v>
      </c>
      <c r="E71" s="4" t="s">
        <v>366</v>
      </c>
      <c r="F71" s="2" t="s">
        <v>1000</v>
      </c>
      <c r="G71" s="2" t="s">
        <v>30</v>
      </c>
      <c r="H71" s="2" t="s">
        <v>173</v>
      </c>
      <c r="I71" s="2" t="s">
        <v>1224</v>
      </c>
      <c r="J71" s="2" t="s">
        <v>462</v>
      </c>
      <c r="K71" s="2" t="s">
        <v>1229</v>
      </c>
      <c r="L71" s="156">
        <v>3.2549999999999999</v>
      </c>
      <c r="M71" s="166">
        <v>4.9748000000000001</v>
      </c>
      <c r="N71" s="170">
        <v>0</v>
      </c>
      <c r="O71" s="156">
        <v>16.195</v>
      </c>
      <c r="P71" s="172">
        <v>1.27939233902332E-2</v>
      </c>
      <c r="Q71" s="172">
        <v>1.06167280814909E-3</v>
      </c>
    </row>
    <row r="72" spans="1:17">
      <c r="A72" s="2">
        <v>161</v>
      </c>
      <c r="B72" s="2">
        <v>12468</v>
      </c>
      <c r="C72" s="2" t="s">
        <v>1222</v>
      </c>
      <c r="D72" s="2" t="s">
        <v>1223</v>
      </c>
      <c r="E72" s="4" t="s">
        <v>366</v>
      </c>
      <c r="F72" s="2" t="s">
        <v>998</v>
      </c>
      <c r="G72" s="2" t="s">
        <v>30</v>
      </c>
      <c r="H72" s="2" t="s">
        <v>173</v>
      </c>
      <c r="I72" s="2" t="s">
        <v>1224</v>
      </c>
      <c r="J72" s="2" t="s">
        <v>462</v>
      </c>
      <c r="K72" s="2" t="s">
        <v>34</v>
      </c>
      <c r="L72" s="156">
        <v>1158.8019999999999</v>
      </c>
      <c r="M72" s="166">
        <v>1</v>
      </c>
      <c r="N72" s="170">
        <v>3.7999999999999999E-2</v>
      </c>
      <c r="O72" s="156">
        <v>1158.8019999999999</v>
      </c>
      <c r="P72" s="172">
        <v>0.91544366118144305</v>
      </c>
      <c r="Q72" s="172">
        <v>7.5965879490159302E-2</v>
      </c>
    </row>
    <row r="73" spans="1:17">
      <c r="A73" s="2">
        <v>161</v>
      </c>
      <c r="B73" s="2">
        <v>12468</v>
      </c>
      <c r="C73" s="2" t="s">
        <v>1222</v>
      </c>
      <c r="D73" s="2" t="s">
        <v>1223</v>
      </c>
      <c r="E73" s="4" t="s">
        <v>366</v>
      </c>
      <c r="F73" s="2" t="s">
        <v>1000</v>
      </c>
      <c r="G73" s="2" t="s">
        <v>30</v>
      </c>
      <c r="H73" s="2" t="s">
        <v>173</v>
      </c>
      <c r="I73" s="2" t="s">
        <v>1224</v>
      </c>
      <c r="J73" s="2" t="s">
        <v>462</v>
      </c>
      <c r="K73" s="2" t="s">
        <v>1230</v>
      </c>
      <c r="L73" s="156">
        <v>16.806000000000001</v>
      </c>
      <c r="M73" s="166">
        <v>4.3964999999999996</v>
      </c>
      <c r="N73" s="170">
        <v>0</v>
      </c>
      <c r="O73" s="156">
        <v>73.887</v>
      </c>
      <c r="P73" s="172">
        <v>5.8370317382921401E-2</v>
      </c>
      <c r="Q73" s="172">
        <v>4.8437197002279501E-3</v>
      </c>
    </row>
    <row r="74" spans="1:17">
      <c r="A74" s="2">
        <v>161</v>
      </c>
      <c r="B74" s="2">
        <v>15391</v>
      </c>
      <c r="C74" s="2" t="s">
        <v>1222</v>
      </c>
      <c r="D74" s="2" t="s">
        <v>1223</v>
      </c>
      <c r="E74" s="4" t="s">
        <v>366</v>
      </c>
      <c r="F74" s="2" t="s">
        <v>998</v>
      </c>
      <c r="G74" s="2" t="s">
        <v>30</v>
      </c>
      <c r="H74" s="2" t="s">
        <v>173</v>
      </c>
      <c r="I74" s="2" t="s">
        <v>1224</v>
      </c>
      <c r="J74" s="2" t="s">
        <v>462</v>
      </c>
      <c r="K74" s="2" t="s">
        <v>34</v>
      </c>
      <c r="L74" s="156">
        <v>0</v>
      </c>
      <c r="M74" s="166">
        <v>1</v>
      </c>
      <c r="N74" s="170">
        <v>0</v>
      </c>
      <c r="O74" s="156">
        <v>0</v>
      </c>
      <c r="P74" s="172">
        <v>4.3833214618377098E-7</v>
      </c>
      <c r="Q74" s="172">
        <v>4.3397482493813602E-9</v>
      </c>
    </row>
    <row r="75" spans="1:17">
      <c r="A75" s="2">
        <v>161</v>
      </c>
      <c r="B75" s="2">
        <v>15391</v>
      </c>
      <c r="C75" s="2" t="s">
        <v>1222</v>
      </c>
      <c r="D75" s="2" t="s">
        <v>1223</v>
      </c>
      <c r="E75" s="4" t="s">
        <v>366</v>
      </c>
      <c r="F75" s="2" t="s">
        <v>998</v>
      </c>
      <c r="G75" s="2" t="s">
        <v>30</v>
      </c>
      <c r="H75" s="2" t="s">
        <v>173</v>
      </c>
      <c r="I75" s="2" t="s">
        <v>1224</v>
      </c>
      <c r="J75" s="2" t="s">
        <v>462</v>
      </c>
      <c r="K75" s="2" t="s">
        <v>34</v>
      </c>
      <c r="L75" s="156">
        <v>22.814</v>
      </c>
      <c r="M75" s="166">
        <v>1</v>
      </c>
      <c r="N75" s="170">
        <v>0</v>
      </c>
      <c r="O75" s="156">
        <v>22.814</v>
      </c>
      <c r="P75" s="172">
        <v>0.99999956166785398</v>
      </c>
      <c r="Q75" s="172">
        <v>9.9005888226841501E-3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7" t="s">
        <v>14</v>
      </c>
      <c r="P1" s="171" t="s">
        <v>15</v>
      </c>
      <c r="Q1" s="22" t="s">
        <v>16</v>
      </c>
      <c r="R1" s="22" t="s">
        <v>17</v>
      </c>
      <c r="S1" s="165" t="s">
        <v>18</v>
      </c>
      <c r="T1" s="176" t="s">
        <v>19</v>
      </c>
      <c r="U1" s="22" t="s">
        <v>20</v>
      </c>
      <c r="V1" s="22" t="s">
        <v>21</v>
      </c>
      <c r="W1" s="22" t="s">
        <v>22</v>
      </c>
      <c r="X1" s="171" t="s">
        <v>23</v>
      </c>
      <c r="Y1" s="171" t="s">
        <v>24</v>
      </c>
      <c r="Z1" s="171" t="s">
        <v>25</v>
      </c>
    </row>
    <row r="2" spans="1:26">
      <c r="A2" s="21">
        <v>14076</v>
      </c>
      <c r="B2" s="21">
        <v>14077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0.92</v>
      </c>
      <c r="N2" s="4" t="s">
        <v>35</v>
      </c>
      <c r="O2" s="169">
        <v>1.7500000000000002E-2</v>
      </c>
      <c r="P2" s="174">
        <v>4.1840000000000002E-2</v>
      </c>
      <c r="R2" s="157">
        <v>359797</v>
      </c>
      <c r="S2" s="175">
        <v>1</v>
      </c>
      <c r="T2" s="177">
        <v>98.02</v>
      </c>
      <c r="U2" s="157">
        <v>352.673</v>
      </c>
      <c r="W2" s="21" t="s">
        <v>36</v>
      </c>
      <c r="X2" s="178">
        <v>1.5E-5</v>
      </c>
      <c r="Y2" s="174">
        <v>0.13645637218016399</v>
      </c>
      <c r="Z2" s="174">
        <v>3.0047269531797899E-2</v>
      </c>
    </row>
    <row r="3" spans="1:26">
      <c r="A3" s="21">
        <v>14076</v>
      </c>
      <c r="B3" s="21">
        <v>14077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7">
        <v>4.6100000000000003</v>
      </c>
      <c r="N3" s="4" t="s">
        <v>41</v>
      </c>
      <c r="O3" s="169">
        <v>5.0000000000000001E-3</v>
      </c>
      <c r="P3" s="174">
        <v>1.8280000000000001E-2</v>
      </c>
      <c r="R3" s="157">
        <v>539524</v>
      </c>
      <c r="S3" s="175">
        <v>1</v>
      </c>
      <c r="T3" s="177">
        <v>108.85</v>
      </c>
      <c r="U3" s="157">
        <v>587.27200000000005</v>
      </c>
      <c r="W3" s="21" t="s">
        <v>36</v>
      </c>
      <c r="X3" s="178">
        <v>2.0000000000000002E-5</v>
      </c>
      <c r="Y3" s="174">
        <v>0.227227445824528</v>
      </c>
      <c r="Z3" s="174">
        <v>5.0034778153834801E-2</v>
      </c>
    </row>
    <row r="4" spans="1:26">
      <c r="A4" s="21">
        <v>14076</v>
      </c>
      <c r="B4" s="21">
        <v>14077</v>
      </c>
      <c r="C4" s="21" t="s">
        <v>37</v>
      </c>
      <c r="D4" s="21" t="s">
        <v>42</v>
      </c>
      <c r="E4" s="21" t="s">
        <v>43</v>
      </c>
      <c r="F4" s="21" t="s">
        <v>40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1.83</v>
      </c>
      <c r="N4" s="4" t="s">
        <v>44</v>
      </c>
      <c r="O4" s="169">
        <v>1E-3</v>
      </c>
      <c r="P4" s="174">
        <v>1.5679999999999999E-2</v>
      </c>
      <c r="R4" s="157">
        <v>727243</v>
      </c>
      <c r="S4" s="175">
        <v>1</v>
      </c>
      <c r="T4" s="177">
        <v>112.44</v>
      </c>
      <c r="U4" s="157">
        <v>817.71199999999999</v>
      </c>
      <c r="W4" s="21" t="s">
        <v>36</v>
      </c>
      <c r="X4" s="178">
        <v>3.6000000000000001E-5</v>
      </c>
      <c r="Y4" s="174">
        <v>0.31638943399340702</v>
      </c>
      <c r="Z4" s="174">
        <v>6.9667971149498797E-2</v>
      </c>
    </row>
    <row r="5" spans="1:26">
      <c r="A5" s="21">
        <v>14076</v>
      </c>
      <c r="B5" s="21">
        <v>14077</v>
      </c>
      <c r="C5" s="21" t="s">
        <v>26</v>
      </c>
      <c r="D5" s="21" t="s">
        <v>45</v>
      </c>
      <c r="E5" s="21" t="s">
        <v>46</v>
      </c>
      <c r="F5" s="21" t="s">
        <v>29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4" t="s">
        <v>34</v>
      </c>
      <c r="M5" s="157">
        <v>7.1239999999999997</v>
      </c>
      <c r="N5" s="4" t="s">
        <v>47</v>
      </c>
      <c r="O5" s="169">
        <v>1.2999999999999999E-2</v>
      </c>
      <c r="P5" s="174">
        <v>4.7539999999999999E-2</v>
      </c>
      <c r="R5" s="157">
        <v>1046916</v>
      </c>
      <c r="S5" s="175">
        <v>1</v>
      </c>
      <c r="T5" s="177">
        <v>78.98</v>
      </c>
      <c r="U5" s="157">
        <v>826.85400000000004</v>
      </c>
      <c r="W5" s="21" t="s">
        <v>36</v>
      </c>
      <c r="X5" s="178">
        <v>3.4999999999999997E-5</v>
      </c>
      <c r="Y5" s="174">
        <v>0.31992674800190102</v>
      </c>
      <c r="Z5" s="174">
        <v>7.0446876712747103E-2</v>
      </c>
    </row>
    <row r="6" spans="1:26">
      <c r="A6" s="21">
        <v>14076</v>
      </c>
      <c r="B6" s="21">
        <v>14078</v>
      </c>
      <c r="C6" s="21" t="s">
        <v>26</v>
      </c>
      <c r="D6" s="21" t="s">
        <v>27</v>
      </c>
      <c r="E6" s="21" t="s">
        <v>28</v>
      </c>
      <c r="F6" s="21" t="s">
        <v>29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4" t="s">
        <v>34</v>
      </c>
      <c r="M6" s="157">
        <v>0.92</v>
      </c>
      <c r="N6" s="4" t="s">
        <v>35</v>
      </c>
      <c r="O6" s="169">
        <v>1.7500000000000002E-2</v>
      </c>
      <c r="P6" s="174">
        <v>4.1840000000000002E-2</v>
      </c>
      <c r="R6" s="157">
        <v>74516</v>
      </c>
      <c r="S6" s="175">
        <v>1</v>
      </c>
      <c r="T6" s="177">
        <v>98.02</v>
      </c>
      <c r="U6" s="157">
        <v>73.040999999999997</v>
      </c>
      <c r="W6" s="21" t="s">
        <v>36</v>
      </c>
      <c r="X6" s="178">
        <v>3.0000000000000001E-6</v>
      </c>
      <c r="Y6" s="174">
        <v>0.19931406698863199</v>
      </c>
      <c r="Z6" s="174">
        <v>5.9743080203597497E-2</v>
      </c>
    </row>
    <row r="7" spans="1:26">
      <c r="A7" s="21">
        <v>14076</v>
      </c>
      <c r="B7" s="21">
        <v>14078</v>
      </c>
      <c r="C7" s="21" t="s">
        <v>37</v>
      </c>
      <c r="D7" s="21" t="s">
        <v>38</v>
      </c>
      <c r="E7" s="21" t="s">
        <v>39</v>
      </c>
      <c r="F7" s="21" t="s">
        <v>40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4" t="s">
        <v>34</v>
      </c>
      <c r="M7" s="157">
        <v>4.6100000000000003</v>
      </c>
      <c r="N7" s="4" t="s">
        <v>41</v>
      </c>
      <c r="O7" s="169">
        <v>5.0000000000000001E-3</v>
      </c>
      <c r="P7" s="174">
        <v>1.8280000000000001E-2</v>
      </c>
      <c r="R7" s="157">
        <v>67460</v>
      </c>
      <c r="S7" s="175">
        <v>1</v>
      </c>
      <c r="T7" s="177">
        <v>108.85</v>
      </c>
      <c r="U7" s="157">
        <v>73.430000000000007</v>
      </c>
      <c r="W7" s="21" t="s">
        <v>36</v>
      </c>
      <c r="X7" s="178">
        <v>3.0000000000000001E-6</v>
      </c>
      <c r="Y7" s="174">
        <v>0.200377285527059</v>
      </c>
      <c r="Z7" s="174">
        <v>6.0061772965101498E-2</v>
      </c>
    </row>
    <row r="8" spans="1:26">
      <c r="A8" s="21">
        <v>14076</v>
      </c>
      <c r="B8" s="21">
        <v>14078</v>
      </c>
      <c r="C8" s="21" t="s">
        <v>37</v>
      </c>
      <c r="D8" s="21" t="s">
        <v>42</v>
      </c>
      <c r="E8" s="21" t="s">
        <v>43</v>
      </c>
      <c r="F8" s="21" t="s">
        <v>40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4" t="s">
        <v>34</v>
      </c>
      <c r="M8" s="157">
        <v>1.83</v>
      </c>
      <c r="N8" s="4" t="s">
        <v>44</v>
      </c>
      <c r="O8" s="169">
        <v>1E-3</v>
      </c>
      <c r="P8" s="174">
        <v>1.5679999999999999E-2</v>
      </c>
      <c r="R8" s="157">
        <v>76198</v>
      </c>
      <c r="S8" s="175">
        <v>1</v>
      </c>
      <c r="T8" s="177">
        <v>112.44</v>
      </c>
      <c r="U8" s="157">
        <v>85.677000000000007</v>
      </c>
      <c r="W8" s="21" t="s">
        <v>36</v>
      </c>
      <c r="X8" s="178">
        <v>3.9999999999999998E-6</v>
      </c>
      <c r="Y8" s="174">
        <v>0.23379656607100999</v>
      </c>
      <c r="Z8" s="174">
        <v>7.00789824277816E-2</v>
      </c>
    </row>
    <row r="9" spans="1:26">
      <c r="A9" s="21">
        <v>14076</v>
      </c>
      <c r="B9" s="21">
        <v>14078</v>
      </c>
      <c r="C9" s="21" t="s">
        <v>37</v>
      </c>
      <c r="D9" s="21" t="s">
        <v>48</v>
      </c>
      <c r="E9" s="21" t="s">
        <v>49</v>
      </c>
      <c r="F9" s="21" t="s">
        <v>40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4" t="s">
        <v>34</v>
      </c>
      <c r="M9" s="157">
        <v>3.972</v>
      </c>
      <c r="N9" s="4" t="s">
        <v>50</v>
      </c>
      <c r="O9" s="169">
        <v>1.0999999999999999E-2</v>
      </c>
      <c r="P9" s="174">
        <v>1.806E-2</v>
      </c>
      <c r="R9" s="157">
        <v>59610</v>
      </c>
      <c r="S9" s="175">
        <v>1</v>
      </c>
      <c r="T9" s="177">
        <v>102.6</v>
      </c>
      <c r="U9" s="157">
        <v>61.16</v>
      </c>
      <c r="W9" s="21" t="s">
        <v>36</v>
      </c>
      <c r="X9" s="178">
        <v>3.0000000000000001E-6</v>
      </c>
      <c r="Y9" s="174">
        <v>0.16689379929616099</v>
      </c>
      <c r="Z9" s="174">
        <v>5.0025318270196802E-2</v>
      </c>
    </row>
    <row r="10" spans="1:26">
      <c r="A10" s="21">
        <v>14076</v>
      </c>
      <c r="B10" s="21">
        <v>14078</v>
      </c>
      <c r="C10" s="21" t="s">
        <v>26</v>
      </c>
      <c r="D10" s="21" t="s">
        <v>45</v>
      </c>
      <c r="E10" s="21" t="s">
        <v>46</v>
      </c>
      <c r="F10" s="21" t="s">
        <v>29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4" t="s">
        <v>34</v>
      </c>
      <c r="M10" s="157">
        <v>7.1239999999999997</v>
      </c>
      <c r="N10" s="4" t="s">
        <v>47</v>
      </c>
      <c r="O10" s="169">
        <v>1.2999999999999999E-2</v>
      </c>
      <c r="P10" s="174">
        <v>4.7539999999999999E-2</v>
      </c>
      <c r="R10" s="157">
        <v>92621</v>
      </c>
      <c r="S10" s="175">
        <v>1</v>
      </c>
      <c r="T10" s="177">
        <v>78.98</v>
      </c>
      <c r="U10" s="157">
        <v>73.152000000000001</v>
      </c>
      <c r="W10" s="21" t="s">
        <v>36</v>
      </c>
      <c r="X10" s="178">
        <v>3.0000000000000001E-6</v>
      </c>
      <c r="Y10" s="174">
        <v>0.199618282117139</v>
      </c>
      <c r="Z10" s="174">
        <v>5.9834266686800502E-2</v>
      </c>
    </row>
    <row r="11" spans="1:26">
      <c r="A11" s="21">
        <v>161</v>
      </c>
      <c r="B11" s="21">
        <v>1434</v>
      </c>
      <c r="C11" s="21" t="s">
        <v>51</v>
      </c>
      <c r="D11" s="21" t="s">
        <v>52</v>
      </c>
      <c r="E11" s="21" t="s">
        <v>53</v>
      </c>
      <c r="F11" s="21" t="s">
        <v>54</v>
      </c>
      <c r="G11" s="21" t="s">
        <v>30</v>
      </c>
      <c r="H11" s="21" t="s">
        <v>30</v>
      </c>
      <c r="I11" s="21" t="s">
        <v>55</v>
      </c>
      <c r="J11" s="21" t="s">
        <v>32</v>
      </c>
      <c r="K11" s="21" t="s">
        <v>33</v>
      </c>
      <c r="L11" s="4" t="s">
        <v>34</v>
      </c>
      <c r="M11" s="157">
        <v>0.42</v>
      </c>
      <c r="N11" s="4" t="s">
        <v>56</v>
      </c>
      <c r="O11" s="169">
        <v>0</v>
      </c>
      <c r="P11" s="174">
        <v>4.3490000000000001E-2</v>
      </c>
      <c r="R11" s="157">
        <v>93372</v>
      </c>
      <c r="S11" s="175">
        <v>1</v>
      </c>
      <c r="T11" s="177">
        <v>98.22</v>
      </c>
      <c r="U11" s="157">
        <v>91.71</v>
      </c>
      <c r="W11" s="21" t="s">
        <v>36</v>
      </c>
      <c r="X11" s="178">
        <v>7.9999999999999996E-6</v>
      </c>
      <c r="Y11" s="174">
        <v>7.0408319720028298E-3</v>
      </c>
      <c r="Z11" s="174">
        <v>4.0736514291920597E-3</v>
      </c>
    </row>
    <row r="12" spans="1:26">
      <c r="A12" s="21">
        <v>161</v>
      </c>
      <c r="B12" s="21">
        <v>1434</v>
      </c>
      <c r="C12" s="21" t="s">
        <v>51</v>
      </c>
      <c r="D12" s="21" t="s">
        <v>57</v>
      </c>
      <c r="E12" s="21" t="s">
        <v>58</v>
      </c>
      <c r="F12" s="21" t="s">
        <v>54</v>
      </c>
      <c r="G12" s="21" t="s">
        <v>30</v>
      </c>
      <c r="H12" s="21" t="s">
        <v>30</v>
      </c>
      <c r="I12" s="21" t="s">
        <v>55</v>
      </c>
      <c r="J12" s="21" t="s">
        <v>32</v>
      </c>
      <c r="K12" s="21" t="s">
        <v>33</v>
      </c>
      <c r="L12" s="4" t="s">
        <v>34</v>
      </c>
      <c r="M12" s="157">
        <v>0.5</v>
      </c>
      <c r="N12" s="4" t="s">
        <v>59</v>
      </c>
      <c r="O12" s="169">
        <v>0</v>
      </c>
      <c r="P12" s="174">
        <v>4.3479999999999998E-2</v>
      </c>
      <c r="R12" s="157">
        <v>726000</v>
      </c>
      <c r="S12" s="175">
        <v>1</v>
      </c>
      <c r="T12" s="177">
        <v>97.9</v>
      </c>
      <c r="U12" s="157">
        <v>710.75400000000002</v>
      </c>
      <c r="W12" s="21" t="s">
        <v>36</v>
      </c>
      <c r="X12" s="178">
        <v>6.0999999999999999E-5</v>
      </c>
      <c r="Y12" s="174">
        <v>5.4566575793991198E-2</v>
      </c>
      <c r="Z12" s="174">
        <v>3.1570872640222701E-2</v>
      </c>
    </row>
    <row r="13" spans="1:26">
      <c r="A13" s="21">
        <v>161</v>
      </c>
      <c r="B13" s="21">
        <v>1434</v>
      </c>
      <c r="C13" s="21" t="s">
        <v>51</v>
      </c>
      <c r="D13" s="21" t="s">
        <v>60</v>
      </c>
      <c r="E13" s="21" t="s">
        <v>61</v>
      </c>
      <c r="F13" s="21" t="s">
        <v>54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4" t="s">
        <v>34</v>
      </c>
      <c r="M13" s="157">
        <v>0.18</v>
      </c>
      <c r="N13" s="4" t="s">
        <v>62</v>
      </c>
      <c r="O13" s="169">
        <v>0</v>
      </c>
      <c r="P13" s="174">
        <v>4.3360000000000003E-2</v>
      </c>
      <c r="R13" s="157">
        <v>2000000</v>
      </c>
      <c r="S13" s="175">
        <v>1</v>
      </c>
      <c r="T13" s="177">
        <v>99.27</v>
      </c>
      <c r="U13" s="157">
        <v>1985.4</v>
      </c>
      <c r="W13" s="21" t="s">
        <v>36</v>
      </c>
      <c r="X13" s="178">
        <v>5.0000000000000002E-5</v>
      </c>
      <c r="Y13" s="174">
        <v>0.15242472020050599</v>
      </c>
      <c r="Z13" s="174">
        <v>8.8189177324219395E-2</v>
      </c>
    </row>
    <row r="14" spans="1:26">
      <c r="A14" s="21">
        <v>161</v>
      </c>
      <c r="B14" s="21">
        <v>1434</v>
      </c>
      <c r="C14" s="21" t="s">
        <v>51</v>
      </c>
      <c r="D14" s="21" t="s">
        <v>63</v>
      </c>
      <c r="E14" s="21" t="s">
        <v>64</v>
      </c>
      <c r="F14" s="21" t="s">
        <v>54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4" t="s">
        <v>34</v>
      </c>
      <c r="M14" s="157">
        <v>0.35</v>
      </c>
      <c r="N14" s="4" t="s">
        <v>65</v>
      </c>
      <c r="O14" s="169">
        <v>0</v>
      </c>
      <c r="P14" s="174">
        <v>4.2909999999999997E-2</v>
      </c>
      <c r="R14" s="157">
        <v>618500</v>
      </c>
      <c r="S14" s="175">
        <v>1</v>
      </c>
      <c r="T14" s="177">
        <v>98.56</v>
      </c>
      <c r="U14" s="157">
        <v>609.59400000000005</v>
      </c>
      <c r="W14" s="21" t="s">
        <v>36</v>
      </c>
      <c r="X14" s="178">
        <v>5.1999999999999997E-5</v>
      </c>
      <c r="Y14" s="174">
        <v>4.68002084799128E-2</v>
      </c>
      <c r="Z14" s="174">
        <v>2.7077444387080301E-2</v>
      </c>
    </row>
    <row r="15" spans="1:26">
      <c r="A15" s="21">
        <v>161</v>
      </c>
      <c r="B15" s="21">
        <v>1434</v>
      </c>
      <c r="C15" s="21" t="s">
        <v>51</v>
      </c>
      <c r="D15" s="21" t="s">
        <v>66</v>
      </c>
      <c r="E15" s="21" t="s">
        <v>67</v>
      </c>
      <c r="F15" s="21" t="s">
        <v>54</v>
      </c>
      <c r="G15" s="21" t="s">
        <v>30</v>
      </c>
      <c r="H15" s="21" t="s">
        <v>30</v>
      </c>
      <c r="I15" s="21" t="s">
        <v>55</v>
      </c>
      <c r="J15" s="21" t="s">
        <v>32</v>
      </c>
      <c r="K15" s="21" t="s">
        <v>33</v>
      </c>
      <c r="L15" s="4" t="s">
        <v>34</v>
      </c>
      <c r="M15" s="157">
        <v>0.55600000000000005</v>
      </c>
      <c r="N15" s="4" t="s">
        <v>68</v>
      </c>
      <c r="O15" s="169">
        <v>0</v>
      </c>
      <c r="P15" s="174">
        <v>4.3150000000000001E-2</v>
      </c>
      <c r="R15" s="157">
        <v>356000</v>
      </c>
      <c r="S15" s="175">
        <v>1</v>
      </c>
      <c r="T15" s="177">
        <v>97.52</v>
      </c>
      <c r="U15" s="157">
        <v>347.17099999999999</v>
      </c>
      <c r="W15" s="21" t="s">
        <v>36</v>
      </c>
      <c r="X15" s="178">
        <v>2.5000000000000001E-5</v>
      </c>
      <c r="Y15" s="174">
        <v>2.66533056420237E-2</v>
      </c>
      <c r="Z15" s="174">
        <v>1.5420944151638E-2</v>
      </c>
    </row>
    <row r="16" spans="1:26">
      <c r="A16" s="21">
        <v>161</v>
      </c>
      <c r="B16" s="21">
        <v>1434</v>
      </c>
      <c r="C16" s="21" t="s">
        <v>37</v>
      </c>
      <c r="D16" s="21" t="s">
        <v>69</v>
      </c>
      <c r="E16" s="21" t="s">
        <v>70</v>
      </c>
      <c r="F16" s="21" t="s">
        <v>40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4" t="s">
        <v>34</v>
      </c>
      <c r="M16" s="157">
        <v>18.399999999999999</v>
      </c>
      <c r="N16" s="4" t="s">
        <v>71</v>
      </c>
      <c r="O16" s="169">
        <v>0.01</v>
      </c>
      <c r="P16" s="174">
        <v>2.2749999999999999E-2</v>
      </c>
      <c r="R16" s="157">
        <v>436910</v>
      </c>
      <c r="S16" s="175">
        <v>1</v>
      </c>
      <c r="T16" s="177">
        <v>92.5</v>
      </c>
      <c r="U16" s="157">
        <v>404.142</v>
      </c>
      <c r="W16" s="21" t="s">
        <v>36</v>
      </c>
      <c r="X16" s="178">
        <v>2.3E-5</v>
      </c>
      <c r="Y16" s="174">
        <v>3.1027094371458001E-2</v>
      </c>
      <c r="Z16" s="174">
        <v>1.7951510252276801E-2</v>
      </c>
    </row>
    <row r="17" spans="1:26">
      <c r="A17" s="21">
        <v>161</v>
      </c>
      <c r="B17" s="21">
        <v>1434</v>
      </c>
      <c r="C17" s="21" t="s">
        <v>26</v>
      </c>
      <c r="D17" s="21" t="s">
        <v>27</v>
      </c>
      <c r="E17" s="21" t="s">
        <v>28</v>
      </c>
      <c r="F17" s="21" t="s">
        <v>29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4" t="s">
        <v>34</v>
      </c>
      <c r="M17" s="157">
        <v>0.92</v>
      </c>
      <c r="N17" s="4" t="s">
        <v>35</v>
      </c>
      <c r="O17" s="169">
        <v>1.7500000000000002E-2</v>
      </c>
      <c r="P17" s="174">
        <v>4.1840000000000002E-2</v>
      </c>
      <c r="R17" s="157">
        <v>210000</v>
      </c>
      <c r="S17" s="175">
        <v>1</v>
      </c>
      <c r="T17" s="177">
        <v>98.02</v>
      </c>
      <c r="U17" s="157">
        <v>205.84200000000001</v>
      </c>
      <c r="W17" s="21" t="s">
        <v>36</v>
      </c>
      <c r="X17" s="178">
        <v>9.0000000000000002E-6</v>
      </c>
      <c r="Y17" s="174">
        <v>1.5803067016980199E-2</v>
      </c>
      <c r="Z17" s="174">
        <v>9.1432641476639296E-3</v>
      </c>
    </row>
    <row r="18" spans="1:26">
      <c r="A18" s="21">
        <v>161</v>
      </c>
      <c r="B18" s="21">
        <v>1434</v>
      </c>
      <c r="C18" s="21" t="s">
        <v>37</v>
      </c>
      <c r="D18" s="21" t="s">
        <v>72</v>
      </c>
      <c r="E18" s="21" t="s">
        <v>73</v>
      </c>
      <c r="F18" s="21" t="s">
        <v>40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7">
        <v>13.85</v>
      </c>
      <c r="N18" s="4" t="s">
        <v>74</v>
      </c>
      <c r="O18" s="169">
        <v>2.75E-2</v>
      </c>
      <c r="P18" s="174">
        <v>2.24E-2</v>
      </c>
      <c r="R18" s="157">
        <v>121000</v>
      </c>
      <c r="S18" s="175">
        <v>1</v>
      </c>
      <c r="T18" s="177">
        <v>132.61000000000001</v>
      </c>
      <c r="U18" s="157">
        <v>160.458</v>
      </c>
      <c r="W18" s="21" t="s">
        <v>36</v>
      </c>
      <c r="X18" s="178">
        <v>6.0000000000000002E-6</v>
      </c>
      <c r="Y18" s="174">
        <v>1.23188178686435E-2</v>
      </c>
      <c r="Z18" s="174">
        <v>7.1273636718078596E-3</v>
      </c>
    </row>
    <row r="19" spans="1:26">
      <c r="A19" s="21">
        <v>161</v>
      </c>
      <c r="B19" s="21">
        <v>1434</v>
      </c>
      <c r="C19" s="21" t="s">
        <v>26</v>
      </c>
      <c r="D19" s="21" t="s">
        <v>75</v>
      </c>
      <c r="E19" s="21" t="s">
        <v>76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4" t="s">
        <v>34</v>
      </c>
      <c r="M19" s="157">
        <v>11.238</v>
      </c>
      <c r="N19" s="4" t="s">
        <v>77</v>
      </c>
      <c r="O19" s="169">
        <v>5.5E-2</v>
      </c>
      <c r="P19" s="174">
        <v>5.1729999999999998E-2</v>
      </c>
      <c r="R19" s="157">
        <v>237954</v>
      </c>
      <c r="S19" s="175">
        <v>1</v>
      </c>
      <c r="T19" s="177">
        <v>107.34</v>
      </c>
      <c r="U19" s="157">
        <v>255.42</v>
      </c>
      <c r="W19" s="21" t="s">
        <v>36</v>
      </c>
      <c r="X19" s="178">
        <v>1.1E-5</v>
      </c>
      <c r="Y19" s="174">
        <v>1.9609295429582198E-2</v>
      </c>
      <c r="Z19" s="174">
        <v>1.1345453871049301E-2</v>
      </c>
    </row>
    <row r="20" spans="1:26">
      <c r="A20" s="4">
        <v>161</v>
      </c>
      <c r="B20" s="4">
        <v>1434</v>
      </c>
      <c r="C20" s="4" t="s">
        <v>78</v>
      </c>
      <c r="D20" s="4" t="s">
        <v>79</v>
      </c>
      <c r="E20" s="4" t="s">
        <v>80</v>
      </c>
      <c r="F20" s="21" t="s">
        <v>81</v>
      </c>
      <c r="G20" s="21" t="s">
        <v>30</v>
      </c>
      <c r="H20" s="21" t="s">
        <v>30</v>
      </c>
      <c r="I20" s="21" t="s">
        <v>31</v>
      </c>
      <c r="J20" s="4" t="s">
        <v>32</v>
      </c>
      <c r="K20" s="21" t="s">
        <v>33</v>
      </c>
      <c r="L20" s="4" t="s">
        <v>34</v>
      </c>
      <c r="M20" s="157">
        <v>1.6040000000000001</v>
      </c>
      <c r="N20" s="4" t="s">
        <v>82</v>
      </c>
      <c r="O20" s="169">
        <v>4.1700000000000001E-2</v>
      </c>
      <c r="P20" s="174">
        <v>4.718E-2</v>
      </c>
      <c r="R20" s="157">
        <v>66000</v>
      </c>
      <c r="S20" s="175">
        <v>1</v>
      </c>
      <c r="T20" s="177">
        <v>99.82</v>
      </c>
      <c r="U20" s="157">
        <v>65.881</v>
      </c>
      <c r="W20" s="21" t="s">
        <v>36</v>
      </c>
      <c r="X20" s="178">
        <v>3.0000000000000001E-6</v>
      </c>
      <c r="Y20" s="174">
        <v>5.0578842935799099E-3</v>
      </c>
      <c r="Z20" s="174">
        <v>2.9263668928842298E-3</v>
      </c>
    </row>
    <row r="21" spans="1:26">
      <c r="A21" s="4">
        <v>161</v>
      </c>
      <c r="B21" s="4">
        <v>1434</v>
      </c>
      <c r="C21" s="4" t="s">
        <v>37</v>
      </c>
      <c r="D21" s="4" t="s">
        <v>38</v>
      </c>
      <c r="E21" s="4" t="s">
        <v>39</v>
      </c>
      <c r="F21" s="4" t="s">
        <v>40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21" t="s">
        <v>34</v>
      </c>
      <c r="M21" s="157">
        <v>4.6100000000000003</v>
      </c>
      <c r="N21" s="4" t="s">
        <v>41</v>
      </c>
      <c r="O21" s="173">
        <v>5.0000000000000001E-3</v>
      </c>
      <c r="P21" s="174">
        <v>1.8280000000000001E-2</v>
      </c>
      <c r="R21" s="157">
        <v>750000</v>
      </c>
      <c r="S21" s="175">
        <v>1</v>
      </c>
      <c r="T21" s="177">
        <v>108.85</v>
      </c>
      <c r="U21" s="157">
        <v>816.375</v>
      </c>
      <c r="W21" s="4" t="s">
        <v>36</v>
      </c>
      <c r="X21" s="174">
        <v>2.8E-5</v>
      </c>
      <c r="Y21" s="174">
        <v>6.2675395866670605E-2</v>
      </c>
      <c r="Z21" s="174">
        <v>3.6262435598901799E-2</v>
      </c>
    </row>
    <row r="22" spans="1:26">
      <c r="A22" s="4">
        <v>161</v>
      </c>
      <c r="B22" s="4">
        <v>1434</v>
      </c>
      <c r="C22" s="4" t="s">
        <v>37</v>
      </c>
      <c r="D22" s="4" t="s">
        <v>42</v>
      </c>
      <c r="E22" s="4" t="s">
        <v>43</v>
      </c>
      <c r="F22" s="4" t="s">
        <v>40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21" t="s">
        <v>34</v>
      </c>
      <c r="M22" s="157">
        <v>1.83</v>
      </c>
      <c r="N22" s="4" t="s">
        <v>44</v>
      </c>
      <c r="O22" s="173">
        <v>1E-3</v>
      </c>
      <c r="P22" s="174">
        <v>1.5679999999999999E-2</v>
      </c>
      <c r="R22" s="157">
        <v>4485000</v>
      </c>
      <c r="S22" s="175">
        <v>1</v>
      </c>
      <c r="T22" s="177">
        <v>112.44</v>
      </c>
      <c r="U22" s="157">
        <v>5042.9340000000002</v>
      </c>
      <c r="W22" s="4" t="s">
        <v>36</v>
      </c>
      <c r="X22" s="174">
        <v>2.22E-4</v>
      </c>
      <c r="Y22" s="174">
        <v>0.38716017121971202</v>
      </c>
      <c r="Z22" s="174">
        <v>0.224001309942749</v>
      </c>
    </row>
    <row r="23" spans="1:26">
      <c r="A23" s="4">
        <v>161</v>
      </c>
      <c r="B23" s="4">
        <v>1434</v>
      </c>
      <c r="C23" s="4" t="s">
        <v>26</v>
      </c>
      <c r="D23" s="4" t="s">
        <v>83</v>
      </c>
      <c r="E23" s="4" t="s">
        <v>84</v>
      </c>
      <c r="F23" s="4" t="s">
        <v>29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1" t="s">
        <v>34</v>
      </c>
      <c r="M23" s="157">
        <v>5.33</v>
      </c>
      <c r="N23" s="4" t="s">
        <v>85</v>
      </c>
      <c r="O23" s="173">
        <v>0.01</v>
      </c>
      <c r="P23" s="174">
        <v>4.6289999999999998E-2</v>
      </c>
      <c r="R23" s="157">
        <v>2114011</v>
      </c>
      <c r="S23" s="175">
        <v>1</v>
      </c>
      <c r="T23" s="177">
        <v>83.24</v>
      </c>
      <c r="U23" s="157">
        <v>1759.703</v>
      </c>
      <c r="W23" s="4" t="s">
        <v>36</v>
      </c>
      <c r="X23" s="174">
        <v>5.5999999999999999E-5</v>
      </c>
      <c r="Y23" s="174">
        <v>0.13509731050686399</v>
      </c>
      <c r="Z23" s="174">
        <v>7.8163966164035995E-2</v>
      </c>
    </row>
    <row r="24" spans="1:26">
      <c r="A24" s="4">
        <v>161</v>
      </c>
      <c r="B24" s="4">
        <v>1434</v>
      </c>
      <c r="C24" s="4" t="s">
        <v>86</v>
      </c>
      <c r="D24" s="4" t="s">
        <v>87</v>
      </c>
      <c r="E24" s="4" t="s">
        <v>88</v>
      </c>
      <c r="F24" s="4" t="s">
        <v>89</v>
      </c>
      <c r="G24" s="4" t="s">
        <v>90</v>
      </c>
      <c r="H24" s="4" t="s">
        <v>91</v>
      </c>
      <c r="I24" s="4" t="s">
        <v>92</v>
      </c>
      <c r="J24" s="4" t="s">
        <v>93</v>
      </c>
      <c r="K24" s="4" t="s">
        <v>94</v>
      </c>
      <c r="L24" s="21" t="s">
        <v>95</v>
      </c>
      <c r="M24" s="157">
        <v>7.3810000000000002</v>
      </c>
      <c r="N24" s="4" t="s">
        <v>96</v>
      </c>
      <c r="O24" s="173">
        <v>3.3750000000000002E-2</v>
      </c>
      <c r="P24" s="174">
        <v>3.8159999999999999E-2</v>
      </c>
      <c r="R24" s="157">
        <v>156000</v>
      </c>
      <c r="S24" s="175">
        <v>3.71</v>
      </c>
      <c r="T24" s="177">
        <v>98.497</v>
      </c>
      <c r="U24" s="157">
        <v>570.06299999999999</v>
      </c>
      <c r="W24" s="4" t="s">
        <v>36</v>
      </c>
      <c r="X24" s="174">
        <v>9.9999999999999995E-7</v>
      </c>
      <c r="Y24" s="174">
        <v>4.3765321338073301E-2</v>
      </c>
      <c r="Z24" s="174">
        <v>2.5321533666308699E-2</v>
      </c>
    </row>
    <row r="25" spans="1:26">
      <c r="A25" s="4">
        <v>161</v>
      </c>
      <c r="B25" s="4">
        <v>9938</v>
      </c>
      <c r="C25" s="4" t="s">
        <v>51</v>
      </c>
      <c r="D25" s="4" t="s">
        <v>57</v>
      </c>
      <c r="E25" s="4" t="s">
        <v>58</v>
      </c>
      <c r="F25" s="4" t="s">
        <v>54</v>
      </c>
      <c r="G25" s="4" t="s">
        <v>30</v>
      </c>
      <c r="H25" s="4" t="s">
        <v>30</v>
      </c>
      <c r="I25" s="4" t="s">
        <v>55</v>
      </c>
      <c r="J25" s="4" t="s">
        <v>32</v>
      </c>
      <c r="K25" s="4" t="s">
        <v>33</v>
      </c>
      <c r="L25" s="21" t="s">
        <v>34</v>
      </c>
      <c r="M25" s="157">
        <v>0.5</v>
      </c>
      <c r="N25" s="4" t="s">
        <v>59</v>
      </c>
      <c r="O25" s="173">
        <v>0</v>
      </c>
      <c r="P25" s="174">
        <v>4.3479999999999998E-2</v>
      </c>
      <c r="R25" s="157">
        <v>2058000</v>
      </c>
      <c r="S25" s="175">
        <v>1</v>
      </c>
      <c r="T25" s="177">
        <v>97.9</v>
      </c>
      <c r="U25" s="157">
        <v>2014.7819999999999</v>
      </c>
      <c r="W25" s="4" t="s">
        <v>36</v>
      </c>
      <c r="X25" s="174">
        <v>1.7100000000000001E-4</v>
      </c>
      <c r="Y25" s="174">
        <v>9.2205586779787393E-2</v>
      </c>
      <c r="Z25" s="174">
        <v>3.03802611860233E-2</v>
      </c>
    </row>
    <row r="26" spans="1:26">
      <c r="A26" s="4">
        <v>161</v>
      </c>
      <c r="B26" s="4">
        <v>9938</v>
      </c>
      <c r="C26" s="4" t="s">
        <v>51</v>
      </c>
      <c r="D26" s="4" t="s">
        <v>60</v>
      </c>
      <c r="E26" s="4" t="s">
        <v>61</v>
      </c>
      <c r="F26" s="4" t="s">
        <v>54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21" t="s">
        <v>34</v>
      </c>
      <c r="M26" s="157">
        <v>0.18</v>
      </c>
      <c r="N26" s="4" t="s">
        <v>62</v>
      </c>
      <c r="O26" s="173">
        <v>0</v>
      </c>
      <c r="P26" s="174">
        <v>4.3360000000000003E-2</v>
      </c>
      <c r="R26" s="157">
        <v>2074500</v>
      </c>
      <c r="S26" s="175">
        <v>1</v>
      </c>
      <c r="T26" s="177">
        <v>99.27</v>
      </c>
      <c r="U26" s="157">
        <v>2059.3560000000002</v>
      </c>
      <c r="W26" s="4" t="s">
        <v>36</v>
      </c>
      <c r="X26" s="174">
        <v>5.1999999999999997E-5</v>
      </c>
      <c r="Y26" s="174">
        <v>9.4245502590014199E-2</v>
      </c>
      <c r="Z26" s="174">
        <v>3.10523807101926E-2</v>
      </c>
    </row>
    <row r="27" spans="1:26">
      <c r="A27" s="4">
        <v>161</v>
      </c>
      <c r="B27" s="4">
        <v>9938</v>
      </c>
      <c r="C27" s="4" t="s">
        <v>51</v>
      </c>
      <c r="D27" s="4" t="s">
        <v>66</v>
      </c>
      <c r="E27" s="4" t="s">
        <v>67</v>
      </c>
      <c r="F27" s="4" t="s">
        <v>54</v>
      </c>
      <c r="G27" s="4" t="s">
        <v>30</v>
      </c>
      <c r="H27" s="4" t="s">
        <v>30</v>
      </c>
      <c r="I27" s="4" t="s">
        <v>55</v>
      </c>
      <c r="J27" s="4" t="s">
        <v>32</v>
      </c>
      <c r="K27" s="4" t="s">
        <v>33</v>
      </c>
      <c r="L27" s="4" t="s">
        <v>34</v>
      </c>
      <c r="M27" s="157">
        <v>0.55600000000000005</v>
      </c>
      <c r="N27" s="4" t="s">
        <v>68</v>
      </c>
      <c r="O27" s="173">
        <v>0</v>
      </c>
      <c r="P27" s="174">
        <v>4.3150000000000001E-2</v>
      </c>
      <c r="R27" s="157">
        <v>3215000</v>
      </c>
      <c r="S27" s="175">
        <v>1</v>
      </c>
      <c r="T27" s="177">
        <v>97.52</v>
      </c>
      <c r="U27" s="157">
        <v>3135.268</v>
      </c>
      <c r="W27" s="4" t="s">
        <v>36</v>
      </c>
      <c r="X27" s="174">
        <v>2.3000000000000001E-4</v>
      </c>
      <c r="Y27" s="174">
        <v>0.14348412168258901</v>
      </c>
      <c r="Z27" s="174">
        <v>4.7275715550457002E-2</v>
      </c>
    </row>
    <row r="28" spans="1:26">
      <c r="A28" s="4">
        <v>161</v>
      </c>
      <c r="B28" s="4">
        <v>9938</v>
      </c>
      <c r="C28" s="4" t="s">
        <v>37</v>
      </c>
      <c r="D28" s="4" t="s">
        <v>97</v>
      </c>
      <c r="E28" s="4" t="s">
        <v>98</v>
      </c>
      <c r="F28" s="4" t="s">
        <v>40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57">
        <v>2.64</v>
      </c>
      <c r="N28" s="4" t="s">
        <v>99</v>
      </c>
      <c r="O28" s="173">
        <v>7.4999999999999997E-3</v>
      </c>
      <c r="P28" s="174">
        <v>1.6299999999999999E-2</v>
      </c>
      <c r="R28" s="157">
        <v>895000</v>
      </c>
      <c r="S28" s="175">
        <v>1</v>
      </c>
      <c r="T28" s="177">
        <v>114.25</v>
      </c>
      <c r="U28" s="157">
        <v>1022.538</v>
      </c>
      <c r="W28" s="4" t="s">
        <v>36</v>
      </c>
      <c r="X28" s="174">
        <v>4.0000000000000003E-5</v>
      </c>
      <c r="Y28" s="174">
        <v>4.6795966110396499E-2</v>
      </c>
      <c r="Z28" s="174">
        <v>1.54185198808125E-2</v>
      </c>
    </row>
    <row r="29" spans="1:26">
      <c r="A29" s="4">
        <v>161</v>
      </c>
      <c r="B29" s="4">
        <v>9938</v>
      </c>
      <c r="C29" s="4" t="s">
        <v>37</v>
      </c>
      <c r="D29" s="4" t="s">
        <v>100</v>
      </c>
      <c r="E29" s="4" t="s">
        <v>101</v>
      </c>
      <c r="F29" s="4" t="s">
        <v>40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57">
        <v>1.0720000000000001</v>
      </c>
      <c r="N29" s="4" t="s">
        <v>102</v>
      </c>
      <c r="O29" s="173">
        <v>7.4999999999999997E-3</v>
      </c>
      <c r="P29" s="174">
        <v>1.303E-2</v>
      </c>
      <c r="R29" s="157">
        <v>2100319</v>
      </c>
      <c r="S29" s="175">
        <v>1</v>
      </c>
      <c r="T29" s="177">
        <v>116.02</v>
      </c>
      <c r="U29" s="157">
        <v>2436.79</v>
      </c>
      <c r="W29" s="4" t="s">
        <v>36</v>
      </c>
      <c r="X29" s="174">
        <v>9.7E-5</v>
      </c>
      <c r="Y29" s="174">
        <v>0.111518596741513</v>
      </c>
      <c r="Z29" s="174">
        <v>3.6743588045238001E-2</v>
      </c>
    </row>
    <row r="30" spans="1:26">
      <c r="A30" s="4">
        <v>161</v>
      </c>
      <c r="B30" s="4">
        <v>9938</v>
      </c>
      <c r="C30" s="4" t="s">
        <v>26</v>
      </c>
      <c r="D30" s="4" t="s">
        <v>103</v>
      </c>
      <c r="E30" s="4" t="s">
        <v>104</v>
      </c>
      <c r="F30" s="4" t="s">
        <v>29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7">
        <v>8.5180000000000007</v>
      </c>
      <c r="N30" s="4" t="s">
        <v>105</v>
      </c>
      <c r="O30" s="173">
        <v>0.04</v>
      </c>
      <c r="P30" s="174">
        <v>4.8770000000000001E-2</v>
      </c>
      <c r="R30" s="157">
        <v>1000000</v>
      </c>
      <c r="S30" s="175">
        <v>1</v>
      </c>
      <c r="T30" s="177">
        <v>94.93</v>
      </c>
      <c r="U30" s="157">
        <v>949.3</v>
      </c>
      <c r="W30" s="4" t="s">
        <v>36</v>
      </c>
      <c r="X30" s="174">
        <v>6.0000000000000002E-5</v>
      </c>
      <c r="Y30" s="174">
        <v>4.3444285054190603E-2</v>
      </c>
      <c r="Z30" s="174">
        <v>1.4314194758486E-2</v>
      </c>
    </row>
    <row r="31" spans="1:26">
      <c r="A31" s="4">
        <v>161</v>
      </c>
      <c r="B31" s="4">
        <v>9938</v>
      </c>
      <c r="C31" s="4" t="s">
        <v>26</v>
      </c>
      <c r="D31" s="4" t="s">
        <v>27</v>
      </c>
      <c r="E31" s="4" t="s">
        <v>28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7">
        <v>0.92</v>
      </c>
      <c r="N31" s="4" t="s">
        <v>35</v>
      </c>
      <c r="O31" s="173">
        <v>1.7500000000000002E-2</v>
      </c>
      <c r="P31" s="174">
        <v>4.1840000000000002E-2</v>
      </c>
      <c r="R31" s="157">
        <v>1296954</v>
      </c>
      <c r="S31" s="175">
        <v>1</v>
      </c>
      <c r="T31" s="177">
        <v>98.02</v>
      </c>
      <c r="U31" s="157">
        <v>1271.2739999999999</v>
      </c>
      <c r="W31" s="4" t="s">
        <v>36</v>
      </c>
      <c r="X31" s="174">
        <v>5.5000000000000002E-5</v>
      </c>
      <c r="Y31" s="174">
        <v>5.8179293732713397E-2</v>
      </c>
      <c r="Z31" s="174">
        <v>1.9169143659803201E-2</v>
      </c>
    </row>
    <row r="32" spans="1:26">
      <c r="A32" s="4">
        <v>161</v>
      </c>
      <c r="B32" s="4">
        <v>9938</v>
      </c>
      <c r="C32" s="4" t="s">
        <v>78</v>
      </c>
      <c r="D32" s="4" t="s">
        <v>106</v>
      </c>
      <c r="E32" s="4" t="s">
        <v>107</v>
      </c>
      <c r="F32" s="4" t="s">
        <v>81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7">
        <v>5.42</v>
      </c>
      <c r="N32" s="4" t="s">
        <v>108</v>
      </c>
      <c r="O32" s="173">
        <v>4.1700000000000001E-2</v>
      </c>
      <c r="P32" s="174">
        <v>4.8480000000000002E-2</v>
      </c>
      <c r="R32" s="157">
        <v>305000</v>
      </c>
      <c r="S32" s="175">
        <v>1</v>
      </c>
      <c r="T32" s="177">
        <v>97.9</v>
      </c>
      <c r="U32" s="157">
        <v>298.59500000000003</v>
      </c>
      <c r="W32" s="4" t="s">
        <v>36</v>
      </c>
      <c r="X32" s="174">
        <v>1.0000000000000001E-5</v>
      </c>
      <c r="Y32" s="174">
        <v>1.3665065096129801E-2</v>
      </c>
      <c r="Z32" s="174">
        <v>4.5024196607080201E-3</v>
      </c>
    </row>
    <row r="33" spans="1:26">
      <c r="A33" s="4">
        <v>161</v>
      </c>
      <c r="B33" s="4">
        <v>9938</v>
      </c>
      <c r="C33" s="4" t="s">
        <v>26</v>
      </c>
      <c r="D33" s="4" t="s">
        <v>109</v>
      </c>
      <c r="E33" s="4" t="s">
        <v>110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7">
        <v>1.9079999999999999</v>
      </c>
      <c r="N33" s="4" t="s">
        <v>111</v>
      </c>
      <c r="O33" s="173">
        <v>6.25E-2</v>
      </c>
      <c r="P33" s="174">
        <v>4.3290000000000002E-2</v>
      </c>
      <c r="R33" s="157">
        <v>530531</v>
      </c>
      <c r="S33" s="175">
        <v>1</v>
      </c>
      <c r="T33" s="177">
        <v>109.5</v>
      </c>
      <c r="U33" s="157">
        <v>580.93100000000004</v>
      </c>
      <c r="W33" s="4" t="s">
        <v>36</v>
      </c>
      <c r="X33" s="174">
        <v>3.6000000000000001E-5</v>
      </c>
      <c r="Y33" s="174">
        <v>2.6586064777754999E-2</v>
      </c>
      <c r="Z33" s="174">
        <v>8.7596817076358198E-3</v>
      </c>
    </row>
    <row r="34" spans="1:26">
      <c r="A34" s="4">
        <v>161</v>
      </c>
      <c r="B34" s="4">
        <v>9938</v>
      </c>
      <c r="C34" s="4" t="s">
        <v>26</v>
      </c>
      <c r="D34" s="4" t="s">
        <v>75</v>
      </c>
      <c r="E34" s="4" t="s">
        <v>76</v>
      </c>
      <c r="F34" s="4" t="s">
        <v>29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7">
        <v>11.238</v>
      </c>
      <c r="N34" s="4" t="s">
        <v>77</v>
      </c>
      <c r="O34" s="173">
        <v>5.5E-2</v>
      </c>
      <c r="P34" s="174">
        <v>5.1729999999999998E-2</v>
      </c>
      <c r="R34" s="157">
        <v>2265850</v>
      </c>
      <c r="S34" s="175">
        <v>1</v>
      </c>
      <c r="T34" s="177">
        <v>107.34</v>
      </c>
      <c r="U34" s="157">
        <v>2432.163</v>
      </c>
      <c r="W34" s="4" t="s">
        <v>36</v>
      </c>
      <c r="X34" s="174">
        <v>1.05E-4</v>
      </c>
      <c r="Y34" s="174">
        <v>0.11130685727749599</v>
      </c>
      <c r="Z34" s="174">
        <v>3.6673823289707599E-2</v>
      </c>
    </row>
    <row r="35" spans="1:26">
      <c r="A35" s="4">
        <v>161</v>
      </c>
      <c r="B35" s="4">
        <v>9938</v>
      </c>
      <c r="C35" s="4" t="s">
        <v>78</v>
      </c>
      <c r="D35" s="4" t="s">
        <v>79</v>
      </c>
      <c r="E35" s="4" t="s">
        <v>80</v>
      </c>
      <c r="F35" s="4" t="s">
        <v>81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7">
        <v>1.6040000000000001</v>
      </c>
      <c r="N35" s="4" t="s">
        <v>82</v>
      </c>
      <c r="O35" s="173">
        <v>4.1700000000000001E-2</v>
      </c>
      <c r="P35" s="174">
        <v>4.718E-2</v>
      </c>
      <c r="R35" s="157">
        <v>574000</v>
      </c>
      <c r="S35" s="175">
        <v>1</v>
      </c>
      <c r="T35" s="177">
        <v>99.82</v>
      </c>
      <c r="U35" s="157">
        <v>572.96699999999998</v>
      </c>
      <c r="W35" s="4" t="s">
        <v>36</v>
      </c>
      <c r="X35" s="174">
        <v>2.6999999999999999E-5</v>
      </c>
      <c r="Y35" s="174">
        <v>2.6221566402388499E-2</v>
      </c>
      <c r="Z35" s="174">
        <v>8.6395853421957994E-3</v>
      </c>
    </row>
    <row r="36" spans="1:26">
      <c r="A36" s="4">
        <v>161</v>
      </c>
      <c r="B36" s="4">
        <v>9938</v>
      </c>
      <c r="C36" s="4" t="s">
        <v>37</v>
      </c>
      <c r="D36" s="4" t="s">
        <v>38</v>
      </c>
      <c r="E36" s="4" t="s">
        <v>39</v>
      </c>
      <c r="F36" s="4" t="s">
        <v>40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7">
        <v>4.6100000000000003</v>
      </c>
      <c r="N36" s="4" t="s">
        <v>41</v>
      </c>
      <c r="O36" s="173">
        <v>5.0000000000000001E-3</v>
      </c>
      <c r="P36" s="174">
        <v>1.8280000000000001E-2</v>
      </c>
      <c r="R36" s="157">
        <v>997000</v>
      </c>
      <c r="S36" s="175">
        <v>1</v>
      </c>
      <c r="T36" s="177">
        <v>108.85</v>
      </c>
      <c r="U36" s="157">
        <v>1085.2349999999999</v>
      </c>
      <c r="W36" s="4" t="s">
        <v>36</v>
      </c>
      <c r="X36" s="174">
        <v>3.6999999999999998E-5</v>
      </c>
      <c r="Y36" s="174">
        <v>4.9665265952430197E-2</v>
      </c>
      <c r="Z36" s="174">
        <v>1.6363908134023102E-2</v>
      </c>
    </row>
    <row r="37" spans="1:26">
      <c r="A37" s="4">
        <v>161</v>
      </c>
      <c r="B37" s="4">
        <v>9938</v>
      </c>
      <c r="C37" s="4" t="s">
        <v>37</v>
      </c>
      <c r="D37" s="4" t="s">
        <v>42</v>
      </c>
      <c r="E37" s="4" t="s">
        <v>43</v>
      </c>
      <c r="F37" s="4" t="s">
        <v>40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7">
        <v>1.83</v>
      </c>
      <c r="N37" s="4" t="s">
        <v>44</v>
      </c>
      <c r="O37" s="173">
        <v>1E-3</v>
      </c>
      <c r="P37" s="174">
        <v>1.5679999999999999E-2</v>
      </c>
      <c r="R37" s="157">
        <v>2750650</v>
      </c>
      <c r="S37" s="175">
        <v>1</v>
      </c>
      <c r="T37" s="177">
        <v>112.44</v>
      </c>
      <c r="U37" s="157">
        <v>3092.8310000000001</v>
      </c>
      <c r="W37" s="4" t="s">
        <v>36</v>
      </c>
      <c r="X37" s="174">
        <v>1.36E-4</v>
      </c>
      <c r="Y37" s="174">
        <v>0.14154200516826901</v>
      </c>
      <c r="Z37" s="174">
        <v>4.66358193248664E-2</v>
      </c>
    </row>
    <row r="38" spans="1:26">
      <c r="A38" s="4">
        <v>161</v>
      </c>
      <c r="B38" s="4">
        <v>9938</v>
      </c>
      <c r="C38" s="4" t="s">
        <v>86</v>
      </c>
      <c r="D38" s="4" t="s">
        <v>87</v>
      </c>
      <c r="E38" s="4" t="s">
        <v>88</v>
      </c>
      <c r="F38" s="4" t="s">
        <v>89</v>
      </c>
      <c r="G38" s="4" t="s">
        <v>90</v>
      </c>
      <c r="H38" s="4" t="s">
        <v>91</v>
      </c>
      <c r="I38" s="4" t="s">
        <v>92</v>
      </c>
      <c r="J38" s="4" t="s">
        <v>93</v>
      </c>
      <c r="K38" s="4" t="s">
        <v>94</v>
      </c>
      <c r="L38" s="4" t="s">
        <v>95</v>
      </c>
      <c r="M38" s="157">
        <v>7.3810000000000002</v>
      </c>
      <c r="N38" s="4" t="s">
        <v>96</v>
      </c>
      <c r="O38" s="173">
        <v>3.3750000000000002E-2</v>
      </c>
      <c r="P38" s="174">
        <v>3.8159999999999999E-2</v>
      </c>
      <c r="R38" s="157">
        <v>246000</v>
      </c>
      <c r="S38" s="175">
        <v>3.71</v>
      </c>
      <c r="T38" s="177">
        <v>98.497</v>
      </c>
      <c r="U38" s="157">
        <v>898.94500000000005</v>
      </c>
      <c r="W38" s="4" t="s">
        <v>36</v>
      </c>
      <c r="X38" s="174">
        <v>1.9999999999999999E-6</v>
      </c>
      <c r="Y38" s="174">
        <v>4.1139822634328499E-2</v>
      </c>
      <c r="Z38" s="174">
        <v>1.3554911371721301E-2</v>
      </c>
    </row>
    <row r="39" spans="1:26">
      <c r="A39" s="4">
        <v>161</v>
      </c>
      <c r="B39" s="4">
        <v>9942</v>
      </c>
      <c r="C39" s="4" t="s">
        <v>51</v>
      </c>
      <c r="D39" s="4" t="s">
        <v>60</v>
      </c>
      <c r="E39" s="4" t="s">
        <v>61</v>
      </c>
      <c r="F39" s="4" t="s">
        <v>54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7">
        <v>0.18</v>
      </c>
      <c r="N39" s="4" t="s">
        <v>62</v>
      </c>
      <c r="O39" s="173">
        <v>0</v>
      </c>
      <c r="P39" s="174">
        <v>4.3360000000000003E-2</v>
      </c>
      <c r="R39" s="157">
        <v>6982500</v>
      </c>
      <c r="S39" s="175">
        <v>1</v>
      </c>
      <c r="T39" s="177">
        <v>99.27</v>
      </c>
      <c r="U39" s="157">
        <v>6931.5280000000002</v>
      </c>
      <c r="W39" s="4" t="s">
        <v>36</v>
      </c>
      <c r="X39" s="174">
        <v>1.75E-4</v>
      </c>
      <c r="Y39" s="174">
        <v>0.17275633706983201</v>
      </c>
      <c r="Z39" s="174">
        <v>7.5628311414423097E-2</v>
      </c>
    </row>
    <row r="40" spans="1:26">
      <c r="A40" s="4">
        <v>161</v>
      </c>
      <c r="B40" s="4">
        <v>9942</v>
      </c>
      <c r="C40" s="4" t="s">
        <v>51</v>
      </c>
      <c r="D40" s="4" t="s">
        <v>66</v>
      </c>
      <c r="E40" s="4" t="s">
        <v>67</v>
      </c>
      <c r="F40" s="4" t="s">
        <v>54</v>
      </c>
      <c r="G40" s="4" t="s">
        <v>30</v>
      </c>
      <c r="H40" s="4" t="s">
        <v>30</v>
      </c>
      <c r="I40" s="4" t="s">
        <v>55</v>
      </c>
      <c r="J40" s="4" t="s">
        <v>32</v>
      </c>
      <c r="K40" s="4" t="s">
        <v>33</v>
      </c>
      <c r="L40" s="4" t="s">
        <v>34</v>
      </c>
      <c r="M40" s="157">
        <v>0.55600000000000005</v>
      </c>
      <c r="N40" s="4" t="s">
        <v>68</v>
      </c>
      <c r="O40" s="173">
        <v>0</v>
      </c>
      <c r="P40" s="174">
        <v>4.3150000000000001E-2</v>
      </c>
      <c r="R40" s="157">
        <v>9476000</v>
      </c>
      <c r="S40" s="175">
        <v>1</v>
      </c>
      <c r="T40" s="177">
        <v>97.52</v>
      </c>
      <c r="U40" s="157">
        <v>9240.9950000000008</v>
      </c>
      <c r="W40" s="4" t="s">
        <v>36</v>
      </c>
      <c r="X40" s="174">
        <v>6.7699999999999998E-4</v>
      </c>
      <c r="Y40" s="174">
        <v>0.23031581769717299</v>
      </c>
      <c r="Z40" s="174">
        <v>0.100826381711418</v>
      </c>
    </row>
    <row r="41" spans="1:26">
      <c r="A41" s="4">
        <v>161</v>
      </c>
      <c r="B41" s="4">
        <v>9942</v>
      </c>
      <c r="C41" s="4" t="s">
        <v>37</v>
      </c>
      <c r="D41" s="4" t="s">
        <v>69</v>
      </c>
      <c r="E41" s="4" t="s">
        <v>70</v>
      </c>
      <c r="F41" s="4" t="s">
        <v>40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57">
        <v>18.399999999999999</v>
      </c>
      <c r="N41" s="4" t="s">
        <v>71</v>
      </c>
      <c r="O41" s="173">
        <v>0.01</v>
      </c>
      <c r="P41" s="174">
        <v>2.2749999999999999E-2</v>
      </c>
      <c r="R41" s="157">
        <v>172756</v>
      </c>
      <c r="S41" s="175">
        <v>1</v>
      </c>
      <c r="T41" s="177">
        <v>92.5</v>
      </c>
      <c r="U41" s="157">
        <v>159.79900000000001</v>
      </c>
      <c r="W41" s="4" t="s">
        <v>36</v>
      </c>
      <c r="X41" s="174">
        <v>9.0000000000000002E-6</v>
      </c>
      <c r="Y41" s="174">
        <v>3.9827210868950396E-3</v>
      </c>
      <c r="Z41" s="174">
        <v>1.7435335556734699E-3</v>
      </c>
    </row>
    <row r="42" spans="1:26">
      <c r="A42" s="4">
        <v>161</v>
      </c>
      <c r="B42" s="4">
        <v>9942</v>
      </c>
      <c r="C42" s="4" t="s">
        <v>37</v>
      </c>
      <c r="D42" s="4" t="s">
        <v>100</v>
      </c>
      <c r="E42" s="4" t="s">
        <v>101</v>
      </c>
      <c r="F42" s="4" t="s">
        <v>40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57">
        <v>1.0720000000000001</v>
      </c>
      <c r="N42" s="4" t="s">
        <v>102</v>
      </c>
      <c r="O42" s="173">
        <v>7.4999999999999997E-3</v>
      </c>
      <c r="P42" s="174">
        <v>1.303E-2</v>
      </c>
      <c r="R42" s="157">
        <v>650000</v>
      </c>
      <c r="S42" s="175">
        <v>1</v>
      </c>
      <c r="T42" s="177">
        <v>116.02</v>
      </c>
      <c r="U42" s="157">
        <v>754.13</v>
      </c>
      <c r="W42" s="4" t="s">
        <v>36</v>
      </c>
      <c r="X42" s="174">
        <v>3.0000000000000001E-5</v>
      </c>
      <c r="Y42" s="174">
        <v>1.8795385544618501E-2</v>
      </c>
      <c r="Z42" s="174">
        <v>8.2281396748298194E-3</v>
      </c>
    </row>
    <row r="43" spans="1:26">
      <c r="A43" s="4">
        <v>161</v>
      </c>
      <c r="B43" s="4">
        <v>9942</v>
      </c>
      <c r="C43" s="4" t="s">
        <v>37</v>
      </c>
      <c r="D43" s="4" t="s">
        <v>112</v>
      </c>
      <c r="E43" s="4" t="s">
        <v>113</v>
      </c>
      <c r="F43" s="4" t="s">
        <v>40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7">
        <v>7.1340000000000003</v>
      </c>
      <c r="N43" s="4" t="s">
        <v>114</v>
      </c>
      <c r="O43" s="173">
        <v>1E-3</v>
      </c>
      <c r="P43" s="174">
        <v>1.9910000000000001E-2</v>
      </c>
      <c r="R43" s="157">
        <v>1100000</v>
      </c>
      <c r="S43" s="175">
        <v>1</v>
      </c>
      <c r="T43" s="177">
        <v>101.1</v>
      </c>
      <c r="U43" s="157">
        <v>1112.0999999999999</v>
      </c>
      <c r="W43" s="4" t="s">
        <v>36</v>
      </c>
      <c r="X43" s="174">
        <v>3.6000000000000001E-5</v>
      </c>
      <c r="Y43" s="174">
        <v>2.7717168477809199E-2</v>
      </c>
      <c r="Z43" s="174">
        <v>1.21338683415038E-2</v>
      </c>
    </row>
    <row r="44" spans="1:26">
      <c r="A44" s="4">
        <v>161</v>
      </c>
      <c r="B44" s="4">
        <v>9942</v>
      </c>
      <c r="C44" s="4" t="s">
        <v>26</v>
      </c>
      <c r="D44" s="4" t="s">
        <v>115</v>
      </c>
      <c r="E44" s="4" t="s">
        <v>116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7">
        <v>3.86</v>
      </c>
      <c r="N44" s="4" t="s">
        <v>117</v>
      </c>
      <c r="O44" s="173">
        <v>2.2499999999999999E-2</v>
      </c>
      <c r="P44" s="174">
        <v>4.5159999999999999E-2</v>
      </c>
      <c r="R44" s="157">
        <v>500000</v>
      </c>
      <c r="S44" s="175">
        <v>1</v>
      </c>
      <c r="T44" s="177">
        <v>91.9</v>
      </c>
      <c r="U44" s="157">
        <v>459.5</v>
      </c>
      <c r="W44" s="4" t="s">
        <v>36</v>
      </c>
      <c r="X44" s="174">
        <v>1.5E-5</v>
      </c>
      <c r="Y44" s="174">
        <v>1.14522425281479E-2</v>
      </c>
      <c r="Z44" s="174">
        <v>5.0134992383067999E-3</v>
      </c>
    </row>
    <row r="45" spans="1:26">
      <c r="A45" s="4">
        <v>161</v>
      </c>
      <c r="B45" s="4">
        <v>9942</v>
      </c>
      <c r="C45" s="4" t="s">
        <v>26</v>
      </c>
      <c r="D45" s="4" t="s">
        <v>118</v>
      </c>
      <c r="E45" s="4" t="s">
        <v>119</v>
      </c>
      <c r="F45" s="4" t="s">
        <v>29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7">
        <v>1.4</v>
      </c>
      <c r="N45" s="4" t="s">
        <v>120</v>
      </c>
      <c r="O45" s="173">
        <v>5.0000000000000001E-3</v>
      </c>
      <c r="P45" s="174">
        <v>4.3909999999999998E-2</v>
      </c>
      <c r="R45" s="157">
        <v>320000</v>
      </c>
      <c r="S45" s="175">
        <v>1</v>
      </c>
      <c r="T45" s="177">
        <v>95.1</v>
      </c>
      <c r="U45" s="157">
        <v>304.32</v>
      </c>
      <c r="W45" s="4" t="s">
        <v>36</v>
      </c>
      <c r="X45" s="174">
        <v>1.2E-5</v>
      </c>
      <c r="Y45" s="174">
        <v>7.5846495019934396E-3</v>
      </c>
      <c r="Z45" s="174">
        <v>3.3203658067497799E-3</v>
      </c>
    </row>
    <row r="46" spans="1:26">
      <c r="A46" s="4">
        <v>161</v>
      </c>
      <c r="B46" s="4">
        <v>9942</v>
      </c>
      <c r="C46" s="4" t="s">
        <v>37</v>
      </c>
      <c r="D46" s="4" t="s">
        <v>72</v>
      </c>
      <c r="E46" s="4" t="s">
        <v>73</v>
      </c>
      <c r="F46" s="4" t="s">
        <v>40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57">
        <v>13.85</v>
      </c>
      <c r="N46" s="4" t="s">
        <v>74</v>
      </c>
      <c r="O46" s="173">
        <v>2.75E-2</v>
      </c>
      <c r="P46" s="174">
        <v>2.24E-2</v>
      </c>
      <c r="R46" s="157">
        <v>311624</v>
      </c>
      <c r="S46" s="175">
        <v>1</v>
      </c>
      <c r="T46" s="177">
        <v>132.61000000000001</v>
      </c>
      <c r="U46" s="157">
        <v>413.245</v>
      </c>
      <c r="W46" s="4" t="s">
        <v>36</v>
      </c>
      <c r="X46" s="174">
        <v>1.5999999999999999E-5</v>
      </c>
      <c r="Y46" s="174">
        <v>1.02994063697432E-2</v>
      </c>
      <c r="Z46" s="174">
        <v>4.5088170166502897E-3</v>
      </c>
    </row>
    <row r="47" spans="1:26">
      <c r="A47" s="4">
        <v>161</v>
      </c>
      <c r="B47" s="4">
        <v>9942</v>
      </c>
      <c r="C47" s="4" t="s">
        <v>26</v>
      </c>
      <c r="D47" s="4" t="s">
        <v>75</v>
      </c>
      <c r="E47" s="4" t="s">
        <v>76</v>
      </c>
      <c r="F47" s="4" t="s">
        <v>29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7">
        <v>11.238</v>
      </c>
      <c r="N47" s="4" t="s">
        <v>77</v>
      </c>
      <c r="O47" s="173">
        <v>5.5E-2</v>
      </c>
      <c r="P47" s="174">
        <v>5.1729999999999998E-2</v>
      </c>
      <c r="R47" s="157">
        <v>1742119</v>
      </c>
      <c r="S47" s="175">
        <v>1</v>
      </c>
      <c r="T47" s="177">
        <v>107.34</v>
      </c>
      <c r="U47" s="157">
        <v>1869.991</v>
      </c>
      <c r="W47" s="4" t="s">
        <v>36</v>
      </c>
      <c r="X47" s="174">
        <v>8.1000000000000004E-5</v>
      </c>
      <c r="Y47" s="174">
        <v>4.6606278841306303E-2</v>
      </c>
      <c r="Z47" s="174">
        <v>2.04030383478956E-2</v>
      </c>
    </row>
    <row r="48" spans="1:26">
      <c r="A48" s="4">
        <v>161</v>
      </c>
      <c r="B48" s="4">
        <v>9942</v>
      </c>
      <c r="C48" s="4" t="s">
        <v>37</v>
      </c>
      <c r="D48" s="4" t="s">
        <v>38</v>
      </c>
      <c r="E48" s="4" t="s">
        <v>39</v>
      </c>
      <c r="F48" s="4" t="s">
        <v>40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7">
        <v>4.6100000000000003</v>
      </c>
      <c r="N48" s="4" t="s">
        <v>41</v>
      </c>
      <c r="O48" s="173">
        <v>5.0000000000000001E-3</v>
      </c>
      <c r="P48" s="174">
        <v>1.8280000000000001E-2</v>
      </c>
      <c r="R48" s="157">
        <v>2000000</v>
      </c>
      <c r="S48" s="175">
        <v>1</v>
      </c>
      <c r="T48" s="177">
        <v>108.85</v>
      </c>
      <c r="U48" s="157">
        <v>2177</v>
      </c>
      <c r="W48" s="4" t="s">
        <v>36</v>
      </c>
      <c r="X48" s="174">
        <v>7.3999999999999996E-5</v>
      </c>
      <c r="Y48" s="174">
        <v>5.4257958615403903E-2</v>
      </c>
      <c r="Z48" s="174">
        <v>2.3752748295525299E-2</v>
      </c>
    </row>
    <row r="49" spans="1:26">
      <c r="A49" s="4">
        <v>161</v>
      </c>
      <c r="B49" s="4">
        <v>9942</v>
      </c>
      <c r="C49" s="4" t="s">
        <v>37</v>
      </c>
      <c r="D49" s="4" t="s">
        <v>42</v>
      </c>
      <c r="E49" s="4" t="s">
        <v>43</v>
      </c>
      <c r="F49" s="4" t="s">
        <v>40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57">
        <v>1.83</v>
      </c>
      <c r="N49" s="4" t="s">
        <v>44</v>
      </c>
      <c r="O49" s="173">
        <v>1E-3</v>
      </c>
      <c r="P49" s="174">
        <v>1.5679999999999999E-2</v>
      </c>
      <c r="R49" s="157">
        <v>6511750</v>
      </c>
      <c r="S49" s="175">
        <v>1</v>
      </c>
      <c r="T49" s="177">
        <v>112.44</v>
      </c>
      <c r="U49" s="157">
        <v>7321.8119999999999</v>
      </c>
      <c r="W49" s="4" t="s">
        <v>36</v>
      </c>
      <c r="X49" s="174">
        <v>3.2200000000000002E-4</v>
      </c>
      <c r="Y49" s="174">
        <v>0.18248348930104699</v>
      </c>
      <c r="Z49" s="174">
        <v>7.9886610187107299E-2</v>
      </c>
    </row>
    <row r="50" spans="1:26">
      <c r="A50" s="4">
        <v>161</v>
      </c>
      <c r="B50" s="4">
        <v>9942</v>
      </c>
      <c r="C50" s="4" t="s">
        <v>37</v>
      </c>
      <c r="D50" s="4" t="s">
        <v>48</v>
      </c>
      <c r="E50" s="4" t="s">
        <v>49</v>
      </c>
      <c r="F50" s="4" t="s">
        <v>40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7">
        <v>3.972</v>
      </c>
      <c r="N50" s="4" t="s">
        <v>50</v>
      </c>
      <c r="O50" s="173">
        <v>1.0999999999999999E-2</v>
      </c>
      <c r="P50" s="174">
        <v>1.806E-2</v>
      </c>
      <c r="R50" s="157">
        <v>2709212</v>
      </c>
      <c r="S50" s="175">
        <v>1</v>
      </c>
      <c r="T50" s="177">
        <v>102.6</v>
      </c>
      <c r="U50" s="157">
        <v>2779.652</v>
      </c>
      <c r="W50" s="4" t="s">
        <v>36</v>
      </c>
      <c r="X50" s="174">
        <v>1.3300000000000001E-4</v>
      </c>
      <c r="Y50" s="174">
        <v>6.9278004916555197E-2</v>
      </c>
      <c r="Z50" s="174">
        <v>3.0328140888292301E-2</v>
      </c>
    </row>
    <row r="51" spans="1:26">
      <c r="A51" s="4">
        <v>161</v>
      </c>
      <c r="B51" s="4">
        <v>9942</v>
      </c>
      <c r="C51" s="4" t="s">
        <v>26</v>
      </c>
      <c r="D51" s="4" t="s">
        <v>83</v>
      </c>
      <c r="E51" s="4" t="s">
        <v>84</v>
      </c>
      <c r="F51" s="4" t="s">
        <v>29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7">
        <v>5.33</v>
      </c>
      <c r="N51" s="4" t="s">
        <v>85</v>
      </c>
      <c r="O51" s="173">
        <v>0.01</v>
      </c>
      <c r="P51" s="174">
        <v>4.6289999999999998E-2</v>
      </c>
      <c r="R51" s="157">
        <v>3700000</v>
      </c>
      <c r="S51" s="175">
        <v>1</v>
      </c>
      <c r="T51" s="177">
        <v>83.24</v>
      </c>
      <c r="U51" s="157">
        <v>3079.88</v>
      </c>
      <c r="W51" s="4" t="s">
        <v>36</v>
      </c>
      <c r="X51" s="174">
        <v>9.7999999999999997E-5</v>
      </c>
      <c r="Y51" s="174">
        <v>7.6760680560592598E-2</v>
      </c>
      <c r="Z51" s="174">
        <v>3.3603865144888702E-2</v>
      </c>
    </row>
    <row r="52" spans="1:26">
      <c r="A52" s="4">
        <v>161</v>
      </c>
      <c r="B52" s="4">
        <v>9942</v>
      </c>
      <c r="C52" s="4" t="s">
        <v>26</v>
      </c>
      <c r="D52" s="4" t="s">
        <v>45</v>
      </c>
      <c r="E52" s="4" t="s">
        <v>46</v>
      </c>
      <c r="F52" s="4" t="s">
        <v>29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57">
        <v>7.1239999999999997</v>
      </c>
      <c r="N52" s="4" t="s">
        <v>47</v>
      </c>
      <c r="O52" s="173">
        <v>1.2999999999999999E-2</v>
      </c>
      <c r="P52" s="174">
        <v>4.7539999999999999E-2</v>
      </c>
      <c r="R52" s="157">
        <v>3350000</v>
      </c>
      <c r="S52" s="175">
        <v>1</v>
      </c>
      <c r="T52" s="177">
        <v>78.98</v>
      </c>
      <c r="U52" s="157">
        <v>2645.83</v>
      </c>
      <c r="W52" s="4" t="s">
        <v>36</v>
      </c>
      <c r="X52" s="174">
        <v>1.12E-4</v>
      </c>
      <c r="Y52" s="174">
        <v>6.59427352519035E-2</v>
      </c>
      <c r="Z52" s="174">
        <v>2.8868045026527199E-2</v>
      </c>
    </row>
    <row r="53" spans="1:26">
      <c r="A53" s="4">
        <v>161</v>
      </c>
      <c r="B53" s="4">
        <v>9942</v>
      </c>
      <c r="C53" s="4" t="s">
        <v>86</v>
      </c>
      <c r="D53" s="4" t="s">
        <v>87</v>
      </c>
      <c r="E53" s="4" t="s">
        <v>88</v>
      </c>
      <c r="F53" s="4" t="s">
        <v>89</v>
      </c>
      <c r="G53" s="4" t="s">
        <v>90</v>
      </c>
      <c r="H53" s="4" t="s">
        <v>91</v>
      </c>
      <c r="I53" s="4" t="s">
        <v>92</v>
      </c>
      <c r="J53" s="4" t="s">
        <v>93</v>
      </c>
      <c r="K53" s="4" t="s">
        <v>94</v>
      </c>
      <c r="L53" s="4" t="s">
        <v>95</v>
      </c>
      <c r="M53" s="157">
        <v>7.3810000000000002</v>
      </c>
      <c r="N53" s="4" t="s">
        <v>96</v>
      </c>
      <c r="O53" s="173">
        <v>3.3750000000000002E-2</v>
      </c>
      <c r="P53" s="174">
        <v>3.8159999999999999E-2</v>
      </c>
      <c r="R53" s="157">
        <v>239000</v>
      </c>
      <c r="S53" s="175">
        <v>3.71</v>
      </c>
      <c r="T53" s="177">
        <v>98.497</v>
      </c>
      <c r="U53" s="157">
        <v>873.36599999999999</v>
      </c>
      <c r="W53" s="4" t="s">
        <v>36</v>
      </c>
      <c r="X53" s="174">
        <v>1.9999999999999999E-6</v>
      </c>
      <c r="Y53" s="174">
        <v>2.1767124236979098E-2</v>
      </c>
      <c r="Z53" s="174">
        <v>9.5290909631017603E-3</v>
      </c>
    </row>
    <row r="54" spans="1:26">
      <c r="A54" s="4">
        <v>161</v>
      </c>
      <c r="B54" s="4">
        <v>9943</v>
      </c>
      <c r="C54" s="4" t="s">
        <v>51</v>
      </c>
      <c r="D54" s="4" t="s">
        <v>57</v>
      </c>
      <c r="E54" s="4" t="s">
        <v>58</v>
      </c>
      <c r="F54" s="4" t="s">
        <v>54</v>
      </c>
      <c r="G54" s="4" t="s">
        <v>30</v>
      </c>
      <c r="H54" s="4" t="s">
        <v>30</v>
      </c>
      <c r="I54" s="4" t="s">
        <v>55</v>
      </c>
      <c r="J54" s="4" t="s">
        <v>32</v>
      </c>
      <c r="K54" s="4" t="s">
        <v>33</v>
      </c>
      <c r="L54" s="4" t="s">
        <v>34</v>
      </c>
      <c r="M54" s="157">
        <v>0.5</v>
      </c>
      <c r="N54" s="4" t="s">
        <v>59</v>
      </c>
      <c r="O54" s="173">
        <v>0</v>
      </c>
      <c r="P54" s="174">
        <v>4.3479999999999998E-2</v>
      </c>
      <c r="R54" s="157">
        <v>4500000</v>
      </c>
      <c r="S54" s="175">
        <v>1</v>
      </c>
      <c r="T54" s="177">
        <v>97.9</v>
      </c>
      <c r="U54" s="157">
        <v>4405.5</v>
      </c>
      <c r="W54" s="4" t="s">
        <v>36</v>
      </c>
      <c r="X54" s="174">
        <v>3.7500000000000001E-4</v>
      </c>
      <c r="Y54" s="174">
        <v>1.26800626927793E-2</v>
      </c>
      <c r="Z54" s="174">
        <v>2.41601410682226E-3</v>
      </c>
    </row>
    <row r="55" spans="1:26">
      <c r="A55" s="4">
        <v>161</v>
      </c>
      <c r="B55" s="4">
        <v>9943</v>
      </c>
      <c r="C55" s="4" t="s">
        <v>51</v>
      </c>
      <c r="D55" s="4" t="s">
        <v>121</v>
      </c>
      <c r="E55" s="4" t="s">
        <v>122</v>
      </c>
      <c r="F55" s="4" t="s">
        <v>54</v>
      </c>
      <c r="G55" s="4" t="s">
        <v>30</v>
      </c>
      <c r="H55" s="4" t="s">
        <v>30</v>
      </c>
      <c r="I55" s="4" t="s">
        <v>55</v>
      </c>
      <c r="J55" s="4" t="s">
        <v>32</v>
      </c>
      <c r="K55" s="4" t="s">
        <v>33</v>
      </c>
      <c r="L55" s="4" t="s">
        <v>34</v>
      </c>
      <c r="M55" s="157">
        <v>0.92</v>
      </c>
      <c r="N55" s="4" t="s">
        <v>123</v>
      </c>
      <c r="O55" s="173">
        <v>0</v>
      </c>
      <c r="P55" s="174">
        <v>4.2979999999999997E-2</v>
      </c>
      <c r="R55" s="157">
        <v>8570000</v>
      </c>
      <c r="S55" s="175">
        <v>1</v>
      </c>
      <c r="T55" s="177">
        <v>96.2</v>
      </c>
      <c r="U55" s="157">
        <v>8244.34</v>
      </c>
      <c r="W55" s="4" t="s">
        <v>36</v>
      </c>
      <c r="X55" s="174">
        <v>7.1400000000000001E-4</v>
      </c>
      <c r="Y55" s="174">
        <v>2.3729144946223701E-2</v>
      </c>
      <c r="Z55" s="174">
        <v>4.5212669938574698E-3</v>
      </c>
    </row>
    <row r="56" spans="1:26">
      <c r="A56" s="4">
        <v>161</v>
      </c>
      <c r="B56" s="4">
        <v>9943</v>
      </c>
      <c r="C56" s="4" t="s">
        <v>51</v>
      </c>
      <c r="D56" s="4" t="s">
        <v>124</v>
      </c>
      <c r="E56" s="4" t="s">
        <v>125</v>
      </c>
      <c r="F56" s="4" t="s">
        <v>54</v>
      </c>
      <c r="G56" s="4" t="s">
        <v>30</v>
      </c>
      <c r="H56" s="4" t="s">
        <v>30</v>
      </c>
      <c r="I56" s="4" t="s">
        <v>31</v>
      </c>
      <c r="J56" s="4" t="s">
        <v>32</v>
      </c>
      <c r="K56" s="4" t="s">
        <v>33</v>
      </c>
      <c r="L56" s="4" t="s">
        <v>34</v>
      </c>
      <c r="M56" s="157">
        <v>0.1</v>
      </c>
      <c r="N56" s="4" t="s">
        <v>126</v>
      </c>
      <c r="O56" s="173">
        <v>0</v>
      </c>
      <c r="P56" s="174">
        <v>4.487E-2</v>
      </c>
      <c r="R56" s="157">
        <v>3700000</v>
      </c>
      <c r="S56" s="175">
        <v>1</v>
      </c>
      <c r="T56" s="177">
        <v>99.58</v>
      </c>
      <c r="U56" s="157">
        <v>3684.46</v>
      </c>
      <c r="W56" s="4" t="s">
        <v>36</v>
      </c>
      <c r="X56" s="174">
        <v>9.2E-5</v>
      </c>
      <c r="Y56" s="174">
        <v>1.0604740390202601E-2</v>
      </c>
      <c r="Z56" s="174">
        <v>2.0205895666830899E-3</v>
      </c>
    </row>
    <row r="57" spans="1:26">
      <c r="A57" s="4">
        <v>161</v>
      </c>
      <c r="B57" s="4">
        <v>9943</v>
      </c>
      <c r="C57" s="4" t="s">
        <v>51</v>
      </c>
      <c r="D57" s="4" t="s">
        <v>60</v>
      </c>
      <c r="E57" s="4" t="s">
        <v>61</v>
      </c>
      <c r="F57" s="4" t="s">
        <v>54</v>
      </c>
      <c r="G57" s="4" t="s">
        <v>30</v>
      </c>
      <c r="H57" s="4" t="s">
        <v>30</v>
      </c>
      <c r="I57" s="4" t="s">
        <v>31</v>
      </c>
      <c r="J57" s="4" t="s">
        <v>32</v>
      </c>
      <c r="K57" s="4" t="s">
        <v>33</v>
      </c>
      <c r="L57" s="4" t="s">
        <v>34</v>
      </c>
      <c r="M57" s="157">
        <v>0.18</v>
      </c>
      <c r="N57" s="4" t="s">
        <v>62</v>
      </c>
      <c r="O57" s="173">
        <v>0</v>
      </c>
      <c r="P57" s="174">
        <v>4.3360000000000003E-2</v>
      </c>
      <c r="R57" s="157">
        <v>19330530</v>
      </c>
      <c r="S57" s="175">
        <v>1</v>
      </c>
      <c r="T57" s="177">
        <v>99.27</v>
      </c>
      <c r="U57" s="157">
        <v>19189.417000000001</v>
      </c>
      <c r="W57" s="4" t="s">
        <v>36</v>
      </c>
      <c r="X57" s="174">
        <v>4.8299999999999998E-4</v>
      </c>
      <c r="Y57" s="174">
        <v>5.5231645048002202E-2</v>
      </c>
      <c r="Z57" s="174">
        <v>1.05236414686625E-2</v>
      </c>
    </row>
    <row r="58" spans="1:26">
      <c r="A58" s="4">
        <v>161</v>
      </c>
      <c r="B58" s="4">
        <v>9943</v>
      </c>
      <c r="C58" s="4" t="s">
        <v>51</v>
      </c>
      <c r="D58" s="4" t="s">
        <v>63</v>
      </c>
      <c r="E58" s="4" t="s">
        <v>64</v>
      </c>
      <c r="F58" s="4" t="s">
        <v>54</v>
      </c>
      <c r="G58" s="4" t="s">
        <v>30</v>
      </c>
      <c r="H58" s="4" t="s">
        <v>30</v>
      </c>
      <c r="I58" s="4" t="s">
        <v>31</v>
      </c>
      <c r="J58" s="4" t="s">
        <v>32</v>
      </c>
      <c r="K58" s="4" t="s">
        <v>33</v>
      </c>
      <c r="L58" s="4" t="s">
        <v>34</v>
      </c>
      <c r="M58" s="157">
        <v>0.35</v>
      </c>
      <c r="N58" s="4" t="s">
        <v>65</v>
      </c>
      <c r="O58" s="173">
        <v>0</v>
      </c>
      <c r="P58" s="174">
        <v>4.2909999999999997E-2</v>
      </c>
      <c r="R58" s="157">
        <v>6150161</v>
      </c>
      <c r="S58" s="175">
        <v>1</v>
      </c>
      <c r="T58" s="177">
        <v>98.56</v>
      </c>
      <c r="U58" s="157">
        <v>6061.5990000000002</v>
      </c>
      <c r="W58" s="4" t="s">
        <v>36</v>
      </c>
      <c r="X58" s="174">
        <v>5.13E-4</v>
      </c>
      <c r="Y58" s="174">
        <v>1.7446703280253401E-2</v>
      </c>
      <c r="Z58" s="174">
        <v>3.3242328735991001E-3</v>
      </c>
    </row>
    <row r="59" spans="1:26">
      <c r="A59" s="4">
        <v>161</v>
      </c>
      <c r="B59" s="4">
        <v>9943</v>
      </c>
      <c r="C59" s="4" t="s">
        <v>51</v>
      </c>
      <c r="D59" s="4" t="s">
        <v>66</v>
      </c>
      <c r="E59" s="4" t="s">
        <v>67</v>
      </c>
      <c r="F59" s="4" t="s">
        <v>54</v>
      </c>
      <c r="G59" s="4" t="s">
        <v>30</v>
      </c>
      <c r="H59" s="4" t="s">
        <v>30</v>
      </c>
      <c r="I59" s="4" t="s">
        <v>55</v>
      </c>
      <c r="J59" s="4" t="s">
        <v>32</v>
      </c>
      <c r="K59" s="4" t="s">
        <v>33</v>
      </c>
      <c r="L59" s="4" t="s">
        <v>34</v>
      </c>
      <c r="M59" s="157">
        <v>0.55600000000000005</v>
      </c>
      <c r="N59" s="4" t="s">
        <v>68</v>
      </c>
      <c r="O59" s="173">
        <v>0</v>
      </c>
      <c r="P59" s="174">
        <v>4.3150000000000001E-2</v>
      </c>
      <c r="R59" s="157">
        <v>7375057</v>
      </c>
      <c r="S59" s="175">
        <v>1</v>
      </c>
      <c r="T59" s="177">
        <v>97.52</v>
      </c>
      <c r="U59" s="157">
        <v>7192.1559999999999</v>
      </c>
      <c r="W59" s="4" t="s">
        <v>36</v>
      </c>
      <c r="X59" s="174">
        <v>5.2700000000000002E-4</v>
      </c>
      <c r="Y59" s="174">
        <v>2.07007113226138E-2</v>
      </c>
      <c r="Z59" s="174">
        <v>3.9442400079906801E-3</v>
      </c>
    </row>
    <row r="60" spans="1:26">
      <c r="A60" s="4">
        <v>161</v>
      </c>
      <c r="B60" s="4">
        <v>9943</v>
      </c>
      <c r="C60" s="4" t="s">
        <v>37</v>
      </c>
      <c r="D60" s="4" t="s">
        <v>97</v>
      </c>
      <c r="E60" s="4" t="s">
        <v>98</v>
      </c>
      <c r="F60" s="4" t="s">
        <v>40</v>
      </c>
      <c r="G60" s="4" t="s">
        <v>30</v>
      </c>
      <c r="H60" s="4" t="s">
        <v>30</v>
      </c>
      <c r="I60" s="4" t="s">
        <v>31</v>
      </c>
      <c r="J60" s="4" t="s">
        <v>32</v>
      </c>
      <c r="K60" s="4" t="s">
        <v>33</v>
      </c>
      <c r="L60" s="4" t="s">
        <v>34</v>
      </c>
      <c r="M60" s="157">
        <v>2.64</v>
      </c>
      <c r="N60" s="4" t="s">
        <v>99</v>
      </c>
      <c r="O60" s="173">
        <v>7.4999999999999997E-3</v>
      </c>
      <c r="P60" s="174">
        <v>1.6299999999999999E-2</v>
      </c>
      <c r="R60" s="157">
        <v>6400000</v>
      </c>
      <c r="S60" s="175">
        <v>1</v>
      </c>
      <c r="T60" s="177">
        <v>114.25</v>
      </c>
      <c r="U60" s="157">
        <v>7312</v>
      </c>
      <c r="W60" s="4" t="s">
        <v>36</v>
      </c>
      <c r="X60" s="174">
        <v>2.8699999999999998E-4</v>
      </c>
      <c r="Y60" s="174">
        <v>2.1045651664874002E-2</v>
      </c>
      <c r="Z60" s="174">
        <v>4.0099637156019502E-3</v>
      </c>
    </row>
    <row r="61" spans="1:26">
      <c r="A61" s="4">
        <v>161</v>
      </c>
      <c r="B61" s="4">
        <v>9943</v>
      </c>
      <c r="C61" s="4" t="s">
        <v>37</v>
      </c>
      <c r="D61" s="4" t="s">
        <v>69</v>
      </c>
      <c r="E61" s="4" t="s">
        <v>70</v>
      </c>
      <c r="F61" s="4" t="s">
        <v>40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57">
        <v>18.399999999999999</v>
      </c>
      <c r="N61" s="4" t="s">
        <v>71</v>
      </c>
      <c r="O61" s="173">
        <v>0.01</v>
      </c>
      <c r="P61" s="174">
        <v>2.2749999999999999E-2</v>
      </c>
      <c r="R61" s="157">
        <v>251406</v>
      </c>
      <c r="S61" s="175">
        <v>1</v>
      </c>
      <c r="T61" s="177">
        <v>92.5</v>
      </c>
      <c r="U61" s="157">
        <v>232.55099999999999</v>
      </c>
      <c r="W61" s="4" t="s">
        <v>36</v>
      </c>
      <c r="X61" s="174">
        <v>1.2999999999999999E-5</v>
      </c>
      <c r="Y61" s="174">
        <v>6.69335047835731E-4</v>
      </c>
      <c r="Z61" s="174">
        <v>1.2753272258524001E-4</v>
      </c>
    </row>
    <row r="62" spans="1:26">
      <c r="A62" s="4">
        <v>161</v>
      </c>
      <c r="B62" s="4">
        <v>9943</v>
      </c>
      <c r="C62" s="4" t="s">
        <v>37</v>
      </c>
      <c r="D62" s="4" t="s">
        <v>100</v>
      </c>
      <c r="E62" s="4" t="s">
        <v>101</v>
      </c>
      <c r="F62" s="4" t="s">
        <v>40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57">
        <v>1.0720000000000001</v>
      </c>
      <c r="N62" s="4" t="s">
        <v>102</v>
      </c>
      <c r="O62" s="173">
        <v>7.4999999999999997E-3</v>
      </c>
      <c r="P62" s="174">
        <v>1.303E-2</v>
      </c>
      <c r="R62" s="157">
        <v>4124563</v>
      </c>
      <c r="S62" s="175">
        <v>1</v>
      </c>
      <c r="T62" s="177">
        <v>116.02</v>
      </c>
      <c r="U62" s="157">
        <v>4785.3180000000002</v>
      </c>
      <c r="W62" s="4" t="s">
        <v>36</v>
      </c>
      <c r="X62" s="174">
        <v>1.9000000000000001E-4</v>
      </c>
      <c r="Y62" s="174">
        <v>1.37732679947913E-2</v>
      </c>
      <c r="Z62" s="174">
        <v>2.62430956208194E-3</v>
      </c>
    </row>
    <row r="63" spans="1:26">
      <c r="A63" s="4">
        <v>161</v>
      </c>
      <c r="B63" s="4">
        <v>9943</v>
      </c>
      <c r="C63" s="4" t="s">
        <v>37</v>
      </c>
      <c r="D63" s="4" t="s">
        <v>112</v>
      </c>
      <c r="E63" s="4" t="s">
        <v>113</v>
      </c>
      <c r="F63" s="4" t="s">
        <v>40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7">
        <v>7.1340000000000003</v>
      </c>
      <c r="N63" s="4" t="s">
        <v>114</v>
      </c>
      <c r="O63" s="173">
        <v>1E-3</v>
      </c>
      <c r="P63" s="174">
        <v>1.9910000000000001E-2</v>
      </c>
      <c r="R63" s="157">
        <v>7460000</v>
      </c>
      <c r="S63" s="175">
        <v>1</v>
      </c>
      <c r="T63" s="177">
        <v>101.1</v>
      </c>
      <c r="U63" s="157">
        <v>7542.06</v>
      </c>
      <c r="W63" s="4" t="s">
        <v>36</v>
      </c>
      <c r="X63" s="174">
        <v>2.43E-4</v>
      </c>
      <c r="Y63" s="174">
        <v>2.1707818325434902E-2</v>
      </c>
      <c r="Z63" s="174">
        <v>4.1361305991374202E-3</v>
      </c>
    </row>
    <row r="64" spans="1:26">
      <c r="A64" s="4">
        <v>161</v>
      </c>
      <c r="B64" s="4">
        <v>9943</v>
      </c>
      <c r="C64" s="4" t="s">
        <v>26</v>
      </c>
      <c r="D64" s="4" t="s">
        <v>115</v>
      </c>
      <c r="E64" s="4" t="s">
        <v>116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57">
        <v>3.86</v>
      </c>
      <c r="N64" s="4" t="s">
        <v>117</v>
      </c>
      <c r="O64" s="173">
        <v>2.2499999999999999E-2</v>
      </c>
      <c r="P64" s="174">
        <v>4.5159999999999999E-2</v>
      </c>
      <c r="R64" s="157">
        <v>9200000</v>
      </c>
      <c r="S64" s="175">
        <v>1</v>
      </c>
      <c r="T64" s="177">
        <v>91.9</v>
      </c>
      <c r="U64" s="157">
        <v>8454.7999999999993</v>
      </c>
      <c r="W64" s="4" t="s">
        <v>36</v>
      </c>
      <c r="X64" s="174">
        <v>2.7500000000000002E-4</v>
      </c>
      <c r="Y64" s="174">
        <v>2.4334898207901599E-2</v>
      </c>
      <c r="Z64" s="174">
        <v>4.6366850687460798E-3</v>
      </c>
    </row>
    <row r="65" spans="1:26">
      <c r="A65" s="4">
        <v>161</v>
      </c>
      <c r="B65" s="4">
        <v>9943</v>
      </c>
      <c r="C65" s="4" t="s">
        <v>26</v>
      </c>
      <c r="D65" s="4" t="s">
        <v>127</v>
      </c>
      <c r="E65" s="4" t="s">
        <v>128</v>
      </c>
      <c r="F65" s="4" t="s">
        <v>29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57">
        <v>14.32</v>
      </c>
      <c r="N65" s="4" t="s">
        <v>129</v>
      </c>
      <c r="O65" s="173">
        <v>3.7499999999999999E-2</v>
      </c>
      <c r="P65" s="174">
        <v>5.3379999999999997E-2</v>
      </c>
      <c r="R65" s="157">
        <v>4896012</v>
      </c>
      <c r="S65" s="175">
        <v>1</v>
      </c>
      <c r="T65" s="177">
        <v>81.36</v>
      </c>
      <c r="U65" s="157">
        <v>3983.395</v>
      </c>
      <c r="W65" s="4" t="s">
        <v>36</v>
      </c>
      <c r="X65" s="174">
        <v>1.8699999999999999E-4</v>
      </c>
      <c r="Y65" s="174">
        <v>1.1465146506753499E-2</v>
      </c>
      <c r="Z65" s="174">
        <v>2.18452829203078E-3</v>
      </c>
    </row>
    <row r="66" spans="1:26">
      <c r="A66" s="4">
        <v>161</v>
      </c>
      <c r="B66" s="4">
        <v>9943</v>
      </c>
      <c r="C66" s="4" t="s">
        <v>26</v>
      </c>
      <c r="D66" s="4" t="s">
        <v>27</v>
      </c>
      <c r="E66" s="4" t="s">
        <v>28</v>
      </c>
      <c r="F66" s="4" t="s">
        <v>29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57">
        <v>0.92</v>
      </c>
      <c r="N66" s="4" t="s">
        <v>35</v>
      </c>
      <c r="O66" s="173">
        <v>1.7500000000000002E-2</v>
      </c>
      <c r="P66" s="174">
        <v>4.1840000000000002E-2</v>
      </c>
      <c r="R66" s="157">
        <v>9222322</v>
      </c>
      <c r="S66" s="175">
        <v>1</v>
      </c>
      <c r="T66" s="177">
        <v>98.02</v>
      </c>
      <c r="U66" s="157">
        <v>9039.7199999999993</v>
      </c>
      <c r="W66" s="4" t="s">
        <v>36</v>
      </c>
      <c r="X66" s="174">
        <v>3.88E-4</v>
      </c>
      <c r="Y66" s="174">
        <v>2.6018435281934999E-2</v>
      </c>
      <c r="Z66" s="174">
        <v>4.95746024303123E-3</v>
      </c>
    </row>
    <row r="67" spans="1:26">
      <c r="A67" s="4">
        <v>161</v>
      </c>
      <c r="B67" s="4">
        <v>9943</v>
      </c>
      <c r="C67" s="4" t="s">
        <v>78</v>
      </c>
      <c r="D67" s="4" t="s">
        <v>106</v>
      </c>
      <c r="E67" s="4" t="s">
        <v>107</v>
      </c>
      <c r="F67" s="4" t="s">
        <v>81</v>
      </c>
      <c r="G67" s="4" t="s">
        <v>30</v>
      </c>
      <c r="H67" s="4" t="s">
        <v>30</v>
      </c>
      <c r="I67" s="4" t="s">
        <v>31</v>
      </c>
      <c r="J67" s="4" t="s">
        <v>32</v>
      </c>
      <c r="K67" s="4" t="s">
        <v>33</v>
      </c>
      <c r="L67" s="4" t="s">
        <v>34</v>
      </c>
      <c r="M67" s="157">
        <v>5.42</v>
      </c>
      <c r="N67" s="4" t="s">
        <v>108</v>
      </c>
      <c r="O67" s="173">
        <v>4.1700000000000001E-2</v>
      </c>
      <c r="P67" s="174">
        <v>4.8480000000000002E-2</v>
      </c>
      <c r="R67" s="157">
        <v>1552975</v>
      </c>
      <c r="S67" s="175">
        <v>1</v>
      </c>
      <c r="T67" s="177">
        <v>97.9</v>
      </c>
      <c r="U67" s="157">
        <v>1520.3630000000001</v>
      </c>
      <c r="W67" s="4" t="s">
        <v>36</v>
      </c>
      <c r="X67" s="174">
        <v>4.8999999999999998E-5</v>
      </c>
      <c r="Y67" s="174">
        <v>4.3759600800708804E-3</v>
      </c>
      <c r="Z67" s="174">
        <v>8.3377989056495705E-4</v>
      </c>
    </row>
    <row r="68" spans="1:26">
      <c r="A68" s="4">
        <v>161</v>
      </c>
      <c r="B68" s="4">
        <v>9943</v>
      </c>
      <c r="C68" s="4" t="s">
        <v>37</v>
      </c>
      <c r="D68" s="4" t="s">
        <v>130</v>
      </c>
      <c r="E68" s="4" t="s">
        <v>131</v>
      </c>
      <c r="F68" s="4" t="s">
        <v>40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57">
        <v>9.6419999999999995</v>
      </c>
      <c r="N68" s="4" t="s">
        <v>132</v>
      </c>
      <c r="O68" s="173">
        <v>0.04</v>
      </c>
      <c r="P68" s="174">
        <v>2.1739999999999999E-2</v>
      </c>
      <c r="R68" s="157">
        <v>2505219</v>
      </c>
      <c r="S68" s="175">
        <v>1</v>
      </c>
      <c r="T68" s="177">
        <v>164.63</v>
      </c>
      <c r="U68" s="157">
        <v>4124.3419999999996</v>
      </c>
      <c r="W68" s="4" t="s">
        <v>36</v>
      </c>
      <c r="X68" s="174">
        <v>1.5699999999999999E-4</v>
      </c>
      <c r="Y68" s="174">
        <v>1.1870824113009E-2</v>
      </c>
      <c r="Z68" s="174">
        <v>2.2618246621893801E-3</v>
      </c>
    </row>
    <row r="69" spans="1:26">
      <c r="A69" s="4">
        <v>161</v>
      </c>
      <c r="B69" s="4">
        <v>9943</v>
      </c>
      <c r="C69" s="4" t="s">
        <v>26</v>
      </c>
      <c r="D69" s="4" t="s">
        <v>109</v>
      </c>
      <c r="E69" s="4" t="s">
        <v>110</v>
      </c>
      <c r="F69" s="4" t="s">
        <v>29</v>
      </c>
      <c r="G69" s="4" t="s">
        <v>30</v>
      </c>
      <c r="H69" s="4" t="s">
        <v>30</v>
      </c>
      <c r="I69" s="4" t="s">
        <v>31</v>
      </c>
      <c r="J69" s="4" t="s">
        <v>32</v>
      </c>
      <c r="K69" s="4" t="s">
        <v>33</v>
      </c>
      <c r="L69" s="4" t="s">
        <v>34</v>
      </c>
      <c r="M69" s="157">
        <v>1.9079999999999999</v>
      </c>
      <c r="N69" s="4" t="s">
        <v>111</v>
      </c>
      <c r="O69" s="173">
        <v>6.25E-2</v>
      </c>
      <c r="P69" s="174">
        <v>4.3290000000000002E-2</v>
      </c>
      <c r="R69" s="157">
        <v>1015000</v>
      </c>
      <c r="S69" s="175">
        <v>1</v>
      </c>
      <c r="T69" s="177">
        <v>109.5</v>
      </c>
      <c r="U69" s="157">
        <v>1111.425</v>
      </c>
      <c r="W69" s="4" t="s">
        <v>36</v>
      </c>
      <c r="X69" s="174">
        <v>6.7999999999999999E-5</v>
      </c>
      <c r="Y69" s="174">
        <v>3.1989419312954898E-3</v>
      </c>
      <c r="Z69" s="174">
        <v>6.0951503318010095E-4</v>
      </c>
    </row>
    <row r="70" spans="1:26">
      <c r="A70" s="4">
        <v>161</v>
      </c>
      <c r="B70" s="4">
        <v>9943</v>
      </c>
      <c r="C70" s="4" t="s">
        <v>26</v>
      </c>
      <c r="D70" s="4" t="s">
        <v>75</v>
      </c>
      <c r="E70" s="4" t="s">
        <v>76</v>
      </c>
      <c r="F70" s="4" t="s">
        <v>29</v>
      </c>
      <c r="G70" s="4" t="s">
        <v>30</v>
      </c>
      <c r="H70" s="4" t="s">
        <v>30</v>
      </c>
      <c r="I70" s="4" t="s">
        <v>31</v>
      </c>
      <c r="J70" s="4" t="s">
        <v>32</v>
      </c>
      <c r="K70" s="4" t="s">
        <v>33</v>
      </c>
      <c r="L70" s="4" t="s">
        <v>34</v>
      </c>
      <c r="M70" s="157">
        <v>11.238</v>
      </c>
      <c r="N70" s="4" t="s">
        <v>77</v>
      </c>
      <c r="O70" s="173">
        <v>5.5E-2</v>
      </c>
      <c r="P70" s="174">
        <v>5.1729999999999998E-2</v>
      </c>
      <c r="R70" s="157">
        <v>8560751</v>
      </c>
      <c r="S70" s="175">
        <v>1</v>
      </c>
      <c r="T70" s="177">
        <v>107.34</v>
      </c>
      <c r="U70" s="157">
        <v>9189.11</v>
      </c>
      <c r="W70" s="4" t="s">
        <v>36</v>
      </c>
      <c r="X70" s="174">
        <v>3.9899999999999999E-4</v>
      </c>
      <c r="Y70" s="174">
        <v>2.6448415039283898E-2</v>
      </c>
      <c r="Z70" s="174">
        <v>5.03938705873968E-3</v>
      </c>
    </row>
    <row r="71" spans="1:26">
      <c r="A71" s="4">
        <v>161</v>
      </c>
      <c r="B71" s="4">
        <v>9943</v>
      </c>
      <c r="C71" s="4" t="s">
        <v>78</v>
      </c>
      <c r="D71" s="4" t="s">
        <v>79</v>
      </c>
      <c r="E71" s="4" t="s">
        <v>80</v>
      </c>
      <c r="F71" s="4" t="s">
        <v>81</v>
      </c>
      <c r="G71" s="4" t="s">
        <v>30</v>
      </c>
      <c r="H71" s="4" t="s">
        <v>30</v>
      </c>
      <c r="I71" s="4" t="s">
        <v>31</v>
      </c>
      <c r="J71" s="4" t="s">
        <v>32</v>
      </c>
      <c r="K71" s="4" t="s">
        <v>33</v>
      </c>
      <c r="L71" s="4" t="s">
        <v>34</v>
      </c>
      <c r="M71" s="157">
        <v>1.6040000000000001</v>
      </c>
      <c r="N71" s="4" t="s">
        <v>82</v>
      </c>
      <c r="O71" s="173">
        <v>4.1700000000000001E-2</v>
      </c>
      <c r="P71" s="174">
        <v>4.718E-2</v>
      </c>
      <c r="R71" s="157">
        <v>849137</v>
      </c>
      <c r="S71" s="175">
        <v>1</v>
      </c>
      <c r="T71" s="177">
        <v>99.82</v>
      </c>
      <c r="U71" s="157">
        <v>847.60900000000004</v>
      </c>
      <c r="W71" s="4" t="s">
        <v>36</v>
      </c>
      <c r="X71" s="174">
        <v>4.0000000000000003E-5</v>
      </c>
      <c r="Y71" s="174">
        <v>2.4396162969124902E-3</v>
      </c>
      <c r="Z71" s="174">
        <v>4.6483582387416001E-4</v>
      </c>
    </row>
    <row r="72" spans="1:26">
      <c r="A72" s="4">
        <v>161</v>
      </c>
      <c r="B72" s="4">
        <v>9943</v>
      </c>
      <c r="C72" s="4" t="s">
        <v>37</v>
      </c>
      <c r="D72" s="4" t="s">
        <v>38</v>
      </c>
      <c r="E72" s="4" t="s">
        <v>39</v>
      </c>
      <c r="F72" s="4" t="s">
        <v>40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57">
        <v>4.6100000000000003</v>
      </c>
      <c r="N72" s="4" t="s">
        <v>41</v>
      </c>
      <c r="O72" s="173">
        <v>5.0000000000000001E-3</v>
      </c>
      <c r="P72" s="174">
        <v>1.8280000000000001E-2</v>
      </c>
      <c r="R72" s="157">
        <v>9744255</v>
      </c>
      <c r="S72" s="175">
        <v>1</v>
      </c>
      <c r="T72" s="177">
        <v>108.85</v>
      </c>
      <c r="U72" s="157">
        <v>10606.621999999999</v>
      </c>
      <c r="W72" s="4" t="s">
        <v>36</v>
      </c>
      <c r="X72" s="174">
        <v>3.6099999999999999E-4</v>
      </c>
      <c r="Y72" s="174">
        <v>3.0528345575867699E-2</v>
      </c>
      <c r="Z72" s="174">
        <v>5.8167625315640199E-3</v>
      </c>
    </row>
    <row r="73" spans="1:26">
      <c r="A73" s="4">
        <v>161</v>
      </c>
      <c r="B73" s="4">
        <v>9943</v>
      </c>
      <c r="C73" s="4" t="s">
        <v>37</v>
      </c>
      <c r="D73" s="4" t="s">
        <v>42</v>
      </c>
      <c r="E73" s="4" t="s">
        <v>43</v>
      </c>
      <c r="F73" s="4" t="s">
        <v>40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57">
        <v>1.83</v>
      </c>
      <c r="N73" s="4" t="s">
        <v>44</v>
      </c>
      <c r="O73" s="173">
        <v>1E-3</v>
      </c>
      <c r="P73" s="174">
        <v>1.5679999999999999E-2</v>
      </c>
      <c r="R73" s="157">
        <v>14712718</v>
      </c>
      <c r="S73" s="175">
        <v>1</v>
      </c>
      <c r="T73" s="177">
        <v>112.44</v>
      </c>
      <c r="U73" s="157">
        <v>16542.98</v>
      </c>
      <c r="W73" s="4" t="s">
        <v>36</v>
      </c>
      <c r="X73" s="174">
        <v>7.2800000000000002E-4</v>
      </c>
      <c r="Y73" s="174">
        <v>4.7614578376315497E-2</v>
      </c>
      <c r="Z73" s="174">
        <v>9.0723126403058595E-3</v>
      </c>
    </row>
    <row r="74" spans="1:26">
      <c r="A74" s="4">
        <v>161</v>
      </c>
      <c r="B74" s="4">
        <v>9943</v>
      </c>
      <c r="C74" s="4" t="s">
        <v>37</v>
      </c>
      <c r="D74" s="4" t="s">
        <v>48</v>
      </c>
      <c r="E74" s="4" t="s">
        <v>49</v>
      </c>
      <c r="F74" s="4" t="s">
        <v>40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57">
        <v>3.972</v>
      </c>
      <c r="N74" s="4" t="s">
        <v>50</v>
      </c>
      <c r="O74" s="173">
        <v>1.0999999999999999E-2</v>
      </c>
      <c r="P74" s="174">
        <v>1.806E-2</v>
      </c>
      <c r="R74" s="157">
        <v>13311379</v>
      </c>
      <c r="S74" s="175">
        <v>1</v>
      </c>
      <c r="T74" s="177">
        <v>102.6</v>
      </c>
      <c r="U74" s="157">
        <v>13657.475</v>
      </c>
      <c r="W74" s="4" t="s">
        <v>36</v>
      </c>
      <c r="X74" s="174">
        <v>6.5300000000000004E-4</v>
      </c>
      <c r="Y74" s="174">
        <v>3.9309417177114302E-2</v>
      </c>
      <c r="Z74" s="174">
        <v>7.4898767247382403E-3</v>
      </c>
    </row>
    <row r="75" spans="1:26">
      <c r="A75" s="4">
        <v>161</v>
      </c>
      <c r="B75" s="4">
        <v>9943</v>
      </c>
      <c r="C75" s="4" t="s">
        <v>26</v>
      </c>
      <c r="D75" s="4" t="s">
        <v>133</v>
      </c>
      <c r="E75" s="4" t="s">
        <v>134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7">
        <v>11.205</v>
      </c>
      <c r="N75" s="4" t="s">
        <v>135</v>
      </c>
      <c r="O75" s="173">
        <v>1.4999999999999999E-2</v>
      </c>
      <c r="P75" s="174">
        <v>5.042E-2</v>
      </c>
      <c r="R75" s="157">
        <v>7915265</v>
      </c>
      <c r="S75" s="175">
        <v>1</v>
      </c>
      <c r="T75" s="177">
        <v>67.92</v>
      </c>
      <c r="U75" s="157">
        <v>5376.0479999999998</v>
      </c>
      <c r="W75" s="4" t="s">
        <v>36</v>
      </c>
      <c r="X75" s="174">
        <v>2.4699999999999999E-4</v>
      </c>
      <c r="Y75" s="174">
        <v>1.54735275285961E-2</v>
      </c>
      <c r="Z75" s="174">
        <v>2.94827097445499E-3</v>
      </c>
    </row>
    <row r="76" spans="1:26">
      <c r="A76" s="4">
        <v>161</v>
      </c>
      <c r="B76" s="4">
        <v>9943</v>
      </c>
      <c r="C76" s="4" t="s">
        <v>26</v>
      </c>
      <c r="D76" s="4" t="s">
        <v>83</v>
      </c>
      <c r="E76" s="4" t="s">
        <v>84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7">
        <v>5.33</v>
      </c>
      <c r="N76" s="4" t="s">
        <v>85</v>
      </c>
      <c r="O76" s="173">
        <v>0.01</v>
      </c>
      <c r="P76" s="174">
        <v>4.6289999999999998E-2</v>
      </c>
      <c r="R76" s="157">
        <v>30038629</v>
      </c>
      <c r="S76" s="175">
        <v>1</v>
      </c>
      <c r="T76" s="177">
        <v>83.24</v>
      </c>
      <c r="U76" s="157">
        <v>25004.154999999999</v>
      </c>
      <c r="W76" s="4" t="s">
        <v>36</v>
      </c>
      <c r="X76" s="174">
        <v>7.9600000000000005E-4</v>
      </c>
      <c r="Y76" s="174">
        <v>7.1967824352578799E-2</v>
      </c>
      <c r="Z76" s="174">
        <v>1.3712493627665599E-2</v>
      </c>
    </row>
    <row r="77" spans="1:26">
      <c r="A77" s="4">
        <v>161</v>
      </c>
      <c r="B77" s="4">
        <v>9943</v>
      </c>
      <c r="C77" s="4" t="s">
        <v>26</v>
      </c>
      <c r="D77" s="4" t="s">
        <v>45</v>
      </c>
      <c r="E77" s="4" t="s">
        <v>46</v>
      </c>
      <c r="F77" s="4" t="s">
        <v>29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7">
        <v>7.1239999999999997</v>
      </c>
      <c r="N77" s="4" t="s">
        <v>47</v>
      </c>
      <c r="O77" s="173">
        <v>1.2999999999999999E-2</v>
      </c>
      <c r="P77" s="174">
        <v>4.7539999999999999E-2</v>
      </c>
      <c r="R77" s="157">
        <v>20745743</v>
      </c>
      <c r="S77" s="175">
        <v>1</v>
      </c>
      <c r="T77" s="177">
        <v>78.98</v>
      </c>
      <c r="U77" s="157">
        <v>16384.988000000001</v>
      </c>
      <c r="W77" s="4" t="s">
        <v>36</v>
      </c>
      <c r="X77" s="174">
        <v>6.9200000000000002E-4</v>
      </c>
      <c r="Y77" s="174">
        <v>4.7159839472427099E-2</v>
      </c>
      <c r="Z77" s="174">
        <v>8.9856683047584603E-3</v>
      </c>
    </row>
    <row r="78" spans="1:26">
      <c r="A78" s="4">
        <v>161</v>
      </c>
      <c r="B78" s="4">
        <v>9943</v>
      </c>
      <c r="C78" s="4" t="s">
        <v>51</v>
      </c>
      <c r="D78" s="4" t="s">
        <v>60</v>
      </c>
      <c r="E78" s="4" t="s">
        <v>61</v>
      </c>
      <c r="F78" s="4" t="s">
        <v>54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57">
        <v>0.18</v>
      </c>
      <c r="N78" s="4" t="s">
        <v>62</v>
      </c>
      <c r="O78" s="173">
        <v>0</v>
      </c>
      <c r="P78" s="174">
        <v>4.3360000000000003E-2</v>
      </c>
      <c r="R78" s="157">
        <v>4169470</v>
      </c>
      <c r="S78" s="175">
        <v>1</v>
      </c>
      <c r="T78" s="177">
        <v>99.27</v>
      </c>
      <c r="U78" s="157">
        <v>4139.0330000000004</v>
      </c>
      <c r="W78" s="4" t="s">
        <v>36</v>
      </c>
      <c r="X78" s="174">
        <v>1.0399999999999999E-4</v>
      </c>
      <c r="Y78" s="174">
        <v>1.1913107766744801E-2</v>
      </c>
      <c r="Z78" s="174">
        <v>2.2698812393837299E-3</v>
      </c>
    </row>
    <row r="79" spans="1:26">
      <c r="A79" s="4">
        <v>161</v>
      </c>
      <c r="B79" s="4">
        <v>9943</v>
      </c>
      <c r="C79" s="4" t="s">
        <v>51</v>
      </c>
      <c r="D79" s="4" t="s">
        <v>63</v>
      </c>
      <c r="E79" s="4" t="s">
        <v>64</v>
      </c>
      <c r="F79" s="4" t="s">
        <v>54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57">
        <v>0.35</v>
      </c>
      <c r="N79" s="4" t="s">
        <v>65</v>
      </c>
      <c r="O79" s="173">
        <v>0</v>
      </c>
      <c r="P79" s="174">
        <v>4.2909999999999997E-2</v>
      </c>
      <c r="R79" s="157">
        <v>1619839</v>
      </c>
      <c r="S79" s="175">
        <v>1</v>
      </c>
      <c r="T79" s="177">
        <v>98.56</v>
      </c>
      <c r="U79" s="157">
        <v>1596.5129999999999</v>
      </c>
      <c r="W79" s="4" t="s">
        <v>36</v>
      </c>
      <c r="X79" s="174">
        <v>1.35E-4</v>
      </c>
      <c r="Y79" s="174">
        <v>4.5951399312607298E-3</v>
      </c>
      <c r="Z79" s="174">
        <v>8.7554164089979002E-4</v>
      </c>
    </row>
    <row r="80" spans="1:26">
      <c r="A80" s="4">
        <v>161</v>
      </c>
      <c r="B80" s="4">
        <v>9943</v>
      </c>
      <c r="C80" s="4" t="s">
        <v>51</v>
      </c>
      <c r="D80" s="4" t="s">
        <v>66</v>
      </c>
      <c r="E80" s="4" t="s">
        <v>67</v>
      </c>
      <c r="F80" s="4" t="s">
        <v>54</v>
      </c>
      <c r="G80" s="4" t="s">
        <v>30</v>
      </c>
      <c r="H80" s="4" t="s">
        <v>30</v>
      </c>
      <c r="I80" s="4" t="s">
        <v>55</v>
      </c>
      <c r="J80" s="4" t="s">
        <v>32</v>
      </c>
      <c r="K80" s="4" t="s">
        <v>33</v>
      </c>
      <c r="L80" s="4" t="s">
        <v>34</v>
      </c>
      <c r="M80" s="157">
        <v>0.55600000000000005</v>
      </c>
      <c r="N80" s="4" t="s">
        <v>68</v>
      </c>
      <c r="O80" s="173">
        <v>0</v>
      </c>
      <c r="P80" s="174">
        <v>4.3150000000000001E-2</v>
      </c>
      <c r="R80" s="157">
        <v>3467943</v>
      </c>
      <c r="S80" s="175">
        <v>1</v>
      </c>
      <c r="T80" s="177">
        <v>97.52</v>
      </c>
      <c r="U80" s="157">
        <v>3381.9380000000001</v>
      </c>
      <c r="W80" s="4" t="s">
        <v>36</v>
      </c>
      <c r="X80" s="174">
        <v>2.4800000000000001E-4</v>
      </c>
      <c r="Y80" s="174">
        <v>9.7340111305281099E-3</v>
      </c>
      <c r="Z80" s="174">
        <v>1.85468390631167E-3</v>
      </c>
    </row>
    <row r="81" spans="1:26">
      <c r="A81" s="4">
        <v>161</v>
      </c>
      <c r="B81" s="4">
        <v>9943</v>
      </c>
      <c r="C81" s="4" t="s">
        <v>51</v>
      </c>
      <c r="D81" s="4" t="s">
        <v>136</v>
      </c>
      <c r="E81" s="4" t="s">
        <v>137</v>
      </c>
      <c r="F81" s="4" t="s">
        <v>54</v>
      </c>
      <c r="G81" s="4" t="s">
        <v>30</v>
      </c>
      <c r="H81" s="4" t="s">
        <v>30</v>
      </c>
      <c r="I81" s="4" t="s">
        <v>55</v>
      </c>
      <c r="J81" s="4" t="s">
        <v>32</v>
      </c>
      <c r="K81" s="4" t="s">
        <v>33</v>
      </c>
      <c r="L81" s="4" t="s">
        <v>34</v>
      </c>
      <c r="M81" s="157">
        <v>0.748</v>
      </c>
      <c r="N81" s="4" t="s">
        <v>138</v>
      </c>
      <c r="O81" s="173">
        <v>0</v>
      </c>
      <c r="P81" s="174">
        <v>4.2999999999999997E-2</v>
      </c>
      <c r="R81" s="157">
        <v>5000000</v>
      </c>
      <c r="S81" s="175">
        <v>1</v>
      </c>
      <c r="T81" s="177">
        <v>96.9</v>
      </c>
      <c r="U81" s="157">
        <v>4845</v>
      </c>
      <c r="W81" s="4" t="s">
        <v>36</v>
      </c>
      <c r="X81" s="174">
        <v>4.17E-4</v>
      </c>
      <c r="Y81" s="174">
        <v>1.39450468156885E-2</v>
      </c>
      <c r="Z81" s="174">
        <v>2.6570396884698401E-3</v>
      </c>
    </row>
    <row r="82" spans="1:26">
      <c r="A82" s="4">
        <v>161</v>
      </c>
      <c r="B82" s="4">
        <v>9943</v>
      </c>
      <c r="C82" s="4" t="s">
        <v>37</v>
      </c>
      <c r="D82" s="4" t="s">
        <v>97</v>
      </c>
      <c r="E82" s="4" t="s">
        <v>98</v>
      </c>
      <c r="F82" s="4" t="s">
        <v>40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57">
        <v>2.64</v>
      </c>
      <c r="N82" s="4" t="s">
        <v>99</v>
      </c>
      <c r="O82" s="173">
        <v>7.4999999999999997E-3</v>
      </c>
      <c r="P82" s="174">
        <v>1.6299999999999999E-2</v>
      </c>
      <c r="R82" s="157">
        <v>7745000</v>
      </c>
      <c r="S82" s="175">
        <v>1</v>
      </c>
      <c r="T82" s="177">
        <v>114.25</v>
      </c>
      <c r="U82" s="157">
        <v>8848.6630000000005</v>
      </c>
      <c r="W82" s="4" t="s">
        <v>36</v>
      </c>
      <c r="X82" s="174">
        <v>3.4699999999999998E-4</v>
      </c>
      <c r="Y82" s="174">
        <v>2.54685268975702E-2</v>
      </c>
      <c r="Z82" s="174">
        <v>4.8526826527089204E-3</v>
      </c>
    </row>
    <row r="83" spans="1:26">
      <c r="A83" s="4">
        <v>161</v>
      </c>
      <c r="B83" s="4">
        <v>9943</v>
      </c>
      <c r="C83" s="4" t="s">
        <v>37</v>
      </c>
      <c r="D83" s="4" t="s">
        <v>69</v>
      </c>
      <c r="E83" s="4" t="s">
        <v>70</v>
      </c>
      <c r="F83" s="4" t="s">
        <v>40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57">
        <v>18.399999999999999</v>
      </c>
      <c r="N83" s="4" t="s">
        <v>71</v>
      </c>
      <c r="O83" s="173">
        <v>0.01</v>
      </c>
      <c r="P83" s="174">
        <v>2.2749999999999999E-2</v>
      </c>
      <c r="R83" s="157">
        <v>66216</v>
      </c>
      <c r="S83" s="175">
        <v>1</v>
      </c>
      <c r="T83" s="177">
        <v>92.5</v>
      </c>
      <c r="U83" s="157">
        <v>61.25</v>
      </c>
      <c r="W83" s="4" t="s">
        <v>36</v>
      </c>
      <c r="X83" s="174">
        <v>3.0000000000000001E-6</v>
      </c>
      <c r="Y83" s="174">
        <v>1.7629129586203501E-4</v>
      </c>
      <c r="Z83" s="174">
        <v>3.3589917339698601E-5</v>
      </c>
    </row>
    <row r="84" spans="1:26">
      <c r="A84" s="4">
        <v>161</v>
      </c>
      <c r="B84" s="4">
        <v>9943</v>
      </c>
      <c r="C84" s="4" t="s">
        <v>37</v>
      </c>
      <c r="D84" s="4" t="s">
        <v>100</v>
      </c>
      <c r="E84" s="4" t="s">
        <v>101</v>
      </c>
      <c r="F84" s="4" t="s">
        <v>40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57">
        <v>1.0720000000000001</v>
      </c>
      <c r="N84" s="4" t="s">
        <v>102</v>
      </c>
      <c r="O84" s="173">
        <v>7.4999999999999997E-3</v>
      </c>
      <c r="P84" s="174">
        <v>1.303E-2</v>
      </c>
      <c r="R84" s="157">
        <v>8410016</v>
      </c>
      <c r="S84" s="175">
        <v>1</v>
      </c>
      <c r="T84" s="177">
        <v>116.02</v>
      </c>
      <c r="U84" s="157">
        <v>9757.3009999999995</v>
      </c>
      <c r="W84" s="4" t="s">
        <v>36</v>
      </c>
      <c r="X84" s="174">
        <v>3.88E-4</v>
      </c>
      <c r="Y84" s="174">
        <v>2.8083800443460899E-2</v>
      </c>
      <c r="Z84" s="174">
        <v>5.3509875848816299E-3</v>
      </c>
    </row>
    <row r="85" spans="1:26">
      <c r="A85" s="4">
        <v>161</v>
      </c>
      <c r="B85" s="4">
        <v>9943</v>
      </c>
      <c r="C85" s="4" t="s">
        <v>37</v>
      </c>
      <c r="D85" s="4" t="s">
        <v>112</v>
      </c>
      <c r="E85" s="4" t="s">
        <v>113</v>
      </c>
      <c r="F85" s="4" t="s">
        <v>40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57">
        <v>7.1340000000000003</v>
      </c>
      <c r="N85" s="4" t="s">
        <v>114</v>
      </c>
      <c r="O85" s="173">
        <v>1E-3</v>
      </c>
      <c r="P85" s="174">
        <v>1.9910000000000001E-2</v>
      </c>
      <c r="R85" s="157">
        <v>7193841</v>
      </c>
      <c r="S85" s="175">
        <v>1</v>
      </c>
      <c r="T85" s="177">
        <v>101.1</v>
      </c>
      <c r="U85" s="157">
        <v>7272.973</v>
      </c>
      <c r="W85" s="4" t="s">
        <v>36</v>
      </c>
      <c r="X85" s="174">
        <v>2.34E-4</v>
      </c>
      <c r="Y85" s="174">
        <v>2.09333235241373E-2</v>
      </c>
      <c r="Z85" s="174">
        <v>3.9885611106473696E-3</v>
      </c>
    </row>
    <row r="86" spans="1:26">
      <c r="A86" s="4">
        <v>161</v>
      </c>
      <c r="B86" s="4">
        <v>9943</v>
      </c>
      <c r="C86" s="4" t="s">
        <v>26</v>
      </c>
      <c r="D86" s="4" t="s">
        <v>115</v>
      </c>
      <c r="E86" s="4" t="s">
        <v>116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57">
        <v>3.86</v>
      </c>
      <c r="N86" s="4" t="s">
        <v>117</v>
      </c>
      <c r="O86" s="173">
        <v>2.2499999999999999E-2</v>
      </c>
      <c r="P86" s="174">
        <v>4.5159999999999999E-2</v>
      </c>
      <c r="R86" s="157">
        <v>16480319</v>
      </c>
      <c r="S86" s="175">
        <v>1</v>
      </c>
      <c r="T86" s="177">
        <v>91.9</v>
      </c>
      <c r="U86" s="157">
        <v>15145.413</v>
      </c>
      <c r="W86" s="4" t="s">
        <v>36</v>
      </c>
      <c r="X86" s="174">
        <v>4.9200000000000003E-4</v>
      </c>
      <c r="Y86" s="174">
        <v>4.3592052749863802E-2</v>
      </c>
      <c r="Z86" s="174">
        <v>8.3058748951600394E-3</v>
      </c>
    </row>
    <row r="87" spans="1:26">
      <c r="A87" s="4">
        <v>161</v>
      </c>
      <c r="B87" s="4">
        <v>9943</v>
      </c>
      <c r="C87" s="4" t="s">
        <v>26</v>
      </c>
      <c r="D87" s="4" t="s">
        <v>139</v>
      </c>
      <c r="E87" s="4" t="s">
        <v>140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7">
        <v>2.44</v>
      </c>
      <c r="N87" s="4" t="s">
        <v>141</v>
      </c>
      <c r="O87" s="173">
        <v>0.02</v>
      </c>
      <c r="P87" s="174">
        <v>4.4049999999999999E-2</v>
      </c>
      <c r="R87" s="157">
        <v>9600000</v>
      </c>
      <c r="S87" s="175">
        <v>1</v>
      </c>
      <c r="T87" s="177">
        <v>95.44</v>
      </c>
      <c r="U87" s="157">
        <v>9162.24</v>
      </c>
      <c r="W87" s="4" t="s">
        <v>36</v>
      </c>
      <c r="X87" s="174">
        <v>3.7199999999999999E-4</v>
      </c>
      <c r="Y87" s="174">
        <v>2.6371076519416701E-2</v>
      </c>
      <c r="Z87" s="174">
        <v>5.0246512518649896E-3</v>
      </c>
    </row>
    <row r="88" spans="1:26">
      <c r="A88" s="4">
        <v>161</v>
      </c>
      <c r="B88" s="4">
        <v>9943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57">
        <v>0.92</v>
      </c>
      <c r="N88" s="4" t="s">
        <v>35</v>
      </c>
      <c r="O88" s="173">
        <v>1.7500000000000002E-2</v>
      </c>
      <c r="P88" s="174">
        <v>4.1840000000000002E-2</v>
      </c>
      <c r="R88" s="157">
        <v>12546678</v>
      </c>
      <c r="S88" s="175">
        <v>1</v>
      </c>
      <c r="T88" s="177">
        <v>98.02</v>
      </c>
      <c r="U88" s="157">
        <v>12298.254000000001</v>
      </c>
      <c r="W88" s="4" t="s">
        <v>36</v>
      </c>
      <c r="X88" s="174">
        <v>5.2800000000000004E-4</v>
      </c>
      <c r="Y88" s="174">
        <v>3.5397259990084702E-2</v>
      </c>
      <c r="Z88" s="174">
        <v>6.7444681900192399E-3</v>
      </c>
    </row>
    <row r="89" spans="1:26">
      <c r="A89" s="4">
        <v>161</v>
      </c>
      <c r="B89" s="4">
        <v>9943</v>
      </c>
      <c r="C89" s="4" t="s">
        <v>78</v>
      </c>
      <c r="D89" s="4" t="s">
        <v>106</v>
      </c>
      <c r="E89" s="4" t="s">
        <v>107</v>
      </c>
      <c r="F89" s="4" t="s">
        <v>81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57">
        <v>5.42</v>
      </c>
      <c r="N89" s="4" t="s">
        <v>108</v>
      </c>
      <c r="O89" s="173">
        <v>4.1700000000000001E-2</v>
      </c>
      <c r="P89" s="174">
        <v>4.8480000000000002E-2</v>
      </c>
      <c r="R89" s="157">
        <v>409025</v>
      </c>
      <c r="S89" s="175">
        <v>1</v>
      </c>
      <c r="T89" s="177">
        <v>97.9</v>
      </c>
      <c r="U89" s="157">
        <v>400.435</v>
      </c>
      <c r="W89" s="4" t="s">
        <v>36</v>
      </c>
      <c r="X89" s="174">
        <v>1.2999999999999999E-5</v>
      </c>
      <c r="Y89" s="174">
        <v>1.1525472539809E-3</v>
      </c>
      <c r="Z89" s="174">
        <v>2.1960226000955E-4</v>
      </c>
    </row>
    <row r="90" spans="1:26">
      <c r="A90" s="4">
        <v>161</v>
      </c>
      <c r="B90" s="4">
        <v>9943</v>
      </c>
      <c r="C90" s="4" t="s">
        <v>37</v>
      </c>
      <c r="D90" s="4" t="s">
        <v>72</v>
      </c>
      <c r="E90" s="4" t="s">
        <v>73</v>
      </c>
      <c r="F90" s="4" t="s">
        <v>40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57">
        <v>13.85</v>
      </c>
      <c r="N90" s="4" t="s">
        <v>74</v>
      </c>
      <c r="O90" s="173">
        <v>2.75E-2</v>
      </c>
      <c r="P90" s="174">
        <v>2.24E-2</v>
      </c>
      <c r="R90" s="157">
        <v>646341</v>
      </c>
      <c r="S90" s="175">
        <v>1</v>
      </c>
      <c r="T90" s="177">
        <v>132.61000000000001</v>
      </c>
      <c r="U90" s="157">
        <v>857.11300000000006</v>
      </c>
      <c r="W90" s="4" t="s">
        <v>36</v>
      </c>
      <c r="X90" s="174">
        <v>3.3000000000000003E-5</v>
      </c>
      <c r="Y90" s="174">
        <v>2.4669717489619E-3</v>
      </c>
      <c r="Z90" s="174">
        <v>4.7004803454307802E-4</v>
      </c>
    </row>
    <row r="91" spans="1:26">
      <c r="A91" s="4">
        <v>161</v>
      </c>
      <c r="B91" s="4">
        <v>9943</v>
      </c>
      <c r="C91" s="4" t="s">
        <v>37</v>
      </c>
      <c r="D91" s="4" t="s">
        <v>130</v>
      </c>
      <c r="E91" s="4" t="s">
        <v>131</v>
      </c>
      <c r="F91" s="4" t="s">
        <v>40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57">
        <v>9.6419999999999995</v>
      </c>
      <c r="N91" s="4" t="s">
        <v>132</v>
      </c>
      <c r="O91" s="173">
        <v>0.04</v>
      </c>
      <c r="P91" s="174">
        <v>2.1739999999999999E-2</v>
      </c>
      <c r="R91" s="157">
        <v>1231021</v>
      </c>
      <c r="S91" s="175">
        <v>1</v>
      </c>
      <c r="T91" s="177">
        <v>164.63</v>
      </c>
      <c r="U91" s="157">
        <v>2026.63</v>
      </c>
      <c r="W91" s="4" t="s">
        <v>36</v>
      </c>
      <c r="X91" s="174">
        <v>7.7000000000000001E-5</v>
      </c>
      <c r="Y91" s="174">
        <v>5.8331162945916204E-3</v>
      </c>
      <c r="Z91" s="174">
        <v>1.11142125996691E-3</v>
      </c>
    </row>
    <row r="92" spans="1:26">
      <c r="A92" s="4">
        <v>161</v>
      </c>
      <c r="B92" s="4">
        <v>9943</v>
      </c>
      <c r="C92" s="4" t="s">
        <v>26</v>
      </c>
      <c r="D92" s="4" t="s">
        <v>75</v>
      </c>
      <c r="E92" s="4" t="s">
        <v>76</v>
      </c>
      <c r="F92" s="4" t="s">
        <v>29</v>
      </c>
      <c r="G92" s="4" t="s">
        <v>30</v>
      </c>
      <c r="H92" s="4" t="s">
        <v>30</v>
      </c>
      <c r="I92" s="4" t="s">
        <v>31</v>
      </c>
      <c r="J92" s="4" t="s">
        <v>32</v>
      </c>
      <c r="K92" s="4" t="s">
        <v>33</v>
      </c>
      <c r="L92" s="4" t="s">
        <v>34</v>
      </c>
      <c r="M92" s="157">
        <v>11.238</v>
      </c>
      <c r="N92" s="4" t="s">
        <v>77</v>
      </c>
      <c r="O92" s="173">
        <v>5.5E-2</v>
      </c>
      <c r="P92" s="174">
        <v>5.1729999999999998E-2</v>
      </c>
      <c r="R92" s="157">
        <v>11820221</v>
      </c>
      <c r="S92" s="175">
        <v>1</v>
      </c>
      <c r="T92" s="177">
        <v>107.34</v>
      </c>
      <c r="U92" s="157">
        <v>12687.825000000001</v>
      </c>
      <c r="W92" s="4" t="s">
        <v>36</v>
      </c>
      <c r="X92" s="174">
        <v>5.5000000000000003E-4</v>
      </c>
      <c r="Y92" s="174">
        <v>3.65185380189261E-2</v>
      </c>
      <c r="Z92" s="174">
        <v>6.9581125229367198E-3</v>
      </c>
    </row>
    <row r="93" spans="1:26">
      <c r="A93" s="4">
        <v>161</v>
      </c>
      <c r="B93" s="4">
        <v>9943</v>
      </c>
      <c r="C93" s="4" t="s">
        <v>78</v>
      </c>
      <c r="D93" s="4" t="s">
        <v>79</v>
      </c>
      <c r="E93" s="4" t="s">
        <v>80</v>
      </c>
      <c r="F93" s="4" t="s">
        <v>81</v>
      </c>
      <c r="G93" s="4" t="s">
        <v>30</v>
      </c>
      <c r="H93" s="4" t="s">
        <v>30</v>
      </c>
      <c r="I93" s="4" t="s">
        <v>31</v>
      </c>
      <c r="J93" s="4" t="s">
        <v>32</v>
      </c>
      <c r="K93" s="4" t="s">
        <v>33</v>
      </c>
      <c r="L93" s="4" t="s">
        <v>34</v>
      </c>
      <c r="M93" s="157">
        <v>1.6040000000000001</v>
      </c>
      <c r="N93" s="4" t="s">
        <v>82</v>
      </c>
      <c r="O93" s="173">
        <v>4.1700000000000001E-2</v>
      </c>
      <c r="P93" s="174">
        <v>4.718E-2</v>
      </c>
      <c r="R93" s="157">
        <v>223647</v>
      </c>
      <c r="S93" s="175">
        <v>1</v>
      </c>
      <c r="T93" s="177">
        <v>99.82</v>
      </c>
      <c r="U93" s="157">
        <v>223.244</v>
      </c>
      <c r="W93" s="4" t="s">
        <v>36</v>
      </c>
      <c r="X93" s="174">
        <v>1.1E-5</v>
      </c>
      <c r="Y93" s="174">
        <v>6.4254986645922703E-4</v>
      </c>
      <c r="Z93" s="174">
        <v>1.2242916926477601E-4</v>
      </c>
    </row>
    <row r="94" spans="1:26">
      <c r="A94" s="4">
        <v>161</v>
      </c>
      <c r="B94" s="4">
        <v>9943</v>
      </c>
      <c r="C94" s="4" t="s">
        <v>37</v>
      </c>
      <c r="D94" s="4" t="s">
        <v>38</v>
      </c>
      <c r="E94" s="4" t="s">
        <v>39</v>
      </c>
      <c r="F94" s="4" t="s">
        <v>40</v>
      </c>
      <c r="G94" s="4" t="s">
        <v>30</v>
      </c>
      <c r="H94" s="4" t="s">
        <v>30</v>
      </c>
      <c r="I94" s="4" t="s">
        <v>31</v>
      </c>
      <c r="J94" s="4" t="s">
        <v>32</v>
      </c>
      <c r="K94" s="4" t="s">
        <v>33</v>
      </c>
      <c r="L94" s="4" t="s">
        <v>34</v>
      </c>
      <c r="M94" s="157">
        <v>4.6100000000000003</v>
      </c>
      <c r="N94" s="4" t="s">
        <v>41</v>
      </c>
      <c r="O94" s="173">
        <v>5.0000000000000001E-3</v>
      </c>
      <c r="P94" s="174">
        <v>1.8280000000000001E-2</v>
      </c>
      <c r="R94" s="157">
        <v>6168496</v>
      </c>
      <c r="S94" s="175">
        <v>1</v>
      </c>
      <c r="T94" s="177">
        <v>108.85</v>
      </c>
      <c r="U94" s="157">
        <v>6714.4080000000004</v>
      </c>
      <c r="W94" s="4" t="s">
        <v>36</v>
      </c>
      <c r="X94" s="174">
        <v>2.2900000000000001E-4</v>
      </c>
      <c r="Y94" s="174">
        <v>1.93256413724146E-2</v>
      </c>
      <c r="Z94" s="174">
        <v>3.6822390638281198E-3</v>
      </c>
    </row>
    <row r="95" spans="1:26">
      <c r="A95" s="4">
        <v>161</v>
      </c>
      <c r="B95" s="4">
        <v>9943</v>
      </c>
      <c r="C95" s="4" t="s">
        <v>37</v>
      </c>
      <c r="D95" s="4" t="s">
        <v>42</v>
      </c>
      <c r="E95" s="4" t="s">
        <v>43</v>
      </c>
      <c r="F95" s="4" t="s">
        <v>40</v>
      </c>
      <c r="G95" s="4" t="s">
        <v>30</v>
      </c>
      <c r="H95" s="4" t="s">
        <v>30</v>
      </c>
      <c r="I95" s="4" t="s">
        <v>31</v>
      </c>
      <c r="J95" s="4" t="s">
        <v>32</v>
      </c>
      <c r="K95" s="4" t="s">
        <v>33</v>
      </c>
      <c r="L95" s="4" t="s">
        <v>34</v>
      </c>
      <c r="M95" s="157">
        <v>1.83</v>
      </c>
      <c r="N95" s="4" t="s">
        <v>44</v>
      </c>
      <c r="O95" s="173">
        <v>1E-3</v>
      </c>
      <c r="P95" s="174">
        <v>1.5679999999999999E-2</v>
      </c>
      <c r="R95" s="157">
        <v>21956980</v>
      </c>
      <c r="S95" s="175">
        <v>1</v>
      </c>
      <c r="T95" s="177">
        <v>112.44</v>
      </c>
      <c r="U95" s="157">
        <v>24688.428</v>
      </c>
      <c r="W95" s="4" t="s">
        <v>36</v>
      </c>
      <c r="X95" s="174">
        <v>1.0870000000000001E-3</v>
      </c>
      <c r="Y95" s="174">
        <v>7.1059089497752401E-2</v>
      </c>
      <c r="Z95" s="174">
        <v>1.3539346516187101E-2</v>
      </c>
    </row>
    <row r="96" spans="1:26">
      <c r="A96" s="4">
        <v>161</v>
      </c>
      <c r="B96" s="4">
        <v>9943</v>
      </c>
      <c r="C96" s="4" t="s">
        <v>37</v>
      </c>
      <c r="D96" s="4" t="s">
        <v>48</v>
      </c>
      <c r="E96" s="4" t="s">
        <v>49</v>
      </c>
      <c r="F96" s="4" t="s">
        <v>40</v>
      </c>
      <c r="G96" s="4" t="s">
        <v>30</v>
      </c>
      <c r="H96" s="4" t="s">
        <v>30</v>
      </c>
      <c r="I96" s="4" t="s">
        <v>31</v>
      </c>
      <c r="J96" s="4" t="s">
        <v>32</v>
      </c>
      <c r="K96" s="4" t="s">
        <v>33</v>
      </c>
      <c r="L96" s="4" t="s">
        <v>34</v>
      </c>
      <c r="M96" s="157">
        <v>3.972</v>
      </c>
      <c r="N96" s="4" t="s">
        <v>50</v>
      </c>
      <c r="O96" s="173">
        <v>1.0999999999999999E-2</v>
      </c>
      <c r="P96" s="174">
        <v>1.806E-2</v>
      </c>
      <c r="R96" s="157">
        <v>7855521</v>
      </c>
      <c r="S96" s="175">
        <v>1</v>
      </c>
      <c r="T96" s="177">
        <v>102.6</v>
      </c>
      <c r="U96" s="157">
        <v>8059.7650000000003</v>
      </c>
      <c r="W96" s="4" t="s">
        <v>36</v>
      </c>
      <c r="X96" s="174">
        <v>3.8499999999999998E-4</v>
      </c>
      <c r="Y96" s="174">
        <v>2.31978934814028E-2</v>
      </c>
      <c r="Z96" s="174">
        <v>4.4200442267170398E-3</v>
      </c>
    </row>
    <row r="97" spans="1:26">
      <c r="A97" s="4">
        <v>161</v>
      </c>
      <c r="B97" s="4">
        <v>9943</v>
      </c>
      <c r="C97" s="4" t="s">
        <v>26</v>
      </c>
      <c r="D97" s="4" t="s">
        <v>133</v>
      </c>
      <c r="E97" s="4" t="s">
        <v>134</v>
      </c>
      <c r="F97" s="4" t="s">
        <v>29</v>
      </c>
      <c r="G97" s="4" t="s">
        <v>30</v>
      </c>
      <c r="H97" s="4" t="s">
        <v>30</v>
      </c>
      <c r="I97" s="4" t="s">
        <v>31</v>
      </c>
      <c r="J97" s="4" t="s">
        <v>32</v>
      </c>
      <c r="K97" s="4" t="s">
        <v>33</v>
      </c>
      <c r="L97" s="4" t="s">
        <v>34</v>
      </c>
      <c r="M97" s="157">
        <v>11.205</v>
      </c>
      <c r="N97" s="4" t="s">
        <v>135</v>
      </c>
      <c r="O97" s="173">
        <v>1.4999999999999999E-2</v>
      </c>
      <c r="P97" s="174">
        <v>5.042E-2</v>
      </c>
      <c r="R97" s="157">
        <v>2084735</v>
      </c>
      <c r="S97" s="175">
        <v>1</v>
      </c>
      <c r="T97" s="177">
        <v>67.92</v>
      </c>
      <c r="U97" s="157">
        <v>1415.952</v>
      </c>
      <c r="W97" s="4" t="s">
        <v>36</v>
      </c>
      <c r="X97" s="174">
        <v>6.4999999999999994E-5</v>
      </c>
      <c r="Y97" s="174">
        <v>4.0754421250997703E-3</v>
      </c>
      <c r="Z97" s="174">
        <v>7.7652026684266705E-4</v>
      </c>
    </row>
    <row r="98" spans="1:26">
      <c r="A98" s="4">
        <v>161</v>
      </c>
      <c r="B98" s="4">
        <v>9943</v>
      </c>
      <c r="C98" s="4" t="s">
        <v>26</v>
      </c>
      <c r="D98" s="4" t="s">
        <v>83</v>
      </c>
      <c r="E98" s="4" t="s">
        <v>84</v>
      </c>
      <c r="F98" s="4" t="s">
        <v>29</v>
      </c>
      <c r="G98" s="4" t="s">
        <v>30</v>
      </c>
      <c r="H98" s="4" t="s">
        <v>30</v>
      </c>
      <c r="I98" s="4" t="s">
        <v>31</v>
      </c>
      <c r="J98" s="4" t="s">
        <v>32</v>
      </c>
      <c r="K98" s="4" t="s">
        <v>33</v>
      </c>
      <c r="L98" s="4" t="s">
        <v>34</v>
      </c>
      <c r="M98" s="157">
        <v>5.33</v>
      </c>
      <c r="N98" s="4" t="s">
        <v>85</v>
      </c>
      <c r="O98" s="173">
        <v>0.01</v>
      </c>
      <c r="P98" s="174">
        <v>4.6289999999999998E-2</v>
      </c>
      <c r="R98" s="157">
        <v>2011874</v>
      </c>
      <c r="S98" s="175">
        <v>1</v>
      </c>
      <c r="T98" s="177">
        <v>83.24</v>
      </c>
      <c r="U98" s="157">
        <v>1674.684</v>
      </c>
      <c r="W98" s="4" t="s">
        <v>36</v>
      </c>
      <c r="X98" s="174">
        <v>5.3000000000000001E-5</v>
      </c>
      <c r="Y98" s="174">
        <v>4.8201332574639199E-3</v>
      </c>
      <c r="Z98" s="174">
        <v>9.1841107011462401E-4</v>
      </c>
    </row>
    <row r="99" spans="1:26">
      <c r="A99" s="4">
        <v>161</v>
      </c>
      <c r="B99" s="4">
        <v>9943</v>
      </c>
      <c r="C99" s="4" t="s">
        <v>26</v>
      </c>
      <c r="D99" s="4" t="s">
        <v>45</v>
      </c>
      <c r="E99" s="4" t="s">
        <v>46</v>
      </c>
      <c r="F99" s="4" t="s">
        <v>29</v>
      </c>
      <c r="G99" s="4" t="s">
        <v>30</v>
      </c>
      <c r="H99" s="4" t="s">
        <v>30</v>
      </c>
      <c r="I99" s="4" t="s">
        <v>31</v>
      </c>
      <c r="J99" s="4" t="s">
        <v>32</v>
      </c>
      <c r="K99" s="4" t="s">
        <v>33</v>
      </c>
      <c r="L99" s="4" t="s">
        <v>34</v>
      </c>
      <c r="M99" s="157">
        <v>7.1239999999999997</v>
      </c>
      <c r="N99" s="4" t="s">
        <v>47</v>
      </c>
      <c r="O99" s="173">
        <v>1.2999999999999999E-2</v>
      </c>
      <c r="P99" s="174">
        <v>4.7539999999999999E-2</v>
      </c>
      <c r="R99" s="157">
        <v>4064257</v>
      </c>
      <c r="S99" s="175">
        <v>1</v>
      </c>
      <c r="T99" s="177">
        <v>78.98</v>
      </c>
      <c r="U99" s="157">
        <v>3209.95</v>
      </c>
      <c r="W99" s="4" t="s">
        <v>36</v>
      </c>
      <c r="X99" s="174">
        <v>1.35E-4</v>
      </c>
      <c r="Y99" s="174">
        <v>9.2389897867089302E-3</v>
      </c>
      <c r="Z99" s="174">
        <v>1.76036429774015E-3</v>
      </c>
    </row>
    <row r="100" spans="1:26">
      <c r="A100" s="4">
        <v>161</v>
      </c>
      <c r="B100" s="4">
        <v>9943</v>
      </c>
      <c r="C100" s="4" t="s">
        <v>142</v>
      </c>
      <c r="D100" s="4" t="s">
        <v>143</v>
      </c>
      <c r="E100" s="4" t="s">
        <v>144</v>
      </c>
      <c r="F100" s="4" t="s">
        <v>89</v>
      </c>
      <c r="G100" s="4" t="s">
        <v>90</v>
      </c>
      <c r="H100" s="4" t="s">
        <v>30</v>
      </c>
      <c r="I100" s="4" t="s">
        <v>145</v>
      </c>
      <c r="J100" s="4" t="s">
        <v>146</v>
      </c>
      <c r="K100" s="4" t="s">
        <v>147</v>
      </c>
      <c r="L100" s="4" t="s">
        <v>95</v>
      </c>
      <c r="M100" s="157">
        <v>7.49</v>
      </c>
      <c r="N100" s="4" t="s">
        <v>148</v>
      </c>
      <c r="O100" s="173">
        <v>5.5E-2</v>
      </c>
      <c r="P100" s="174">
        <v>5.8720000000000001E-2</v>
      </c>
      <c r="R100" s="157">
        <v>690000</v>
      </c>
      <c r="S100" s="175">
        <v>3.71</v>
      </c>
      <c r="T100" s="177">
        <v>100.524</v>
      </c>
      <c r="U100" s="157">
        <v>2573.3139999999999</v>
      </c>
      <c r="W100" s="4" t="s">
        <v>36</v>
      </c>
      <c r="X100" s="174">
        <v>2.3000000000000001E-4</v>
      </c>
      <c r="Y100" s="174">
        <v>7.4066011294697497E-3</v>
      </c>
      <c r="Z100" s="174">
        <v>1.4112274715009599E-3</v>
      </c>
    </row>
    <row r="101" spans="1:26">
      <c r="A101" s="4">
        <v>161</v>
      </c>
      <c r="B101" s="4">
        <v>9943</v>
      </c>
      <c r="C101" s="4" t="s">
        <v>86</v>
      </c>
      <c r="D101" s="4" t="s">
        <v>149</v>
      </c>
      <c r="E101" s="4" t="s">
        <v>150</v>
      </c>
      <c r="F101" s="4" t="s">
        <v>89</v>
      </c>
      <c r="G101" s="4" t="s">
        <v>90</v>
      </c>
      <c r="H101" s="4" t="s">
        <v>91</v>
      </c>
      <c r="I101" s="4" t="s">
        <v>92</v>
      </c>
      <c r="J101" s="4" t="s">
        <v>93</v>
      </c>
      <c r="K101" s="4" t="s">
        <v>94</v>
      </c>
      <c r="L101" s="4" t="s">
        <v>95</v>
      </c>
      <c r="M101" s="157">
        <v>3.645</v>
      </c>
      <c r="N101" s="4" t="s">
        <v>50</v>
      </c>
      <c r="O101" s="173">
        <v>4.8750000000000002E-2</v>
      </c>
      <c r="P101" s="174">
        <v>3.576E-2</v>
      </c>
      <c r="R101" s="157">
        <v>3000000</v>
      </c>
      <c r="S101" s="175">
        <v>3.71</v>
      </c>
      <c r="T101" s="177">
        <v>106.94</v>
      </c>
      <c r="U101" s="157">
        <v>11902.433999999999</v>
      </c>
      <c r="W101" s="4" t="s">
        <v>36</v>
      </c>
      <c r="X101" s="174">
        <v>5.8E-5</v>
      </c>
      <c r="Y101" s="174">
        <v>3.4257998449077898E-2</v>
      </c>
      <c r="Z101" s="174">
        <v>6.5273973425698899E-3</v>
      </c>
    </row>
    <row r="102" spans="1:26">
      <c r="A102" s="4">
        <v>161</v>
      </c>
      <c r="B102" s="4">
        <v>12468</v>
      </c>
      <c r="C102" s="4" t="s">
        <v>51</v>
      </c>
      <c r="D102" s="4" t="s">
        <v>57</v>
      </c>
      <c r="E102" s="4" t="s">
        <v>58</v>
      </c>
      <c r="F102" s="4" t="s">
        <v>54</v>
      </c>
      <c r="G102" s="4" t="s">
        <v>30</v>
      </c>
      <c r="H102" s="4" t="s">
        <v>30</v>
      </c>
      <c r="I102" s="4" t="s">
        <v>55</v>
      </c>
      <c r="J102" s="4" t="s">
        <v>32</v>
      </c>
      <c r="K102" s="4" t="s">
        <v>33</v>
      </c>
      <c r="L102" s="4" t="s">
        <v>34</v>
      </c>
      <c r="M102" s="157">
        <v>0.5</v>
      </c>
      <c r="N102" s="4" t="s">
        <v>59</v>
      </c>
      <c r="O102" s="173">
        <v>0</v>
      </c>
      <c r="P102" s="174">
        <v>4.3479999999999998E-2</v>
      </c>
      <c r="R102" s="157">
        <v>190000</v>
      </c>
      <c r="S102" s="175">
        <v>1</v>
      </c>
      <c r="T102" s="177">
        <v>97.9</v>
      </c>
      <c r="U102" s="157">
        <v>186.01</v>
      </c>
      <c r="W102" s="4" t="s">
        <v>36</v>
      </c>
      <c r="X102" s="174">
        <v>1.5999999999999999E-5</v>
      </c>
      <c r="Y102" s="174">
        <v>3.4778722129576702E-2</v>
      </c>
      <c r="Z102" s="174">
        <v>1.2193985327349201E-2</v>
      </c>
    </row>
    <row r="103" spans="1:26">
      <c r="A103" s="4">
        <v>161</v>
      </c>
      <c r="B103" s="4">
        <v>12468</v>
      </c>
      <c r="C103" s="4" t="s">
        <v>51</v>
      </c>
      <c r="D103" s="4" t="s">
        <v>121</v>
      </c>
      <c r="E103" s="4" t="s">
        <v>122</v>
      </c>
      <c r="F103" s="4" t="s">
        <v>54</v>
      </c>
      <c r="G103" s="4" t="s">
        <v>30</v>
      </c>
      <c r="H103" s="4" t="s">
        <v>30</v>
      </c>
      <c r="I103" s="4" t="s">
        <v>55</v>
      </c>
      <c r="J103" s="4" t="s">
        <v>32</v>
      </c>
      <c r="K103" s="4" t="s">
        <v>33</v>
      </c>
      <c r="L103" s="4" t="s">
        <v>34</v>
      </c>
      <c r="M103" s="157">
        <v>0.92</v>
      </c>
      <c r="N103" s="4" t="s">
        <v>123</v>
      </c>
      <c r="O103" s="173">
        <v>0</v>
      </c>
      <c r="P103" s="174">
        <v>4.2979999999999997E-2</v>
      </c>
      <c r="R103" s="157">
        <v>580000</v>
      </c>
      <c r="S103" s="175">
        <v>1</v>
      </c>
      <c r="T103" s="177">
        <v>96.2</v>
      </c>
      <c r="U103" s="157">
        <v>557.96</v>
      </c>
      <c r="W103" s="4" t="s">
        <v>36</v>
      </c>
      <c r="X103" s="174">
        <v>4.8000000000000001E-5</v>
      </c>
      <c r="Y103" s="174">
        <v>0.10432307832599599</v>
      </c>
      <c r="Z103" s="174">
        <v>3.6577367094498998E-2</v>
      </c>
    </row>
    <row r="104" spans="1:26">
      <c r="A104" s="4">
        <v>161</v>
      </c>
      <c r="B104" s="4">
        <v>12468</v>
      </c>
      <c r="C104" s="4" t="s">
        <v>51</v>
      </c>
      <c r="D104" s="4" t="s">
        <v>60</v>
      </c>
      <c r="E104" s="4" t="s">
        <v>61</v>
      </c>
      <c r="F104" s="4" t="s">
        <v>54</v>
      </c>
      <c r="G104" s="4" t="s">
        <v>30</v>
      </c>
      <c r="H104" s="4" t="s">
        <v>30</v>
      </c>
      <c r="I104" s="4" t="s">
        <v>31</v>
      </c>
      <c r="J104" s="4" t="s">
        <v>32</v>
      </c>
      <c r="K104" s="4" t="s">
        <v>33</v>
      </c>
      <c r="L104" s="4" t="s">
        <v>34</v>
      </c>
      <c r="M104" s="157">
        <v>0.18</v>
      </c>
      <c r="N104" s="4" t="s">
        <v>62</v>
      </c>
      <c r="O104" s="173">
        <v>0</v>
      </c>
      <c r="P104" s="174">
        <v>4.3360000000000003E-2</v>
      </c>
      <c r="R104" s="157">
        <v>368600</v>
      </c>
      <c r="S104" s="175">
        <v>1</v>
      </c>
      <c r="T104" s="177">
        <v>99.27</v>
      </c>
      <c r="U104" s="157">
        <v>365.90899999999999</v>
      </c>
      <c r="W104" s="4" t="s">
        <v>36</v>
      </c>
      <c r="X104" s="174">
        <v>9.0000000000000002E-6</v>
      </c>
      <c r="Y104" s="174">
        <v>6.84148975164246E-2</v>
      </c>
      <c r="Z104" s="174">
        <v>2.39873751939239E-2</v>
      </c>
    </row>
    <row r="105" spans="1:26">
      <c r="A105" s="4">
        <v>161</v>
      </c>
      <c r="B105" s="4">
        <v>12468</v>
      </c>
      <c r="C105" s="4" t="s">
        <v>51</v>
      </c>
      <c r="D105" s="4" t="s">
        <v>151</v>
      </c>
      <c r="E105" s="4" t="s">
        <v>152</v>
      </c>
      <c r="F105" s="4" t="s">
        <v>54</v>
      </c>
      <c r="G105" s="4" t="s">
        <v>30</v>
      </c>
      <c r="H105" s="4" t="s">
        <v>30</v>
      </c>
      <c r="I105" s="4" t="s">
        <v>31</v>
      </c>
      <c r="J105" s="4" t="s">
        <v>32</v>
      </c>
      <c r="K105" s="4" t="s">
        <v>33</v>
      </c>
      <c r="L105" s="4" t="s">
        <v>34</v>
      </c>
      <c r="M105" s="157">
        <v>0.23</v>
      </c>
      <c r="N105" s="4" t="s">
        <v>153</v>
      </c>
      <c r="O105" s="173">
        <v>0</v>
      </c>
      <c r="P105" s="174">
        <v>4.3630000000000002E-2</v>
      </c>
      <c r="R105" s="157">
        <v>1000570</v>
      </c>
      <c r="S105" s="175">
        <v>1</v>
      </c>
      <c r="T105" s="177">
        <v>98.86</v>
      </c>
      <c r="U105" s="157">
        <v>989.16399999999999</v>
      </c>
      <c r="W105" s="4" t="s">
        <v>36</v>
      </c>
      <c r="X105" s="174">
        <v>8.2999999999999998E-5</v>
      </c>
      <c r="Y105" s="174">
        <v>0.184946199541836</v>
      </c>
      <c r="Z105" s="174">
        <v>6.4845143969342295E-2</v>
      </c>
    </row>
    <row r="106" spans="1:26">
      <c r="A106" s="4">
        <v>161</v>
      </c>
      <c r="B106" s="4">
        <v>12468</v>
      </c>
      <c r="C106" s="4" t="s">
        <v>51</v>
      </c>
      <c r="D106" s="4" t="s">
        <v>63</v>
      </c>
      <c r="E106" s="4" t="s">
        <v>64</v>
      </c>
      <c r="F106" s="4" t="s">
        <v>54</v>
      </c>
      <c r="G106" s="4" t="s">
        <v>30</v>
      </c>
      <c r="H106" s="4" t="s">
        <v>30</v>
      </c>
      <c r="I106" s="4" t="s">
        <v>31</v>
      </c>
      <c r="J106" s="4" t="s">
        <v>32</v>
      </c>
      <c r="K106" s="4" t="s">
        <v>33</v>
      </c>
      <c r="L106" s="4" t="s">
        <v>34</v>
      </c>
      <c r="M106" s="157">
        <v>0.35</v>
      </c>
      <c r="N106" s="4" t="s">
        <v>65</v>
      </c>
      <c r="O106" s="173">
        <v>0</v>
      </c>
      <c r="P106" s="174">
        <v>4.2909999999999997E-2</v>
      </c>
      <c r="R106" s="157">
        <v>279000</v>
      </c>
      <c r="S106" s="175">
        <v>1</v>
      </c>
      <c r="T106" s="177">
        <v>98.56</v>
      </c>
      <c r="U106" s="157">
        <v>274.98200000000003</v>
      </c>
      <c r="W106" s="4" t="s">
        <v>36</v>
      </c>
      <c r="X106" s="174">
        <v>2.3E-5</v>
      </c>
      <c r="Y106" s="174">
        <v>5.1414098597516798E-2</v>
      </c>
      <c r="Z106" s="174">
        <v>1.80266187349028E-2</v>
      </c>
    </row>
    <row r="107" spans="1:26">
      <c r="A107" s="4">
        <v>161</v>
      </c>
      <c r="B107" s="4">
        <v>12468</v>
      </c>
      <c r="C107" s="4" t="s">
        <v>51</v>
      </c>
      <c r="D107" s="4" t="s">
        <v>66</v>
      </c>
      <c r="E107" s="4" t="s">
        <v>67</v>
      </c>
      <c r="F107" s="4" t="s">
        <v>54</v>
      </c>
      <c r="G107" s="4" t="s">
        <v>30</v>
      </c>
      <c r="H107" s="4" t="s">
        <v>30</v>
      </c>
      <c r="I107" s="4" t="s">
        <v>55</v>
      </c>
      <c r="J107" s="4" t="s">
        <v>32</v>
      </c>
      <c r="K107" s="4" t="s">
        <v>33</v>
      </c>
      <c r="L107" s="4" t="s">
        <v>34</v>
      </c>
      <c r="M107" s="157">
        <v>0.55600000000000005</v>
      </c>
      <c r="N107" s="4" t="s">
        <v>68</v>
      </c>
      <c r="O107" s="173">
        <v>0</v>
      </c>
      <c r="P107" s="174">
        <v>4.3150000000000001E-2</v>
      </c>
      <c r="R107" s="157">
        <v>3050000</v>
      </c>
      <c r="S107" s="175">
        <v>1</v>
      </c>
      <c r="T107" s="177">
        <v>97.52</v>
      </c>
      <c r="U107" s="157">
        <v>2974.36</v>
      </c>
      <c r="W107" s="4" t="s">
        <v>36</v>
      </c>
      <c r="X107" s="174">
        <v>2.1800000000000001E-4</v>
      </c>
      <c r="Y107" s="174">
        <v>0.55612300388864899</v>
      </c>
      <c r="Z107" s="174">
        <v>0.194985765272052</v>
      </c>
    </row>
    <row r="108" spans="1:26">
      <c r="X108" s="154"/>
    </row>
    <row r="109" spans="1:26">
      <c r="X109" s="154"/>
    </row>
    <row r="110" spans="1:26">
      <c r="X110" s="154"/>
    </row>
    <row r="111" spans="1:26">
      <c r="X111" s="154"/>
    </row>
    <row r="112" spans="1:26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184</v>
      </c>
      <c r="N1" s="22" t="s">
        <v>159</v>
      </c>
      <c r="O1" s="22" t="s">
        <v>9</v>
      </c>
      <c r="P1" s="22" t="s">
        <v>10</v>
      </c>
      <c r="Q1" s="22" t="s">
        <v>217</v>
      </c>
      <c r="R1" s="22" t="s">
        <v>11</v>
      </c>
      <c r="S1" s="22" t="s">
        <v>12</v>
      </c>
      <c r="T1" s="22" t="s">
        <v>956</v>
      </c>
      <c r="U1" s="22" t="s">
        <v>13</v>
      </c>
      <c r="V1" s="146" t="s">
        <v>14</v>
      </c>
      <c r="W1" s="22" t="s">
        <v>15</v>
      </c>
      <c r="X1" s="22" t="s">
        <v>459</v>
      </c>
      <c r="Y1" s="22" t="s">
        <v>880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200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50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8</v>
      </c>
      <c r="N1" s="22" t="s">
        <v>184</v>
      </c>
      <c r="O1" s="22" t="s">
        <v>159</v>
      </c>
      <c r="P1" s="22" t="s">
        <v>9</v>
      </c>
      <c r="Q1" s="22" t="s">
        <v>10</v>
      </c>
      <c r="R1" s="22" t="s">
        <v>217</v>
      </c>
      <c r="S1" s="22" t="s">
        <v>11</v>
      </c>
      <c r="T1" s="22" t="s">
        <v>12</v>
      </c>
      <c r="U1" s="22" t="s">
        <v>13</v>
      </c>
      <c r="V1" s="167" t="s">
        <v>14</v>
      </c>
      <c r="W1" s="171" t="s">
        <v>15</v>
      </c>
      <c r="X1" s="22" t="s">
        <v>459</v>
      </c>
      <c r="Y1" s="22" t="s">
        <v>880</v>
      </c>
      <c r="Z1" s="22" t="s">
        <v>17</v>
      </c>
      <c r="AA1" s="165" t="s">
        <v>18</v>
      </c>
      <c r="AB1" s="176" t="s">
        <v>19</v>
      </c>
      <c r="AC1" s="22" t="s">
        <v>16</v>
      </c>
      <c r="AD1" s="22" t="s">
        <v>20</v>
      </c>
      <c r="AE1" s="22" t="s">
        <v>21</v>
      </c>
      <c r="AF1" s="22" t="s">
        <v>200</v>
      </c>
      <c r="AG1" s="22" t="s">
        <v>22</v>
      </c>
      <c r="AH1" s="171" t="s">
        <v>23</v>
      </c>
      <c r="AI1" s="171" t="s">
        <v>24</v>
      </c>
      <c r="AJ1" s="171" t="s">
        <v>25</v>
      </c>
    </row>
    <row r="2" spans="1:36">
      <c r="A2" s="2">
        <v>161</v>
      </c>
      <c r="B2" s="23">
        <v>1434</v>
      </c>
      <c r="C2" s="23" t="s">
        <v>2037</v>
      </c>
      <c r="D2" s="23" t="s">
        <v>2038</v>
      </c>
      <c r="E2" s="21" t="s">
        <v>1363</v>
      </c>
      <c r="F2" s="23" t="s">
        <v>2039</v>
      </c>
      <c r="G2" s="23" t="s">
        <v>2040</v>
      </c>
      <c r="H2" s="21" t="s">
        <v>223</v>
      </c>
      <c r="I2" s="30" t="s">
        <v>804</v>
      </c>
      <c r="J2" s="21" t="s">
        <v>30</v>
      </c>
      <c r="K2" s="21" t="s">
        <v>30</v>
      </c>
      <c r="L2" s="23" t="s">
        <v>377</v>
      </c>
      <c r="M2" s="21" t="s">
        <v>31</v>
      </c>
      <c r="N2" s="23" t="s">
        <v>487</v>
      </c>
      <c r="O2" s="23" t="s">
        <v>173</v>
      </c>
      <c r="P2" s="23" t="s">
        <v>2041</v>
      </c>
      <c r="Q2" s="23" t="s">
        <v>462</v>
      </c>
      <c r="R2" s="23" t="s">
        <v>456</v>
      </c>
      <c r="S2" s="21" t="s">
        <v>34</v>
      </c>
      <c r="T2" s="158">
        <v>2.9049999999999998</v>
      </c>
      <c r="U2" s="23" t="s">
        <v>2042</v>
      </c>
      <c r="V2" s="179">
        <v>2.75E-2</v>
      </c>
      <c r="W2" s="180">
        <v>3.1E-2</v>
      </c>
      <c r="X2" s="21" t="s">
        <v>461</v>
      </c>
      <c r="Y2" s="21" t="s">
        <v>173</v>
      </c>
      <c r="Z2" s="158">
        <v>0.24</v>
      </c>
      <c r="AA2" s="181">
        <v>1</v>
      </c>
      <c r="AB2" s="182">
        <v>113.65</v>
      </c>
      <c r="AC2" s="23"/>
      <c r="AD2" s="158">
        <v>0</v>
      </c>
      <c r="AE2" s="23"/>
      <c r="AF2" s="30"/>
      <c r="AG2" s="21" t="s">
        <v>36</v>
      </c>
      <c r="AH2" s="172">
        <v>0</v>
      </c>
      <c r="AI2" s="172">
        <v>4.9958978543094699E-8</v>
      </c>
      <c r="AJ2" s="172">
        <v>1.2115684500329399E-8</v>
      </c>
    </row>
    <row r="3" spans="1:36">
      <c r="A3" s="23">
        <v>161</v>
      </c>
      <c r="B3" s="23">
        <v>1434</v>
      </c>
      <c r="C3" s="23" t="s">
        <v>2043</v>
      </c>
      <c r="D3" s="23" t="s">
        <v>2044</v>
      </c>
      <c r="E3" s="21" t="s">
        <v>1363</v>
      </c>
      <c r="F3" s="23" t="s">
        <v>2045</v>
      </c>
      <c r="G3" s="23" t="s">
        <v>2046</v>
      </c>
      <c r="H3" s="21" t="s">
        <v>223</v>
      </c>
      <c r="I3" s="23" t="s">
        <v>1013</v>
      </c>
      <c r="J3" s="21" t="s">
        <v>30</v>
      </c>
      <c r="K3" s="21" t="s">
        <v>30</v>
      </c>
      <c r="L3" s="23" t="s">
        <v>379</v>
      </c>
      <c r="M3" s="21" t="s">
        <v>55</v>
      </c>
      <c r="N3" s="23" t="s">
        <v>494</v>
      </c>
      <c r="O3" s="23" t="s">
        <v>173</v>
      </c>
      <c r="P3" s="23" t="s">
        <v>225</v>
      </c>
      <c r="Q3" s="23" t="s">
        <v>226</v>
      </c>
      <c r="R3" s="23" t="s">
        <v>226</v>
      </c>
      <c r="S3" s="21" t="s">
        <v>34</v>
      </c>
      <c r="T3" s="158">
        <v>2.86</v>
      </c>
      <c r="U3" s="23" t="s">
        <v>2047</v>
      </c>
      <c r="V3" s="179">
        <v>0.08</v>
      </c>
      <c r="W3" s="180">
        <v>6.2579999999999997E-2</v>
      </c>
      <c r="X3" s="21" t="s">
        <v>461</v>
      </c>
      <c r="Y3" s="21" t="s">
        <v>173</v>
      </c>
      <c r="Z3" s="158">
        <v>65000</v>
      </c>
      <c r="AA3" s="181">
        <v>1</v>
      </c>
      <c r="AB3" s="182">
        <v>107.08</v>
      </c>
      <c r="AC3" s="23"/>
      <c r="AD3" s="158">
        <v>69.602000000000004</v>
      </c>
      <c r="AE3" s="23"/>
      <c r="AG3" s="21" t="s">
        <v>36</v>
      </c>
      <c r="AH3" s="172">
        <v>0</v>
      </c>
      <c r="AI3" s="172">
        <v>1.2748367885894099E-2</v>
      </c>
      <c r="AJ3" s="172">
        <v>3.0916405359727602E-3</v>
      </c>
    </row>
    <row r="4" spans="1:36">
      <c r="A4" s="23">
        <v>161</v>
      </c>
      <c r="B4" s="23">
        <v>1434</v>
      </c>
      <c r="C4" s="23" t="s">
        <v>2048</v>
      </c>
      <c r="D4" s="23" t="s">
        <v>2049</v>
      </c>
      <c r="E4" s="21" t="s">
        <v>1363</v>
      </c>
      <c r="F4" s="23" t="s">
        <v>2050</v>
      </c>
      <c r="G4" s="23" t="s">
        <v>2051</v>
      </c>
      <c r="H4" s="21" t="s">
        <v>223</v>
      </c>
      <c r="I4" s="23" t="s">
        <v>804</v>
      </c>
      <c r="J4" s="21" t="s">
        <v>30</v>
      </c>
      <c r="K4" s="21" t="s">
        <v>30</v>
      </c>
      <c r="L4" s="23" t="s">
        <v>377</v>
      </c>
      <c r="M4" s="21" t="s">
        <v>31</v>
      </c>
      <c r="N4" s="23" t="s">
        <v>511</v>
      </c>
      <c r="O4" s="23" t="s">
        <v>173</v>
      </c>
      <c r="P4" s="23" t="s">
        <v>2052</v>
      </c>
      <c r="Q4" s="23" t="s">
        <v>462</v>
      </c>
      <c r="R4" s="23" t="s">
        <v>456</v>
      </c>
      <c r="S4" s="21" t="s">
        <v>34</v>
      </c>
      <c r="T4" s="158">
        <v>2.012</v>
      </c>
      <c r="U4" s="23" t="s">
        <v>2053</v>
      </c>
      <c r="V4" s="179">
        <v>2.3400000000000001E-2</v>
      </c>
      <c r="W4" s="180">
        <v>2.664E-2</v>
      </c>
      <c r="X4" s="21" t="s">
        <v>461</v>
      </c>
      <c r="Y4" s="21" t="s">
        <v>173</v>
      </c>
      <c r="Z4" s="158">
        <v>100033.41</v>
      </c>
      <c r="AA4" s="181">
        <v>1</v>
      </c>
      <c r="AB4" s="182">
        <v>115.87</v>
      </c>
      <c r="AC4" s="23"/>
      <c r="AD4" s="158">
        <v>115.90900000000001</v>
      </c>
      <c r="AE4" s="23"/>
      <c r="AG4" s="21" t="s">
        <v>36</v>
      </c>
      <c r="AH4" s="172">
        <v>4.6999999999999997E-5</v>
      </c>
      <c r="AI4" s="172">
        <v>2.1229948907863599E-2</v>
      </c>
      <c r="AJ4" s="172">
        <v>5.1485312635828904E-3</v>
      </c>
    </row>
    <row r="5" spans="1:36">
      <c r="A5" s="23">
        <v>161</v>
      </c>
      <c r="B5" s="23">
        <v>1434</v>
      </c>
      <c r="C5" s="23" t="s">
        <v>2048</v>
      </c>
      <c r="D5" s="23" t="s">
        <v>2049</v>
      </c>
      <c r="E5" s="21" t="s">
        <v>1363</v>
      </c>
      <c r="F5" s="23" t="s">
        <v>2054</v>
      </c>
      <c r="G5" s="23" t="s">
        <v>2055</v>
      </c>
      <c r="H5" s="21" t="s">
        <v>223</v>
      </c>
      <c r="I5" s="23" t="s">
        <v>1013</v>
      </c>
      <c r="J5" s="21" t="s">
        <v>30</v>
      </c>
      <c r="K5" s="21" t="s">
        <v>30</v>
      </c>
      <c r="L5" s="23" t="s">
        <v>377</v>
      </c>
      <c r="M5" s="21" t="s">
        <v>31</v>
      </c>
      <c r="N5" s="23" t="s">
        <v>511</v>
      </c>
      <c r="O5" s="23" t="s">
        <v>173</v>
      </c>
      <c r="P5" s="23" t="s">
        <v>2052</v>
      </c>
      <c r="Q5" s="23" t="s">
        <v>462</v>
      </c>
      <c r="R5" s="23" t="s">
        <v>456</v>
      </c>
      <c r="S5" s="21" t="s">
        <v>34</v>
      </c>
      <c r="T5" s="158">
        <v>2.681</v>
      </c>
      <c r="U5" s="23" t="s">
        <v>2056</v>
      </c>
      <c r="V5" s="179">
        <v>0.05</v>
      </c>
      <c r="W5" s="180">
        <v>5.5370000000000003E-2</v>
      </c>
      <c r="X5" s="21" t="s">
        <v>461</v>
      </c>
      <c r="Y5" s="21" t="s">
        <v>173</v>
      </c>
      <c r="Z5" s="158">
        <v>45000</v>
      </c>
      <c r="AA5" s="181">
        <v>1</v>
      </c>
      <c r="AB5" s="182">
        <v>100.87</v>
      </c>
      <c r="AC5" s="23"/>
      <c r="AD5" s="158">
        <v>45.392000000000003</v>
      </c>
      <c r="AE5" s="23"/>
      <c r="AG5" s="21" t="s">
        <v>36</v>
      </c>
      <c r="AH5" s="172">
        <v>1.12E-4</v>
      </c>
      <c r="AI5" s="172">
        <v>8.3139498993213094E-3</v>
      </c>
      <c r="AJ5" s="172">
        <v>2.0162380590874902E-3</v>
      </c>
    </row>
    <row r="6" spans="1:36">
      <c r="A6" s="23">
        <v>161</v>
      </c>
      <c r="B6" s="23">
        <v>1434</v>
      </c>
      <c r="C6" s="23" t="s">
        <v>2057</v>
      </c>
      <c r="D6" s="23" t="s">
        <v>2058</v>
      </c>
      <c r="E6" s="21" t="s">
        <v>1363</v>
      </c>
      <c r="F6" s="23" t="s">
        <v>2059</v>
      </c>
      <c r="G6" s="23" t="s">
        <v>2060</v>
      </c>
      <c r="H6" s="21" t="s">
        <v>223</v>
      </c>
      <c r="I6" s="23" t="s">
        <v>804</v>
      </c>
      <c r="J6" s="21" t="s">
        <v>30</v>
      </c>
      <c r="K6" s="21" t="s">
        <v>30</v>
      </c>
      <c r="L6" s="23" t="s">
        <v>377</v>
      </c>
      <c r="M6" s="21" t="s">
        <v>31</v>
      </c>
      <c r="N6" s="23" t="s">
        <v>525</v>
      </c>
      <c r="O6" s="23" t="s">
        <v>173</v>
      </c>
      <c r="P6" s="23" t="s">
        <v>2061</v>
      </c>
      <c r="Q6" s="23" t="s">
        <v>462</v>
      </c>
      <c r="R6" s="23" t="s">
        <v>456</v>
      </c>
      <c r="S6" s="21" t="s">
        <v>34</v>
      </c>
      <c r="T6" s="158">
        <v>1.1579999999999999</v>
      </c>
      <c r="U6" s="23" t="s">
        <v>2062</v>
      </c>
      <c r="V6" s="179">
        <v>1.8499999999999999E-2</v>
      </c>
      <c r="W6" s="180">
        <v>2.4899999999999999E-2</v>
      </c>
      <c r="X6" s="21" t="s">
        <v>461</v>
      </c>
      <c r="Y6" s="21" t="s">
        <v>173</v>
      </c>
      <c r="Z6" s="156">
        <v>40919.120000000003</v>
      </c>
      <c r="AA6" s="166">
        <v>1</v>
      </c>
      <c r="AB6" s="183">
        <v>113.24</v>
      </c>
      <c r="AC6" s="23"/>
      <c r="AD6" s="156">
        <v>46.337000000000003</v>
      </c>
      <c r="AG6" s="2" t="s">
        <v>36</v>
      </c>
      <c r="AH6" s="172">
        <v>7.3999999999999996E-5</v>
      </c>
      <c r="AI6" s="172">
        <v>8.4870940419578197E-3</v>
      </c>
      <c r="AJ6" s="172">
        <v>2.05822770472154E-3</v>
      </c>
    </row>
    <row r="7" spans="1:36">
      <c r="A7" s="23">
        <v>161</v>
      </c>
      <c r="B7" s="23">
        <v>1434</v>
      </c>
      <c r="C7" s="23" t="s">
        <v>2057</v>
      </c>
      <c r="D7" s="23" t="s">
        <v>2058</v>
      </c>
      <c r="E7" s="21" t="s">
        <v>1363</v>
      </c>
      <c r="F7" s="23" t="s">
        <v>2063</v>
      </c>
      <c r="G7" s="23" t="s">
        <v>2064</v>
      </c>
      <c r="H7" s="21" t="s">
        <v>223</v>
      </c>
      <c r="I7" s="23" t="s">
        <v>804</v>
      </c>
      <c r="J7" s="21" t="s">
        <v>30</v>
      </c>
      <c r="K7" s="21" t="s">
        <v>30</v>
      </c>
      <c r="L7" s="23" t="s">
        <v>377</v>
      </c>
      <c r="M7" s="21" t="s">
        <v>31</v>
      </c>
      <c r="N7" s="23" t="s">
        <v>525</v>
      </c>
      <c r="O7" s="23" t="s">
        <v>173</v>
      </c>
      <c r="P7" s="23" t="s">
        <v>2061</v>
      </c>
      <c r="Q7" s="23" t="s">
        <v>462</v>
      </c>
      <c r="R7" s="23" t="s">
        <v>456</v>
      </c>
      <c r="S7" s="21" t="s">
        <v>34</v>
      </c>
      <c r="T7" s="158">
        <v>1.802</v>
      </c>
      <c r="U7" s="23" t="s">
        <v>2065</v>
      </c>
      <c r="V7" s="179">
        <v>3.2000000000000001E-2</v>
      </c>
      <c r="W7" s="180">
        <v>3.1350000000000003E-2</v>
      </c>
      <c r="X7" s="21" t="s">
        <v>461</v>
      </c>
      <c r="Y7" s="21" t="s">
        <v>173</v>
      </c>
      <c r="Z7" s="156">
        <v>15750</v>
      </c>
      <c r="AA7" s="166">
        <v>1</v>
      </c>
      <c r="AB7" s="183">
        <v>107.71</v>
      </c>
      <c r="AC7" s="23"/>
      <c r="AD7" s="156">
        <v>16.963999999999999</v>
      </c>
      <c r="AG7" s="2" t="s">
        <v>36</v>
      </c>
      <c r="AH7" s="172">
        <v>1.9000000000000001E-5</v>
      </c>
      <c r="AI7" s="172">
        <v>3.1072017475916001E-3</v>
      </c>
      <c r="AJ7" s="172">
        <v>7.5353574373460597E-4</v>
      </c>
    </row>
    <row r="8" spans="1:36">
      <c r="A8" s="23">
        <v>161</v>
      </c>
      <c r="B8" s="23">
        <v>1434</v>
      </c>
      <c r="C8" s="23" t="s">
        <v>2057</v>
      </c>
      <c r="D8" s="23" t="s">
        <v>2058</v>
      </c>
      <c r="E8" s="21" t="s">
        <v>1363</v>
      </c>
      <c r="F8" s="23" t="s">
        <v>2066</v>
      </c>
      <c r="G8" s="23" t="s">
        <v>2067</v>
      </c>
      <c r="H8" s="21" t="s">
        <v>223</v>
      </c>
      <c r="I8" s="23" t="s">
        <v>1013</v>
      </c>
      <c r="J8" s="21" t="s">
        <v>30</v>
      </c>
      <c r="K8" s="21" t="s">
        <v>30</v>
      </c>
      <c r="L8" s="23" t="s">
        <v>377</v>
      </c>
      <c r="M8" s="21" t="s">
        <v>31</v>
      </c>
      <c r="N8" s="23" t="s">
        <v>525</v>
      </c>
      <c r="O8" s="23" t="s">
        <v>173</v>
      </c>
      <c r="P8" s="23" t="s">
        <v>2061</v>
      </c>
      <c r="Q8" s="23" t="s">
        <v>462</v>
      </c>
      <c r="R8" s="23" t="s">
        <v>456</v>
      </c>
      <c r="S8" s="21" t="s">
        <v>34</v>
      </c>
      <c r="T8" s="158">
        <v>1.84</v>
      </c>
      <c r="U8" s="23" t="s">
        <v>2068</v>
      </c>
      <c r="V8" s="179">
        <v>5.7000000000000002E-2</v>
      </c>
      <c r="W8" s="180">
        <v>6.1760000000000002E-2</v>
      </c>
      <c r="X8" s="21" t="s">
        <v>461</v>
      </c>
      <c r="Y8" s="21" t="s">
        <v>173</v>
      </c>
      <c r="Z8" s="158">
        <v>17250</v>
      </c>
      <c r="AA8" s="181">
        <v>1</v>
      </c>
      <c r="AB8" s="182">
        <v>99.56</v>
      </c>
      <c r="AC8" s="23"/>
      <c r="AD8" s="158">
        <v>17.173999999999999</v>
      </c>
      <c r="AE8" s="23"/>
      <c r="AG8" s="21" t="s">
        <v>36</v>
      </c>
      <c r="AH8" s="172">
        <v>1.8E-5</v>
      </c>
      <c r="AI8" s="172">
        <v>3.1456243342020901E-3</v>
      </c>
      <c r="AJ8" s="172">
        <v>7.6285370720453102E-4</v>
      </c>
    </row>
    <row r="9" spans="1:36">
      <c r="A9" s="23">
        <v>161</v>
      </c>
      <c r="B9" s="23">
        <v>1434</v>
      </c>
      <c r="C9" s="23" t="s">
        <v>2069</v>
      </c>
      <c r="D9" s="23" t="s">
        <v>2070</v>
      </c>
      <c r="E9" s="21" t="s">
        <v>1363</v>
      </c>
      <c r="F9" s="23" t="s">
        <v>2071</v>
      </c>
      <c r="G9" s="23" t="s">
        <v>2072</v>
      </c>
      <c r="H9" s="21" t="s">
        <v>223</v>
      </c>
      <c r="I9" s="23" t="s">
        <v>804</v>
      </c>
      <c r="J9" s="21" t="s">
        <v>30</v>
      </c>
      <c r="K9" s="21" t="s">
        <v>30</v>
      </c>
      <c r="L9" s="23" t="s">
        <v>377</v>
      </c>
      <c r="M9" s="21" t="s">
        <v>31</v>
      </c>
      <c r="N9" s="23" t="s">
        <v>525</v>
      </c>
      <c r="O9" s="23" t="s">
        <v>173</v>
      </c>
      <c r="P9" s="23" t="s">
        <v>2061</v>
      </c>
      <c r="Q9" s="23" t="s">
        <v>462</v>
      </c>
      <c r="R9" s="23" t="s">
        <v>456</v>
      </c>
      <c r="S9" s="21" t="s">
        <v>34</v>
      </c>
      <c r="T9" s="158">
        <v>2.8780000000000001</v>
      </c>
      <c r="U9" s="23" t="s">
        <v>2073</v>
      </c>
      <c r="V9" s="179">
        <v>3.2300000000000002E-2</v>
      </c>
      <c r="W9" s="180">
        <v>3.0870000000000002E-2</v>
      </c>
      <c r="X9" s="21" t="s">
        <v>461</v>
      </c>
      <c r="Y9" s="21" t="s">
        <v>173</v>
      </c>
      <c r="Z9" s="158">
        <v>20160</v>
      </c>
      <c r="AA9" s="181">
        <v>1</v>
      </c>
      <c r="AB9" s="182">
        <v>107.46</v>
      </c>
      <c r="AC9" s="23"/>
      <c r="AD9" s="158">
        <v>21.664000000000001</v>
      </c>
      <c r="AE9" s="23"/>
      <c r="AG9" s="21" t="s">
        <v>36</v>
      </c>
      <c r="AH9" s="172">
        <v>3.4E-5</v>
      </c>
      <c r="AI9" s="172">
        <v>3.9679869254398599E-3</v>
      </c>
      <c r="AJ9" s="172">
        <v>9.6228704212981703E-4</v>
      </c>
    </row>
    <row r="10" spans="1:36">
      <c r="A10" s="23">
        <v>161</v>
      </c>
      <c r="B10" s="23">
        <v>1434</v>
      </c>
      <c r="C10" s="23" t="s">
        <v>1632</v>
      </c>
      <c r="D10" s="23" t="s">
        <v>1633</v>
      </c>
      <c r="E10" s="21" t="s">
        <v>1363</v>
      </c>
      <c r="F10" s="23" t="s">
        <v>2074</v>
      </c>
      <c r="G10" s="23" t="s">
        <v>2075</v>
      </c>
      <c r="H10" s="21" t="s">
        <v>223</v>
      </c>
      <c r="I10" s="23" t="s">
        <v>804</v>
      </c>
      <c r="J10" s="21" t="s">
        <v>30</v>
      </c>
      <c r="K10" s="21" t="s">
        <v>30</v>
      </c>
      <c r="L10" s="23" t="s">
        <v>377</v>
      </c>
      <c r="M10" s="21" t="s">
        <v>31</v>
      </c>
      <c r="N10" s="23" t="s">
        <v>511</v>
      </c>
      <c r="O10" s="23" t="s">
        <v>173</v>
      </c>
      <c r="P10" s="23" t="s">
        <v>1374</v>
      </c>
      <c r="Q10" s="23" t="s">
        <v>462</v>
      </c>
      <c r="R10" s="23" t="s">
        <v>456</v>
      </c>
      <c r="S10" s="21" t="s">
        <v>34</v>
      </c>
      <c r="T10" s="158">
        <v>6.9109999999999996</v>
      </c>
      <c r="U10" s="23" t="s">
        <v>2076</v>
      </c>
      <c r="V10" s="179">
        <v>2.5600000000000001E-2</v>
      </c>
      <c r="W10" s="180">
        <v>4.2349999999999999E-2</v>
      </c>
      <c r="X10" s="21" t="s">
        <v>461</v>
      </c>
      <c r="Y10" s="21" t="s">
        <v>173</v>
      </c>
      <c r="Z10" s="158">
        <v>45000</v>
      </c>
      <c r="AA10" s="181">
        <v>1</v>
      </c>
      <c r="AB10" s="182">
        <v>97.49</v>
      </c>
      <c r="AC10" s="23"/>
      <c r="AD10" s="158">
        <v>43.87</v>
      </c>
      <c r="AE10" s="23"/>
      <c r="AG10" s="21" t="s">
        <v>36</v>
      </c>
      <c r="AH10" s="172">
        <v>4.3000000000000002E-5</v>
      </c>
      <c r="AI10" s="172">
        <v>8.03536210652161E-3</v>
      </c>
      <c r="AJ10" s="172">
        <v>1.94867699395697E-3</v>
      </c>
    </row>
    <row r="11" spans="1:36">
      <c r="A11" s="23">
        <v>161</v>
      </c>
      <c r="B11" s="23">
        <v>1434</v>
      </c>
      <c r="C11" s="23" t="s">
        <v>1632</v>
      </c>
      <c r="D11" s="23" t="s">
        <v>1633</v>
      </c>
      <c r="E11" s="21" t="s">
        <v>1363</v>
      </c>
      <c r="F11" s="23" t="s">
        <v>2077</v>
      </c>
      <c r="G11" s="23" t="s">
        <v>2078</v>
      </c>
      <c r="H11" s="21" t="s">
        <v>223</v>
      </c>
      <c r="I11" s="23" t="s">
        <v>1013</v>
      </c>
      <c r="J11" s="21" t="s">
        <v>30</v>
      </c>
      <c r="K11" s="21" t="s">
        <v>30</v>
      </c>
      <c r="L11" s="23" t="s">
        <v>377</v>
      </c>
      <c r="M11" s="21" t="s">
        <v>31</v>
      </c>
      <c r="N11" s="23" t="s">
        <v>511</v>
      </c>
      <c r="O11" s="23" t="s">
        <v>173</v>
      </c>
      <c r="P11" s="23" t="s">
        <v>1374</v>
      </c>
      <c r="Q11" s="23" t="s">
        <v>462</v>
      </c>
      <c r="R11" s="23" t="s">
        <v>456</v>
      </c>
      <c r="S11" s="21" t="s">
        <v>34</v>
      </c>
      <c r="T11" s="158">
        <v>3.9049999999999998</v>
      </c>
      <c r="U11" s="23" t="s">
        <v>2079</v>
      </c>
      <c r="V11" s="179">
        <v>2.41E-2</v>
      </c>
      <c r="W11" s="180">
        <v>6.3320000000000001E-2</v>
      </c>
      <c r="X11" s="21" t="s">
        <v>461</v>
      </c>
      <c r="Y11" s="21" t="s">
        <v>173</v>
      </c>
      <c r="Z11" s="158">
        <v>80000</v>
      </c>
      <c r="AA11" s="181">
        <v>1</v>
      </c>
      <c r="AB11" s="182">
        <v>86.08</v>
      </c>
      <c r="AC11" s="23"/>
      <c r="AD11" s="158">
        <v>68.864000000000004</v>
      </c>
      <c r="AE11" s="23"/>
      <c r="AG11" s="21" t="s">
        <v>36</v>
      </c>
      <c r="AH11" s="172">
        <v>3.8999999999999999E-5</v>
      </c>
      <c r="AI11" s="172">
        <v>1.26131951106895E-2</v>
      </c>
      <c r="AJ11" s="172">
        <v>3.0588594274478902E-3</v>
      </c>
    </row>
    <row r="12" spans="1:36">
      <c r="A12" s="23">
        <v>161</v>
      </c>
      <c r="B12" s="23">
        <v>1434</v>
      </c>
      <c r="C12" s="23" t="s">
        <v>2080</v>
      </c>
      <c r="D12" s="23" t="s">
        <v>2081</v>
      </c>
      <c r="E12" s="21" t="s">
        <v>1363</v>
      </c>
      <c r="F12" s="23" t="s">
        <v>2082</v>
      </c>
      <c r="G12" s="23" t="s">
        <v>2083</v>
      </c>
      <c r="H12" s="21" t="s">
        <v>223</v>
      </c>
      <c r="I12" s="23" t="s">
        <v>1013</v>
      </c>
      <c r="J12" s="21" t="s">
        <v>30</v>
      </c>
      <c r="K12" s="21" t="s">
        <v>30</v>
      </c>
      <c r="L12" s="23" t="s">
        <v>377</v>
      </c>
      <c r="M12" s="21" t="s">
        <v>31</v>
      </c>
      <c r="N12" s="23" t="s">
        <v>498</v>
      </c>
      <c r="O12" s="23" t="s">
        <v>173</v>
      </c>
      <c r="P12" s="23" t="s">
        <v>2061</v>
      </c>
      <c r="Q12" s="23" t="s">
        <v>462</v>
      </c>
      <c r="R12" s="23" t="s">
        <v>456</v>
      </c>
      <c r="S12" s="21" t="s">
        <v>34</v>
      </c>
      <c r="T12" s="158">
        <v>2.2240000000000002</v>
      </c>
      <c r="U12" s="23" t="s">
        <v>2084</v>
      </c>
      <c r="V12" s="179">
        <v>0.04</v>
      </c>
      <c r="W12" s="180">
        <v>5.774E-2</v>
      </c>
      <c r="X12" s="21" t="s">
        <v>461</v>
      </c>
      <c r="Y12" s="21" t="s">
        <v>173</v>
      </c>
      <c r="Z12" s="158">
        <v>50000</v>
      </c>
      <c r="AA12" s="181">
        <v>1</v>
      </c>
      <c r="AB12" s="182">
        <v>96.04</v>
      </c>
      <c r="AC12" s="23"/>
      <c r="AD12" s="158">
        <v>48.02</v>
      </c>
      <c r="AE12" s="23"/>
      <c r="AG12" s="21" t="s">
        <v>36</v>
      </c>
      <c r="AH12" s="172">
        <v>7.3999999999999996E-5</v>
      </c>
      <c r="AI12" s="172">
        <v>8.7953884353989108E-3</v>
      </c>
      <c r="AJ12" s="172">
        <v>2.13299299642843E-3</v>
      </c>
    </row>
    <row r="13" spans="1:36">
      <c r="A13" s="23">
        <v>161</v>
      </c>
      <c r="B13" s="23">
        <v>1434</v>
      </c>
      <c r="C13" s="23" t="s">
        <v>1636</v>
      </c>
      <c r="D13" s="23" t="s">
        <v>1637</v>
      </c>
      <c r="E13" s="21" t="s">
        <v>1363</v>
      </c>
      <c r="F13" s="23" t="s">
        <v>2085</v>
      </c>
      <c r="G13" s="23" t="s">
        <v>2086</v>
      </c>
      <c r="H13" s="21" t="s">
        <v>223</v>
      </c>
      <c r="I13" s="23" t="s">
        <v>804</v>
      </c>
      <c r="J13" s="21" t="s">
        <v>30</v>
      </c>
      <c r="K13" s="21" t="s">
        <v>30</v>
      </c>
      <c r="L13" s="23" t="s">
        <v>377</v>
      </c>
      <c r="M13" s="21" t="s">
        <v>31</v>
      </c>
      <c r="N13" s="23" t="s">
        <v>511</v>
      </c>
      <c r="O13" s="23" t="s">
        <v>173</v>
      </c>
      <c r="P13" s="23" t="s">
        <v>2052</v>
      </c>
      <c r="Q13" s="23" t="s">
        <v>462</v>
      </c>
      <c r="R13" s="23" t="s">
        <v>456</v>
      </c>
      <c r="S13" s="21" t="s">
        <v>34</v>
      </c>
      <c r="T13" s="158">
        <v>3.3279999999999998</v>
      </c>
      <c r="U13" s="23" t="s">
        <v>2087</v>
      </c>
      <c r="V13" s="179">
        <v>1.14E-2</v>
      </c>
      <c r="W13" s="180">
        <v>2.9170000000000001E-2</v>
      </c>
      <c r="X13" s="21" t="s">
        <v>461</v>
      </c>
      <c r="Y13" s="21" t="s">
        <v>173</v>
      </c>
      <c r="Z13" s="158">
        <v>109000</v>
      </c>
      <c r="AA13" s="181">
        <v>1</v>
      </c>
      <c r="AB13" s="182">
        <v>107.2</v>
      </c>
      <c r="AC13" s="158">
        <v>1.403</v>
      </c>
      <c r="AD13" s="158">
        <v>118.251</v>
      </c>
      <c r="AE13" s="23"/>
      <c r="AG13" s="21" t="s">
        <v>36</v>
      </c>
      <c r="AH13" s="172">
        <v>4.6E-5</v>
      </c>
      <c r="AI13" s="172">
        <v>2.1659056134289301E-2</v>
      </c>
      <c r="AJ13" s="172">
        <v>5.2525951961090601E-3</v>
      </c>
    </row>
    <row r="14" spans="1:36">
      <c r="A14" s="23">
        <v>161</v>
      </c>
      <c r="B14" s="23">
        <v>1434</v>
      </c>
      <c r="C14" s="23" t="s">
        <v>1636</v>
      </c>
      <c r="D14" s="23" t="s">
        <v>1637</v>
      </c>
      <c r="E14" s="21" t="s">
        <v>1363</v>
      </c>
      <c r="F14" s="23" t="s">
        <v>2088</v>
      </c>
      <c r="G14" s="23" t="s">
        <v>2089</v>
      </c>
      <c r="H14" s="21" t="s">
        <v>223</v>
      </c>
      <c r="I14" s="23" t="s">
        <v>1013</v>
      </c>
      <c r="J14" s="21" t="s">
        <v>30</v>
      </c>
      <c r="K14" s="21" t="s">
        <v>30</v>
      </c>
      <c r="L14" s="23" t="s">
        <v>377</v>
      </c>
      <c r="M14" s="21" t="s">
        <v>31</v>
      </c>
      <c r="N14" s="23" t="s">
        <v>511</v>
      </c>
      <c r="O14" s="23" t="s">
        <v>173</v>
      </c>
      <c r="P14" s="23" t="s">
        <v>2052</v>
      </c>
      <c r="Q14" s="23" t="s">
        <v>462</v>
      </c>
      <c r="R14" s="23" t="s">
        <v>456</v>
      </c>
      <c r="S14" s="21" t="s">
        <v>34</v>
      </c>
      <c r="T14" s="158">
        <v>5.2549999999999999</v>
      </c>
      <c r="U14" s="23" t="s">
        <v>2090</v>
      </c>
      <c r="V14" s="179">
        <v>2.4400000000000002E-2</v>
      </c>
      <c r="W14" s="180">
        <v>5.9060000000000001E-2</v>
      </c>
      <c r="X14" s="21" t="s">
        <v>461</v>
      </c>
      <c r="Y14" s="21" t="s">
        <v>173</v>
      </c>
      <c r="Z14" s="158">
        <v>80000</v>
      </c>
      <c r="AA14" s="181">
        <v>1</v>
      </c>
      <c r="AB14" s="182">
        <v>85.33</v>
      </c>
      <c r="AC14" s="23"/>
      <c r="AD14" s="158">
        <v>68.263999999999996</v>
      </c>
      <c r="AE14" s="23"/>
      <c r="AG14" s="21" t="s">
        <v>36</v>
      </c>
      <c r="AH14" s="172">
        <v>6.6000000000000005E-5</v>
      </c>
      <c r="AI14" s="172">
        <v>1.2503298545482501E-2</v>
      </c>
      <c r="AJ14" s="172">
        <v>3.0322081197040902E-3</v>
      </c>
    </row>
    <row r="15" spans="1:36">
      <c r="A15" s="23">
        <v>161</v>
      </c>
      <c r="B15" s="23">
        <v>1434</v>
      </c>
      <c r="C15" s="23" t="s">
        <v>1636</v>
      </c>
      <c r="D15" s="23" t="s">
        <v>1637</v>
      </c>
      <c r="E15" s="21" t="s">
        <v>1363</v>
      </c>
      <c r="F15" s="23" t="s">
        <v>2091</v>
      </c>
      <c r="G15" s="23" t="s">
        <v>2092</v>
      </c>
      <c r="H15" s="21" t="s">
        <v>223</v>
      </c>
      <c r="I15" s="23" t="s">
        <v>804</v>
      </c>
      <c r="J15" s="21" t="s">
        <v>30</v>
      </c>
      <c r="K15" s="21" t="s">
        <v>30</v>
      </c>
      <c r="L15" s="23" t="s">
        <v>377</v>
      </c>
      <c r="M15" s="21" t="s">
        <v>31</v>
      </c>
      <c r="N15" s="23" t="s">
        <v>511</v>
      </c>
      <c r="O15" s="23" t="s">
        <v>173</v>
      </c>
      <c r="P15" s="23" t="s">
        <v>2052</v>
      </c>
      <c r="Q15" s="23" t="s">
        <v>462</v>
      </c>
      <c r="R15" s="23" t="s">
        <v>456</v>
      </c>
      <c r="S15" s="21" t="s">
        <v>34</v>
      </c>
      <c r="T15" s="158">
        <v>5.5579999999999998</v>
      </c>
      <c r="U15" s="23" t="s">
        <v>2090</v>
      </c>
      <c r="V15" s="179">
        <v>9.1999999999999998E-3</v>
      </c>
      <c r="W15" s="180">
        <v>3.3070000000000002E-2</v>
      </c>
      <c r="X15" s="21" t="s">
        <v>461</v>
      </c>
      <c r="Y15" s="21" t="s">
        <v>173</v>
      </c>
      <c r="Z15" s="158">
        <v>70000</v>
      </c>
      <c r="AA15" s="181">
        <v>1</v>
      </c>
      <c r="AB15" s="182">
        <v>102.12</v>
      </c>
      <c r="AC15" s="23"/>
      <c r="AD15" s="158">
        <v>71.483999999999995</v>
      </c>
      <c r="AE15" s="23"/>
      <c r="AG15" s="21" t="s">
        <v>36</v>
      </c>
      <c r="AH15" s="172">
        <v>2.6999999999999999E-5</v>
      </c>
      <c r="AI15" s="172">
        <v>1.309307677876E-2</v>
      </c>
      <c r="AJ15" s="172">
        <v>3.1752368045957998E-3</v>
      </c>
    </row>
    <row r="16" spans="1:36">
      <c r="A16" s="23">
        <v>161</v>
      </c>
      <c r="B16" s="23">
        <v>1434</v>
      </c>
      <c r="C16" s="23" t="s">
        <v>2093</v>
      </c>
      <c r="D16" s="23" t="s">
        <v>2094</v>
      </c>
      <c r="E16" s="21" t="s">
        <v>1363</v>
      </c>
      <c r="F16" s="23" t="s">
        <v>2095</v>
      </c>
      <c r="G16" s="23" t="s">
        <v>2096</v>
      </c>
      <c r="H16" s="21" t="s">
        <v>223</v>
      </c>
      <c r="I16" s="23" t="s">
        <v>1013</v>
      </c>
      <c r="J16" s="21" t="s">
        <v>30</v>
      </c>
      <c r="K16" s="21" t="s">
        <v>30</v>
      </c>
      <c r="L16" s="23" t="s">
        <v>377</v>
      </c>
      <c r="M16" s="21" t="s">
        <v>31</v>
      </c>
      <c r="N16" s="23" t="s">
        <v>511</v>
      </c>
      <c r="O16" s="23" t="s">
        <v>173</v>
      </c>
      <c r="P16" s="23" t="s">
        <v>225</v>
      </c>
      <c r="Q16" s="23" t="s">
        <v>226</v>
      </c>
      <c r="R16" s="23" t="s">
        <v>226</v>
      </c>
      <c r="S16" s="21" t="s">
        <v>34</v>
      </c>
      <c r="T16" s="158">
        <v>0.92200000000000004</v>
      </c>
      <c r="U16" s="23" t="s">
        <v>2097</v>
      </c>
      <c r="V16" s="179">
        <v>6.5000000000000002E-2</v>
      </c>
      <c r="W16" s="180">
        <v>8.6919999999999997E-2</v>
      </c>
      <c r="X16" s="21" t="s">
        <v>461</v>
      </c>
      <c r="Y16" s="21" t="s">
        <v>173</v>
      </c>
      <c r="Z16" s="158">
        <v>45403</v>
      </c>
      <c r="AA16" s="181">
        <v>1</v>
      </c>
      <c r="AB16" s="182">
        <v>100.1</v>
      </c>
      <c r="AC16" s="23"/>
      <c r="AD16" s="158">
        <v>45.448</v>
      </c>
      <c r="AE16" s="23"/>
      <c r="AG16" s="21" t="s">
        <v>36</v>
      </c>
      <c r="AH16" s="172">
        <v>4.1300000000000001E-4</v>
      </c>
      <c r="AI16" s="172">
        <v>8.3243723064045996E-3</v>
      </c>
      <c r="AJ16" s="172">
        <v>2.0187656246950601E-3</v>
      </c>
    </row>
    <row r="17" spans="1:36">
      <c r="A17" s="23">
        <v>161</v>
      </c>
      <c r="B17" s="23">
        <v>1434</v>
      </c>
      <c r="C17" s="23" t="s">
        <v>1640</v>
      </c>
      <c r="D17" s="23" t="s">
        <v>1641</v>
      </c>
      <c r="E17" s="21" t="s">
        <v>1363</v>
      </c>
      <c r="F17" s="23" t="s">
        <v>2098</v>
      </c>
      <c r="G17" s="23" t="s">
        <v>2099</v>
      </c>
      <c r="H17" s="21" t="s">
        <v>223</v>
      </c>
      <c r="I17" s="23" t="s">
        <v>1013</v>
      </c>
      <c r="J17" s="21" t="s">
        <v>30</v>
      </c>
      <c r="K17" s="21" t="s">
        <v>91</v>
      </c>
      <c r="L17" s="23" t="s">
        <v>377</v>
      </c>
      <c r="M17" s="21" t="s">
        <v>31</v>
      </c>
      <c r="N17" s="23" t="s">
        <v>488</v>
      </c>
      <c r="O17" s="23" t="s">
        <v>173</v>
      </c>
      <c r="P17" s="23" t="s">
        <v>2100</v>
      </c>
      <c r="Q17" s="23" t="s">
        <v>464</v>
      </c>
      <c r="R17" s="23" t="s">
        <v>456</v>
      </c>
      <c r="S17" s="21" t="s">
        <v>34</v>
      </c>
      <c r="T17" s="158">
        <v>1.736</v>
      </c>
      <c r="U17" s="23" t="s">
        <v>2101</v>
      </c>
      <c r="V17" s="179">
        <v>3.4500000000000003E-2</v>
      </c>
      <c r="W17" s="180">
        <v>5.7250000000000002E-2</v>
      </c>
      <c r="X17" s="21" t="s">
        <v>461</v>
      </c>
      <c r="Y17" s="21" t="s">
        <v>173</v>
      </c>
      <c r="Z17" s="158">
        <v>89411.76</v>
      </c>
      <c r="AA17" s="181">
        <v>1</v>
      </c>
      <c r="AB17" s="182">
        <v>96.61</v>
      </c>
      <c r="AC17" s="23"/>
      <c r="AD17" s="158">
        <v>86.381</v>
      </c>
      <c r="AE17" s="23"/>
      <c r="AG17" s="21" t="s">
        <v>36</v>
      </c>
      <c r="AH17" s="172">
        <v>1.3899999999999999E-4</v>
      </c>
      <c r="AI17" s="172">
        <v>1.58215706283278E-2</v>
      </c>
      <c r="AJ17" s="172">
        <v>3.8369310907177098E-3</v>
      </c>
    </row>
    <row r="18" spans="1:36">
      <c r="A18" s="23">
        <v>161</v>
      </c>
      <c r="B18" s="23">
        <v>1434</v>
      </c>
      <c r="C18" s="23" t="s">
        <v>1640</v>
      </c>
      <c r="D18" s="23" t="s">
        <v>1641</v>
      </c>
      <c r="E18" s="21" t="s">
        <v>1363</v>
      </c>
      <c r="F18" s="23" t="s">
        <v>2102</v>
      </c>
      <c r="G18" s="23" t="s">
        <v>2103</v>
      </c>
      <c r="H18" s="21" t="s">
        <v>223</v>
      </c>
      <c r="I18" s="23" t="s">
        <v>1013</v>
      </c>
      <c r="J18" s="21" t="s">
        <v>30</v>
      </c>
      <c r="K18" s="21" t="s">
        <v>91</v>
      </c>
      <c r="L18" s="23" t="s">
        <v>377</v>
      </c>
      <c r="M18" s="21" t="s">
        <v>31</v>
      </c>
      <c r="N18" s="23" t="s">
        <v>488</v>
      </c>
      <c r="O18" s="23" t="s">
        <v>173</v>
      </c>
      <c r="P18" s="23" t="s">
        <v>2100</v>
      </c>
      <c r="Q18" s="23" t="s">
        <v>464</v>
      </c>
      <c r="R18" s="23" t="s">
        <v>456</v>
      </c>
      <c r="S18" s="21" t="s">
        <v>34</v>
      </c>
      <c r="T18" s="158">
        <v>3.7589999999999999</v>
      </c>
      <c r="U18" s="23" t="s">
        <v>2104</v>
      </c>
      <c r="V18" s="179">
        <v>1.4999999999999999E-2</v>
      </c>
      <c r="W18" s="180">
        <v>5.9859999999999997E-2</v>
      </c>
      <c r="X18" s="21" t="s">
        <v>461</v>
      </c>
      <c r="Y18" s="21" t="s">
        <v>173</v>
      </c>
      <c r="Z18" s="158">
        <v>26000</v>
      </c>
      <c r="AA18" s="181">
        <v>1</v>
      </c>
      <c r="AB18" s="182">
        <v>85.02</v>
      </c>
      <c r="AC18" s="23"/>
      <c r="AD18" s="158">
        <v>22.105</v>
      </c>
      <c r="AE18" s="23"/>
      <c r="AG18" s="21" t="s">
        <v>36</v>
      </c>
      <c r="AH18" s="172">
        <v>6.7000000000000002E-5</v>
      </c>
      <c r="AI18" s="172">
        <v>4.0488092553556797E-3</v>
      </c>
      <c r="AJ18" s="172">
        <v>9.8188747989691396E-4</v>
      </c>
    </row>
    <row r="19" spans="1:36">
      <c r="A19" s="23">
        <v>161</v>
      </c>
      <c r="B19" s="23">
        <v>1434</v>
      </c>
      <c r="C19" s="23" t="s">
        <v>2105</v>
      </c>
      <c r="D19" s="23" t="s">
        <v>2106</v>
      </c>
      <c r="E19" s="21" t="s">
        <v>365</v>
      </c>
      <c r="F19" s="23" t="s">
        <v>2107</v>
      </c>
      <c r="G19" s="23" t="s">
        <v>2108</v>
      </c>
      <c r="H19" s="21" t="s">
        <v>223</v>
      </c>
      <c r="I19" s="23" t="s">
        <v>1013</v>
      </c>
      <c r="J19" s="21" t="s">
        <v>30</v>
      </c>
      <c r="K19" s="21" t="s">
        <v>30</v>
      </c>
      <c r="L19" s="23" t="s">
        <v>377</v>
      </c>
      <c r="M19" s="21" t="s">
        <v>31</v>
      </c>
      <c r="N19" s="23" t="s">
        <v>512</v>
      </c>
      <c r="O19" s="23" t="s">
        <v>173</v>
      </c>
      <c r="P19" s="23" t="s">
        <v>2041</v>
      </c>
      <c r="Q19" s="23" t="s">
        <v>464</v>
      </c>
      <c r="R19" s="23" t="s">
        <v>456</v>
      </c>
      <c r="S19" s="21" t="s">
        <v>34</v>
      </c>
      <c r="T19" s="158">
        <v>0.97099999999999997</v>
      </c>
      <c r="U19" s="23" t="s">
        <v>2109</v>
      </c>
      <c r="V19" s="179">
        <v>7.0000000000000007E-2</v>
      </c>
      <c r="W19" s="180">
        <v>7.2090000000000001E-2</v>
      </c>
      <c r="X19" s="21" t="s">
        <v>461</v>
      </c>
      <c r="Y19" s="21" t="s">
        <v>173</v>
      </c>
      <c r="Z19" s="158">
        <v>0.62</v>
      </c>
      <c r="AA19" s="181">
        <v>1</v>
      </c>
      <c r="AB19" s="182">
        <v>99.95</v>
      </c>
      <c r="AC19" s="23"/>
      <c r="AD19" s="158">
        <v>1E-3</v>
      </c>
      <c r="AE19" s="23"/>
      <c r="AG19" s="21" t="s">
        <v>36</v>
      </c>
      <c r="AH19" s="172">
        <v>0</v>
      </c>
      <c r="AI19" s="172">
        <v>1.13503004155193E-7</v>
      </c>
      <c r="AJ19" s="172">
        <v>2.7525914826254399E-8</v>
      </c>
    </row>
    <row r="20" spans="1:36">
      <c r="A20" s="2">
        <v>161</v>
      </c>
      <c r="B20" s="2">
        <v>1434</v>
      </c>
      <c r="C20" s="2" t="s">
        <v>2048</v>
      </c>
      <c r="D20" s="2" t="s">
        <v>2049</v>
      </c>
      <c r="E20" s="21" t="s">
        <v>1363</v>
      </c>
      <c r="F20" s="2" t="s">
        <v>2110</v>
      </c>
      <c r="G20" s="2" t="s">
        <v>2111</v>
      </c>
      <c r="H20" s="21" t="s">
        <v>223</v>
      </c>
      <c r="I20" s="23" t="s">
        <v>804</v>
      </c>
      <c r="J20" s="21" t="s">
        <v>30</v>
      </c>
      <c r="K20" s="21" t="s">
        <v>30</v>
      </c>
      <c r="L20" s="23" t="s">
        <v>377</v>
      </c>
      <c r="M20" s="21" t="s">
        <v>31</v>
      </c>
      <c r="N20" s="23" t="s">
        <v>511</v>
      </c>
      <c r="O20" s="23" t="s">
        <v>173</v>
      </c>
      <c r="P20" s="2" t="s">
        <v>2052</v>
      </c>
      <c r="Q20" s="23" t="s">
        <v>462</v>
      </c>
      <c r="R20" s="23" t="s">
        <v>456</v>
      </c>
      <c r="S20" s="2" t="s">
        <v>34</v>
      </c>
      <c r="T20" s="156">
        <v>5.3609999999999998</v>
      </c>
      <c r="U20" s="2" t="s">
        <v>2112</v>
      </c>
      <c r="V20" s="170">
        <v>6.4999999999999997E-3</v>
      </c>
      <c r="W20" s="172">
        <v>3.3059999999999999E-2</v>
      </c>
      <c r="X20" s="21" t="s">
        <v>461</v>
      </c>
      <c r="Y20" s="21" t="s">
        <v>173</v>
      </c>
      <c r="Z20" s="156">
        <v>64013.52</v>
      </c>
      <c r="AA20" s="166">
        <v>1</v>
      </c>
      <c r="AB20" s="183">
        <v>99.45</v>
      </c>
      <c r="AD20" s="156">
        <v>63.661000000000001</v>
      </c>
      <c r="AG20" s="2" t="s">
        <v>36</v>
      </c>
      <c r="AH20" s="172">
        <v>2.8E-5</v>
      </c>
      <c r="AI20" s="172">
        <v>1.1660290353245201E-2</v>
      </c>
      <c r="AJ20" s="172">
        <v>2.8277679652775798E-3</v>
      </c>
    </row>
    <row r="21" spans="1:36">
      <c r="A21" s="2">
        <v>161</v>
      </c>
      <c r="B21" s="2">
        <v>1434</v>
      </c>
      <c r="C21" s="2" t="s">
        <v>1822</v>
      </c>
      <c r="D21" s="2" t="s">
        <v>1823</v>
      </c>
      <c r="E21" s="4" t="s">
        <v>1363</v>
      </c>
      <c r="F21" s="2" t="s">
        <v>2113</v>
      </c>
      <c r="G21" s="2" t="s">
        <v>2114</v>
      </c>
      <c r="H21" s="4" t="s">
        <v>223</v>
      </c>
      <c r="I21" s="2" t="s">
        <v>804</v>
      </c>
      <c r="J21" s="2" t="s">
        <v>30</v>
      </c>
      <c r="K21" s="2" t="s">
        <v>30</v>
      </c>
      <c r="L21" s="2" t="s">
        <v>377</v>
      </c>
      <c r="M21" s="4" t="s">
        <v>31</v>
      </c>
      <c r="N21" s="2" t="s">
        <v>511</v>
      </c>
      <c r="O21" s="2" t="s">
        <v>173</v>
      </c>
      <c r="P21" s="2" t="s">
        <v>2052</v>
      </c>
      <c r="Q21" s="2" t="s">
        <v>462</v>
      </c>
      <c r="R21" s="2" t="s">
        <v>456</v>
      </c>
      <c r="S21" s="2" t="s">
        <v>34</v>
      </c>
      <c r="T21" s="156">
        <v>1.4259999999999999</v>
      </c>
      <c r="U21" s="2" t="s">
        <v>2115</v>
      </c>
      <c r="V21" s="170">
        <v>1.34E-2</v>
      </c>
      <c r="W21" s="172">
        <v>2.58E-2</v>
      </c>
      <c r="X21" s="4" t="s">
        <v>461</v>
      </c>
      <c r="Y21" s="4" t="s">
        <v>173</v>
      </c>
      <c r="Z21" s="156">
        <v>60000</v>
      </c>
      <c r="AA21" s="166">
        <v>1</v>
      </c>
      <c r="AB21" s="183">
        <v>115.21</v>
      </c>
      <c r="AD21" s="156">
        <v>69.126000000000005</v>
      </c>
      <c r="AG21" s="2" t="s">
        <v>36</v>
      </c>
      <c r="AH21" s="172">
        <v>1.22E-4</v>
      </c>
      <c r="AI21" s="172">
        <v>1.26611832774966E-2</v>
      </c>
      <c r="AJ21" s="172">
        <v>3.0704971651626801E-3</v>
      </c>
    </row>
    <row r="22" spans="1:36">
      <c r="A22" s="2">
        <v>161</v>
      </c>
      <c r="B22" s="2">
        <v>1434</v>
      </c>
      <c r="C22" s="2" t="s">
        <v>1822</v>
      </c>
      <c r="D22" s="2" t="s">
        <v>1823</v>
      </c>
      <c r="E22" s="4" t="s">
        <v>1363</v>
      </c>
      <c r="F22" s="2" t="s">
        <v>2116</v>
      </c>
      <c r="G22" s="2" t="s">
        <v>2117</v>
      </c>
      <c r="H22" s="4" t="s">
        <v>223</v>
      </c>
      <c r="I22" s="2" t="s">
        <v>804</v>
      </c>
      <c r="J22" s="2" t="s">
        <v>30</v>
      </c>
      <c r="K22" s="2" t="s">
        <v>30</v>
      </c>
      <c r="L22" s="2" t="s">
        <v>377</v>
      </c>
      <c r="M22" s="4" t="s">
        <v>31</v>
      </c>
      <c r="N22" s="2" t="s">
        <v>511</v>
      </c>
      <c r="O22" s="2" t="s">
        <v>173</v>
      </c>
      <c r="P22" s="2" t="s">
        <v>1374</v>
      </c>
      <c r="Q22" s="2" t="s">
        <v>464</v>
      </c>
      <c r="R22" s="2" t="s">
        <v>456</v>
      </c>
      <c r="S22" s="2" t="s">
        <v>34</v>
      </c>
      <c r="T22" s="156">
        <v>4.4729999999999999</v>
      </c>
      <c r="U22" s="2" t="s">
        <v>2118</v>
      </c>
      <c r="V22" s="170">
        <v>1.17E-2</v>
      </c>
      <c r="W22" s="172">
        <v>3.1579999999999997E-2</v>
      </c>
      <c r="X22" s="4" t="s">
        <v>461</v>
      </c>
      <c r="Y22" s="4" t="s">
        <v>173</v>
      </c>
      <c r="Z22" s="156">
        <v>16800</v>
      </c>
      <c r="AA22" s="166">
        <v>1</v>
      </c>
      <c r="AB22" s="183">
        <v>105.29</v>
      </c>
      <c r="AD22" s="156">
        <v>17.689</v>
      </c>
      <c r="AG22" s="2" t="s">
        <v>36</v>
      </c>
      <c r="AH22" s="172">
        <v>2.4000000000000001E-5</v>
      </c>
      <c r="AI22" s="172">
        <v>3.2398826181801199E-3</v>
      </c>
      <c r="AJ22" s="172">
        <v>7.8571253385638395E-4</v>
      </c>
    </row>
    <row r="23" spans="1:36">
      <c r="A23" s="2">
        <v>161</v>
      </c>
      <c r="B23" s="2">
        <v>1434</v>
      </c>
      <c r="C23" s="2" t="s">
        <v>1919</v>
      </c>
      <c r="D23" s="2" t="s">
        <v>1920</v>
      </c>
      <c r="E23" s="4" t="s">
        <v>1363</v>
      </c>
      <c r="F23" s="2" t="s">
        <v>2119</v>
      </c>
      <c r="G23" s="2" t="s">
        <v>2120</v>
      </c>
      <c r="H23" s="4" t="s">
        <v>223</v>
      </c>
      <c r="I23" s="2" t="s">
        <v>1013</v>
      </c>
      <c r="J23" s="2" t="s">
        <v>30</v>
      </c>
      <c r="K23" s="2" t="s">
        <v>30</v>
      </c>
      <c r="L23" s="2" t="s">
        <v>377</v>
      </c>
      <c r="M23" s="2" t="s">
        <v>31</v>
      </c>
      <c r="N23" s="2" t="s">
        <v>487</v>
      </c>
      <c r="O23" s="2" t="s">
        <v>173</v>
      </c>
      <c r="P23" s="2" t="s">
        <v>2041</v>
      </c>
      <c r="Q23" s="2" t="s">
        <v>464</v>
      </c>
      <c r="R23" s="2" t="s">
        <v>456</v>
      </c>
      <c r="S23" s="2" t="s">
        <v>34</v>
      </c>
      <c r="T23" s="156">
        <v>3.0009999999999999</v>
      </c>
      <c r="U23" s="2" t="s">
        <v>2056</v>
      </c>
      <c r="V23" s="170">
        <v>7.2499999999999995E-2</v>
      </c>
      <c r="W23" s="172">
        <v>6.3950000000000007E-2</v>
      </c>
      <c r="X23" s="4" t="s">
        <v>461</v>
      </c>
      <c r="Y23" s="4" t="s">
        <v>173</v>
      </c>
      <c r="Z23" s="156">
        <v>108000</v>
      </c>
      <c r="AA23" s="166">
        <v>1</v>
      </c>
      <c r="AB23" s="183">
        <v>105.92</v>
      </c>
      <c r="AD23" s="156">
        <v>114.39400000000001</v>
      </c>
      <c r="AG23" s="2" t="s">
        <v>36</v>
      </c>
      <c r="AH23" s="172">
        <v>1.4999999999999999E-4</v>
      </c>
      <c r="AI23" s="172">
        <v>2.09524395361026E-2</v>
      </c>
      <c r="AJ23" s="172">
        <v>5.08123172920108E-3</v>
      </c>
    </row>
    <row r="24" spans="1:36">
      <c r="A24" s="2">
        <v>161</v>
      </c>
      <c r="B24" s="2">
        <v>1434</v>
      </c>
      <c r="C24" s="2" t="s">
        <v>2121</v>
      </c>
      <c r="D24" s="2" t="s">
        <v>2122</v>
      </c>
      <c r="E24" s="4" t="s">
        <v>1363</v>
      </c>
      <c r="F24" s="2" t="s">
        <v>2123</v>
      </c>
      <c r="G24" s="2" t="s">
        <v>2124</v>
      </c>
      <c r="H24" s="2" t="s">
        <v>223</v>
      </c>
      <c r="I24" s="2" t="s">
        <v>1013</v>
      </c>
      <c r="J24" s="2" t="s">
        <v>30</v>
      </c>
      <c r="K24" s="2" t="s">
        <v>30</v>
      </c>
      <c r="L24" s="2" t="s">
        <v>377</v>
      </c>
      <c r="M24" s="2" t="s">
        <v>31</v>
      </c>
      <c r="N24" s="2" t="s">
        <v>494</v>
      </c>
      <c r="O24" s="2" t="s">
        <v>173</v>
      </c>
      <c r="P24" s="2" t="s">
        <v>225</v>
      </c>
      <c r="Q24" s="2" t="s">
        <v>226</v>
      </c>
      <c r="R24" s="2" t="s">
        <v>226</v>
      </c>
      <c r="S24" s="2" t="s">
        <v>34</v>
      </c>
      <c r="T24" s="156">
        <v>1.647</v>
      </c>
      <c r="U24" s="2" t="s">
        <v>2125</v>
      </c>
      <c r="V24" s="170">
        <v>3.8699999999999998E-2</v>
      </c>
      <c r="W24" s="172">
        <v>6.2489999999999997E-2</v>
      </c>
      <c r="X24" s="4" t="s">
        <v>461</v>
      </c>
      <c r="Y24" s="4" t="s">
        <v>173</v>
      </c>
      <c r="Z24" s="156">
        <v>0.7</v>
      </c>
      <c r="AA24" s="166">
        <v>1</v>
      </c>
      <c r="AB24" s="183">
        <v>97.34</v>
      </c>
      <c r="AD24" s="156">
        <v>1E-3</v>
      </c>
      <c r="AG24" s="2" t="s">
        <v>36</v>
      </c>
      <c r="AH24" s="172">
        <v>0</v>
      </c>
      <c r="AI24" s="172">
        <v>1.2480220266789101E-7</v>
      </c>
      <c r="AJ24" s="172">
        <v>3.0266113450778997E-8</v>
      </c>
    </row>
    <row r="25" spans="1:36">
      <c r="A25" s="2">
        <v>161</v>
      </c>
      <c r="B25" s="2">
        <v>1434</v>
      </c>
      <c r="C25" s="2" t="s">
        <v>2126</v>
      </c>
      <c r="D25" s="2" t="s">
        <v>2127</v>
      </c>
      <c r="E25" s="4" t="s">
        <v>1363</v>
      </c>
      <c r="F25" s="2" t="s">
        <v>2128</v>
      </c>
      <c r="G25" s="2" t="s">
        <v>2129</v>
      </c>
      <c r="H25" s="2" t="s">
        <v>223</v>
      </c>
      <c r="I25" s="2" t="s">
        <v>804</v>
      </c>
      <c r="J25" s="2" t="s">
        <v>30</v>
      </c>
      <c r="K25" s="2" t="s">
        <v>350</v>
      </c>
      <c r="L25" s="2" t="s">
        <v>377</v>
      </c>
      <c r="M25" s="2" t="s">
        <v>31</v>
      </c>
      <c r="N25" s="2" t="s">
        <v>512</v>
      </c>
      <c r="O25" s="2" t="s">
        <v>173</v>
      </c>
      <c r="P25" s="2" t="s">
        <v>2041</v>
      </c>
      <c r="Q25" s="2" t="s">
        <v>462</v>
      </c>
      <c r="R25" s="2" t="s">
        <v>456</v>
      </c>
      <c r="S25" s="2" t="s">
        <v>34</v>
      </c>
      <c r="T25" s="156">
        <v>2.2320000000000002</v>
      </c>
      <c r="U25" s="2" t="s">
        <v>2130</v>
      </c>
      <c r="V25" s="170">
        <v>3.2800000000000003E-2</v>
      </c>
      <c r="W25" s="172">
        <v>4.3990000000000001E-2</v>
      </c>
      <c r="X25" s="4" t="s">
        <v>461</v>
      </c>
      <c r="Y25" s="4" t="s">
        <v>173</v>
      </c>
      <c r="Z25" s="156">
        <v>50000</v>
      </c>
      <c r="AA25" s="166">
        <v>1</v>
      </c>
      <c r="AB25" s="183">
        <v>115.06</v>
      </c>
      <c r="AD25" s="156">
        <v>57.53</v>
      </c>
      <c r="AG25" s="2" t="s">
        <v>36</v>
      </c>
      <c r="AH25" s="172">
        <v>3.1000000000000001E-5</v>
      </c>
      <c r="AI25" s="172">
        <v>1.0537248993929599E-2</v>
      </c>
      <c r="AJ25" s="172">
        <v>2.5554162241675899E-3</v>
      </c>
    </row>
    <row r="26" spans="1:36">
      <c r="A26" s="2">
        <v>161</v>
      </c>
      <c r="B26" s="2">
        <v>1434</v>
      </c>
      <c r="C26" s="2" t="s">
        <v>2131</v>
      </c>
      <c r="D26" s="2" t="s">
        <v>2132</v>
      </c>
      <c r="E26" s="4" t="s">
        <v>1363</v>
      </c>
      <c r="F26" s="2" t="s">
        <v>2133</v>
      </c>
      <c r="G26" s="2" t="s">
        <v>2134</v>
      </c>
      <c r="H26" s="2" t="s">
        <v>223</v>
      </c>
      <c r="I26" s="2" t="s">
        <v>804</v>
      </c>
      <c r="J26" s="2" t="s">
        <v>30</v>
      </c>
      <c r="K26" s="2" t="s">
        <v>30</v>
      </c>
      <c r="L26" s="2" t="s">
        <v>377</v>
      </c>
      <c r="M26" s="2" t="s">
        <v>31</v>
      </c>
      <c r="N26" s="2" t="s">
        <v>495</v>
      </c>
      <c r="O26" s="2" t="s">
        <v>173</v>
      </c>
      <c r="P26" s="2" t="s">
        <v>1224</v>
      </c>
      <c r="Q26" s="2" t="s">
        <v>462</v>
      </c>
      <c r="R26" s="2" t="s">
        <v>456</v>
      </c>
      <c r="S26" s="2" t="s">
        <v>34</v>
      </c>
      <c r="T26" s="156">
        <v>3.9830000000000001</v>
      </c>
      <c r="U26" s="2" t="s">
        <v>2135</v>
      </c>
      <c r="V26" s="170">
        <v>2E-3</v>
      </c>
      <c r="W26" s="172">
        <v>2.5190000000000001E-2</v>
      </c>
      <c r="X26" s="4" t="s">
        <v>461</v>
      </c>
      <c r="Y26" s="4" t="s">
        <v>173</v>
      </c>
      <c r="Z26" s="156">
        <v>148293.22</v>
      </c>
      <c r="AA26" s="166">
        <v>1</v>
      </c>
      <c r="AB26" s="183">
        <v>102.6</v>
      </c>
      <c r="AD26" s="156">
        <v>152.149</v>
      </c>
      <c r="AG26" s="2" t="s">
        <v>36</v>
      </c>
      <c r="AH26" s="172">
        <v>4.1E-5</v>
      </c>
      <c r="AI26" s="172">
        <v>2.7867725541736901E-2</v>
      </c>
      <c r="AJ26" s="172">
        <v>6.75827609474061E-3</v>
      </c>
    </row>
    <row r="27" spans="1:36">
      <c r="A27" s="2">
        <v>161</v>
      </c>
      <c r="B27" s="2">
        <v>1434</v>
      </c>
      <c r="C27" s="2" t="s">
        <v>2131</v>
      </c>
      <c r="D27" s="2" t="s">
        <v>2132</v>
      </c>
      <c r="E27" s="4" t="s">
        <v>1363</v>
      </c>
      <c r="F27" s="2" t="s">
        <v>2136</v>
      </c>
      <c r="G27" s="2" t="s">
        <v>2137</v>
      </c>
      <c r="H27" s="2" t="s">
        <v>223</v>
      </c>
      <c r="I27" s="2" t="s">
        <v>1013</v>
      </c>
      <c r="J27" s="2" t="s">
        <v>30</v>
      </c>
      <c r="K27" s="2" t="s">
        <v>30</v>
      </c>
      <c r="L27" s="2" t="s">
        <v>377</v>
      </c>
      <c r="M27" s="2" t="s">
        <v>31</v>
      </c>
      <c r="N27" s="2" t="s">
        <v>495</v>
      </c>
      <c r="O27" s="2" t="s">
        <v>173</v>
      </c>
      <c r="P27" s="2" t="s">
        <v>1224</v>
      </c>
      <c r="Q27" s="2" t="s">
        <v>462</v>
      </c>
      <c r="R27" s="2" t="s">
        <v>456</v>
      </c>
      <c r="S27" s="2" t="s">
        <v>34</v>
      </c>
      <c r="T27" s="156">
        <v>2.1349999999999998</v>
      </c>
      <c r="U27" s="2" t="s">
        <v>2138</v>
      </c>
      <c r="V27" s="170">
        <v>2.6800000000000001E-2</v>
      </c>
      <c r="W27" s="172">
        <v>5.1090000000000003E-2</v>
      </c>
      <c r="X27" s="4" t="s">
        <v>461</v>
      </c>
      <c r="Y27" s="4" t="s">
        <v>173</v>
      </c>
      <c r="Z27" s="156">
        <v>70010.66</v>
      </c>
      <c r="AA27" s="166">
        <v>1</v>
      </c>
      <c r="AB27" s="183">
        <v>95.42</v>
      </c>
      <c r="AD27" s="156">
        <v>66.804000000000002</v>
      </c>
      <c r="AG27" s="2" t="s">
        <v>36</v>
      </c>
      <c r="AH27" s="172">
        <v>3.1000000000000001E-5</v>
      </c>
      <c r="AI27" s="172">
        <v>1.2235915032066899E-2</v>
      </c>
      <c r="AJ27" s="172">
        <v>2.9673642341082498E-3</v>
      </c>
    </row>
    <row r="28" spans="1:36">
      <c r="A28" s="2">
        <v>161</v>
      </c>
      <c r="B28" s="2">
        <v>1434</v>
      </c>
      <c r="C28" s="2" t="s">
        <v>2131</v>
      </c>
      <c r="D28" s="2" t="s">
        <v>2132</v>
      </c>
      <c r="E28" s="4" t="s">
        <v>1363</v>
      </c>
      <c r="F28" s="2" t="s">
        <v>2139</v>
      </c>
      <c r="G28" s="2" t="s">
        <v>2140</v>
      </c>
      <c r="H28" s="2" t="s">
        <v>223</v>
      </c>
      <c r="I28" s="2" t="s">
        <v>804</v>
      </c>
      <c r="J28" s="2" t="s">
        <v>30</v>
      </c>
      <c r="K28" s="2" t="s">
        <v>30</v>
      </c>
      <c r="L28" s="2" t="s">
        <v>377</v>
      </c>
      <c r="M28" s="2" t="s">
        <v>55</v>
      </c>
      <c r="N28" s="2" t="s">
        <v>495</v>
      </c>
      <c r="O28" s="2" t="s">
        <v>173</v>
      </c>
      <c r="P28" s="2" t="s">
        <v>1374</v>
      </c>
      <c r="Q28" s="2" t="s">
        <v>462</v>
      </c>
      <c r="R28" s="2" t="s">
        <v>456</v>
      </c>
      <c r="S28" s="2" t="s">
        <v>34</v>
      </c>
      <c r="T28" s="156">
        <v>5.6779999999999999</v>
      </c>
      <c r="U28" s="2" t="s">
        <v>2141</v>
      </c>
      <c r="V28" s="170">
        <v>3.3203000000000003E-2</v>
      </c>
      <c r="W28" s="172">
        <v>3.1600000000000003E-2</v>
      </c>
      <c r="X28" s="4" t="s">
        <v>461</v>
      </c>
      <c r="Y28" s="4" t="s">
        <v>173</v>
      </c>
      <c r="Z28" s="156">
        <v>70000</v>
      </c>
      <c r="AA28" s="166">
        <v>1</v>
      </c>
      <c r="AB28" s="183">
        <v>101.97</v>
      </c>
      <c r="AD28" s="156">
        <v>71.379000000000005</v>
      </c>
      <c r="AG28" s="2" t="s">
        <v>36</v>
      </c>
      <c r="AH28" s="172">
        <v>2.0900000000000001E-4</v>
      </c>
      <c r="AI28" s="172">
        <v>1.3073844879848801E-2</v>
      </c>
      <c r="AJ28" s="172">
        <v>3.1705728257406299E-3</v>
      </c>
    </row>
    <row r="29" spans="1:36">
      <c r="A29" s="2">
        <v>161</v>
      </c>
      <c r="B29" s="2">
        <v>1434</v>
      </c>
      <c r="C29" s="2" t="s">
        <v>2142</v>
      </c>
      <c r="D29" s="2" t="s">
        <v>2143</v>
      </c>
      <c r="E29" s="4" t="s">
        <v>1363</v>
      </c>
      <c r="F29" s="2" t="s">
        <v>2144</v>
      </c>
      <c r="G29" s="2" t="s">
        <v>2145</v>
      </c>
      <c r="H29" s="2" t="s">
        <v>223</v>
      </c>
      <c r="I29" s="2" t="s">
        <v>804</v>
      </c>
      <c r="J29" s="2" t="s">
        <v>30</v>
      </c>
      <c r="K29" s="2" t="s">
        <v>30</v>
      </c>
      <c r="L29" s="2" t="s">
        <v>377</v>
      </c>
      <c r="M29" s="2" t="s">
        <v>31</v>
      </c>
      <c r="N29" s="2" t="s">
        <v>487</v>
      </c>
      <c r="O29" s="2" t="s">
        <v>173</v>
      </c>
      <c r="P29" s="2" t="s">
        <v>2041</v>
      </c>
      <c r="Q29" s="2" t="s">
        <v>464</v>
      </c>
      <c r="R29" s="2" t="s">
        <v>456</v>
      </c>
      <c r="S29" s="2" t="s">
        <v>34</v>
      </c>
      <c r="T29" s="156">
        <v>3.4649999999999999</v>
      </c>
      <c r="U29" s="2" t="s">
        <v>2146</v>
      </c>
      <c r="V29" s="170">
        <v>1.7999999999999999E-2</v>
      </c>
      <c r="W29" s="172">
        <v>3.6589999999999998E-2</v>
      </c>
      <c r="X29" s="4" t="s">
        <v>461</v>
      </c>
      <c r="Y29" s="4" t="s">
        <v>173</v>
      </c>
      <c r="Z29" s="156">
        <v>0.08</v>
      </c>
      <c r="AA29" s="166">
        <v>1</v>
      </c>
      <c r="AB29" s="183">
        <v>107.89</v>
      </c>
      <c r="AD29" s="156">
        <v>0</v>
      </c>
      <c r="AG29" s="2" t="s">
        <v>36</v>
      </c>
      <c r="AH29" s="172">
        <v>0</v>
      </c>
      <c r="AI29" s="172">
        <v>1.5808987226908601E-8</v>
      </c>
      <c r="AJ29" s="172">
        <v>3.8338794566374604E-9</v>
      </c>
    </row>
    <row r="30" spans="1:36">
      <c r="A30" s="2">
        <v>161</v>
      </c>
      <c r="B30" s="2">
        <v>1434</v>
      </c>
      <c r="C30" s="2" t="s">
        <v>2147</v>
      </c>
      <c r="D30" s="2" t="s">
        <v>2148</v>
      </c>
      <c r="E30" s="4" t="s">
        <v>1363</v>
      </c>
      <c r="F30" s="2" t="s">
        <v>2149</v>
      </c>
      <c r="G30" s="2" t="s">
        <v>2150</v>
      </c>
      <c r="H30" s="2" t="s">
        <v>223</v>
      </c>
      <c r="I30" s="2" t="s">
        <v>804</v>
      </c>
      <c r="J30" s="2" t="s">
        <v>30</v>
      </c>
      <c r="K30" s="2" t="s">
        <v>30</v>
      </c>
      <c r="L30" s="2" t="s">
        <v>377</v>
      </c>
      <c r="M30" s="2" t="s">
        <v>31</v>
      </c>
      <c r="N30" s="2" t="s">
        <v>511</v>
      </c>
      <c r="O30" s="2" t="s">
        <v>173</v>
      </c>
      <c r="P30" s="2" t="s">
        <v>2100</v>
      </c>
      <c r="Q30" s="2" t="s">
        <v>462</v>
      </c>
      <c r="R30" s="2" t="s">
        <v>456</v>
      </c>
      <c r="S30" s="2" t="s">
        <v>34</v>
      </c>
      <c r="T30" s="156">
        <v>3.1960000000000002</v>
      </c>
      <c r="U30" s="2" t="s">
        <v>2151</v>
      </c>
      <c r="V30" s="170">
        <v>2.7E-2</v>
      </c>
      <c r="W30" s="172">
        <v>3.3169999999999998E-2</v>
      </c>
      <c r="X30" s="4" t="s">
        <v>461</v>
      </c>
      <c r="Y30" s="4" t="s">
        <v>173</v>
      </c>
      <c r="Z30" s="156">
        <v>15000</v>
      </c>
      <c r="AA30" s="166">
        <v>1</v>
      </c>
      <c r="AB30" s="183">
        <v>105.81</v>
      </c>
      <c r="AD30" s="156">
        <v>15.871</v>
      </c>
      <c r="AG30" s="2" t="s">
        <v>36</v>
      </c>
      <c r="AH30" s="172">
        <v>3.4E-5</v>
      </c>
      <c r="AI30" s="172">
        <v>2.9070388911377298E-3</v>
      </c>
      <c r="AJ30" s="172">
        <v>7.0499371809275096E-4</v>
      </c>
    </row>
    <row r="31" spans="1:36">
      <c r="A31" s="2">
        <v>161</v>
      </c>
      <c r="B31" s="2">
        <v>1434</v>
      </c>
      <c r="C31" s="2" t="s">
        <v>2147</v>
      </c>
      <c r="D31" s="2" t="s">
        <v>2148</v>
      </c>
      <c r="E31" s="4" t="s">
        <v>1363</v>
      </c>
      <c r="F31" s="2" t="s">
        <v>2152</v>
      </c>
      <c r="G31" s="2" t="s">
        <v>2153</v>
      </c>
      <c r="H31" s="2" t="s">
        <v>223</v>
      </c>
      <c r="I31" s="2" t="s">
        <v>804</v>
      </c>
      <c r="J31" s="2" t="s">
        <v>30</v>
      </c>
      <c r="K31" s="2" t="s">
        <v>30</v>
      </c>
      <c r="L31" s="2" t="s">
        <v>377</v>
      </c>
      <c r="M31" s="2" t="s">
        <v>31</v>
      </c>
      <c r="N31" s="2" t="s">
        <v>511</v>
      </c>
      <c r="O31" s="2" t="s">
        <v>173</v>
      </c>
      <c r="P31" s="2" t="s">
        <v>2100</v>
      </c>
      <c r="Q31" s="2" t="s">
        <v>462</v>
      </c>
      <c r="R31" s="2" t="s">
        <v>456</v>
      </c>
      <c r="S31" s="2" t="s">
        <v>34</v>
      </c>
      <c r="T31" s="156">
        <v>1.536</v>
      </c>
      <c r="U31" s="2" t="s">
        <v>2154</v>
      </c>
      <c r="V31" s="170">
        <v>1.7999999999999999E-2</v>
      </c>
      <c r="W31" s="172">
        <v>2.742E-2</v>
      </c>
      <c r="X31" s="4" t="s">
        <v>461</v>
      </c>
      <c r="Y31" s="4" t="s">
        <v>173</v>
      </c>
      <c r="Z31" s="156">
        <v>82105.259999999995</v>
      </c>
      <c r="AA31" s="166">
        <v>1</v>
      </c>
      <c r="AB31" s="183">
        <v>113.45</v>
      </c>
      <c r="AD31" s="156">
        <v>93.147999999999996</v>
      </c>
      <c r="AG31" s="2" t="s">
        <v>36</v>
      </c>
      <c r="AH31" s="172">
        <v>1.0399999999999999E-4</v>
      </c>
      <c r="AI31" s="172">
        <v>1.7061151890698598E-2</v>
      </c>
      <c r="AJ31" s="172">
        <v>4.13754523306751E-3</v>
      </c>
    </row>
    <row r="32" spans="1:36">
      <c r="A32" s="2">
        <v>161</v>
      </c>
      <c r="B32" s="2">
        <v>1434</v>
      </c>
      <c r="C32" s="2" t="s">
        <v>1668</v>
      </c>
      <c r="D32" s="2" t="s">
        <v>1669</v>
      </c>
      <c r="E32" s="4" t="s">
        <v>1363</v>
      </c>
      <c r="F32" s="2" t="s">
        <v>2155</v>
      </c>
      <c r="G32" s="2" t="s">
        <v>2156</v>
      </c>
      <c r="H32" s="2" t="s">
        <v>223</v>
      </c>
      <c r="I32" s="2" t="s">
        <v>804</v>
      </c>
      <c r="J32" s="2" t="s">
        <v>30</v>
      </c>
      <c r="K32" s="2" t="s">
        <v>30</v>
      </c>
      <c r="L32" s="2" t="s">
        <v>377</v>
      </c>
      <c r="M32" s="2" t="s">
        <v>31</v>
      </c>
      <c r="N32" s="2" t="s">
        <v>492</v>
      </c>
      <c r="O32" s="2" t="s">
        <v>173</v>
      </c>
      <c r="P32" s="2" t="s">
        <v>2052</v>
      </c>
      <c r="Q32" s="2" t="s">
        <v>462</v>
      </c>
      <c r="R32" s="2" t="s">
        <v>456</v>
      </c>
      <c r="S32" s="2" t="s">
        <v>34</v>
      </c>
      <c r="T32" s="156">
        <v>4.5369999999999999</v>
      </c>
      <c r="U32" s="2" t="s">
        <v>2157</v>
      </c>
      <c r="V32" s="170">
        <v>4.4000000000000003E-3</v>
      </c>
      <c r="W32" s="172">
        <v>2.7050000000000001E-2</v>
      </c>
      <c r="X32" s="4" t="s">
        <v>461</v>
      </c>
      <c r="Y32" s="4" t="s">
        <v>173</v>
      </c>
      <c r="Z32" s="156">
        <v>40000</v>
      </c>
      <c r="AA32" s="166">
        <v>1</v>
      </c>
      <c r="AB32" s="183">
        <v>104.2</v>
      </c>
      <c r="AD32" s="156">
        <v>41.68</v>
      </c>
      <c r="AG32" s="2" t="s">
        <v>36</v>
      </c>
      <c r="AH32" s="172">
        <v>4.6999999999999997E-5</v>
      </c>
      <c r="AI32" s="172">
        <v>7.6341480630451198E-3</v>
      </c>
      <c r="AJ32" s="172">
        <v>1.85137751126899E-3</v>
      </c>
    </row>
    <row r="33" spans="1:36">
      <c r="A33" s="2">
        <v>161</v>
      </c>
      <c r="B33" s="2">
        <v>1434</v>
      </c>
      <c r="C33" s="2" t="s">
        <v>1846</v>
      </c>
      <c r="D33" s="2" t="s">
        <v>1847</v>
      </c>
      <c r="E33" s="4" t="s">
        <v>1363</v>
      </c>
      <c r="F33" s="2" t="s">
        <v>2158</v>
      </c>
      <c r="G33" s="2" t="s">
        <v>2159</v>
      </c>
      <c r="H33" s="2" t="s">
        <v>223</v>
      </c>
      <c r="I33" s="2" t="s">
        <v>1013</v>
      </c>
      <c r="J33" s="2" t="s">
        <v>30</v>
      </c>
      <c r="K33" s="2" t="s">
        <v>30</v>
      </c>
      <c r="L33" s="2" t="s">
        <v>377</v>
      </c>
      <c r="M33" s="2" t="s">
        <v>31</v>
      </c>
      <c r="N33" s="2" t="s">
        <v>492</v>
      </c>
      <c r="O33" s="2" t="s">
        <v>173</v>
      </c>
      <c r="P33" s="2" t="s">
        <v>2052</v>
      </c>
      <c r="Q33" s="2" t="s">
        <v>464</v>
      </c>
      <c r="R33" s="2" t="s">
        <v>456</v>
      </c>
      <c r="S33" s="2" t="s">
        <v>34</v>
      </c>
      <c r="T33" s="156">
        <v>4.95</v>
      </c>
      <c r="U33" s="2" t="s">
        <v>2160</v>
      </c>
      <c r="V33" s="170">
        <v>1.95E-2</v>
      </c>
      <c r="W33" s="172">
        <v>5.7970000000000001E-2</v>
      </c>
      <c r="X33" s="4" t="s">
        <v>461</v>
      </c>
      <c r="Y33" s="4" t="s">
        <v>173</v>
      </c>
      <c r="Z33" s="156">
        <v>80000</v>
      </c>
      <c r="AA33" s="166">
        <v>1</v>
      </c>
      <c r="AB33" s="183">
        <v>83.08</v>
      </c>
      <c r="AD33" s="156">
        <v>66.463999999999999</v>
      </c>
      <c r="AG33" s="2" t="s">
        <v>36</v>
      </c>
      <c r="AH33" s="172">
        <v>7.6000000000000004E-5</v>
      </c>
      <c r="AI33" s="172">
        <v>1.21736088498616E-2</v>
      </c>
      <c r="AJ33" s="172">
        <v>2.9522541964727101E-3</v>
      </c>
    </row>
    <row r="34" spans="1:36">
      <c r="A34" s="2">
        <v>161</v>
      </c>
      <c r="B34" s="2">
        <v>1434</v>
      </c>
      <c r="C34" s="2" t="s">
        <v>2161</v>
      </c>
      <c r="D34" s="2" t="s">
        <v>2162</v>
      </c>
      <c r="E34" s="4" t="s">
        <v>1363</v>
      </c>
      <c r="F34" s="2" t="s">
        <v>2163</v>
      </c>
      <c r="G34" s="2" t="s">
        <v>2164</v>
      </c>
      <c r="H34" s="2" t="s">
        <v>223</v>
      </c>
      <c r="I34" s="2" t="s">
        <v>1013</v>
      </c>
      <c r="J34" s="2" t="s">
        <v>30</v>
      </c>
      <c r="K34" s="2" t="s">
        <v>30</v>
      </c>
      <c r="L34" s="2" t="s">
        <v>377</v>
      </c>
      <c r="M34" s="2" t="s">
        <v>31</v>
      </c>
      <c r="N34" s="2" t="s">
        <v>498</v>
      </c>
      <c r="O34" s="2" t="s">
        <v>173</v>
      </c>
      <c r="P34" s="2" t="s">
        <v>2061</v>
      </c>
      <c r="Q34" s="2" t="s">
        <v>462</v>
      </c>
      <c r="R34" s="2" t="s">
        <v>456</v>
      </c>
      <c r="S34" s="2" t="s">
        <v>34</v>
      </c>
      <c r="T34" s="156">
        <v>1.859</v>
      </c>
      <c r="U34" s="2" t="s">
        <v>2130</v>
      </c>
      <c r="V34" s="170">
        <v>2.1999999999999999E-2</v>
      </c>
      <c r="W34" s="172">
        <v>5.6399999999999999E-2</v>
      </c>
      <c r="X34" s="4" t="s">
        <v>461</v>
      </c>
      <c r="Y34" s="4" t="s">
        <v>173</v>
      </c>
      <c r="Z34" s="156">
        <v>140000</v>
      </c>
      <c r="AA34" s="166">
        <v>1</v>
      </c>
      <c r="AB34" s="183">
        <v>93.06</v>
      </c>
      <c r="AD34" s="156">
        <v>130.28399999999999</v>
      </c>
      <c r="AG34" s="2" t="s">
        <v>36</v>
      </c>
      <c r="AH34" s="172">
        <v>1.2899999999999999E-4</v>
      </c>
      <c r="AI34" s="172">
        <v>2.3862940169044399E-2</v>
      </c>
      <c r="AJ34" s="172">
        <v>5.7870649634877598E-3</v>
      </c>
    </row>
    <row r="35" spans="1:36">
      <c r="A35" s="2">
        <v>161</v>
      </c>
      <c r="B35" s="2">
        <v>1434</v>
      </c>
      <c r="C35" s="2" t="s">
        <v>1854</v>
      </c>
      <c r="D35" s="2" t="s">
        <v>1855</v>
      </c>
      <c r="E35" s="4" t="s">
        <v>1363</v>
      </c>
      <c r="F35" s="2" t="s">
        <v>2165</v>
      </c>
      <c r="G35" s="2" t="s">
        <v>2166</v>
      </c>
      <c r="H35" s="2" t="s">
        <v>223</v>
      </c>
      <c r="I35" s="2" t="s">
        <v>1013</v>
      </c>
      <c r="J35" s="2" t="s">
        <v>30</v>
      </c>
      <c r="K35" s="2" t="s">
        <v>30</v>
      </c>
      <c r="L35" s="2" t="s">
        <v>377</v>
      </c>
      <c r="M35" s="2" t="s">
        <v>55</v>
      </c>
      <c r="N35" s="2" t="s">
        <v>494</v>
      </c>
      <c r="O35" s="2" t="s">
        <v>173</v>
      </c>
      <c r="P35" s="2" t="s">
        <v>225</v>
      </c>
      <c r="Q35" s="2" t="s">
        <v>226</v>
      </c>
      <c r="R35" s="2" t="s">
        <v>226</v>
      </c>
      <c r="S35" s="2" t="s">
        <v>34</v>
      </c>
      <c r="T35" s="156">
        <v>2.5249999999999999</v>
      </c>
      <c r="U35" s="2" t="s">
        <v>2167</v>
      </c>
      <c r="V35" s="170">
        <v>6.5000000000000002E-2</v>
      </c>
      <c r="W35" s="172">
        <v>8.0589999999999995E-2</v>
      </c>
      <c r="X35" s="4" t="s">
        <v>461</v>
      </c>
      <c r="Y35" s="4" t="s">
        <v>173</v>
      </c>
      <c r="Z35" s="156">
        <v>21000</v>
      </c>
      <c r="AA35" s="166">
        <v>1</v>
      </c>
      <c r="AB35" s="183">
        <v>98.98</v>
      </c>
      <c r="AD35" s="156">
        <v>20.786000000000001</v>
      </c>
      <c r="AG35" s="2" t="s">
        <v>36</v>
      </c>
      <c r="AH35" s="172">
        <v>1.6899999999999999E-4</v>
      </c>
      <c r="AI35" s="172">
        <v>3.8071467084655301E-3</v>
      </c>
      <c r="AJ35" s="172">
        <v>9.2328125416830801E-4</v>
      </c>
    </row>
    <row r="36" spans="1:36">
      <c r="A36" s="2">
        <v>161</v>
      </c>
      <c r="B36" s="2">
        <v>1434</v>
      </c>
      <c r="C36" s="2" t="s">
        <v>2168</v>
      </c>
      <c r="D36" s="2" t="s">
        <v>2169</v>
      </c>
      <c r="E36" s="4" t="s">
        <v>1363</v>
      </c>
      <c r="F36" s="2" t="s">
        <v>2170</v>
      </c>
      <c r="G36" s="2" t="s">
        <v>2171</v>
      </c>
      <c r="H36" s="2" t="s">
        <v>223</v>
      </c>
      <c r="I36" s="2" t="s">
        <v>804</v>
      </c>
      <c r="J36" s="2" t="s">
        <v>30</v>
      </c>
      <c r="K36" s="2" t="s">
        <v>30</v>
      </c>
      <c r="L36" s="2" t="s">
        <v>377</v>
      </c>
      <c r="M36" s="2" t="s">
        <v>31</v>
      </c>
      <c r="N36" s="2" t="s">
        <v>487</v>
      </c>
      <c r="O36" s="2" t="s">
        <v>173</v>
      </c>
      <c r="P36" s="2" t="s">
        <v>93</v>
      </c>
      <c r="Q36" s="2" t="s">
        <v>462</v>
      </c>
      <c r="R36" s="2" t="s">
        <v>456</v>
      </c>
      <c r="S36" s="2" t="s">
        <v>34</v>
      </c>
      <c r="T36" s="156">
        <v>0.81299999999999994</v>
      </c>
      <c r="U36" s="2" t="s">
        <v>2172</v>
      </c>
      <c r="V36" s="170">
        <v>4.4999999999999998E-2</v>
      </c>
      <c r="W36" s="172">
        <v>2.615E-2</v>
      </c>
      <c r="X36" s="4" t="s">
        <v>461</v>
      </c>
      <c r="Y36" s="4" t="s">
        <v>173</v>
      </c>
      <c r="Z36" s="156">
        <v>70000</v>
      </c>
      <c r="AA36" s="166">
        <v>1</v>
      </c>
      <c r="AB36" s="183">
        <v>119.4</v>
      </c>
      <c r="AD36" s="156">
        <v>83.58</v>
      </c>
      <c r="AG36" s="2" t="s">
        <v>36</v>
      </c>
      <c r="AH36" s="172">
        <v>2.4000000000000001E-5</v>
      </c>
      <c r="AI36" s="172">
        <v>1.53085915333328E-2</v>
      </c>
      <c r="AJ36" s="172">
        <v>3.7125271687107101E-3</v>
      </c>
    </row>
    <row r="37" spans="1:36">
      <c r="A37" s="2">
        <v>161</v>
      </c>
      <c r="B37" s="2">
        <v>1434</v>
      </c>
      <c r="C37" s="2" t="s">
        <v>2168</v>
      </c>
      <c r="D37" s="2" t="s">
        <v>2169</v>
      </c>
      <c r="E37" s="4" t="s">
        <v>1363</v>
      </c>
      <c r="F37" s="2" t="s">
        <v>2173</v>
      </c>
      <c r="G37" s="2" t="s">
        <v>2174</v>
      </c>
      <c r="H37" s="2" t="s">
        <v>223</v>
      </c>
      <c r="I37" s="2" t="s">
        <v>804</v>
      </c>
      <c r="J37" s="2" t="s">
        <v>30</v>
      </c>
      <c r="K37" s="2" t="s">
        <v>30</v>
      </c>
      <c r="L37" s="2" t="s">
        <v>377</v>
      </c>
      <c r="M37" s="2" t="s">
        <v>31</v>
      </c>
      <c r="N37" s="2" t="s">
        <v>487</v>
      </c>
      <c r="O37" s="2" t="s">
        <v>173</v>
      </c>
      <c r="P37" s="2" t="s">
        <v>93</v>
      </c>
      <c r="Q37" s="2" t="s">
        <v>462</v>
      </c>
      <c r="R37" s="2" t="s">
        <v>456</v>
      </c>
      <c r="S37" s="2" t="s">
        <v>34</v>
      </c>
      <c r="T37" s="156">
        <v>3.4359999999999999</v>
      </c>
      <c r="U37" s="2" t="s">
        <v>2175</v>
      </c>
      <c r="V37" s="170">
        <v>3.85E-2</v>
      </c>
      <c r="W37" s="172">
        <v>2.5659999999999999E-2</v>
      </c>
      <c r="X37" s="4" t="s">
        <v>461</v>
      </c>
      <c r="Y37" s="4" t="s">
        <v>173</v>
      </c>
      <c r="Z37" s="156">
        <v>134000</v>
      </c>
      <c r="AA37" s="166">
        <v>1</v>
      </c>
      <c r="AB37" s="183">
        <v>121.2</v>
      </c>
      <c r="AC37" s="156">
        <v>2.9870000000000001</v>
      </c>
      <c r="AD37" s="156">
        <v>165.39500000000001</v>
      </c>
      <c r="AG37" s="2" t="s">
        <v>36</v>
      </c>
      <c r="AH37" s="172">
        <v>5.1999999999999997E-5</v>
      </c>
      <c r="AI37" s="172">
        <v>3.0293933309765798E-2</v>
      </c>
      <c r="AJ37" s="172">
        <v>7.3466621808238302E-3</v>
      </c>
    </row>
    <row r="38" spans="1:36">
      <c r="A38" s="2">
        <v>161</v>
      </c>
      <c r="B38" s="2">
        <v>1434</v>
      </c>
      <c r="C38" s="2" t="s">
        <v>2168</v>
      </c>
      <c r="D38" s="2" t="s">
        <v>2169</v>
      </c>
      <c r="E38" s="4" t="s">
        <v>1363</v>
      </c>
      <c r="F38" s="2" t="s">
        <v>2176</v>
      </c>
      <c r="G38" s="2" t="s">
        <v>2177</v>
      </c>
      <c r="H38" s="2" t="s">
        <v>223</v>
      </c>
      <c r="I38" s="2" t="s">
        <v>804</v>
      </c>
      <c r="J38" s="2" t="s">
        <v>30</v>
      </c>
      <c r="K38" s="2" t="s">
        <v>30</v>
      </c>
      <c r="L38" s="2" t="s">
        <v>377</v>
      </c>
      <c r="M38" s="2" t="s">
        <v>31</v>
      </c>
      <c r="N38" s="2" t="s">
        <v>487</v>
      </c>
      <c r="O38" s="2" t="s">
        <v>173</v>
      </c>
      <c r="P38" s="2" t="s">
        <v>93</v>
      </c>
      <c r="Q38" s="2" t="s">
        <v>462</v>
      </c>
      <c r="R38" s="2" t="s">
        <v>456</v>
      </c>
      <c r="S38" s="2" t="s">
        <v>34</v>
      </c>
      <c r="T38" s="156">
        <v>5.798</v>
      </c>
      <c r="U38" s="2" t="s">
        <v>2178</v>
      </c>
      <c r="V38" s="170">
        <v>2.3900000000000001E-2</v>
      </c>
      <c r="W38" s="172">
        <v>2.9239999999999999E-2</v>
      </c>
      <c r="X38" s="4" t="s">
        <v>461</v>
      </c>
      <c r="Y38" s="4" t="s">
        <v>173</v>
      </c>
      <c r="Z38" s="156">
        <v>40000</v>
      </c>
      <c r="AA38" s="166">
        <v>1</v>
      </c>
      <c r="AB38" s="183">
        <v>111.74</v>
      </c>
      <c r="AD38" s="156">
        <v>44.695999999999998</v>
      </c>
      <c r="AG38" s="2" t="s">
        <v>36</v>
      </c>
      <c r="AH38" s="172">
        <v>1.0000000000000001E-5</v>
      </c>
      <c r="AI38" s="172">
        <v>8.1865614641522203E-3</v>
      </c>
      <c r="AJ38" s="172">
        <v>1.98534475152781E-3</v>
      </c>
    </row>
    <row r="39" spans="1:36">
      <c r="A39" s="2">
        <v>161</v>
      </c>
      <c r="B39" s="2">
        <v>1434</v>
      </c>
      <c r="C39" s="2" t="s">
        <v>2168</v>
      </c>
      <c r="D39" s="2" t="s">
        <v>2169</v>
      </c>
      <c r="E39" s="4" t="s">
        <v>1363</v>
      </c>
      <c r="F39" s="2" t="s">
        <v>2179</v>
      </c>
      <c r="G39" s="2" t="s">
        <v>2180</v>
      </c>
      <c r="H39" s="2" t="s">
        <v>223</v>
      </c>
      <c r="I39" s="2" t="s">
        <v>804</v>
      </c>
      <c r="J39" s="2" t="s">
        <v>30</v>
      </c>
      <c r="K39" s="2" t="s">
        <v>30</v>
      </c>
      <c r="L39" s="2" t="s">
        <v>377</v>
      </c>
      <c r="M39" s="2" t="s">
        <v>31</v>
      </c>
      <c r="N39" s="2" t="s">
        <v>487</v>
      </c>
      <c r="O39" s="2" t="s">
        <v>173</v>
      </c>
      <c r="P39" s="2" t="s">
        <v>93</v>
      </c>
      <c r="Q39" s="2" t="s">
        <v>462</v>
      </c>
      <c r="R39" s="2" t="s">
        <v>456</v>
      </c>
      <c r="S39" s="2" t="s">
        <v>34</v>
      </c>
      <c r="T39" s="156">
        <v>7.5629999999999997</v>
      </c>
      <c r="U39" s="2" t="s">
        <v>2181</v>
      </c>
      <c r="V39" s="170">
        <v>0.03</v>
      </c>
      <c r="W39" s="172">
        <v>3.2599999999999997E-2</v>
      </c>
      <c r="X39" s="4" t="s">
        <v>461</v>
      </c>
      <c r="Y39" s="4" t="s">
        <v>173</v>
      </c>
      <c r="Z39" s="156">
        <v>45000</v>
      </c>
      <c r="AA39" s="166">
        <v>1</v>
      </c>
      <c r="AB39" s="183">
        <v>103.71</v>
      </c>
      <c r="AD39" s="156">
        <v>46.668999999999997</v>
      </c>
      <c r="AG39" s="2" t="s">
        <v>36</v>
      </c>
      <c r="AH39" s="172">
        <v>1.1E-5</v>
      </c>
      <c r="AI39" s="172">
        <v>8.5480295832121907E-3</v>
      </c>
      <c r="AJ39" s="172">
        <v>2.07300534458177E-3</v>
      </c>
    </row>
    <row r="40" spans="1:36">
      <c r="A40" s="2">
        <v>161</v>
      </c>
      <c r="B40" s="2">
        <v>1434</v>
      </c>
      <c r="C40" s="2" t="s">
        <v>2182</v>
      </c>
      <c r="D40" s="2" t="s">
        <v>2183</v>
      </c>
      <c r="E40" s="4" t="s">
        <v>1363</v>
      </c>
      <c r="F40" s="2" t="s">
        <v>2184</v>
      </c>
      <c r="G40" s="2" t="s">
        <v>2185</v>
      </c>
      <c r="H40" s="2" t="s">
        <v>223</v>
      </c>
      <c r="I40" s="2" t="s">
        <v>804</v>
      </c>
      <c r="J40" s="2" t="s">
        <v>30</v>
      </c>
      <c r="K40" s="2" t="s">
        <v>30</v>
      </c>
      <c r="L40" s="2" t="s">
        <v>377</v>
      </c>
      <c r="M40" s="2" t="s">
        <v>31</v>
      </c>
      <c r="N40" s="2" t="s">
        <v>509</v>
      </c>
      <c r="O40" s="2" t="s">
        <v>173</v>
      </c>
      <c r="P40" s="2" t="s">
        <v>1374</v>
      </c>
      <c r="Q40" s="2" t="s">
        <v>462</v>
      </c>
      <c r="R40" s="2" t="s">
        <v>456</v>
      </c>
      <c r="S40" s="2" t="s">
        <v>34</v>
      </c>
      <c r="T40" s="156">
        <v>1.458</v>
      </c>
      <c r="U40" s="2" t="s">
        <v>2186</v>
      </c>
      <c r="V40" s="170">
        <v>1.0500000000000001E-2</v>
      </c>
      <c r="W40" s="172">
        <v>2.4389999999999998E-2</v>
      </c>
      <c r="X40" s="4" t="s">
        <v>461</v>
      </c>
      <c r="Y40" s="4" t="s">
        <v>173</v>
      </c>
      <c r="Z40" s="156">
        <v>40000</v>
      </c>
      <c r="AA40" s="166">
        <v>1</v>
      </c>
      <c r="AB40" s="183">
        <v>112.33</v>
      </c>
      <c r="AD40" s="156">
        <v>44.932000000000002</v>
      </c>
      <c r="AG40" s="2" t="s">
        <v>36</v>
      </c>
      <c r="AH40" s="172">
        <v>1.83E-4</v>
      </c>
      <c r="AI40" s="172">
        <v>8.2297874464669594E-3</v>
      </c>
      <c r="AJ40" s="172">
        <v>1.9958275992403699E-3</v>
      </c>
    </row>
    <row r="41" spans="1:36">
      <c r="A41" s="2">
        <v>161</v>
      </c>
      <c r="B41" s="2">
        <v>1434</v>
      </c>
      <c r="C41" s="2" t="s">
        <v>2182</v>
      </c>
      <c r="D41" s="2" t="s">
        <v>2183</v>
      </c>
      <c r="E41" s="4" t="s">
        <v>1363</v>
      </c>
      <c r="F41" s="2" t="s">
        <v>2187</v>
      </c>
      <c r="G41" s="2" t="s">
        <v>2188</v>
      </c>
      <c r="H41" s="2" t="s">
        <v>223</v>
      </c>
      <c r="I41" s="2" t="s">
        <v>1013</v>
      </c>
      <c r="J41" s="2" t="s">
        <v>30</v>
      </c>
      <c r="K41" s="2" t="s">
        <v>30</v>
      </c>
      <c r="L41" s="2" t="s">
        <v>377</v>
      </c>
      <c r="M41" s="2" t="s">
        <v>31</v>
      </c>
      <c r="N41" s="2" t="s">
        <v>509</v>
      </c>
      <c r="O41" s="2" t="s">
        <v>173</v>
      </c>
      <c r="P41" s="2" t="s">
        <v>1374</v>
      </c>
      <c r="Q41" s="2" t="s">
        <v>462</v>
      </c>
      <c r="R41" s="2" t="s">
        <v>456</v>
      </c>
      <c r="S41" s="2" t="s">
        <v>34</v>
      </c>
      <c r="T41" s="156">
        <v>2.1070000000000002</v>
      </c>
      <c r="U41" s="2" t="s">
        <v>2189</v>
      </c>
      <c r="V41" s="170">
        <v>2.18E-2</v>
      </c>
      <c r="W41" s="172">
        <v>5.6860000000000001E-2</v>
      </c>
      <c r="X41" s="4" t="s">
        <v>461</v>
      </c>
      <c r="Y41" s="4" t="s">
        <v>173</v>
      </c>
      <c r="Z41" s="156">
        <v>50000</v>
      </c>
      <c r="AA41" s="166">
        <v>1</v>
      </c>
      <c r="AB41" s="183">
        <v>93.37</v>
      </c>
      <c r="AD41" s="156">
        <v>46.685000000000002</v>
      </c>
      <c r="AG41" s="2" t="s">
        <v>36</v>
      </c>
      <c r="AH41" s="172">
        <v>1.46E-4</v>
      </c>
      <c r="AI41" s="172">
        <v>8.5508685778133697E-3</v>
      </c>
      <c r="AJ41" s="172">
        <v>2.0736938366984902E-3</v>
      </c>
    </row>
    <row r="42" spans="1:36">
      <c r="A42" s="2">
        <v>161</v>
      </c>
      <c r="B42" s="2">
        <v>1434</v>
      </c>
      <c r="C42" s="2" t="s">
        <v>1882</v>
      </c>
      <c r="D42" s="2" t="s">
        <v>1883</v>
      </c>
      <c r="E42" s="4" t="s">
        <v>1363</v>
      </c>
      <c r="F42" s="2" t="s">
        <v>2190</v>
      </c>
      <c r="G42" s="2" t="s">
        <v>2191</v>
      </c>
      <c r="H42" s="2" t="s">
        <v>223</v>
      </c>
      <c r="I42" s="2" t="s">
        <v>804</v>
      </c>
      <c r="J42" s="2" t="s">
        <v>30</v>
      </c>
      <c r="K42" s="2" t="s">
        <v>30</v>
      </c>
      <c r="L42" s="2" t="s">
        <v>377</v>
      </c>
      <c r="M42" s="2" t="s">
        <v>31</v>
      </c>
      <c r="N42" s="2" t="s">
        <v>511</v>
      </c>
      <c r="O42" s="2" t="s">
        <v>173</v>
      </c>
      <c r="P42" s="2" t="s">
        <v>2052</v>
      </c>
      <c r="Q42" s="2" t="s">
        <v>462</v>
      </c>
      <c r="R42" s="2" t="s">
        <v>456</v>
      </c>
      <c r="S42" s="2" t="s">
        <v>34</v>
      </c>
      <c r="T42" s="156">
        <v>2.3170000000000002</v>
      </c>
      <c r="U42" s="2" t="s">
        <v>2192</v>
      </c>
      <c r="V42" s="170">
        <v>1.5800000000000002E-2</v>
      </c>
      <c r="W42" s="172">
        <v>2.3970000000000002E-2</v>
      </c>
      <c r="X42" s="4" t="s">
        <v>461</v>
      </c>
      <c r="Y42" s="4" t="s">
        <v>173</v>
      </c>
      <c r="Z42" s="156">
        <v>18543.419999999998</v>
      </c>
      <c r="AA42" s="166">
        <v>1</v>
      </c>
      <c r="AB42" s="183">
        <v>115.04</v>
      </c>
      <c r="AD42" s="156">
        <v>21.332000000000001</v>
      </c>
      <c r="AG42" s="2" t="s">
        <v>36</v>
      </c>
      <c r="AH42" s="172">
        <v>4.3000000000000002E-5</v>
      </c>
      <c r="AI42" s="172">
        <v>3.9072533887252103E-3</v>
      </c>
      <c r="AJ42" s="172">
        <v>9.4755839092672896E-4</v>
      </c>
    </row>
    <row r="43" spans="1:36">
      <c r="A43" s="2">
        <v>161</v>
      </c>
      <c r="B43" s="2">
        <v>1434</v>
      </c>
      <c r="C43" s="2" t="s">
        <v>1882</v>
      </c>
      <c r="D43" s="2" t="s">
        <v>1883</v>
      </c>
      <c r="E43" s="4" t="s">
        <v>1363</v>
      </c>
      <c r="F43" s="2" t="s">
        <v>2193</v>
      </c>
      <c r="G43" s="2" t="s">
        <v>2194</v>
      </c>
      <c r="H43" s="2" t="s">
        <v>223</v>
      </c>
      <c r="I43" s="2" t="s">
        <v>804</v>
      </c>
      <c r="J43" s="2" t="s">
        <v>30</v>
      </c>
      <c r="K43" s="2" t="s">
        <v>30</v>
      </c>
      <c r="L43" s="2" t="s">
        <v>377</v>
      </c>
      <c r="M43" s="2" t="s">
        <v>31</v>
      </c>
      <c r="N43" s="2" t="s">
        <v>511</v>
      </c>
      <c r="O43" s="2" t="s">
        <v>173</v>
      </c>
      <c r="P43" s="2" t="s">
        <v>2052</v>
      </c>
      <c r="Q43" s="2" t="s">
        <v>462</v>
      </c>
      <c r="R43" s="2" t="s">
        <v>456</v>
      </c>
      <c r="S43" s="2" t="s">
        <v>34</v>
      </c>
      <c r="T43" s="156">
        <v>4.7450000000000001</v>
      </c>
      <c r="U43" s="2" t="s">
        <v>2195</v>
      </c>
      <c r="V43" s="170">
        <v>8.3999999999999995E-3</v>
      </c>
      <c r="W43" s="172">
        <v>2.921E-2</v>
      </c>
      <c r="X43" s="4" t="s">
        <v>461</v>
      </c>
      <c r="Y43" s="4" t="s">
        <v>173</v>
      </c>
      <c r="Z43" s="156">
        <v>42549.45</v>
      </c>
      <c r="AA43" s="166">
        <v>1</v>
      </c>
      <c r="AB43" s="183">
        <v>104.22</v>
      </c>
      <c r="AD43" s="156">
        <v>44.344999999999999</v>
      </c>
      <c r="AG43" s="2" t="s">
        <v>36</v>
      </c>
      <c r="AH43" s="172">
        <v>5.3999999999999998E-5</v>
      </c>
      <c r="AI43" s="172">
        <v>8.1222787119971905E-3</v>
      </c>
      <c r="AJ43" s="172">
        <v>1.9697553706670401E-3</v>
      </c>
    </row>
    <row r="44" spans="1:36">
      <c r="A44" s="2">
        <v>161</v>
      </c>
      <c r="B44" s="2">
        <v>1434</v>
      </c>
      <c r="C44" s="2" t="s">
        <v>2196</v>
      </c>
      <c r="D44" s="2" t="s">
        <v>2197</v>
      </c>
      <c r="E44" s="4" t="s">
        <v>1363</v>
      </c>
      <c r="F44" s="2" t="s">
        <v>2198</v>
      </c>
      <c r="G44" s="2" t="s">
        <v>2199</v>
      </c>
      <c r="H44" s="2" t="s">
        <v>223</v>
      </c>
      <c r="I44" s="2" t="s">
        <v>1013</v>
      </c>
      <c r="J44" s="2" t="s">
        <v>30</v>
      </c>
      <c r="K44" s="2" t="s">
        <v>30</v>
      </c>
      <c r="L44" s="2" t="s">
        <v>377</v>
      </c>
      <c r="M44" s="2" t="s">
        <v>31</v>
      </c>
      <c r="N44" s="2" t="s">
        <v>492</v>
      </c>
      <c r="O44" s="2" t="s">
        <v>173</v>
      </c>
      <c r="P44" s="2" t="s">
        <v>1374</v>
      </c>
      <c r="Q44" s="2" t="s">
        <v>462</v>
      </c>
      <c r="R44" s="2" t="s">
        <v>456</v>
      </c>
      <c r="S44" s="2" t="s">
        <v>34</v>
      </c>
      <c r="T44" s="156">
        <v>9.0619999999999994</v>
      </c>
      <c r="U44" s="2" t="s">
        <v>2200</v>
      </c>
      <c r="V44" s="170">
        <v>2.5000000000000001E-2</v>
      </c>
      <c r="W44" s="172">
        <v>6.0569999999999999E-2</v>
      </c>
      <c r="X44" s="4" t="s">
        <v>461</v>
      </c>
      <c r="Y44" s="4" t="s">
        <v>173</v>
      </c>
      <c r="Z44" s="156">
        <v>30000</v>
      </c>
      <c r="AA44" s="166">
        <v>1</v>
      </c>
      <c r="AB44" s="183">
        <v>79.27</v>
      </c>
      <c r="AD44" s="156">
        <v>23.780999999999999</v>
      </c>
      <c r="AG44" s="2" t="s">
        <v>36</v>
      </c>
      <c r="AH44" s="172">
        <v>2.1999999999999999E-5</v>
      </c>
      <c r="AI44" s="172">
        <v>4.3557503619787901E-3</v>
      </c>
      <c r="AJ44" s="172">
        <v>1.0563245824253399E-3</v>
      </c>
    </row>
    <row r="45" spans="1:36">
      <c r="A45" s="2">
        <v>161</v>
      </c>
      <c r="B45" s="2">
        <v>1434</v>
      </c>
      <c r="C45" s="2" t="s">
        <v>1222</v>
      </c>
      <c r="D45" s="2" t="s">
        <v>1618</v>
      </c>
      <c r="E45" s="4" t="s">
        <v>1363</v>
      </c>
      <c r="F45" s="2" t="s">
        <v>2201</v>
      </c>
      <c r="G45" s="2" t="s">
        <v>2202</v>
      </c>
      <c r="H45" s="2" t="s">
        <v>223</v>
      </c>
      <c r="I45" s="2" t="s">
        <v>804</v>
      </c>
      <c r="J45" s="2" t="s">
        <v>30</v>
      </c>
      <c r="K45" s="2" t="s">
        <v>30</v>
      </c>
      <c r="L45" s="2" t="s">
        <v>377</v>
      </c>
      <c r="M45" s="2" t="s">
        <v>31</v>
      </c>
      <c r="N45" s="2" t="s">
        <v>495</v>
      </c>
      <c r="O45" s="2" t="s">
        <v>173</v>
      </c>
      <c r="P45" s="2" t="s">
        <v>1224</v>
      </c>
      <c r="Q45" s="2" t="s">
        <v>462</v>
      </c>
      <c r="R45" s="2" t="s">
        <v>456</v>
      </c>
      <c r="S45" s="2" t="s">
        <v>34</v>
      </c>
      <c r="T45" s="156">
        <v>1.7370000000000001</v>
      </c>
      <c r="U45" s="2" t="s">
        <v>2125</v>
      </c>
      <c r="V45" s="170">
        <v>8.3000000000000001E-3</v>
      </c>
      <c r="W45" s="172">
        <v>2.0449999999999999E-2</v>
      </c>
      <c r="X45" s="4" t="s">
        <v>461</v>
      </c>
      <c r="Y45" s="4" t="s">
        <v>173</v>
      </c>
      <c r="Z45" s="156">
        <v>151500</v>
      </c>
      <c r="AA45" s="166">
        <v>1</v>
      </c>
      <c r="AB45" s="183">
        <v>113.2</v>
      </c>
      <c r="AD45" s="156">
        <v>171.49799999999999</v>
      </c>
      <c r="AG45" s="2" t="s">
        <v>36</v>
      </c>
      <c r="AH45" s="172">
        <v>1E-4</v>
      </c>
      <c r="AI45" s="172">
        <v>3.1411735233112102E-2</v>
      </c>
      <c r="AJ45" s="172">
        <v>7.6177432924090698E-3</v>
      </c>
    </row>
    <row r="46" spans="1:36">
      <c r="A46" s="2">
        <v>161</v>
      </c>
      <c r="B46" s="2">
        <v>1434</v>
      </c>
      <c r="C46" s="2" t="s">
        <v>1222</v>
      </c>
      <c r="D46" s="2" t="s">
        <v>1618</v>
      </c>
      <c r="E46" s="4" t="s">
        <v>1363</v>
      </c>
      <c r="F46" s="2" t="s">
        <v>2203</v>
      </c>
      <c r="G46" s="2" t="s">
        <v>2204</v>
      </c>
      <c r="H46" s="2" t="s">
        <v>223</v>
      </c>
      <c r="I46" s="2" t="s">
        <v>804</v>
      </c>
      <c r="J46" s="2" t="s">
        <v>30</v>
      </c>
      <c r="K46" s="2" t="s">
        <v>30</v>
      </c>
      <c r="L46" s="2" t="s">
        <v>377</v>
      </c>
      <c r="M46" s="2" t="s">
        <v>31</v>
      </c>
      <c r="N46" s="2" t="s">
        <v>495</v>
      </c>
      <c r="O46" s="2" t="s">
        <v>173</v>
      </c>
      <c r="P46" s="2" t="s">
        <v>1224</v>
      </c>
      <c r="Q46" s="2" t="s">
        <v>462</v>
      </c>
      <c r="R46" s="2" t="s">
        <v>456</v>
      </c>
      <c r="S46" s="2" t="s">
        <v>34</v>
      </c>
      <c r="T46" s="156">
        <v>2.5819999999999999</v>
      </c>
      <c r="U46" s="2" t="s">
        <v>2205</v>
      </c>
      <c r="V46" s="170">
        <v>1.8599999999999998E-2</v>
      </c>
      <c r="W46" s="172">
        <v>2.257E-2</v>
      </c>
      <c r="X46" s="4" t="s">
        <v>461</v>
      </c>
      <c r="Y46" s="4" t="s">
        <v>173</v>
      </c>
      <c r="Z46" s="156">
        <v>34000</v>
      </c>
      <c r="AA46" s="166">
        <v>1</v>
      </c>
      <c r="AB46" s="183">
        <v>102.67</v>
      </c>
      <c r="AD46" s="156">
        <v>34.908000000000001</v>
      </c>
      <c r="AG46" s="2" t="s">
        <v>36</v>
      </c>
      <c r="AH46" s="172">
        <v>1.8E-5</v>
      </c>
      <c r="AI46" s="172">
        <v>6.3937455315538896E-3</v>
      </c>
      <c r="AJ46" s="172">
        <v>1.55056420076477E-3</v>
      </c>
    </row>
    <row r="47" spans="1:36">
      <c r="A47" s="2">
        <v>161</v>
      </c>
      <c r="B47" s="2">
        <v>1434</v>
      </c>
      <c r="C47" s="2" t="s">
        <v>1222</v>
      </c>
      <c r="D47" s="2" t="s">
        <v>1618</v>
      </c>
      <c r="E47" s="4" t="s">
        <v>1363</v>
      </c>
      <c r="F47" s="2" t="s">
        <v>2206</v>
      </c>
      <c r="G47" s="2" t="s">
        <v>2207</v>
      </c>
      <c r="H47" s="2" t="s">
        <v>223</v>
      </c>
      <c r="I47" s="2" t="s">
        <v>804</v>
      </c>
      <c r="J47" s="2" t="s">
        <v>30</v>
      </c>
      <c r="K47" s="2" t="s">
        <v>30</v>
      </c>
      <c r="L47" s="2" t="s">
        <v>377</v>
      </c>
      <c r="M47" s="2" t="s">
        <v>31</v>
      </c>
      <c r="N47" s="2" t="s">
        <v>495</v>
      </c>
      <c r="O47" s="2" t="s">
        <v>173</v>
      </c>
      <c r="P47" s="2" t="s">
        <v>1224</v>
      </c>
      <c r="Q47" s="2" t="s">
        <v>462</v>
      </c>
      <c r="R47" s="2" t="s">
        <v>456</v>
      </c>
      <c r="S47" s="2" t="s">
        <v>34</v>
      </c>
      <c r="T47" s="156">
        <v>3.1440000000000001</v>
      </c>
      <c r="U47" s="2" t="s">
        <v>2208</v>
      </c>
      <c r="V47" s="170">
        <v>1E-3</v>
      </c>
      <c r="W47" s="172">
        <v>2.307E-2</v>
      </c>
      <c r="X47" s="4" t="s">
        <v>461</v>
      </c>
      <c r="Y47" s="4" t="s">
        <v>173</v>
      </c>
      <c r="Z47" s="156">
        <v>38000</v>
      </c>
      <c r="AA47" s="166">
        <v>1</v>
      </c>
      <c r="AB47" s="183">
        <v>105.15</v>
      </c>
      <c r="AD47" s="156">
        <v>39.957000000000001</v>
      </c>
      <c r="AG47" s="2" t="s">
        <v>36</v>
      </c>
      <c r="AH47" s="172">
        <v>1.2E-5</v>
      </c>
      <c r="AI47" s="172">
        <v>7.3185617599590604E-3</v>
      </c>
      <c r="AJ47" s="172">
        <v>1.7748438391980599E-3</v>
      </c>
    </row>
    <row r="48" spans="1:36">
      <c r="A48" s="2">
        <v>161</v>
      </c>
      <c r="B48" s="2">
        <v>1434</v>
      </c>
      <c r="C48" s="2" t="s">
        <v>1222</v>
      </c>
      <c r="D48" s="2" t="s">
        <v>1618</v>
      </c>
      <c r="E48" s="4" t="s">
        <v>1363</v>
      </c>
      <c r="F48" s="2" t="s">
        <v>2209</v>
      </c>
      <c r="G48" s="2" t="s">
        <v>2210</v>
      </c>
      <c r="H48" s="2" t="s">
        <v>223</v>
      </c>
      <c r="I48" s="2" t="s">
        <v>1013</v>
      </c>
      <c r="J48" s="2" t="s">
        <v>30</v>
      </c>
      <c r="K48" s="2" t="s">
        <v>30</v>
      </c>
      <c r="L48" s="2" t="s">
        <v>377</v>
      </c>
      <c r="M48" s="2" t="s">
        <v>31</v>
      </c>
      <c r="N48" s="2" t="s">
        <v>495</v>
      </c>
      <c r="O48" s="2" t="s">
        <v>173</v>
      </c>
      <c r="P48" s="2" t="s">
        <v>1224</v>
      </c>
      <c r="Q48" s="2" t="s">
        <v>462</v>
      </c>
      <c r="R48" s="2" t="s">
        <v>456</v>
      </c>
      <c r="S48" s="2" t="s">
        <v>34</v>
      </c>
      <c r="T48" s="156">
        <v>3.1080000000000001</v>
      </c>
      <c r="U48" s="2" t="s">
        <v>2211</v>
      </c>
      <c r="V48" s="170">
        <v>2.76E-2</v>
      </c>
      <c r="W48" s="172">
        <v>5.0979999999999998E-2</v>
      </c>
      <c r="X48" s="4" t="s">
        <v>461</v>
      </c>
      <c r="Y48" s="4" t="s">
        <v>173</v>
      </c>
      <c r="Z48" s="156">
        <v>130000</v>
      </c>
      <c r="AA48" s="166">
        <v>1</v>
      </c>
      <c r="AB48" s="183">
        <v>94.29</v>
      </c>
      <c r="AD48" s="156">
        <v>122.577</v>
      </c>
      <c r="AG48" s="2" t="s">
        <v>36</v>
      </c>
      <c r="AH48" s="172">
        <v>9.7E-5</v>
      </c>
      <c r="AI48" s="172">
        <v>2.24513187889607E-2</v>
      </c>
      <c r="AJ48" s="172">
        <v>5.4447289155187002E-3</v>
      </c>
    </row>
    <row r="49" spans="1:36">
      <c r="A49" s="2">
        <v>161</v>
      </c>
      <c r="B49" s="2">
        <v>1434</v>
      </c>
      <c r="C49" s="2" t="s">
        <v>1222</v>
      </c>
      <c r="D49" s="2" t="s">
        <v>1618</v>
      </c>
      <c r="E49" s="4" t="s">
        <v>1363</v>
      </c>
      <c r="F49" s="2" t="s">
        <v>2212</v>
      </c>
      <c r="G49" s="2" t="s">
        <v>2213</v>
      </c>
      <c r="H49" s="2" t="s">
        <v>223</v>
      </c>
      <c r="I49" s="2" t="s">
        <v>804</v>
      </c>
      <c r="J49" s="2" t="s">
        <v>30</v>
      </c>
      <c r="K49" s="2" t="s">
        <v>30</v>
      </c>
      <c r="L49" s="2" t="s">
        <v>377</v>
      </c>
      <c r="M49" s="2" t="s">
        <v>31</v>
      </c>
      <c r="N49" s="2" t="s">
        <v>495</v>
      </c>
      <c r="O49" s="2" t="s">
        <v>173</v>
      </c>
      <c r="P49" s="2" t="s">
        <v>1224</v>
      </c>
      <c r="Q49" s="2" t="s">
        <v>462</v>
      </c>
      <c r="R49" s="2" t="s">
        <v>456</v>
      </c>
      <c r="S49" s="2" t="s">
        <v>34</v>
      </c>
      <c r="T49" s="156">
        <v>5.0449999999999999</v>
      </c>
      <c r="U49" s="2" t="s">
        <v>2214</v>
      </c>
      <c r="V49" s="170">
        <v>2.0199999999999999E-2</v>
      </c>
      <c r="W49" s="172">
        <v>2.5940000000000001E-2</v>
      </c>
      <c r="X49" s="4" t="s">
        <v>461</v>
      </c>
      <c r="Y49" s="4" t="s">
        <v>173</v>
      </c>
      <c r="Z49" s="156">
        <v>34000</v>
      </c>
      <c r="AA49" s="166">
        <v>1</v>
      </c>
      <c r="AB49" s="183">
        <v>101.35</v>
      </c>
      <c r="AD49" s="156">
        <v>34.459000000000003</v>
      </c>
      <c r="AG49" s="2" t="s">
        <v>36</v>
      </c>
      <c r="AH49" s="172">
        <v>1.0000000000000001E-5</v>
      </c>
      <c r="AI49" s="172">
        <v>6.3115429007790701E-3</v>
      </c>
      <c r="AJ49" s="172">
        <v>1.53062902257242E-3</v>
      </c>
    </row>
    <row r="50" spans="1:36">
      <c r="A50" s="2">
        <v>161</v>
      </c>
      <c r="B50" s="2">
        <v>1434</v>
      </c>
      <c r="C50" s="2" t="s">
        <v>1222</v>
      </c>
      <c r="D50" s="2" t="s">
        <v>1618</v>
      </c>
      <c r="E50" s="4" t="s">
        <v>1363</v>
      </c>
      <c r="F50" s="2" t="s">
        <v>2215</v>
      </c>
      <c r="G50" s="2" t="s">
        <v>2216</v>
      </c>
      <c r="H50" s="2" t="s">
        <v>223</v>
      </c>
      <c r="I50" s="2" t="s">
        <v>804</v>
      </c>
      <c r="J50" s="2" t="s">
        <v>30</v>
      </c>
      <c r="K50" s="2" t="s">
        <v>30</v>
      </c>
      <c r="L50" s="2" t="s">
        <v>377</v>
      </c>
      <c r="M50" s="2" t="s">
        <v>31</v>
      </c>
      <c r="N50" s="2" t="s">
        <v>495</v>
      </c>
      <c r="O50" s="2" t="s">
        <v>173</v>
      </c>
      <c r="P50" s="2" t="s">
        <v>1224</v>
      </c>
      <c r="Q50" s="2" t="s">
        <v>462</v>
      </c>
      <c r="R50" s="2" t="s">
        <v>456</v>
      </c>
      <c r="S50" s="2" t="s">
        <v>34</v>
      </c>
      <c r="T50" s="156">
        <v>5.1369999999999996</v>
      </c>
      <c r="U50" s="2" t="s">
        <v>2217</v>
      </c>
      <c r="V50" s="170">
        <v>1E-3</v>
      </c>
      <c r="W50" s="172">
        <v>2.622E-2</v>
      </c>
      <c r="X50" s="4" t="s">
        <v>461</v>
      </c>
      <c r="Y50" s="4" t="s">
        <v>173</v>
      </c>
      <c r="Z50" s="156">
        <v>40000</v>
      </c>
      <c r="AA50" s="166">
        <v>1</v>
      </c>
      <c r="AB50" s="183">
        <v>99.1</v>
      </c>
      <c r="AD50" s="156">
        <v>39.64</v>
      </c>
      <c r="AG50" s="2" t="s">
        <v>36</v>
      </c>
      <c r="AH50" s="172">
        <v>1.5999999999999999E-5</v>
      </c>
      <c r="AI50" s="172">
        <v>7.2604997413413704E-3</v>
      </c>
      <c r="AJ50" s="172">
        <v>1.76076306494009E-3</v>
      </c>
    </row>
    <row r="51" spans="1:36">
      <c r="A51" s="2">
        <v>161</v>
      </c>
      <c r="B51" s="2">
        <v>1434</v>
      </c>
      <c r="C51" s="2" t="s">
        <v>1886</v>
      </c>
      <c r="D51" s="2" t="s">
        <v>1887</v>
      </c>
      <c r="E51" s="4" t="s">
        <v>1363</v>
      </c>
      <c r="F51" s="2" t="s">
        <v>2218</v>
      </c>
      <c r="G51" s="2" t="s">
        <v>2219</v>
      </c>
      <c r="H51" s="2" t="s">
        <v>223</v>
      </c>
      <c r="I51" s="2" t="s">
        <v>804</v>
      </c>
      <c r="J51" s="2" t="s">
        <v>30</v>
      </c>
      <c r="K51" s="2" t="s">
        <v>30</v>
      </c>
      <c r="L51" s="2" t="s">
        <v>377</v>
      </c>
      <c r="M51" s="2" t="s">
        <v>31</v>
      </c>
      <c r="N51" s="2" t="s">
        <v>511</v>
      </c>
      <c r="O51" s="2" t="s">
        <v>173</v>
      </c>
      <c r="P51" s="2" t="s">
        <v>2052</v>
      </c>
      <c r="Q51" s="2" t="s">
        <v>462</v>
      </c>
      <c r="R51" s="2" t="s">
        <v>456</v>
      </c>
      <c r="S51" s="2" t="s">
        <v>34</v>
      </c>
      <c r="T51" s="156">
        <v>3.4409999999999998</v>
      </c>
      <c r="U51" s="2" t="s">
        <v>2151</v>
      </c>
      <c r="V51" s="170">
        <v>2.81E-2</v>
      </c>
      <c r="W51" s="172">
        <v>2.9329999999999998E-2</v>
      </c>
      <c r="X51" s="4" t="s">
        <v>461</v>
      </c>
      <c r="Y51" s="4" t="s">
        <v>173</v>
      </c>
      <c r="Z51" s="156">
        <v>23437.5</v>
      </c>
      <c r="AA51" s="166">
        <v>1</v>
      </c>
      <c r="AB51" s="183">
        <v>117.13</v>
      </c>
      <c r="AD51" s="156">
        <v>27.452000000000002</v>
      </c>
      <c r="AG51" s="2" t="s">
        <v>36</v>
      </c>
      <c r="AH51" s="172">
        <v>1.7E-5</v>
      </c>
      <c r="AI51" s="172">
        <v>5.0281971416773303E-3</v>
      </c>
      <c r="AJ51" s="172">
        <v>1.2194014359495199E-3</v>
      </c>
    </row>
    <row r="52" spans="1:36">
      <c r="A52" s="2">
        <v>161</v>
      </c>
      <c r="B52" s="2">
        <v>1434</v>
      </c>
      <c r="C52" s="2" t="s">
        <v>2220</v>
      </c>
      <c r="D52" s="2" t="s">
        <v>2221</v>
      </c>
      <c r="E52" s="4" t="s">
        <v>1363</v>
      </c>
      <c r="F52" s="2" t="s">
        <v>2222</v>
      </c>
      <c r="G52" s="2" t="s">
        <v>2223</v>
      </c>
      <c r="H52" s="2" t="s">
        <v>223</v>
      </c>
      <c r="I52" s="2" t="s">
        <v>1013</v>
      </c>
      <c r="J52" s="2" t="s">
        <v>30</v>
      </c>
      <c r="K52" s="2" t="s">
        <v>30</v>
      </c>
      <c r="L52" s="2" t="s">
        <v>377</v>
      </c>
      <c r="M52" s="2" t="s">
        <v>31</v>
      </c>
      <c r="N52" s="2" t="s">
        <v>492</v>
      </c>
      <c r="O52" s="2" t="s">
        <v>173</v>
      </c>
      <c r="P52" s="2" t="s">
        <v>2061</v>
      </c>
      <c r="Q52" s="2" t="s">
        <v>464</v>
      </c>
      <c r="R52" s="2" t="s">
        <v>456</v>
      </c>
      <c r="S52" s="2" t="s">
        <v>34</v>
      </c>
      <c r="T52" s="156">
        <v>2.13</v>
      </c>
      <c r="U52" s="2" t="s">
        <v>2224</v>
      </c>
      <c r="V52" s="170">
        <v>4.1000000000000002E-2</v>
      </c>
      <c r="W52" s="172">
        <v>5.416E-2</v>
      </c>
      <c r="X52" s="4" t="s">
        <v>461</v>
      </c>
      <c r="Y52" s="4" t="s">
        <v>173</v>
      </c>
      <c r="Z52" s="156">
        <v>45000</v>
      </c>
      <c r="AA52" s="166">
        <v>1</v>
      </c>
      <c r="AB52" s="183">
        <v>100.34</v>
      </c>
      <c r="AD52" s="156">
        <v>45.152999999999999</v>
      </c>
      <c r="AG52" s="2" t="s">
        <v>36</v>
      </c>
      <c r="AH52" s="172">
        <v>6.3E-5</v>
      </c>
      <c r="AI52" s="172">
        <v>8.2702660146515405E-3</v>
      </c>
      <c r="AJ52" s="172">
        <v>2.0056441642593301E-3</v>
      </c>
    </row>
    <row r="53" spans="1:36">
      <c r="A53" s="2">
        <v>161</v>
      </c>
      <c r="B53" s="2">
        <v>1434</v>
      </c>
      <c r="C53" s="2" t="s">
        <v>2225</v>
      </c>
      <c r="D53" s="2" t="s">
        <v>2226</v>
      </c>
      <c r="E53" s="4" t="s">
        <v>1363</v>
      </c>
      <c r="F53" s="2" t="s">
        <v>2227</v>
      </c>
      <c r="G53" s="2" t="s">
        <v>2228</v>
      </c>
      <c r="H53" s="2" t="s">
        <v>223</v>
      </c>
      <c r="I53" s="2" t="s">
        <v>804</v>
      </c>
      <c r="J53" s="2" t="s">
        <v>30</v>
      </c>
      <c r="K53" s="2" t="s">
        <v>30</v>
      </c>
      <c r="L53" s="2" t="s">
        <v>377</v>
      </c>
      <c r="M53" s="2" t="s">
        <v>31</v>
      </c>
      <c r="N53" s="2" t="s">
        <v>511</v>
      </c>
      <c r="O53" s="2" t="s">
        <v>173</v>
      </c>
      <c r="P53" s="2" t="s">
        <v>2061</v>
      </c>
      <c r="Q53" s="2" t="s">
        <v>462</v>
      </c>
      <c r="R53" s="2" t="s">
        <v>456</v>
      </c>
      <c r="S53" s="2" t="s">
        <v>34</v>
      </c>
      <c r="T53" s="156">
        <v>1.8720000000000001</v>
      </c>
      <c r="U53" s="2" t="s">
        <v>2229</v>
      </c>
      <c r="V53" s="170">
        <v>2.0500000000000001E-2</v>
      </c>
      <c r="W53" s="172">
        <v>2.6960000000000001E-2</v>
      </c>
      <c r="X53" s="4" t="s">
        <v>461</v>
      </c>
      <c r="Y53" s="4" t="s">
        <v>173</v>
      </c>
      <c r="Z53" s="156">
        <v>39176.67</v>
      </c>
      <c r="AA53" s="166">
        <v>1</v>
      </c>
      <c r="AB53" s="183">
        <v>115.69</v>
      </c>
      <c r="AD53" s="156">
        <v>45.323</v>
      </c>
      <c r="AG53" s="2" t="s">
        <v>36</v>
      </c>
      <c r="AH53" s="172">
        <v>5.1999999999999997E-5</v>
      </c>
      <c r="AI53" s="172">
        <v>8.3014930362873308E-3</v>
      </c>
      <c r="AJ53" s="172">
        <v>2.0132171121669401E-3</v>
      </c>
    </row>
    <row r="54" spans="1:36">
      <c r="A54" s="2">
        <v>161</v>
      </c>
      <c r="B54" s="2">
        <v>1434</v>
      </c>
      <c r="C54" s="2" t="s">
        <v>2230</v>
      </c>
      <c r="D54" s="2" t="s">
        <v>2231</v>
      </c>
      <c r="E54" s="4" t="s">
        <v>1363</v>
      </c>
      <c r="F54" s="2" t="s">
        <v>2232</v>
      </c>
      <c r="G54" s="2" t="s">
        <v>2233</v>
      </c>
      <c r="H54" s="2" t="s">
        <v>223</v>
      </c>
      <c r="I54" s="2" t="s">
        <v>804</v>
      </c>
      <c r="J54" s="2" t="s">
        <v>30</v>
      </c>
      <c r="K54" s="2" t="s">
        <v>30</v>
      </c>
      <c r="L54" s="2" t="s">
        <v>377</v>
      </c>
      <c r="M54" s="2" t="s">
        <v>31</v>
      </c>
      <c r="N54" s="2" t="s">
        <v>495</v>
      </c>
      <c r="O54" s="2" t="s">
        <v>173</v>
      </c>
      <c r="P54" s="2" t="s">
        <v>1224</v>
      </c>
      <c r="Q54" s="2" t="s">
        <v>462</v>
      </c>
      <c r="R54" s="2" t="s">
        <v>456</v>
      </c>
      <c r="S54" s="2" t="s">
        <v>34</v>
      </c>
      <c r="T54" s="156">
        <v>4.0069999999999997</v>
      </c>
      <c r="U54" s="2" t="s">
        <v>2234</v>
      </c>
      <c r="V54" s="170">
        <v>1E-3</v>
      </c>
      <c r="W54" s="172">
        <v>2.5020000000000001E-2</v>
      </c>
      <c r="X54" s="4" t="s">
        <v>461</v>
      </c>
      <c r="Y54" s="4" t="s">
        <v>173</v>
      </c>
      <c r="Z54" s="156">
        <v>161998</v>
      </c>
      <c r="AA54" s="166">
        <v>1</v>
      </c>
      <c r="AB54" s="183">
        <v>102.41</v>
      </c>
      <c r="AD54" s="156">
        <v>165.90199999999999</v>
      </c>
      <c r="AG54" s="2" t="s">
        <v>36</v>
      </c>
      <c r="AH54" s="172">
        <v>4.8000000000000001E-5</v>
      </c>
      <c r="AI54" s="172">
        <v>3.0386794405445901E-2</v>
      </c>
      <c r="AJ54" s="172">
        <v>7.3691821716328001E-3</v>
      </c>
    </row>
    <row r="55" spans="1:36">
      <c r="A55" s="2">
        <v>161</v>
      </c>
      <c r="B55" s="2">
        <v>1434</v>
      </c>
      <c r="C55" s="2" t="s">
        <v>2230</v>
      </c>
      <c r="D55" s="2" t="s">
        <v>2231</v>
      </c>
      <c r="E55" s="4" t="s">
        <v>1363</v>
      </c>
      <c r="F55" s="2" t="s">
        <v>2235</v>
      </c>
      <c r="G55" s="2" t="s">
        <v>2236</v>
      </c>
      <c r="H55" s="2" t="s">
        <v>223</v>
      </c>
      <c r="I55" s="2" t="s">
        <v>804</v>
      </c>
      <c r="J55" s="2" t="s">
        <v>30</v>
      </c>
      <c r="K55" s="2" t="s">
        <v>30</v>
      </c>
      <c r="L55" s="2" t="s">
        <v>377</v>
      </c>
      <c r="M55" s="2" t="s">
        <v>31</v>
      </c>
      <c r="N55" s="2" t="s">
        <v>495</v>
      </c>
      <c r="O55" s="2" t="s">
        <v>173</v>
      </c>
      <c r="P55" s="2" t="s">
        <v>1224</v>
      </c>
      <c r="Q55" s="2" t="s">
        <v>464</v>
      </c>
      <c r="R55" s="2" t="s">
        <v>456</v>
      </c>
      <c r="S55" s="2" t="s">
        <v>34</v>
      </c>
      <c r="T55" s="156">
        <v>2.16</v>
      </c>
      <c r="U55" s="2" t="s">
        <v>2237</v>
      </c>
      <c r="V55" s="170">
        <v>5.0000000000000001E-3</v>
      </c>
      <c r="W55" s="172">
        <v>2.1420000000000002E-2</v>
      </c>
      <c r="X55" s="4" t="s">
        <v>461</v>
      </c>
      <c r="Y55" s="4" t="s">
        <v>173</v>
      </c>
      <c r="Z55" s="156">
        <v>39000</v>
      </c>
      <c r="AA55" s="166">
        <v>1</v>
      </c>
      <c r="AB55" s="183">
        <v>110.72</v>
      </c>
      <c r="AD55" s="156">
        <v>43.180999999999997</v>
      </c>
      <c r="AG55" s="2" t="s">
        <v>36</v>
      </c>
      <c r="AH55" s="172">
        <v>5.1E-5</v>
      </c>
      <c r="AI55" s="172">
        <v>7.9090360048161799E-3</v>
      </c>
      <c r="AJ55" s="172">
        <v>1.9180413157054801E-3</v>
      </c>
    </row>
    <row r="56" spans="1:36">
      <c r="A56" s="2">
        <v>161</v>
      </c>
      <c r="B56" s="2">
        <v>1434</v>
      </c>
      <c r="C56" s="2" t="s">
        <v>2230</v>
      </c>
      <c r="D56" s="2" t="s">
        <v>2231</v>
      </c>
      <c r="E56" s="4" t="s">
        <v>1363</v>
      </c>
      <c r="F56" s="2" t="s">
        <v>2238</v>
      </c>
      <c r="G56" s="2" t="s">
        <v>2239</v>
      </c>
      <c r="H56" s="2" t="s">
        <v>223</v>
      </c>
      <c r="I56" s="2" t="s">
        <v>804</v>
      </c>
      <c r="J56" s="2" t="s">
        <v>30</v>
      </c>
      <c r="K56" s="2" t="s">
        <v>30</v>
      </c>
      <c r="L56" s="2" t="s">
        <v>377</v>
      </c>
      <c r="M56" s="2" t="s">
        <v>31</v>
      </c>
      <c r="N56" s="2" t="s">
        <v>495</v>
      </c>
      <c r="O56" s="2" t="s">
        <v>173</v>
      </c>
      <c r="P56" s="2" t="s">
        <v>1224</v>
      </c>
      <c r="Q56" s="2" t="s">
        <v>462</v>
      </c>
      <c r="R56" s="2" t="s">
        <v>456</v>
      </c>
      <c r="S56" s="2" t="s">
        <v>34</v>
      </c>
      <c r="T56" s="156">
        <v>5.718</v>
      </c>
      <c r="U56" s="2" t="s">
        <v>2240</v>
      </c>
      <c r="V56" s="170">
        <v>2E-3</v>
      </c>
      <c r="W56" s="172">
        <v>2.6159999999999999E-2</v>
      </c>
      <c r="X56" s="4" t="s">
        <v>461</v>
      </c>
      <c r="Y56" s="4" t="s">
        <v>173</v>
      </c>
      <c r="Z56" s="156">
        <v>116000</v>
      </c>
      <c r="AA56" s="166">
        <v>1</v>
      </c>
      <c r="AB56" s="183">
        <v>100.79</v>
      </c>
      <c r="AD56" s="156">
        <v>116.916</v>
      </c>
      <c r="AG56" s="2" t="s">
        <v>36</v>
      </c>
      <c r="AH56" s="172">
        <v>1.21E-4</v>
      </c>
      <c r="AI56" s="172">
        <v>2.14145179606096E-2</v>
      </c>
      <c r="AJ56" s="172">
        <v>5.1932915944944901E-3</v>
      </c>
    </row>
    <row r="57" spans="1:36">
      <c r="A57" s="2">
        <v>161</v>
      </c>
      <c r="B57" s="2">
        <v>1434</v>
      </c>
      <c r="C57" s="2" t="s">
        <v>2230</v>
      </c>
      <c r="D57" s="2" t="s">
        <v>2231</v>
      </c>
      <c r="E57" s="4" t="s">
        <v>1363</v>
      </c>
      <c r="F57" s="2" t="s">
        <v>2241</v>
      </c>
      <c r="G57" s="2" t="s">
        <v>2242</v>
      </c>
      <c r="H57" s="2" t="s">
        <v>223</v>
      </c>
      <c r="I57" s="2" t="s">
        <v>804</v>
      </c>
      <c r="J57" s="2" t="s">
        <v>30</v>
      </c>
      <c r="K57" s="2" t="s">
        <v>30</v>
      </c>
      <c r="L57" s="2" t="s">
        <v>377</v>
      </c>
      <c r="M57" s="2" t="s">
        <v>31</v>
      </c>
      <c r="N57" s="2" t="s">
        <v>495</v>
      </c>
      <c r="O57" s="2" t="s">
        <v>173</v>
      </c>
      <c r="P57" s="2" t="s">
        <v>1224</v>
      </c>
      <c r="Q57" s="2" t="s">
        <v>464</v>
      </c>
      <c r="R57" s="2" t="s">
        <v>456</v>
      </c>
      <c r="S57" s="2" t="s">
        <v>34</v>
      </c>
      <c r="T57" s="156">
        <v>0.375</v>
      </c>
      <c r="U57" s="2" t="s">
        <v>2243</v>
      </c>
      <c r="V57" s="170">
        <v>9.4999999999999998E-3</v>
      </c>
      <c r="W57" s="172">
        <v>2.657E-2</v>
      </c>
      <c r="X57" s="4" t="s">
        <v>461</v>
      </c>
      <c r="Y57" s="4" t="s">
        <v>173</v>
      </c>
      <c r="Z57" s="156">
        <v>11775</v>
      </c>
      <c r="AA57" s="166">
        <v>1</v>
      </c>
      <c r="AB57" s="183">
        <v>116.08</v>
      </c>
      <c r="AD57" s="156">
        <v>13.667999999999999</v>
      </c>
      <c r="AG57" s="2" t="s">
        <v>36</v>
      </c>
      <c r="AH57" s="172">
        <v>7.2999999999999999E-5</v>
      </c>
      <c r="AI57" s="172">
        <v>2.50352068301073E-3</v>
      </c>
      <c r="AJ57" s="172">
        <v>6.0713544631908203E-4</v>
      </c>
    </row>
    <row r="58" spans="1:36">
      <c r="A58" s="2">
        <v>161</v>
      </c>
      <c r="B58" s="2">
        <v>1434</v>
      </c>
      <c r="C58" s="2" t="s">
        <v>2230</v>
      </c>
      <c r="D58" s="2" t="s">
        <v>2231</v>
      </c>
      <c r="E58" s="4" t="s">
        <v>1363</v>
      </c>
      <c r="F58" s="2" t="s">
        <v>2244</v>
      </c>
      <c r="G58" s="2" t="s">
        <v>2245</v>
      </c>
      <c r="H58" s="2" t="s">
        <v>223</v>
      </c>
      <c r="I58" s="2" t="s">
        <v>804</v>
      </c>
      <c r="J58" s="2" t="s">
        <v>30</v>
      </c>
      <c r="K58" s="2" t="s">
        <v>30</v>
      </c>
      <c r="L58" s="2" t="s">
        <v>377</v>
      </c>
      <c r="M58" s="2" t="s">
        <v>31</v>
      </c>
      <c r="N58" s="2" t="s">
        <v>495</v>
      </c>
      <c r="O58" s="2" t="s">
        <v>173</v>
      </c>
      <c r="P58" s="2" t="s">
        <v>1224</v>
      </c>
      <c r="Q58" s="2" t="s">
        <v>462</v>
      </c>
      <c r="R58" s="2" t="s">
        <v>456</v>
      </c>
      <c r="S58" s="2" t="s">
        <v>34</v>
      </c>
      <c r="T58" s="156">
        <v>1.681</v>
      </c>
      <c r="U58" s="2" t="s">
        <v>2246</v>
      </c>
      <c r="V58" s="170">
        <v>3.8E-3</v>
      </c>
      <c r="W58" s="172">
        <v>2.1440000000000001E-2</v>
      </c>
      <c r="X58" s="4" t="s">
        <v>461</v>
      </c>
      <c r="Y58" s="4" t="s">
        <v>173</v>
      </c>
      <c r="Z58" s="156">
        <v>110758</v>
      </c>
      <c r="AA58" s="166">
        <v>1</v>
      </c>
      <c r="AB58" s="183">
        <v>110.39</v>
      </c>
      <c r="AD58" s="156">
        <v>122.26600000000001</v>
      </c>
      <c r="AG58" s="2" t="s">
        <v>36</v>
      </c>
      <c r="AH58" s="172">
        <v>3.6999999999999998E-5</v>
      </c>
      <c r="AI58" s="172">
        <v>2.23943110813574E-2</v>
      </c>
      <c r="AJ58" s="172">
        <v>5.4309038250234601E-3</v>
      </c>
    </row>
    <row r="59" spans="1:36">
      <c r="A59" s="2">
        <v>161</v>
      </c>
      <c r="B59" s="2">
        <v>1434</v>
      </c>
      <c r="C59" s="2" t="s">
        <v>2230</v>
      </c>
      <c r="D59" s="2" t="s">
        <v>2231</v>
      </c>
      <c r="E59" s="4" t="s">
        <v>1363</v>
      </c>
      <c r="F59" s="2" t="s">
        <v>2247</v>
      </c>
      <c r="G59" s="2" t="s">
        <v>2248</v>
      </c>
      <c r="H59" s="2" t="s">
        <v>223</v>
      </c>
      <c r="I59" s="2" t="s">
        <v>804</v>
      </c>
      <c r="J59" s="2" t="s">
        <v>30</v>
      </c>
      <c r="K59" s="2" t="s">
        <v>30</v>
      </c>
      <c r="L59" s="2" t="s">
        <v>377</v>
      </c>
      <c r="M59" s="2" t="s">
        <v>31</v>
      </c>
      <c r="N59" s="2" t="s">
        <v>495</v>
      </c>
      <c r="O59" s="2" t="s">
        <v>173</v>
      </c>
      <c r="P59" s="2" t="s">
        <v>1224</v>
      </c>
      <c r="Q59" s="2" t="s">
        <v>462</v>
      </c>
      <c r="R59" s="2" t="s">
        <v>456</v>
      </c>
      <c r="S59" s="2" t="s">
        <v>34</v>
      </c>
      <c r="T59" s="156">
        <v>3.43</v>
      </c>
      <c r="U59" s="2" t="s">
        <v>2249</v>
      </c>
      <c r="V59" s="170">
        <v>1E-3</v>
      </c>
      <c r="W59" s="172">
        <v>2.4819999999999998E-2</v>
      </c>
      <c r="X59" s="4" t="s">
        <v>461</v>
      </c>
      <c r="Y59" s="4" t="s">
        <v>173</v>
      </c>
      <c r="Z59" s="156">
        <v>114000</v>
      </c>
      <c r="AA59" s="166">
        <v>1</v>
      </c>
      <c r="AB59" s="183">
        <v>102.63</v>
      </c>
      <c r="AD59" s="156">
        <v>116.998</v>
      </c>
      <c r="AG59" s="2" t="s">
        <v>36</v>
      </c>
      <c r="AH59" s="172">
        <v>4.3999999999999999E-5</v>
      </c>
      <c r="AI59" s="172">
        <v>2.1429500525666102E-2</v>
      </c>
      <c r="AJ59" s="172">
        <v>5.1969250561168896E-3</v>
      </c>
    </row>
    <row r="60" spans="1:36">
      <c r="A60" s="2">
        <v>161</v>
      </c>
      <c r="B60" s="2">
        <v>1434</v>
      </c>
      <c r="C60" s="2" t="s">
        <v>2250</v>
      </c>
      <c r="D60" s="2" t="s">
        <v>2251</v>
      </c>
      <c r="E60" s="4" t="s">
        <v>1363</v>
      </c>
      <c r="F60" s="2" t="s">
        <v>2252</v>
      </c>
      <c r="G60" s="2" t="s">
        <v>2253</v>
      </c>
      <c r="H60" s="2" t="s">
        <v>223</v>
      </c>
      <c r="I60" s="2" t="s">
        <v>804</v>
      </c>
      <c r="J60" s="2" t="s">
        <v>30</v>
      </c>
      <c r="K60" s="2" t="s">
        <v>30</v>
      </c>
      <c r="L60" s="2" t="s">
        <v>377</v>
      </c>
      <c r="M60" s="2" t="s">
        <v>31</v>
      </c>
      <c r="N60" s="2" t="s">
        <v>490</v>
      </c>
      <c r="O60" s="2" t="s">
        <v>173</v>
      </c>
      <c r="P60" s="2" t="s">
        <v>2061</v>
      </c>
      <c r="Q60" s="2" t="s">
        <v>464</v>
      </c>
      <c r="R60" s="2" t="s">
        <v>456</v>
      </c>
      <c r="S60" s="2" t="s">
        <v>34</v>
      </c>
      <c r="T60" s="156">
        <v>3.2530000000000001</v>
      </c>
      <c r="U60" s="2" t="s">
        <v>2254</v>
      </c>
      <c r="V60" s="170">
        <v>0.01</v>
      </c>
      <c r="W60" s="172">
        <v>3.3340000000000002E-2</v>
      </c>
      <c r="X60" s="4" t="s">
        <v>461</v>
      </c>
      <c r="Y60" s="4" t="s">
        <v>173</v>
      </c>
      <c r="Z60" s="156">
        <v>33335</v>
      </c>
      <c r="AA60" s="166">
        <v>1</v>
      </c>
      <c r="AB60" s="183">
        <v>104.54</v>
      </c>
      <c r="AD60" s="156">
        <v>34.847999999999999</v>
      </c>
      <c r="AG60" s="2" t="s">
        <v>36</v>
      </c>
      <c r="AH60" s="172">
        <v>2.0999999999999999E-5</v>
      </c>
      <c r="AI60" s="172">
        <v>6.3828674200468796E-3</v>
      </c>
      <c r="AJ60" s="172">
        <v>1.54792612106776E-3</v>
      </c>
    </row>
    <row r="61" spans="1:36">
      <c r="A61" s="2">
        <v>161</v>
      </c>
      <c r="B61" s="2">
        <v>1434</v>
      </c>
      <c r="C61" s="2" t="s">
        <v>2250</v>
      </c>
      <c r="D61" s="2" t="s">
        <v>2251</v>
      </c>
      <c r="E61" s="4" t="s">
        <v>1363</v>
      </c>
      <c r="F61" s="2" t="s">
        <v>2255</v>
      </c>
      <c r="G61" s="2" t="s">
        <v>2253</v>
      </c>
      <c r="H61" s="2" t="s">
        <v>223</v>
      </c>
      <c r="I61" s="2" t="s">
        <v>804</v>
      </c>
      <c r="J61" s="2" t="s">
        <v>30</v>
      </c>
      <c r="K61" s="2" t="s">
        <v>30</v>
      </c>
      <c r="L61" s="2" t="s">
        <v>379</v>
      </c>
      <c r="M61" s="2" t="s">
        <v>31</v>
      </c>
      <c r="N61" s="2" t="s">
        <v>145</v>
      </c>
      <c r="O61" s="2" t="s">
        <v>173</v>
      </c>
      <c r="P61" s="2" t="s">
        <v>2061</v>
      </c>
      <c r="Q61" s="2" t="s">
        <v>464</v>
      </c>
      <c r="R61" s="2" t="s">
        <v>456</v>
      </c>
      <c r="S61" s="2" t="s">
        <v>34</v>
      </c>
      <c r="T61" s="156">
        <v>3.27</v>
      </c>
      <c r="U61" s="2" t="s">
        <v>2254</v>
      </c>
      <c r="V61" s="170">
        <v>0.01</v>
      </c>
      <c r="W61" s="172">
        <v>3.3739999999999999E-2</v>
      </c>
      <c r="X61" s="4" t="s">
        <v>461</v>
      </c>
      <c r="Y61" s="4" t="s">
        <v>173</v>
      </c>
      <c r="Z61" s="156">
        <v>22000</v>
      </c>
      <c r="AA61" s="166">
        <v>1</v>
      </c>
      <c r="AB61" s="183">
        <v>104.54</v>
      </c>
      <c r="AD61" s="156">
        <v>22.998999999999999</v>
      </c>
      <c r="AG61" s="2" t="s">
        <v>36</v>
      </c>
      <c r="AH61" s="172">
        <v>2.5000000000000001E-5</v>
      </c>
      <c r="AI61" s="172">
        <v>4.2124818731372801E-3</v>
      </c>
      <c r="AJ61" s="172">
        <v>1.0215801608966699E-3</v>
      </c>
    </row>
    <row r="62" spans="1:36">
      <c r="A62" s="2">
        <v>161</v>
      </c>
      <c r="B62" s="2">
        <v>1434</v>
      </c>
      <c r="C62" s="2" t="s">
        <v>2250</v>
      </c>
      <c r="D62" s="2" t="s">
        <v>2251</v>
      </c>
      <c r="E62" s="4" t="s">
        <v>1363</v>
      </c>
      <c r="F62" s="2" t="s">
        <v>2256</v>
      </c>
      <c r="G62" s="2" t="s">
        <v>2257</v>
      </c>
      <c r="H62" s="2" t="s">
        <v>223</v>
      </c>
      <c r="I62" s="2" t="s">
        <v>804</v>
      </c>
      <c r="J62" s="2" t="s">
        <v>30</v>
      </c>
      <c r="K62" s="2" t="s">
        <v>30</v>
      </c>
      <c r="L62" s="2" t="s">
        <v>377</v>
      </c>
      <c r="M62" s="2" t="s">
        <v>31</v>
      </c>
      <c r="N62" s="2" t="s">
        <v>490</v>
      </c>
      <c r="O62" s="2" t="s">
        <v>173</v>
      </c>
      <c r="P62" s="2" t="s">
        <v>2061</v>
      </c>
      <c r="Q62" s="2" t="s">
        <v>464</v>
      </c>
      <c r="R62" s="2" t="s">
        <v>456</v>
      </c>
      <c r="S62" s="2" t="s">
        <v>34</v>
      </c>
      <c r="T62" s="156">
        <v>1.6559999999999999</v>
      </c>
      <c r="U62" s="2" t="s">
        <v>141</v>
      </c>
      <c r="V62" s="170">
        <v>3.5400000000000001E-2</v>
      </c>
      <c r="W62" s="172">
        <v>3.2190000000000003E-2</v>
      </c>
      <c r="X62" s="4" t="s">
        <v>461</v>
      </c>
      <c r="Y62" s="4" t="s">
        <v>173</v>
      </c>
      <c r="Z62" s="156">
        <v>48000</v>
      </c>
      <c r="AA62" s="166">
        <v>1</v>
      </c>
      <c r="AB62" s="183">
        <v>107.7</v>
      </c>
      <c r="AD62" s="156">
        <v>51.695999999999998</v>
      </c>
      <c r="AG62" s="2" t="s">
        <v>36</v>
      </c>
      <c r="AH62" s="172">
        <v>4.3000000000000002E-5</v>
      </c>
      <c r="AI62" s="172">
        <v>9.4686880582336898E-3</v>
      </c>
      <c r="AJ62" s="172">
        <v>2.2962766752054201E-3</v>
      </c>
    </row>
    <row r="63" spans="1:36">
      <c r="A63" s="2">
        <v>161</v>
      </c>
      <c r="B63" s="2">
        <v>1434</v>
      </c>
      <c r="C63" s="2" t="s">
        <v>2250</v>
      </c>
      <c r="D63" s="2" t="s">
        <v>2251</v>
      </c>
      <c r="E63" s="4" t="s">
        <v>1363</v>
      </c>
      <c r="F63" s="2" t="s">
        <v>2258</v>
      </c>
      <c r="G63" s="2" t="s">
        <v>2259</v>
      </c>
      <c r="H63" s="2" t="s">
        <v>223</v>
      </c>
      <c r="I63" s="2" t="s">
        <v>804</v>
      </c>
      <c r="J63" s="2" t="s">
        <v>30</v>
      </c>
      <c r="K63" s="2" t="s">
        <v>30</v>
      </c>
      <c r="L63" s="2" t="s">
        <v>377</v>
      </c>
      <c r="M63" s="2" t="s">
        <v>31</v>
      </c>
      <c r="N63" s="2" t="s">
        <v>490</v>
      </c>
      <c r="O63" s="2" t="s">
        <v>173</v>
      </c>
      <c r="P63" s="2" t="s">
        <v>2061</v>
      </c>
      <c r="Q63" s="2" t="s">
        <v>464</v>
      </c>
      <c r="R63" s="2" t="s">
        <v>456</v>
      </c>
      <c r="S63" s="2" t="s">
        <v>34</v>
      </c>
      <c r="T63" s="156">
        <v>0.66200000000000003</v>
      </c>
      <c r="U63" s="2" t="s">
        <v>2260</v>
      </c>
      <c r="V63" s="170">
        <v>0.01</v>
      </c>
      <c r="W63" s="172">
        <v>2.707E-2</v>
      </c>
      <c r="X63" s="4" t="s">
        <v>461</v>
      </c>
      <c r="Y63" s="4" t="s">
        <v>173</v>
      </c>
      <c r="Z63" s="156">
        <v>39062.519999999997</v>
      </c>
      <c r="AA63" s="166">
        <v>1</v>
      </c>
      <c r="AB63" s="183">
        <v>113.12</v>
      </c>
      <c r="AD63" s="156">
        <v>44.188000000000002</v>
      </c>
      <c r="AG63" s="2" t="s">
        <v>36</v>
      </c>
      <c r="AH63" s="172">
        <v>1.2799999999999999E-4</v>
      </c>
      <c r="AI63" s="172">
        <v>8.0934282689724499E-3</v>
      </c>
      <c r="AJ63" s="172">
        <v>1.96275877314692E-3</v>
      </c>
    </row>
    <row r="64" spans="1:36">
      <c r="A64" s="2">
        <v>161</v>
      </c>
      <c r="B64" s="2">
        <v>1434</v>
      </c>
      <c r="C64" s="2" t="s">
        <v>1692</v>
      </c>
      <c r="D64" s="2" t="s">
        <v>1693</v>
      </c>
      <c r="E64" s="4" t="s">
        <v>1363</v>
      </c>
      <c r="F64" s="2" t="s">
        <v>2261</v>
      </c>
      <c r="G64" s="2" t="s">
        <v>2262</v>
      </c>
      <c r="H64" s="2" t="s">
        <v>223</v>
      </c>
      <c r="I64" s="2" t="s">
        <v>804</v>
      </c>
      <c r="J64" s="2" t="s">
        <v>30</v>
      </c>
      <c r="K64" s="2" t="s">
        <v>30</v>
      </c>
      <c r="L64" s="2" t="s">
        <v>377</v>
      </c>
      <c r="M64" s="2" t="s">
        <v>31</v>
      </c>
      <c r="N64" s="2" t="s">
        <v>511</v>
      </c>
      <c r="O64" s="2" t="s">
        <v>173</v>
      </c>
      <c r="P64" s="2" t="s">
        <v>2052</v>
      </c>
      <c r="Q64" s="2" t="s">
        <v>462</v>
      </c>
      <c r="R64" s="2" t="s">
        <v>456</v>
      </c>
      <c r="S64" s="2" t="s">
        <v>34</v>
      </c>
      <c r="T64" s="156">
        <v>4.3440000000000003</v>
      </c>
      <c r="U64" s="2" t="s">
        <v>2263</v>
      </c>
      <c r="V64" s="170">
        <v>1.43E-2</v>
      </c>
      <c r="W64" s="172">
        <v>2.938E-2</v>
      </c>
      <c r="X64" s="4" t="s">
        <v>461</v>
      </c>
      <c r="Y64" s="4" t="s">
        <v>173</v>
      </c>
      <c r="Z64" s="156">
        <v>42537.63</v>
      </c>
      <c r="AA64" s="166">
        <v>1</v>
      </c>
      <c r="AB64" s="183">
        <v>108.57</v>
      </c>
      <c r="AD64" s="156">
        <v>46.183</v>
      </c>
      <c r="AG64" s="2" t="s">
        <v>36</v>
      </c>
      <c r="AH64" s="172">
        <v>3.8000000000000002E-5</v>
      </c>
      <c r="AI64" s="172">
        <v>8.4589409968578895E-3</v>
      </c>
      <c r="AJ64" s="172">
        <v>2.0514002350233802E-3</v>
      </c>
    </row>
    <row r="65" spans="1:36">
      <c r="A65" s="2">
        <v>161</v>
      </c>
      <c r="B65" s="2">
        <v>1434</v>
      </c>
      <c r="C65" s="2" t="s">
        <v>1692</v>
      </c>
      <c r="D65" s="2" t="s">
        <v>1693</v>
      </c>
      <c r="E65" s="4" t="s">
        <v>1363</v>
      </c>
      <c r="F65" s="2" t="s">
        <v>2264</v>
      </c>
      <c r="G65" s="2" t="s">
        <v>2265</v>
      </c>
      <c r="H65" s="2" t="s">
        <v>223</v>
      </c>
      <c r="I65" s="2" t="s">
        <v>804</v>
      </c>
      <c r="J65" s="2" t="s">
        <v>30</v>
      </c>
      <c r="K65" s="2" t="s">
        <v>30</v>
      </c>
      <c r="L65" s="2" t="s">
        <v>377</v>
      </c>
      <c r="M65" s="2" t="s">
        <v>31</v>
      </c>
      <c r="N65" s="2" t="s">
        <v>511</v>
      </c>
      <c r="O65" s="2" t="s">
        <v>173</v>
      </c>
      <c r="P65" s="2" t="s">
        <v>2052</v>
      </c>
      <c r="Q65" s="2" t="s">
        <v>462</v>
      </c>
      <c r="R65" s="2" t="s">
        <v>456</v>
      </c>
      <c r="S65" s="2" t="s">
        <v>34</v>
      </c>
      <c r="T65" s="156">
        <v>0.76200000000000001</v>
      </c>
      <c r="U65" s="2" t="s">
        <v>2266</v>
      </c>
      <c r="V65" s="170">
        <v>1.7600000000000001E-2</v>
      </c>
      <c r="W65" s="172">
        <v>2.5239999999999999E-2</v>
      </c>
      <c r="X65" s="4" t="s">
        <v>461</v>
      </c>
      <c r="Y65" s="4" t="s">
        <v>173</v>
      </c>
      <c r="Z65" s="156">
        <v>53736.9</v>
      </c>
      <c r="AA65" s="166">
        <v>1</v>
      </c>
      <c r="AB65" s="183">
        <v>117</v>
      </c>
      <c r="AD65" s="156">
        <v>62.872</v>
      </c>
      <c r="AG65" s="2" t="s">
        <v>36</v>
      </c>
      <c r="AH65" s="172">
        <v>6.9999999999999994E-5</v>
      </c>
      <c r="AI65" s="172">
        <v>1.15157264329987E-2</v>
      </c>
      <c r="AJ65" s="172">
        <v>2.7927093852402498E-3</v>
      </c>
    </row>
    <row r="66" spans="1:36">
      <c r="A66" s="2">
        <v>161</v>
      </c>
      <c r="B66" s="2">
        <v>1434</v>
      </c>
      <c r="C66" s="2" t="s">
        <v>1692</v>
      </c>
      <c r="D66" s="2" t="s">
        <v>1693</v>
      </c>
      <c r="E66" s="4" t="s">
        <v>1363</v>
      </c>
      <c r="F66" s="2" t="s">
        <v>2267</v>
      </c>
      <c r="G66" s="2" t="s">
        <v>2268</v>
      </c>
      <c r="H66" s="2" t="s">
        <v>223</v>
      </c>
      <c r="I66" s="2" t="s">
        <v>804</v>
      </c>
      <c r="J66" s="2" t="s">
        <v>30</v>
      </c>
      <c r="K66" s="2" t="s">
        <v>30</v>
      </c>
      <c r="L66" s="2" t="s">
        <v>377</v>
      </c>
      <c r="M66" s="2" t="s">
        <v>31</v>
      </c>
      <c r="N66" s="2" t="s">
        <v>511</v>
      </c>
      <c r="O66" s="2" t="s">
        <v>173</v>
      </c>
      <c r="P66" s="2" t="s">
        <v>2052</v>
      </c>
      <c r="Q66" s="2" t="s">
        <v>462</v>
      </c>
      <c r="R66" s="2" t="s">
        <v>456</v>
      </c>
      <c r="S66" s="2" t="s">
        <v>34</v>
      </c>
      <c r="T66" s="156">
        <v>1.5029999999999999</v>
      </c>
      <c r="U66" s="2" t="s">
        <v>2269</v>
      </c>
      <c r="V66" s="170">
        <v>2.1499999999999998E-2</v>
      </c>
      <c r="W66" s="172">
        <v>2.529E-2</v>
      </c>
      <c r="X66" s="4" t="s">
        <v>461</v>
      </c>
      <c r="Y66" s="4" t="s">
        <v>173</v>
      </c>
      <c r="Z66" s="156">
        <v>60000</v>
      </c>
      <c r="AA66" s="166">
        <v>1</v>
      </c>
      <c r="AB66" s="183">
        <v>117.88</v>
      </c>
      <c r="AD66" s="156">
        <v>70.727999999999994</v>
      </c>
      <c r="AG66" s="2" t="s">
        <v>36</v>
      </c>
      <c r="AH66" s="172">
        <v>5.0000000000000002E-5</v>
      </c>
      <c r="AI66" s="172">
        <v>1.29546071065992E-2</v>
      </c>
      <c r="AJ66" s="172">
        <v>3.1416561568386099E-3</v>
      </c>
    </row>
    <row r="67" spans="1:36">
      <c r="A67" s="2">
        <v>161</v>
      </c>
      <c r="B67" s="2">
        <v>1434</v>
      </c>
      <c r="C67" s="2" t="s">
        <v>1692</v>
      </c>
      <c r="D67" s="2" t="s">
        <v>1693</v>
      </c>
      <c r="E67" s="4" t="s">
        <v>1363</v>
      </c>
      <c r="F67" s="2" t="s">
        <v>2270</v>
      </c>
      <c r="G67" s="2" t="s">
        <v>2271</v>
      </c>
      <c r="H67" s="2" t="s">
        <v>223</v>
      </c>
      <c r="I67" s="2" t="s">
        <v>804</v>
      </c>
      <c r="J67" s="2" t="s">
        <v>30</v>
      </c>
      <c r="K67" s="2" t="s">
        <v>30</v>
      </c>
      <c r="L67" s="2" t="s">
        <v>377</v>
      </c>
      <c r="M67" s="2" t="s">
        <v>31</v>
      </c>
      <c r="N67" s="2" t="s">
        <v>511</v>
      </c>
      <c r="O67" s="2" t="s">
        <v>173</v>
      </c>
      <c r="P67" s="2" t="s">
        <v>2052</v>
      </c>
      <c r="Q67" s="2" t="s">
        <v>462</v>
      </c>
      <c r="R67" s="2" t="s">
        <v>456</v>
      </c>
      <c r="S67" s="2" t="s">
        <v>34</v>
      </c>
      <c r="T67" s="156">
        <v>3.8889999999999998</v>
      </c>
      <c r="U67" s="2" t="s">
        <v>2272</v>
      </c>
      <c r="V67" s="170">
        <v>2.2499999999999999E-2</v>
      </c>
      <c r="W67" s="172">
        <v>2.9579999999999999E-2</v>
      </c>
      <c r="X67" s="4" t="s">
        <v>461</v>
      </c>
      <c r="Y67" s="4" t="s">
        <v>173</v>
      </c>
      <c r="Z67" s="156">
        <v>94916.67</v>
      </c>
      <c r="AA67" s="166">
        <v>1</v>
      </c>
      <c r="AB67" s="183">
        <v>114.42</v>
      </c>
      <c r="AD67" s="156">
        <v>108.604</v>
      </c>
      <c r="AG67" s="2" t="s">
        <v>36</v>
      </c>
      <c r="AH67" s="172">
        <v>8.1000000000000004E-5</v>
      </c>
      <c r="AI67" s="172">
        <v>1.98919475384782E-2</v>
      </c>
      <c r="AJ67" s="172">
        <v>4.8240489998292403E-3</v>
      </c>
    </row>
    <row r="68" spans="1:36">
      <c r="A68" s="2">
        <v>161</v>
      </c>
      <c r="B68" s="2">
        <v>1434</v>
      </c>
      <c r="C68" s="2" t="s">
        <v>1692</v>
      </c>
      <c r="D68" s="2" t="s">
        <v>1693</v>
      </c>
      <c r="E68" s="4" t="s">
        <v>1363</v>
      </c>
      <c r="F68" s="2" t="s">
        <v>2273</v>
      </c>
      <c r="G68" s="2" t="s">
        <v>2274</v>
      </c>
      <c r="H68" s="2" t="s">
        <v>223</v>
      </c>
      <c r="I68" s="2" t="s">
        <v>804</v>
      </c>
      <c r="J68" s="2" t="s">
        <v>30</v>
      </c>
      <c r="K68" s="2" t="s">
        <v>30</v>
      </c>
      <c r="L68" s="2" t="s">
        <v>377</v>
      </c>
      <c r="M68" s="2" t="s">
        <v>31</v>
      </c>
      <c r="N68" s="2" t="s">
        <v>511</v>
      </c>
      <c r="O68" s="2" t="s">
        <v>173</v>
      </c>
      <c r="P68" s="2" t="s">
        <v>2052</v>
      </c>
      <c r="Q68" s="2" t="s">
        <v>462</v>
      </c>
      <c r="R68" s="2" t="s">
        <v>456</v>
      </c>
      <c r="S68" s="2" t="s">
        <v>34</v>
      </c>
      <c r="T68" s="156">
        <v>5.298</v>
      </c>
      <c r="U68" s="2" t="s">
        <v>2240</v>
      </c>
      <c r="V68" s="170">
        <v>2.5000000000000001E-3</v>
      </c>
      <c r="W68" s="172">
        <v>3.0300000000000001E-2</v>
      </c>
      <c r="X68" s="4" t="s">
        <v>461</v>
      </c>
      <c r="Y68" s="4" t="s">
        <v>173</v>
      </c>
      <c r="Z68" s="156">
        <v>46640</v>
      </c>
      <c r="AA68" s="166">
        <v>1</v>
      </c>
      <c r="AB68" s="183">
        <v>97.92</v>
      </c>
      <c r="AD68" s="156">
        <v>45.67</v>
      </c>
      <c r="AG68" s="2" t="s">
        <v>36</v>
      </c>
      <c r="AH68" s="172">
        <v>3.8000000000000002E-5</v>
      </c>
      <c r="AI68" s="172">
        <v>8.3649397076460495E-3</v>
      </c>
      <c r="AJ68" s="172">
        <v>2.0286037328544602E-3</v>
      </c>
    </row>
    <row r="69" spans="1:36">
      <c r="A69" s="2">
        <v>161</v>
      </c>
      <c r="B69" s="2">
        <v>1434</v>
      </c>
      <c r="C69" s="2" t="s">
        <v>2275</v>
      </c>
      <c r="D69" s="2" t="s">
        <v>2276</v>
      </c>
      <c r="E69" s="4" t="s">
        <v>1363</v>
      </c>
      <c r="F69" s="2" t="s">
        <v>2277</v>
      </c>
      <c r="G69" s="2" t="s">
        <v>2278</v>
      </c>
      <c r="H69" s="2" t="s">
        <v>223</v>
      </c>
      <c r="I69" s="2" t="s">
        <v>1013</v>
      </c>
      <c r="J69" s="2" t="s">
        <v>30</v>
      </c>
      <c r="K69" s="2" t="s">
        <v>30</v>
      </c>
      <c r="L69" s="2" t="s">
        <v>377</v>
      </c>
      <c r="M69" s="2" t="s">
        <v>31</v>
      </c>
      <c r="N69" s="2" t="s">
        <v>492</v>
      </c>
      <c r="O69" s="2" t="s">
        <v>173</v>
      </c>
      <c r="P69" s="2" t="s">
        <v>1374</v>
      </c>
      <c r="Q69" s="2" t="s">
        <v>464</v>
      </c>
      <c r="R69" s="2" t="s">
        <v>456</v>
      </c>
      <c r="S69" s="2" t="s">
        <v>34</v>
      </c>
      <c r="T69" s="156">
        <v>5.6529999999999996</v>
      </c>
      <c r="U69" s="2" t="s">
        <v>2279</v>
      </c>
      <c r="V69" s="170">
        <v>2.98E-2</v>
      </c>
      <c r="W69" s="172">
        <v>5.7610000000000001E-2</v>
      </c>
      <c r="X69" s="4" t="s">
        <v>461</v>
      </c>
      <c r="Y69" s="4" t="s">
        <v>173</v>
      </c>
      <c r="Z69" s="156">
        <v>60000</v>
      </c>
      <c r="AA69" s="166">
        <v>1</v>
      </c>
      <c r="AB69" s="183">
        <v>86.69</v>
      </c>
      <c r="AD69" s="156">
        <v>52.014000000000003</v>
      </c>
      <c r="AG69" s="2" t="s">
        <v>36</v>
      </c>
      <c r="AH69" s="172">
        <v>1.5300000000000001E-4</v>
      </c>
      <c r="AI69" s="172">
        <v>9.5269332377933905E-3</v>
      </c>
      <c r="AJ69" s="172">
        <v>2.31040186830963E-3</v>
      </c>
    </row>
    <row r="70" spans="1:36">
      <c r="A70" s="2">
        <v>161</v>
      </c>
      <c r="B70" s="2">
        <v>1434</v>
      </c>
      <c r="C70" s="2" t="s">
        <v>2280</v>
      </c>
      <c r="D70" s="2" t="s">
        <v>2281</v>
      </c>
      <c r="E70" s="4" t="s">
        <v>1363</v>
      </c>
      <c r="F70" s="2" t="s">
        <v>2282</v>
      </c>
      <c r="G70" s="2" t="s">
        <v>2283</v>
      </c>
      <c r="H70" s="2" t="s">
        <v>223</v>
      </c>
      <c r="I70" s="2" t="s">
        <v>804</v>
      </c>
      <c r="J70" s="2" t="s">
        <v>30</v>
      </c>
      <c r="K70" s="2" t="s">
        <v>30</v>
      </c>
      <c r="L70" s="2" t="s">
        <v>377</v>
      </c>
      <c r="M70" s="2" t="s">
        <v>31</v>
      </c>
      <c r="N70" s="2" t="s">
        <v>494</v>
      </c>
      <c r="O70" s="2" t="s">
        <v>173</v>
      </c>
      <c r="P70" s="2" t="s">
        <v>146</v>
      </c>
      <c r="Q70" s="2" t="s">
        <v>464</v>
      </c>
      <c r="R70" s="2" t="s">
        <v>456</v>
      </c>
      <c r="S70" s="2" t="s">
        <v>34</v>
      </c>
      <c r="T70" s="156">
        <v>3.5590000000000002</v>
      </c>
      <c r="U70" s="2" t="s">
        <v>2284</v>
      </c>
      <c r="V70" s="170">
        <v>2.07E-2</v>
      </c>
      <c r="W70" s="172">
        <v>4.965E-2</v>
      </c>
      <c r="X70" s="4" t="s">
        <v>461</v>
      </c>
      <c r="Y70" s="4" t="s">
        <v>173</v>
      </c>
      <c r="Z70" s="156">
        <v>0.2</v>
      </c>
      <c r="AA70" s="166">
        <v>1</v>
      </c>
      <c r="AB70" s="183">
        <v>101.96</v>
      </c>
      <c r="AD70" s="156">
        <v>0</v>
      </c>
      <c r="AG70" s="2" t="s">
        <v>36</v>
      </c>
      <c r="AH70" s="172">
        <v>0</v>
      </c>
      <c r="AI70" s="172">
        <v>3.7350179295013397E-8</v>
      </c>
      <c r="AJ70" s="172">
        <v>9.0578911251913E-9</v>
      </c>
    </row>
    <row r="71" spans="1:36">
      <c r="A71" s="2">
        <v>161</v>
      </c>
      <c r="B71" s="2">
        <v>1434</v>
      </c>
      <c r="C71" s="2" t="s">
        <v>2285</v>
      </c>
      <c r="D71" s="2" t="s">
        <v>2286</v>
      </c>
      <c r="E71" s="4" t="s">
        <v>365</v>
      </c>
      <c r="F71" s="2" t="s">
        <v>2287</v>
      </c>
      <c r="G71" s="2" t="s">
        <v>2288</v>
      </c>
      <c r="H71" s="2" t="s">
        <v>223</v>
      </c>
      <c r="I71" s="2" t="s">
        <v>1013</v>
      </c>
      <c r="J71" s="2" t="s">
        <v>30</v>
      </c>
      <c r="K71" s="2" t="s">
        <v>350</v>
      </c>
      <c r="L71" s="2" t="s">
        <v>377</v>
      </c>
      <c r="M71" s="2" t="s">
        <v>31</v>
      </c>
      <c r="N71" s="2" t="s">
        <v>512</v>
      </c>
      <c r="O71" s="2" t="s">
        <v>173</v>
      </c>
      <c r="P71" s="2" t="s">
        <v>1374</v>
      </c>
      <c r="Q71" s="2" t="s">
        <v>462</v>
      </c>
      <c r="R71" s="2" t="s">
        <v>456</v>
      </c>
      <c r="S71" s="2" t="s">
        <v>34</v>
      </c>
      <c r="T71" s="156">
        <v>1.679</v>
      </c>
      <c r="U71" s="2" t="s">
        <v>44</v>
      </c>
      <c r="V71" s="170">
        <v>5.7000000000000002E-2</v>
      </c>
      <c r="W71" s="172">
        <v>6.7070000000000005E-2</v>
      </c>
      <c r="X71" s="4" t="s">
        <v>461</v>
      </c>
      <c r="Y71" s="4" t="s">
        <v>173</v>
      </c>
      <c r="Z71" s="156">
        <v>0.78</v>
      </c>
      <c r="AA71" s="166">
        <v>1</v>
      </c>
      <c r="AB71" s="183">
        <v>99.49</v>
      </c>
      <c r="AD71" s="156">
        <v>1E-3</v>
      </c>
      <c r="AG71" s="2" t="s">
        <v>36</v>
      </c>
      <c r="AH71" s="172">
        <v>0</v>
      </c>
      <c r="AI71" s="172">
        <v>1.42136920541756E-7</v>
      </c>
      <c r="AJ71" s="172">
        <v>3.4470001896592799E-8</v>
      </c>
    </row>
    <row r="72" spans="1:36">
      <c r="A72" s="2">
        <v>161</v>
      </c>
      <c r="B72" s="2">
        <v>1434</v>
      </c>
      <c r="C72" s="2" t="s">
        <v>2289</v>
      </c>
      <c r="D72" s="2" t="s">
        <v>2290</v>
      </c>
      <c r="E72" s="4" t="s">
        <v>1363</v>
      </c>
      <c r="F72" s="2" t="s">
        <v>2291</v>
      </c>
      <c r="G72" s="2" t="s">
        <v>2292</v>
      </c>
      <c r="H72" s="2" t="s">
        <v>223</v>
      </c>
      <c r="I72" s="2" t="s">
        <v>1013</v>
      </c>
      <c r="J72" s="2" t="s">
        <v>30</v>
      </c>
      <c r="K72" s="2" t="s">
        <v>30</v>
      </c>
      <c r="L72" s="2" t="s">
        <v>377</v>
      </c>
      <c r="M72" s="2" t="s">
        <v>31</v>
      </c>
      <c r="N72" s="2" t="s">
        <v>512</v>
      </c>
      <c r="O72" s="2" t="s">
        <v>173</v>
      </c>
      <c r="P72" s="2" t="s">
        <v>225</v>
      </c>
      <c r="Q72" s="2" t="s">
        <v>226</v>
      </c>
      <c r="R72" s="2" t="s">
        <v>226</v>
      </c>
      <c r="S72" s="2" t="s">
        <v>34</v>
      </c>
      <c r="T72" s="156">
        <v>0.38100000000000001</v>
      </c>
      <c r="U72" s="2" t="s">
        <v>2293</v>
      </c>
      <c r="V72" s="170">
        <v>6.7500000000000004E-2</v>
      </c>
      <c r="W72" s="172">
        <v>0.19284000000000001</v>
      </c>
      <c r="X72" s="4" t="s">
        <v>461</v>
      </c>
      <c r="Y72" s="4" t="s">
        <v>173</v>
      </c>
      <c r="Z72" s="156">
        <v>0.89</v>
      </c>
      <c r="AA72" s="166">
        <v>1</v>
      </c>
      <c r="AB72" s="183">
        <v>98.9</v>
      </c>
      <c r="AD72" s="156">
        <v>1E-3</v>
      </c>
      <c r="AG72" s="2" t="s">
        <v>36</v>
      </c>
      <c r="AH72" s="172">
        <v>0</v>
      </c>
      <c r="AI72" s="172">
        <v>1.6122009276806499E-7</v>
      </c>
      <c r="AJ72" s="172">
        <v>3.9097912648610399E-8</v>
      </c>
    </row>
    <row r="73" spans="1:36">
      <c r="A73" s="2">
        <v>161</v>
      </c>
      <c r="B73" s="2">
        <v>1434</v>
      </c>
      <c r="C73" s="2" t="s">
        <v>1711</v>
      </c>
      <c r="D73" s="2" t="s">
        <v>1712</v>
      </c>
      <c r="E73" s="4" t="s">
        <v>1363</v>
      </c>
      <c r="F73" s="2" t="s">
        <v>2294</v>
      </c>
      <c r="G73" s="2" t="s">
        <v>2295</v>
      </c>
      <c r="H73" s="2" t="s">
        <v>223</v>
      </c>
      <c r="I73" s="2" t="s">
        <v>804</v>
      </c>
      <c r="J73" s="2" t="s">
        <v>30</v>
      </c>
      <c r="K73" s="2" t="s">
        <v>30</v>
      </c>
      <c r="L73" s="2" t="s">
        <v>377</v>
      </c>
      <c r="M73" s="2" t="s">
        <v>31</v>
      </c>
      <c r="N73" s="2" t="s">
        <v>511</v>
      </c>
      <c r="O73" s="2" t="s">
        <v>173</v>
      </c>
      <c r="P73" s="2" t="s">
        <v>93</v>
      </c>
      <c r="Q73" s="2" t="s">
        <v>464</v>
      </c>
      <c r="R73" s="2" t="s">
        <v>456</v>
      </c>
      <c r="S73" s="2" t="s">
        <v>34</v>
      </c>
      <c r="T73" s="156">
        <v>2.6890000000000001</v>
      </c>
      <c r="U73" s="2" t="s">
        <v>2296</v>
      </c>
      <c r="V73" s="170">
        <v>1.34E-2</v>
      </c>
      <c r="W73" s="172">
        <v>2.819E-2</v>
      </c>
      <c r="X73" s="4" t="s">
        <v>461</v>
      </c>
      <c r="Y73" s="4" t="s">
        <v>173</v>
      </c>
      <c r="Z73" s="156">
        <v>116250</v>
      </c>
      <c r="AA73" s="166">
        <v>1</v>
      </c>
      <c r="AB73" s="183">
        <v>112.38</v>
      </c>
      <c r="AD73" s="156">
        <v>130.642</v>
      </c>
      <c r="AG73" s="2" t="s">
        <v>36</v>
      </c>
      <c r="AH73" s="172">
        <v>4.3999999999999999E-5</v>
      </c>
      <c r="AI73" s="172">
        <v>2.3928465996049E-2</v>
      </c>
      <c r="AJ73" s="172">
        <v>5.8029558057299899E-3</v>
      </c>
    </row>
    <row r="74" spans="1:36">
      <c r="A74" s="2">
        <v>161</v>
      </c>
      <c r="B74" s="2">
        <v>1434</v>
      </c>
      <c r="C74" s="2" t="s">
        <v>1711</v>
      </c>
      <c r="D74" s="2" t="s">
        <v>1712</v>
      </c>
      <c r="E74" s="4" t="s">
        <v>1363</v>
      </c>
      <c r="F74" s="2" t="s">
        <v>2297</v>
      </c>
      <c r="G74" s="2" t="s">
        <v>2298</v>
      </c>
      <c r="H74" s="2" t="s">
        <v>223</v>
      </c>
      <c r="I74" s="2" t="s">
        <v>804</v>
      </c>
      <c r="J74" s="2" t="s">
        <v>30</v>
      </c>
      <c r="K74" s="2" t="s">
        <v>30</v>
      </c>
      <c r="L74" s="2" t="s">
        <v>377</v>
      </c>
      <c r="M74" s="2" t="s">
        <v>31</v>
      </c>
      <c r="N74" s="2" t="s">
        <v>511</v>
      </c>
      <c r="O74" s="2" t="s">
        <v>173</v>
      </c>
      <c r="P74" s="2" t="s">
        <v>93</v>
      </c>
      <c r="Q74" s="2" t="s">
        <v>464</v>
      </c>
      <c r="R74" s="2" t="s">
        <v>456</v>
      </c>
      <c r="S74" s="2" t="s">
        <v>34</v>
      </c>
      <c r="T74" s="156">
        <v>2.456</v>
      </c>
      <c r="U74" s="2" t="s">
        <v>2130</v>
      </c>
      <c r="V74" s="170">
        <v>1.77E-2</v>
      </c>
      <c r="W74" s="172">
        <v>2.7099999999999999E-2</v>
      </c>
      <c r="X74" s="4" t="s">
        <v>461</v>
      </c>
      <c r="Y74" s="4" t="s">
        <v>173</v>
      </c>
      <c r="Z74" s="156">
        <v>206579.21</v>
      </c>
      <c r="AA74" s="166">
        <v>1</v>
      </c>
      <c r="AB74" s="183">
        <v>113.19</v>
      </c>
      <c r="AD74" s="156">
        <v>233.827</v>
      </c>
      <c r="AG74" s="2" t="s">
        <v>36</v>
      </c>
      <c r="AH74" s="172">
        <v>8.0000000000000007E-5</v>
      </c>
      <c r="AI74" s="172">
        <v>4.2827975016227697E-2</v>
      </c>
      <c r="AJ74" s="172">
        <v>1.0386325906103401E-2</v>
      </c>
    </row>
    <row r="75" spans="1:36">
      <c r="A75" s="2">
        <v>161</v>
      </c>
      <c r="B75" s="2">
        <v>1434</v>
      </c>
      <c r="C75" s="2" t="s">
        <v>1711</v>
      </c>
      <c r="D75" s="2" t="s">
        <v>1712</v>
      </c>
      <c r="E75" s="4" t="s">
        <v>1363</v>
      </c>
      <c r="F75" s="2" t="s">
        <v>2299</v>
      </c>
      <c r="G75" s="2" t="s">
        <v>2300</v>
      </c>
      <c r="H75" s="2" t="s">
        <v>223</v>
      </c>
      <c r="I75" s="2" t="s">
        <v>804</v>
      </c>
      <c r="J75" s="2" t="s">
        <v>30</v>
      </c>
      <c r="K75" s="2" t="s">
        <v>30</v>
      </c>
      <c r="L75" s="2" t="s">
        <v>377</v>
      </c>
      <c r="M75" s="2" t="s">
        <v>31</v>
      </c>
      <c r="N75" s="2" t="s">
        <v>511</v>
      </c>
      <c r="O75" s="2" t="s">
        <v>173</v>
      </c>
      <c r="P75" s="2" t="s">
        <v>93</v>
      </c>
      <c r="Q75" s="2" t="s">
        <v>462</v>
      </c>
      <c r="R75" s="2" t="s">
        <v>456</v>
      </c>
      <c r="S75" s="2" t="s">
        <v>34</v>
      </c>
      <c r="T75" s="156">
        <v>6.7329999999999997</v>
      </c>
      <c r="U75" s="2" t="s">
        <v>2301</v>
      </c>
      <c r="V75" s="170">
        <v>8.9999999999999993E-3</v>
      </c>
      <c r="W75" s="172">
        <v>3.3419999999999998E-2</v>
      </c>
      <c r="X75" s="4" t="s">
        <v>461</v>
      </c>
      <c r="Y75" s="4" t="s">
        <v>173</v>
      </c>
      <c r="Z75" s="156">
        <v>22540</v>
      </c>
      <c r="AA75" s="166">
        <v>1</v>
      </c>
      <c r="AB75" s="183">
        <v>96.33</v>
      </c>
      <c r="AD75" s="156">
        <v>21.713000000000001</v>
      </c>
      <c r="AG75" s="2" t="s">
        <v>36</v>
      </c>
      <c r="AH75" s="172">
        <v>7.9999999999999996E-6</v>
      </c>
      <c r="AI75" s="172">
        <v>3.9769336048133602E-3</v>
      </c>
      <c r="AJ75" s="172">
        <v>9.6445672509324004E-4</v>
      </c>
    </row>
    <row r="76" spans="1:36">
      <c r="A76" s="2">
        <v>161</v>
      </c>
      <c r="B76" s="2">
        <v>1434</v>
      </c>
      <c r="C76" s="2" t="s">
        <v>1711</v>
      </c>
      <c r="D76" s="2" t="s">
        <v>1712</v>
      </c>
      <c r="E76" s="4" t="s">
        <v>1363</v>
      </c>
      <c r="F76" s="2" t="s">
        <v>2302</v>
      </c>
      <c r="G76" s="2" t="s">
        <v>2303</v>
      </c>
      <c r="H76" s="2" t="s">
        <v>223</v>
      </c>
      <c r="I76" s="2" t="s">
        <v>804</v>
      </c>
      <c r="J76" s="2" t="s">
        <v>30</v>
      </c>
      <c r="K76" s="2" t="s">
        <v>30</v>
      </c>
      <c r="L76" s="2" t="s">
        <v>377</v>
      </c>
      <c r="M76" s="2" t="s">
        <v>31</v>
      </c>
      <c r="N76" s="2" t="s">
        <v>511</v>
      </c>
      <c r="O76" s="2" t="s">
        <v>173</v>
      </c>
      <c r="P76" s="2" t="s">
        <v>93</v>
      </c>
      <c r="Q76" s="2" t="s">
        <v>462</v>
      </c>
      <c r="R76" s="2" t="s">
        <v>456</v>
      </c>
      <c r="S76" s="2" t="s">
        <v>34</v>
      </c>
      <c r="T76" s="156">
        <v>0.45800000000000002</v>
      </c>
      <c r="U76" s="2" t="s">
        <v>2304</v>
      </c>
      <c r="V76" s="170">
        <v>6.4999999999999997E-3</v>
      </c>
      <c r="W76" s="172">
        <v>2.793E-2</v>
      </c>
      <c r="X76" s="4" t="s">
        <v>461</v>
      </c>
      <c r="Y76" s="4" t="s">
        <v>173</v>
      </c>
      <c r="Z76" s="156">
        <v>20500</v>
      </c>
      <c r="AA76" s="166">
        <v>1</v>
      </c>
      <c r="AB76" s="183">
        <v>114.12</v>
      </c>
      <c r="AC76" s="156">
        <v>7.6999999999999999E-2</v>
      </c>
      <c r="AD76" s="156">
        <v>23.471</v>
      </c>
      <c r="AG76" s="2" t="s">
        <v>36</v>
      </c>
      <c r="AH76" s="172">
        <v>3.8000000000000002E-5</v>
      </c>
      <c r="AI76" s="172">
        <v>4.2990492291602499E-3</v>
      </c>
      <c r="AJ76" s="172">
        <v>1.0425738401949199E-3</v>
      </c>
    </row>
    <row r="77" spans="1:36">
      <c r="A77" s="2">
        <v>161</v>
      </c>
      <c r="B77" s="2">
        <v>1434</v>
      </c>
      <c r="C77" s="2" t="s">
        <v>1620</v>
      </c>
      <c r="D77" s="2" t="s">
        <v>1621</v>
      </c>
      <c r="E77" s="4" t="s">
        <v>1363</v>
      </c>
      <c r="F77" s="2" t="s">
        <v>2305</v>
      </c>
      <c r="G77" s="2" t="s">
        <v>2306</v>
      </c>
      <c r="H77" s="2" t="s">
        <v>223</v>
      </c>
      <c r="I77" s="2" t="s">
        <v>1013</v>
      </c>
      <c r="J77" s="2" t="s">
        <v>30</v>
      </c>
      <c r="K77" s="2" t="s">
        <v>30</v>
      </c>
      <c r="L77" s="2" t="s">
        <v>377</v>
      </c>
      <c r="M77" s="2" t="s">
        <v>31</v>
      </c>
      <c r="N77" s="2" t="s">
        <v>495</v>
      </c>
      <c r="O77" s="2" t="s">
        <v>173</v>
      </c>
      <c r="P77" s="2" t="s">
        <v>1224</v>
      </c>
      <c r="Q77" s="2" t="s">
        <v>462</v>
      </c>
      <c r="R77" s="2" t="s">
        <v>456</v>
      </c>
      <c r="S77" s="2" t="s">
        <v>34</v>
      </c>
      <c r="T77" s="156">
        <v>3.3130000000000002</v>
      </c>
      <c r="U77" s="2" t="s">
        <v>2307</v>
      </c>
      <c r="V77" s="170">
        <v>2.5000000000000001E-2</v>
      </c>
      <c r="W77" s="172">
        <v>5.117E-2</v>
      </c>
      <c r="X77" s="4" t="s">
        <v>461</v>
      </c>
      <c r="Y77" s="4" t="s">
        <v>173</v>
      </c>
      <c r="Z77" s="156">
        <v>170000</v>
      </c>
      <c r="AA77" s="166">
        <v>1</v>
      </c>
      <c r="AB77" s="183">
        <v>93.69</v>
      </c>
      <c r="AD77" s="156">
        <v>159.273</v>
      </c>
      <c r="AG77" s="2" t="s">
        <v>36</v>
      </c>
      <c r="AH77" s="172">
        <v>7.2999999999999999E-5</v>
      </c>
      <c r="AI77" s="172">
        <v>2.9172592717019798E-2</v>
      </c>
      <c r="AJ77" s="172">
        <v>7.0747228971292401E-3</v>
      </c>
    </row>
    <row r="78" spans="1:36">
      <c r="A78" s="2">
        <v>161</v>
      </c>
      <c r="B78" s="2">
        <v>1434</v>
      </c>
      <c r="C78" s="2" t="s">
        <v>1620</v>
      </c>
      <c r="D78" s="2" t="s">
        <v>1621</v>
      </c>
      <c r="E78" s="4" t="s">
        <v>1363</v>
      </c>
      <c r="F78" s="2" t="s">
        <v>2308</v>
      </c>
      <c r="G78" s="2" t="s">
        <v>2309</v>
      </c>
      <c r="H78" s="2" t="s">
        <v>223</v>
      </c>
      <c r="I78" s="2" t="s">
        <v>804</v>
      </c>
      <c r="J78" s="2" t="s">
        <v>30</v>
      </c>
      <c r="K78" s="2" t="s">
        <v>30</v>
      </c>
      <c r="L78" s="2" t="s">
        <v>377</v>
      </c>
      <c r="M78" s="2" t="s">
        <v>31</v>
      </c>
      <c r="N78" s="2" t="s">
        <v>495</v>
      </c>
      <c r="O78" s="2" t="s">
        <v>173</v>
      </c>
      <c r="P78" s="2" t="s">
        <v>1224</v>
      </c>
      <c r="Q78" s="2" t="s">
        <v>462</v>
      </c>
      <c r="R78" s="2" t="s">
        <v>456</v>
      </c>
      <c r="S78" s="2" t="s">
        <v>34</v>
      </c>
      <c r="T78" s="156">
        <v>3.5609999999999999</v>
      </c>
      <c r="U78" s="2" t="s">
        <v>2307</v>
      </c>
      <c r="V78" s="170">
        <v>1E-3</v>
      </c>
      <c r="W78" s="172">
        <v>2.3970000000000002E-2</v>
      </c>
      <c r="X78" s="4" t="s">
        <v>461</v>
      </c>
      <c r="Y78" s="4" t="s">
        <v>173</v>
      </c>
      <c r="Z78" s="156">
        <v>117836</v>
      </c>
      <c r="AA78" s="166">
        <v>1</v>
      </c>
      <c r="AB78" s="183">
        <v>103.73</v>
      </c>
      <c r="AD78" s="156">
        <v>122.23099999999999</v>
      </c>
      <c r="AG78" s="2" t="s">
        <v>36</v>
      </c>
      <c r="AH78" s="172">
        <v>1.05E-4</v>
      </c>
      <c r="AI78" s="172">
        <v>2.2387996900939101E-2</v>
      </c>
      <c r="AJ78" s="172">
        <v>5.4293725563695E-3</v>
      </c>
    </row>
    <row r="79" spans="1:36">
      <c r="A79" s="2">
        <v>161</v>
      </c>
      <c r="B79" s="2">
        <v>1434</v>
      </c>
      <c r="C79" s="2" t="s">
        <v>1620</v>
      </c>
      <c r="D79" s="2" t="s">
        <v>1621</v>
      </c>
      <c r="E79" s="4" t="s">
        <v>1363</v>
      </c>
      <c r="F79" s="2" t="s">
        <v>2310</v>
      </c>
      <c r="G79" s="2" t="s">
        <v>2311</v>
      </c>
      <c r="H79" s="2" t="s">
        <v>223</v>
      </c>
      <c r="I79" s="2" t="s">
        <v>804</v>
      </c>
      <c r="J79" s="2" t="s">
        <v>30</v>
      </c>
      <c r="K79" s="2" t="s">
        <v>30</v>
      </c>
      <c r="L79" s="2" t="s">
        <v>377</v>
      </c>
      <c r="M79" s="2" t="s">
        <v>31</v>
      </c>
      <c r="N79" s="2" t="s">
        <v>495</v>
      </c>
      <c r="O79" s="2" t="s">
        <v>173</v>
      </c>
      <c r="P79" s="2" t="s">
        <v>1224</v>
      </c>
      <c r="Q79" s="2" t="s">
        <v>462</v>
      </c>
      <c r="R79" s="2" t="s">
        <v>456</v>
      </c>
      <c r="S79" s="2" t="s">
        <v>34</v>
      </c>
      <c r="T79" s="156">
        <v>3.9140000000000001</v>
      </c>
      <c r="U79" s="2" t="s">
        <v>2312</v>
      </c>
      <c r="V79" s="170">
        <v>1.3899999999999999E-2</v>
      </c>
      <c r="W79" s="172">
        <v>2.4809999999999999E-2</v>
      </c>
      <c r="X79" s="4" t="s">
        <v>461</v>
      </c>
      <c r="Y79" s="4" t="s">
        <v>173</v>
      </c>
      <c r="Z79" s="156">
        <v>143200</v>
      </c>
      <c r="AA79" s="166">
        <v>1</v>
      </c>
      <c r="AB79" s="183">
        <v>103.84</v>
      </c>
      <c r="AD79" s="156">
        <v>148.69900000000001</v>
      </c>
      <c r="AG79" s="2" t="s">
        <v>36</v>
      </c>
      <c r="AH79" s="172">
        <v>8.0000000000000007E-5</v>
      </c>
      <c r="AI79" s="172">
        <v>2.72358269368757E-2</v>
      </c>
      <c r="AJ79" s="172">
        <v>6.6050326867295303E-3</v>
      </c>
    </row>
    <row r="80" spans="1:36">
      <c r="A80" s="2">
        <v>161</v>
      </c>
      <c r="B80" s="2">
        <v>1434</v>
      </c>
      <c r="C80" s="2" t="s">
        <v>1620</v>
      </c>
      <c r="D80" s="2" t="s">
        <v>1621</v>
      </c>
      <c r="E80" s="4" t="s">
        <v>1363</v>
      </c>
      <c r="F80" s="2" t="s">
        <v>2313</v>
      </c>
      <c r="G80" s="2" t="s">
        <v>2314</v>
      </c>
      <c r="H80" s="2" t="s">
        <v>223</v>
      </c>
      <c r="I80" s="2" t="s">
        <v>804</v>
      </c>
      <c r="J80" s="2" t="s">
        <v>30</v>
      </c>
      <c r="K80" s="2" t="s">
        <v>30</v>
      </c>
      <c r="L80" s="2" t="s">
        <v>377</v>
      </c>
      <c r="M80" s="2" t="s">
        <v>31</v>
      </c>
      <c r="N80" s="2" t="s">
        <v>495</v>
      </c>
      <c r="O80" s="2" t="s">
        <v>173</v>
      </c>
      <c r="P80" s="2" t="s">
        <v>1224</v>
      </c>
      <c r="Q80" s="2" t="s">
        <v>462</v>
      </c>
      <c r="R80" s="2" t="s">
        <v>456</v>
      </c>
      <c r="S80" s="2" t="s">
        <v>34</v>
      </c>
      <c r="T80" s="156">
        <v>1.905</v>
      </c>
      <c r="U80" s="2" t="s">
        <v>2315</v>
      </c>
      <c r="V80" s="170">
        <v>6.0000000000000001E-3</v>
      </c>
      <c r="W80" s="172">
        <v>2.0719999999999999E-2</v>
      </c>
      <c r="X80" s="4" t="s">
        <v>461</v>
      </c>
      <c r="Y80" s="4" t="s">
        <v>173</v>
      </c>
      <c r="Z80" s="156">
        <v>72219.5</v>
      </c>
      <c r="AA80" s="166">
        <v>1</v>
      </c>
      <c r="AB80" s="183">
        <v>113.24</v>
      </c>
      <c r="AD80" s="156">
        <v>81.781000000000006</v>
      </c>
      <c r="AG80" s="2" t="s">
        <v>36</v>
      </c>
      <c r="AH80" s="172">
        <v>8.1000000000000004E-5</v>
      </c>
      <c r="AI80" s="172">
        <v>1.49791512662827E-2</v>
      </c>
      <c r="AJ80" s="172">
        <v>3.6326337350641399E-3</v>
      </c>
    </row>
    <row r="81" spans="1:36">
      <c r="A81" s="2">
        <v>161</v>
      </c>
      <c r="B81" s="2">
        <v>1434</v>
      </c>
      <c r="C81" s="2" t="s">
        <v>1620</v>
      </c>
      <c r="D81" s="2" t="s">
        <v>1621</v>
      </c>
      <c r="E81" s="4" t="s">
        <v>1363</v>
      </c>
      <c r="F81" s="2" t="s">
        <v>2316</v>
      </c>
      <c r="G81" s="2" t="s">
        <v>2317</v>
      </c>
      <c r="H81" s="2" t="s">
        <v>223</v>
      </c>
      <c r="I81" s="2" t="s">
        <v>804</v>
      </c>
      <c r="J81" s="2" t="s">
        <v>30</v>
      </c>
      <c r="K81" s="2" t="s">
        <v>30</v>
      </c>
      <c r="L81" s="2" t="s">
        <v>377</v>
      </c>
      <c r="M81" s="2" t="s">
        <v>31</v>
      </c>
      <c r="N81" s="2" t="s">
        <v>495</v>
      </c>
      <c r="O81" s="2" t="s">
        <v>173</v>
      </c>
      <c r="P81" s="2" t="s">
        <v>1224</v>
      </c>
      <c r="Q81" s="2" t="s">
        <v>462</v>
      </c>
      <c r="R81" s="2" t="s">
        <v>456</v>
      </c>
      <c r="S81" s="2" t="s">
        <v>34</v>
      </c>
      <c r="T81" s="156">
        <v>2.786</v>
      </c>
      <c r="U81" s="2" t="s">
        <v>2318</v>
      </c>
      <c r="V81" s="170">
        <v>1.7500000000000002E-2</v>
      </c>
      <c r="W81" s="172">
        <v>2.3460000000000002E-2</v>
      </c>
      <c r="X81" s="4" t="s">
        <v>461</v>
      </c>
      <c r="Y81" s="4" t="s">
        <v>173</v>
      </c>
      <c r="Z81" s="156">
        <v>146247.73000000001</v>
      </c>
      <c r="AA81" s="166">
        <v>1</v>
      </c>
      <c r="AB81" s="183">
        <v>114.28</v>
      </c>
      <c r="AD81" s="156">
        <v>167.13200000000001</v>
      </c>
      <c r="AG81" s="2" t="s">
        <v>36</v>
      </c>
      <c r="AH81" s="172">
        <v>5.5999999999999999E-5</v>
      </c>
      <c r="AI81" s="172">
        <v>3.0612037314587601E-2</v>
      </c>
      <c r="AJ81" s="172">
        <v>7.4238064274258298E-3</v>
      </c>
    </row>
    <row r="82" spans="1:36">
      <c r="A82" s="2">
        <v>161</v>
      </c>
      <c r="B82" s="2">
        <v>1434</v>
      </c>
      <c r="C82" s="2" t="s">
        <v>1719</v>
      </c>
      <c r="D82" s="2" t="s">
        <v>1720</v>
      </c>
      <c r="E82" s="4" t="s">
        <v>1363</v>
      </c>
      <c r="F82" s="2" t="s">
        <v>2319</v>
      </c>
      <c r="G82" s="2" t="s">
        <v>2320</v>
      </c>
      <c r="H82" s="2" t="s">
        <v>223</v>
      </c>
      <c r="I82" s="2" t="s">
        <v>1013</v>
      </c>
      <c r="J82" s="2" t="s">
        <v>30</v>
      </c>
      <c r="K82" s="2" t="s">
        <v>30</v>
      </c>
      <c r="L82" s="2" t="s">
        <v>377</v>
      </c>
      <c r="M82" s="2" t="s">
        <v>31</v>
      </c>
      <c r="N82" s="2" t="s">
        <v>524</v>
      </c>
      <c r="O82" s="2" t="s">
        <v>173</v>
      </c>
      <c r="P82" s="2" t="s">
        <v>1374</v>
      </c>
      <c r="Q82" s="2" t="s">
        <v>462</v>
      </c>
      <c r="R82" s="2" t="s">
        <v>456</v>
      </c>
      <c r="S82" s="2" t="s">
        <v>34</v>
      </c>
      <c r="T82" s="156">
        <v>1.327</v>
      </c>
      <c r="U82" s="2" t="s">
        <v>2321</v>
      </c>
      <c r="V82" s="170">
        <v>2.29E-2</v>
      </c>
      <c r="W82" s="172">
        <v>5.219E-2</v>
      </c>
      <c r="X82" s="4" t="s">
        <v>461</v>
      </c>
      <c r="Y82" s="4" t="s">
        <v>173</v>
      </c>
      <c r="Z82" s="156">
        <v>27282.06</v>
      </c>
      <c r="AA82" s="166">
        <v>1</v>
      </c>
      <c r="AB82" s="183">
        <v>97.05</v>
      </c>
      <c r="AD82" s="156">
        <v>26.477</v>
      </c>
      <c r="AG82" s="2" t="s">
        <v>36</v>
      </c>
      <c r="AH82" s="172">
        <v>6.6000000000000005E-5</v>
      </c>
      <c r="AI82" s="172">
        <v>4.8495960792343199E-3</v>
      </c>
      <c r="AJ82" s="172">
        <v>1.1760884182080401E-3</v>
      </c>
    </row>
    <row r="83" spans="1:36">
      <c r="A83" s="2">
        <v>161</v>
      </c>
      <c r="B83" s="2">
        <v>1434</v>
      </c>
      <c r="C83" s="2" t="s">
        <v>2322</v>
      </c>
      <c r="D83" s="2" t="s">
        <v>2323</v>
      </c>
      <c r="E83" s="4" t="s">
        <v>1363</v>
      </c>
      <c r="F83" s="2" t="s">
        <v>2324</v>
      </c>
      <c r="G83" s="2" t="s">
        <v>2325</v>
      </c>
      <c r="H83" s="2" t="s">
        <v>223</v>
      </c>
      <c r="I83" s="2" t="s">
        <v>804</v>
      </c>
      <c r="J83" s="2" t="s">
        <v>30</v>
      </c>
      <c r="K83" s="2" t="s">
        <v>30</v>
      </c>
      <c r="L83" s="2" t="s">
        <v>377</v>
      </c>
      <c r="M83" s="2" t="s">
        <v>31</v>
      </c>
      <c r="N83" s="2" t="s">
        <v>487</v>
      </c>
      <c r="O83" s="2" t="s">
        <v>173</v>
      </c>
      <c r="P83" s="2" t="s">
        <v>1374</v>
      </c>
      <c r="Q83" s="2" t="s">
        <v>462</v>
      </c>
      <c r="R83" s="2" t="s">
        <v>456</v>
      </c>
      <c r="S83" s="2" t="s">
        <v>34</v>
      </c>
      <c r="T83" s="156">
        <v>1.8979999999999999</v>
      </c>
      <c r="U83" s="2" t="s">
        <v>2326</v>
      </c>
      <c r="V83" s="170">
        <v>1.9400000000000001E-2</v>
      </c>
      <c r="W83" s="172">
        <v>2.4199999999999999E-2</v>
      </c>
      <c r="X83" s="4" t="s">
        <v>461</v>
      </c>
      <c r="Y83" s="4" t="s">
        <v>173</v>
      </c>
      <c r="Z83" s="156">
        <v>40000</v>
      </c>
      <c r="AA83" s="166">
        <v>1</v>
      </c>
      <c r="AB83" s="183">
        <v>115.88</v>
      </c>
      <c r="AD83" s="156">
        <v>46.351999999999997</v>
      </c>
      <c r="AG83" s="2" t="s">
        <v>36</v>
      </c>
      <c r="AH83" s="172">
        <v>1.3300000000000001E-4</v>
      </c>
      <c r="AI83" s="172">
        <v>8.4898759841234902E-3</v>
      </c>
      <c r="AJ83" s="172">
        <v>2.05890236090068E-3</v>
      </c>
    </row>
    <row r="84" spans="1:36">
      <c r="A84" s="2">
        <v>161</v>
      </c>
      <c r="B84" s="2">
        <v>1434</v>
      </c>
      <c r="C84" s="2" t="s">
        <v>2327</v>
      </c>
      <c r="D84" s="2" t="s">
        <v>2328</v>
      </c>
      <c r="E84" s="4" t="s">
        <v>1363</v>
      </c>
      <c r="F84" s="2" t="s">
        <v>2329</v>
      </c>
      <c r="G84" s="2" t="s">
        <v>2330</v>
      </c>
      <c r="H84" s="2" t="s">
        <v>223</v>
      </c>
      <c r="I84" s="2" t="s">
        <v>1013</v>
      </c>
      <c r="J84" s="2" t="s">
        <v>30</v>
      </c>
      <c r="K84" s="2" t="s">
        <v>30</v>
      </c>
      <c r="L84" s="2" t="s">
        <v>377</v>
      </c>
      <c r="M84" s="2" t="s">
        <v>31</v>
      </c>
      <c r="N84" s="2" t="s">
        <v>494</v>
      </c>
      <c r="O84" s="2" t="s">
        <v>173</v>
      </c>
      <c r="P84" s="2" t="s">
        <v>2041</v>
      </c>
      <c r="Q84" s="2" t="s">
        <v>464</v>
      </c>
      <c r="R84" s="2" t="s">
        <v>456</v>
      </c>
      <c r="S84" s="2" t="s">
        <v>34</v>
      </c>
      <c r="T84" s="156">
        <v>0.52800000000000002</v>
      </c>
      <c r="U84" s="2" t="s">
        <v>2331</v>
      </c>
      <c r="V84" s="170">
        <v>0.06</v>
      </c>
      <c r="W84" s="172">
        <v>6.6379999999999995E-2</v>
      </c>
      <c r="X84" s="4" t="s">
        <v>461</v>
      </c>
      <c r="Y84" s="4" t="s">
        <v>173</v>
      </c>
      <c r="Z84" s="156">
        <v>0.9</v>
      </c>
      <c r="AA84" s="166">
        <v>1</v>
      </c>
      <c r="AB84" s="183">
        <v>101</v>
      </c>
      <c r="AD84" s="156">
        <v>1E-3</v>
      </c>
      <c r="AG84" s="2" t="s">
        <v>36</v>
      </c>
      <c r="AH84" s="172">
        <v>0</v>
      </c>
      <c r="AI84" s="172">
        <v>1.6649329628857999E-7</v>
      </c>
      <c r="AJ84" s="172">
        <v>4.0376731231850198E-8</v>
      </c>
    </row>
    <row r="85" spans="1:36">
      <c r="A85" s="2">
        <v>161</v>
      </c>
      <c r="B85" s="2">
        <v>1434</v>
      </c>
      <c r="C85" s="2" t="s">
        <v>1939</v>
      </c>
      <c r="D85" s="2" t="s">
        <v>1940</v>
      </c>
      <c r="E85" s="4" t="s">
        <v>1363</v>
      </c>
      <c r="F85" s="2" t="s">
        <v>2332</v>
      </c>
      <c r="G85" s="2" t="s">
        <v>2333</v>
      </c>
      <c r="H85" s="2" t="s">
        <v>223</v>
      </c>
      <c r="I85" s="2" t="s">
        <v>804</v>
      </c>
      <c r="J85" s="2" t="s">
        <v>30</v>
      </c>
      <c r="K85" s="2" t="s">
        <v>30</v>
      </c>
      <c r="L85" s="2" t="s">
        <v>377</v>
      </c>
      <c r="M85" s="2" t="s">
        <v>31</v>
      </c>
      <c r="N85" s="2" t="s">
        <v>511</v>
      </c>
      <c r="O85" s="2" t="s">
        <v>173</v>
      </c>
      <c r="P85" s="2" t="s">
        <v>2052</v>
      </c>
      <c r="Q85" s="2" t="s">
        <v>462</v>
      </c>
      <c r="R85" s="2" t="s">
        <v>456</v>
      </c>
      <c r="S85" s="2" t="s">
        <v>34</v>
      </c>
      <c r="T85" s="156">
        <v>6.6509999999999998</v>
      </c>
      <c r="U85" s="2" t="s">
        <v>2334</v>
      </c>
      <c r="V85" s="170">
        <v>2.5000000000000001E-2</v>
      </c>
      <c r="W85" s="172">
        <v>3.3890000000000003E-2</v>
      </c>
      <c r="X85" s="4" t="s">
        <v>461</v>
      </c>
      <c r="Y85" s="4" t="s">
        <v>173</v>
      </c>
      <c r="Z85" s="156">
        <v>19950</v>
      </c>
      <c r="AA85" s="166">
        <v>1</v>
      </c>
      <c r="AB85" s="183">
        <v>109.06</v>
      </c>
      <c r="AD85" s="156">
        <v>21.757000000000001</v>
      </c>
      <c r="AG85" s="2" t="s">
        <v>36</v>
      </c>
      <c r="AH85" s="172">
        <v>2.4000000000000001E-5</v>
      </c>
      <c r="AI85" s="172">
        <v>3.9851187009899798E-3</v>
      </c>
      <c r="AJ85" s="172">
        <v>9.66441714493998E-4</v>
      </c>
    </row>
    <row r="86" spans="1:36">
      <c r="A86" s="2">
        <v>161</v>
      </c>
      <c r="B86" s="2">
        <v>1434</v>
      </c>
      <c r="C86" s="2" t="s">
        <v>2335</v>
      </c>
      <c r="D86" s="2" t="s">
        <v>2336</v>
      </c>
      <c r="E86" s="4" t="s">
        <v>1363</v>
      </c>
      <c r="F86" s="2" t="s">
        <v>2337</v>
      </c>
      <c r="G86" s="2" t="s">
        <v>2338</v>
      </c>
      <c r="H86" s="2" t="s">
        <v>223</v>
      </c>
      <c r="I86" s="2" t="s">
        <v>1013</v>
      </c>
      <c r="J86" s="2" t="s">
        <v>30</v>
      </c>
      <c r="K86" s="2" t="s">
        <v>30</v>
      </c>
      <c r="L86" s="2" t="s">
        <v>377</v>
      </c>
      <c r="M86" s="2" t="s">
        <v>31</v>
      </c>
      <c r="N86" s="2" t="s">
        <v>490</v>
      </c>
      <c r="O86" s="2" t="s">
        <v>173</v>
      </c>
      <c r="P86" s="2" t="s">
        <v>2339</v>
      </c>
      <c r="Q86" s="2" t="s">
        <v>464</v>
      </c>
      <c r="R86" s="2" t="s">
        <v>456</v>
      </c>
      <c r="S86" s="2" t="s">
        <v>34</v>
      </c>
      <c r="T86" s="156">
        <v>0.73</v>
      </c>
      <c r="U86" s="2" t="s">
        <v>2340</v>
      </c>
      <c r="V86" s="170">
        <v>3.15E-2</v>
      </c>
      <c r="W86" s="172">
        <v>8.2530000000000006E-2</v>
      </c>
      <c r="X86" s="4" t="s">
        <v>461</v>
      </c>
      <c r="Y86" s="4" t="s">
        <v>173</v>
      </c>
      <c r="Z86" s="156">
        <v>0.95</v>
      </c>
      <c r="AA86" s="166">
        <v>1</v>
      </c>
      <c r="AB86" s="183">
        <v>97.3</v>
      </c>
      <c r="AD86" s="156">
        <v>1E-3</v>
      </c>
      <c r="AG86" s="2" t="s">
        <v>36</v>
      </c>
      <c r="AH86" s="172">
        <v>0</v>
      </c>
      <c r="AI86" s="172">
        <v>1.69304816748459E-7</v>
      </c>
      <c r="AJ86" s="172">
        <v>4.1058560521628997E-8</v>
      </c>
    </row>
    <row r="87" spans="1:36">
      <c r="A87" s="2">
        <v>161</v>
      </c>
      <c r="B87" s="2">
        <v>1434</v>
      </c>
      <c r="C87" s="2" t="s">
        <v>2341</v>
      </c>
      <c r="D87" s="2" t="s">
        <v>2342</v>
      </c>
      <c r="E87" s="4" t="s">
        <v>1363</v>
      </c>
      <c r="F87" s="2" t="s">
        <v>2343</v>
      </c>
      <c r="G87" s="2" t="s">
        <v>2344</v>
      </c>
      <c r="H87" s="2" t="s">
        <v>223</v>
      </c>
      <c r="I87" s="2" t="s">
        <v>1013</v>
      </c>
      <c r="J87" s="2" t="s">
        <v>30</v>
      </c>
      <c r="K87" s="2" t="s">
        <v>30</v>
      </c>
      <c r="L87" s="2" t="s">
        <v>377</v>
      </c>
      <c r="M87" s="2" t="s">
        <v>31</v>
      </c>
      <c r="N87" s="2" t="s">
        <v>487</v>
      </c>
      <c r="O87" s="2" t="s">
        <v>173</v>
      </c>
      <c r="P87" s="2" t="s">
        <v>2041</v>
      </c>
      <c r="Q87" s="2" t="s">
        <v>464</v>
      </c>
      <c r="R87" s="2" t="s">
        <v>456</v>
      </c>
      <c r="S87" s="2" t="s">
        <v>34</v>
      </c>
      <c r="T87" s="156">
        <v>4.2539999999999996</v>
      </c>
      <c r="U87" s="2" t="s">
        <v>2345</v>
      </c>
      <c r="V87" s="170">
        <v>6.7699999999999996E-2</v>
      </c>
      <c r="W87" s="172">
        <v>6.6390000000000005E-2</v>
      </c>
      <c r="X87" s="4" t="s">
        <v>461</v>
      </c>
      <c r="Y87" s="4" t="s">
        <v>173</v>
      </c>
      <c r="Z87" s="156">
        <v>40000</v>
      </c>
      <c r="AA87" s="166">
        <v>1</v>
      </c>
      <c r="AB87" s="183">
        <v>102.69</v>
      </c>
      <c r="AD87" s="156">
        <v>41.076000000000001</v>
      </c>
      <c r="AG87" s="2" t="s">
        <v>36</v>
      </c>
      <c r="AH87" s="172">
        <v>5.3000000000000001E-5</v>
      </c>
      <c r="AI87" s="172">
        <v>7.5235188540700802E-3</v>
      </c>
      <c r="AJ87" s="172">
        <v>1.8245485281402399E-3</v>
      </c>
    </row>
    <row r="88" spans="1:36">
      <c r="A88" s="2">
        <v>161</v>
      </c>
      <c r="B88" s="2">
        <v>1434</v>
      </c>
      <c r="C88" s="2" t="s">
        <v>2346</v>
      </c>
      <c r="D88" s="2" t="s">
        <v>2347</v>
      </c>
      <c r="E88" s="4" t="s">
        <v>1363</v>
      </c>
      <c r="F88" s="2" t="s">
        <v>2348</v>
      </c>
      <c r="G88" s="2" t="s">
        <v>2349</v>
      </c>
      <c r="H88" s="2" t="s">
        <v>223</v>
      </c>
      <c r="I88" s="2" t="s">
        <v>804</v>
      </c>
      <c r="J88" s="2" t="s">
        <v>30</v>
      </c>
      <c r="K88" s="2" t="s">
        <v>30</v>
      </c>
      <c r="L88" s="2" t="s">
        <v>377</v>
      </c>
      <c r="M88" s="2" t="s">
        <v>31</v>
      </c>
      <c r="N88" s="2" t="s">
        <v>525</v>
      </c>
      <c r="O88" s="2" t="s">
        <v>173</v>
      </c>
      <c r="P88" s="2" t="s">
        <v>2052</v>
      </c>
      <c r="Q88" s="2" t="s">
        <v>462</v>
      </c>
      <c r="R88" s="2" t="s">
        <v>456</v>
      </c>
      <c r="S88" s="2" t="s">
        <v>34</v>
      </c>
      <c r="T88" s="156">
        <v>3.5009999999999999</v>
      </c>
      <c r="U88" s="2" t="s">
        <v>2350</v>
      </c>
      <c r="V88" s="170">
        <v>2.1999999999999999E-2</v>
      </c>
      <c r="W88" s="172">
        <v>3.0370000000000001E-2</v>
      </c>
      <c r="X88" s="4" t="s">
        <v>461</v>
      </c>
      <c r="Y88" s="4" t="s">
        <v>173</v>
      </c>
      <c r="Z88" s="156">
        <v>43500.01</v>
      </c>
      <c r="AA88" s="166">
        <v>1</v>
      </c>
      <c r="AB88" s="183">
        <v>103.8</v>
      </c>
      <c r="AD88" s="156">
        <v>45.152999999999999</v>
      </c>
      <c r="AG88" s="2" t="s">
        <v>36</v>
      </c>
      <c r="AH88" s="172">
        <v>6.7999999999999999E-5</v>
      </c>
      <c r="AI88" s="172">
        <v>8.2702679158621201E-3</v>
      </c>
      <c r="AJ88" s="172">
        <v>2.0056446253269499E-3</v>
      </c>
    </row>
    <row r="89" spans="1:36">
      <c r="A89" s="2">
        <v>161</v>
      </c>
      <c r="B89" s="2">
        <v>1434</v>
      </c>
      <c r="C89" s="2" t="s">
        <v>2351</v>
      </c>
      <c r="D89" s="2" t="s">
        <v>2352</v>
      </c>
      <c r="E89" s="4" t="s">
        <v>1363</v>
      </c>
      <c r="F89" s="2" t="s">
        <v>2353</v>
      </c>
      <c r="G89" s="2" t="s">
        <v>2354</v>
      </c>
      <c r="H89" s="2" t="s">
        <v>223</v>
      </c>
      <c r="I89" s="2" t="s">
        <v>805</v>
      </c>
      <c r="J89" s="2" t="s">
        <v>30</v>
      </c>
      <c r="K89" s="2" t="s">
        <v>30</v>
      </c>
      <c r="L89" s="2" t="s">
        <v>377</v>
      </c>
      <c r="M89" s="2" t="s">
        <v>31</v>
      </c>
      <c r="N89" s="2" t="s">
        <v>501</v>
      </c>
      <c r="O89" s="2" t="s">
        <v>173</v>
      </c>
      <c r="P89" s="2" t="s">
        <v>2061</v>
      </c>
      <c r="Q89" s="2" t="s">
        <v>464</v>
      </c>
      <c r="R89" s="2" t="s">
        <v>456</v>
      </c>
      <c r="S89" s="2" t="s">
        <v>34</v>
      </c>
      <c r="T89" s="156">
        <v>3.129</v>
      </c>
      <c r="U89" s="2" t="s">
        <v>2355</v>
      </c>
      <c r="V89" s="170">
        <v>4.6899999999999997E-2</v>
      </c>
      <c r="W89" s="172">
        <v>7.5190000000000007E-2</v>
      </c>
      <c r="X89" s="4" t="s">
        <v>461</v>
      </c>
      <c r="Y89" s="4" t="s">
        <v>173</v>
      </c>
      <c r="Z89" s="156">
        <v>67216.11</v>
      </c>
      <c r="AA89" s="166">
        <v>1</v>
      </c>
      <c r="AB89" s="183">
        <v>99.56</v>
      </c>
      <c r="AD89" s="156">
        <v>66.92</v>
      </c>
      <c r="AG89" s="2" t="s">
        <v>36</v>
      </c>
      <c r="AH89" s="172">
        <v>5.8E-5</v>
      </c>
      <c r="AI89" s="172">
        <v>1.22571960154437E-2</v>
      </c>
      <c r="AJ89" s="172">
        <v>2.9725251418763802E-3</v>
      </c>
    </row>
    <row r="90" spans="1:36">
      <c r="A90" s="2">
        <v>161</v>
      </c>
      <c r="B90" s="2">
        <v>1434</v>
      </c>
      <c r="C90" s="2" t="s">
        <v>1222</v>
      </c>
      <c r="D90" s="2" t="s">
        <v>1618</v>
      </c>
      <c r="E90" s="4" t="s">
        <v>1363</v>
      </c>
      <c r="F90" s="2" t="s">
        <v>2356</v>
      </c>
      <c r="G90" s="2" t="s">
        <v>2357</v>
      </c>
      <c r="H90" s="2" t="s">
        <v>223</v>
      </c>
      <c r="I90" s="2" t="s">
        <v>805</v>
      </c>
      <c r="J90" s="2" t="s">
        <v>30</v>
      </c>
      <c r="K90" s="2" t="s">
        <v>30</v>
      </c>
      <c r="L90" s="2" t="s">
        <v>377</v>
      </c>
      <c r="M90" s="2" t="s">
        <v>55</v>
      </c>
      <c r="N90" s="2" t="s">
        <v>584</v>
      </c>
      <c r="O90" s="2" t="s">
        <v>173</v>
      </c>
      <c r="P90" s="2" t="s">
        <v>2358</v>
      </c>
      <c r="Q90" s="2" t="s">
        <v>480</v>
      </c>
      <c r="R90" s="2" t="s">
        <v>456</v>
      </c>
      <c r="S90" s="2" t="s">
        <v>95</v>
      </c>
      <c r="T90" s="156">
        <v>5.4939999999999998</v>
      </c>
      <c r="U90" s="2" t="s">
        <v>2359</v>
      </c>
      <c r="V90" s="170">
        <v>3.2750000000000001E-2</v>
      </c>
      <c r="W90" s="172">
        <v>6.0199999999999997E-2</v>
      </c>
      <c r="X90" s="4" t="s">
        <v>461</v>
      </c>
      <c r="Y90" s="4" t="s">
        <v>173</v>
      </c>
      <c r="Z90" s="156">
        <v>5000</v>
      </c>
      <c r="AA90" s="166">
        <v>3.71</v>
      </c>
      <c r="AB90" s="183">
        <v>95.418000000000006</v>
      </c>
      <c r="AD90" s="156">
        <v>17.7</v>
      </c>
      <c r="AG90" s="2" t="s">
        <v>36</v>
      </c>
      <c r="AH90" s="172">
        <v>6.9999999999999999E-6</v>
      </c>
      <c r="AI90" s="172">
        <v>3.2419670290798099E-3</v>
      </c>
      <c r="AJ90" s="172">
        <v>7.8621802987664303E-4</v>
      </c>
    </row>
    <row r="91" spans="1:36">
      <c r="A91" s="2">
        <v>161</v>
      </c>
      <c r="B91" s="2">
        <v>1434</v>
      </c>
      <c r="C91" s="2" t="s">
        <v>1684</v>
      </c>
      <c r="D91" s="2" t="s">
        <v>1685</v>
      </c>
      <c r="E91" s="4" t="s">
        <v>1363</v>
      </c>
      <c r="F91" s="2" t="s">
        <v>2360</v>
      </c>
      <c r="G91" s="2" t="s">
        <v>2361</v>
      </c>
      <c r="H91" s="2" t="s">
        <v>223</v>
      </c>
      <c r="I91" s="2" t="s">
        <v>805</v>
      </c>
      <c r="J91" s="2" t="s">
        <v>90</v>
      </c>
      <c r="K91" s="2" t="s">
        <v>30</v>
      </c>
      <c r="L91" s="2" t="s">
        <v>377</v>
      </c>
      <c r="M91" s="2" t="s">
        <v>145</v>
      </c>
      <c r="N91" s="2" t="s">
        <v>584</v>
      </c>
      <c r="O91" s="2" t="s">
        <v>173</v>
      </c>
      <c r="P91" s="2" t="s">
        <v>2358</v>
      </c>
      <c r="Q91" s="2" t="s">
        <v>480</v>
      </c>
      <c r="R91" s="2" t="s">
        <v>456</v>
      </c>
      <c r="S91" s="2" t="s">
        <v>95</v>
      </c>
      <c r="T91" s="156">
        <v>5.6210000000000004</v>
      </c>
      <c r="U91" s="2" t="s">
        <v>2362</v>
      </c>
      <c r="V91" s="170">
        <v>3.0769999999999999E-2</v>
      </c>
      <c r="W91" s="172">
        <v>6.5729999999999997E-2</v>
      </c>
      <c r="X91" s="4" t="s">
        <v>461</v>
      </c>
      <c r="Y91" s="4" t="s">
        <v>173</v>
      </c>
      <c r="Z91" s="156">
        <v>5000</v>
      </c>
      <c r="AA91" s="166">
        <v>3.71</v>
      </c>
      <c r="AB91" s="183">
        <v>95.182000000000002</v>
      </c>
      <c r="AD91" s="156">
        <v>17.655999999999999</v>
      </c>
      <c r="AG91" s="2" t="s">
        <v>36</v>
      </c>
      <c r="AH91" s="172">
        <v>7.9999999999999996E-6</v>
      </c>
      <c r="AI91" s="172">
        <v>3.2339261849662999E-3</v>
      </c>
      <c r="AJ91" s="172">
        <v>7.8426802342661901E-4</v>
      </c>
    </row>
    <row r="92" spans="1:36">
      <c r="A92" s="2">
        <v>161</v>
      </c>
      <c r="B92" s="2">
        <v>9938</v>
      </c>
      <c r="C92" s="2" t="s">
        <v>2037</v>
      </c>
      <c r="D92" s="2" t="s">
        <v>2038</v>
      </c>
      <c r="E92" s="4" t="s">
        <v>1363</v>
      </c>
      <c r="F92" s="2" t="s">
        <v>2039</v>
      </c>
      <c r="G92" s="2" t="s">
        <v>2040</v>
      </c>
      <c r="H92" s="2" t="s">
        <v>223</v>
      </c>
      <c r="I92" s="2" t="s">
        <v>804</v>
      </c>
      <c r="J92" s="2" t="s">
        <v>30</v>
      </c>
      <c r="K92" s="2" t="s">
        <v>30</v>
      </c>
      <c r="L92" s="2" t="s">
        <v>377</v>
      </c>
      <c r="M92" s="2" t="s">
        <v>31</v>
      </c>
      <c r="N92" s="2" t="s">
        <v>487</v>
      </c>
      <c r="O92" s="2" t="s">
        <v>173</v>
      </c>
      <c r="P92" s="2" t="s">
        <v>2041</v>
      </c>
      <c r="Q92" s="2" t="s">
        <v>462</v>
      </c>
      <c r="R92" s="2" t="s">
        <v>456</v>
      </c>
      <c r="S92" s="2" t="s">
        <v>34</v>
      </c>
      <c r="T92" s="156">
        <v>2.9049999999999998</v>
      </c>
      <c r="U92" s="2" t="s">
        <v>2042</v>
      </c>
      <c r="V92" s="170">
        <v>2.75E-2</v>
      </c>
      <c r="W92" s="172">
        <v>3.1E-2</v>
      </c>
      <c r="X92" s="4" t="s">
        <v>461</v>
      </c>
      <c r="Y92" s="4" t="s">
        <v>173</v>
      </c>
      <c r="Z92" s="156">
        <v>0.5</v>
      </c>
      <c r="AA92" s="166">
        <v>1</v>
      </c>
      <c r="AB92" s="183">
        <v>113.65</v>
      </c>
      <c r="AD92" s="156">
        <v>1E-3</v>
      </c>
      <c r="AG92" s="2" t="s">
        <v>36</v>
      </c>
      <c r="AH92" s="172">
        <v>0</v>
      </c>
      <c r="AI92" s="172">
        <v>5.1646716173043002E-8</v>
      </c>
      <c r="AJ92" s="172">
        <v>8.5684622053193399E-9</v>
      </c>
    </row>
    <row r="93" spans="1:36">
      <c r="A93" s="2">
        <v>161</v>
      </c>
      <c r="B93" s="2">
        <v>9938</v>
      </c>
      <c r="C93" s="2" t="s">
        <v>2043</v>
      </c>
      <c r="D93" s="2" t="s">
        <v>2044</v>
      </c>
      <c r="E93" s="4" t="s">
        <v>1363</v>
      </c>
      <c r="F93" s="2" t="s">
        <v>2045</v>
      </c>
      <c r="G93" s="2" t="s">
        <v>2046</v>
      </c>
      <c r="H93" s="2" t="s">
        <v>223</v>
      </c>
      <c r="I93" s="2" t="s">
        <v>1013</v>
      </c>
      <c r="J93" s="2" t="s">
        <v>30</v>
      </c>
      <c r="K93" s="2" t="s">
        <v>30</v>
      </c>
      <c r="L93" s="2" t="s">
        <v>379</v>
      </c>
      <c r="M93" s="2" t="s">
        <v>55</v>
      </c>
      <c r="N93" s="2" t="s">
        <v>494</v>
      </c>
      <c r="O93" s="2" t="s">
        <v>173</v>
      </c>
      <c r="P93" s="2" t="s">
        <v>225</v>
      </c>
      <c r="Q93" s="2" t="s">
        <v>226</v>
      </c>
      <c r="R93" s="2" t="s">
        <v>226</v>
      </c>
      <c r="S93" s="2" t="s">
        <v>34</v>
      </c>
      <c r="T93" s="156">
        <v>2.86</v>
      </c>
      <c r="U93" s="2" t="s">
        <v>2047</v>
      </c>
      <c r="V93" s="170">
        <v>0.08</v>
      </c>
      <c r="W93" s="172">
        <v>6.2579999999999997E-2</v>
      </c>
      <c r="X93" s="4" t="s">
        <v>461</v>
      </c>
      <c r="Y93" s="4" t="s">
        <v>173</v>
      </c>
      <c r="Z93" s="156">
        <v>170000</v>
      </c>
      <c r="AA93" s="166">
        <v>1</v>
      </c>
      <c r="AB93" s="183">
        <v>107.08</v>
      </c>
      <c r="AD93" s="156">
        <v>182.036</v>
      </c>
      <c r="AG93" s="2" t="s">
        <v>36</v>
      </c>
      <c r="AH93" s="172">
        <v>0</v>
      </c>
      <c r="AI93" s="172">
        <v>1.6544763088915199E-2</v>
      </c>
      <c r="AJ93" s="172">
        <v>2.7448633277738898E-3</v>
      </c>
    </row>
    <row r="94" spans="1:36">
      <c r="A94" s="2">
        <v>161</v>
      </c>
      <c r="B94" s="2">
        <v>9938</v>
      </c>
      <c r="C94" s="2" t="s">
        <v>2048</v>
      </c>
      <c r="D94" s="2" t="s">
        <v>2049</v>
      </c>
      <c r="E94" s="4" t="s">
        <v>1363</v>
      </c>
      <c r="F94" s="2" t="s">
        <v>2050</v>
      </c>
      <c r="G94" s="2" t="s">
        <v>2051</v>
      </c>
      <c r="H94" s="2" t="s">
        <v>223</v>
      </c>
      <c r="I94" s="2" t="s">
        <v>804</v>
      </c>
      <c r="J94" s="2" t="s">
        <v>30</v>
      </c>
      <c r="K94" s="2" t="s">
        <v>30</v>
      </c>
      <c r="L94" s="2" t="s">
        <v>377</v>
      </c>
      <c r="M94" s="2" t="s">
        <v>31</v>
      </c>
      <c r="N94" s="2" t="s">
        <v>511</v>
      </c>
      <c r="O94" s="2" t="s">
        <v>173</v>
      </c>
      <c r="P94" s="2" t="s">
        <v>2052</v>
      </c>
      <c r="Q94" s="2" t="s">
        <v>462</v>
      </c>
      <c r="R94" s="2" t="s">
        <v>456</v>
      </c>
      <c r="S94" s="2" t="s">
        <v>34</v>
      </c>
      <c r="T94" s="156">
        <v>2.012</v>
      </c>
      <c r="U94" s="2" t="s">
        <v>2053</v>
      </c>
      <c r="V94" s="170">
        <v>2.3400000000000001E-2</v>
      </c>
      <c r="W94" s="172">
        <v>2.664E-2</v>
      </c>
      <c r="X94" s="4" t="s">
        <v>461</v>
      </c>
      <c r="Y94" s="4" t="s">
        <v>173</v>
      </c>
      <c r="Z94" s="156">
        <v>249923.86</v>
      </c>
      <c r="AA94" s="166">
        <v>1</v>
      </c>
      <c r="AB94" s="183">
        <v>115.87</v>
      </c>
      <c r="AD94" s="156">
        <v>289.58699999999999</v>
      </c>
      <c r="AG94" s="2" t="s">
        <v>36</v>
      </c>
      <c r="AH94" s="172">
        <v>1.18E-4</v>
      </c>
      <c r="AI94" s="172">
        <v>2.6319764289655899E-2</v>
      </c>
      <c r="AJ94" s="172">
        <v>4.3665875060327703E-3</v>
      </c>
    </row>
    <row r="95" spans="1:36">
      <c r="A95" s="2">
        <v>161</v>
      </c>
      <c r="B95" s="2">
        <v>9938</v>
      </c>
      <c r="C95" s="2" t="s">
        <v>2048</v>
      </c>
      <c r="D95" s="2" t="s">
        <v>2049</v>
      </c>
      <c r="E95" s="4" t="s">
        <v>1363</v>
      </c>
      <c r="F95" s="2" t="s">
        <v>2054</v>
      </c>
      <c r="G95" s="2" t="s">
        <v>2055</v>
      </c>
      <c r="H95" s="2" t="s">
        <v>223</v>
      </c>
      <c r="I95" s="2" t="s">
        <v>1013</v>
      </c>
      <c r="J95" s="2" t="s">
        <v>30</v>
      </c>
      <c r="K95" s="2" t="s">
        <v>30</v>
      </c>
      <c r="L95" s="2" t="s">
        <v>377</v>
      </c>
      <c r="M95" s="2" t="s">
        <v>31</v>
      </c>
      <c r="N95" s="2" t="s">
        <v>511</v>
      </c>
      <c r="O95" s="2" t="s">
        <v>173</v>
      </c>
      <c r="P95" s="2" t="s">
        <v>2052</v>
      </c>
      <c r="Q95" s="2" t="s">
        <v>462</v>
      </c>
      <c r="R95" s="2" t="s">
        <v>456</v>
      </c>
      <c r="S95" s="2" t="s">
        <v>34</v>
      </c>
      <c r="T95" s="156">
        <v>2.681</v>
      </c>
      <c r="U95" s="2" t="s">
        <v>2056</v>
      </c>
      <c r="V95" s="170">
        <v>0.05</v>
      </c>
      <c r="W95" s="172">
        <v>5.5370000000000003E-2</v>
      </c>
      <c r="X95" s="4" t="s">
        <v>461</v>
      </c>
      <c r="Y95" s="4" t="s">
        <v>173</v>
      </c>
      <c r="Z95" s="156">
        <v>120000</v>
      </c>
      <c r="AA95" s="166">
        <v>1</v>
      </c>
      <c r="AB95" s="183">
        <v>100.87</v>
      </c>
      <c r="AD95" s="156">
        <v>121.044</v>
      </c>
      <c r="AG95" s="2" t="s">
        <v>36</v>
      </c>
      <c r="AH95" s="172">
        <v>2.9999999999999997E-4</v>
      </c>
      <c r="AI95" s="172">
        <v>1.10013640342276E-2</v>
      </c>
      <c r="AJ95" s="172">
        <v>1.8251842308502899E-3</v>
      </c>
    </row>
    <row r="96" spans="1:36">
      <c r="A96" s="2">
        <v>161</v>
      </c>
      <c r="B96" s="2">
        <v>9938</v>
      </c>
      <c r="C96" s="2" t="s">
        <v>2057</v>
      </c>
      <c r="D96" s="2" t="s">
        <v>2058</v>
      </c>
      <c r="E96" s="4" t="s">
        <v>1363</v>
      </c>
      <c r="F96" s="2" t="s">
        <v>2063</v>
      </c>
      <c r="G96" s="2" t="s">
        <v>2064</v>
      </c>
      <c r="H96" s="2" t="s">
        <v>223</v>
      </c>
      <c r="I96" s="2" t="s">
        <v>804</v>
      </c>
      <c r="J96" s="2" t="s">
        <v>30</v>
      </c>
      <c r="K96" s="2" t="s">
        <v>30</v>
      </c>
      <c r="L96" s="2" t="s">
        <v>377</v>
      </c>
      <c r="M96" s="2" t="s">
        <v>31</v>
      </c>
      <c r="N96" s="2" t="s">
        <v>525</v>
      </c>
      <c r="O96" s="2" t="s">
        <v>173</v>
      </c>
      <c r="P96" s="2" t="s">
        <v>2061</v>
      </c>
      <c r="Q96" s="2" t="s">
        <v>462</v>
      </c>
      <c r="R96" s="2" t="s">
        <v>456</v>
      </c>
      <c r="S96" s="2" t="s">
        <v>34</v>
      </c>
      <c r="T96" s="156">
        <v>1.802</v>
      </c>
      <c r="U96" s="2" t="s">
        <v>2065</v>
      </c>
      <c r="V96" s="170">
        <v>3.2000000000000001E-2</v>
      </c>
      <c r="W96" s="172">
        <v>3.1350000000000003E-2</v>
      </c>
      <c r="X96" s="4" t="s">
        <v>461</v>
      </c>
      <c r="Y96" s="4" t="s">
        <v>173</v>
      </c>
      <c r="Z96" s="156">
        <v>41250</v>
      </c>
      <c r="AA96" s="166">
        <v>1</v>
      </c>
      <c r="AB96" s="183">
        <v>107.71</v>
      </c>
      <c r="AD96" s="156">
        <v>44.43</v>
      </c>
      <c r="AG96" s="2" t="s">
        <v>36</v>
      </c>
      <c r="AH96" s="172">
        <v>5.0000000000000002E-5</v>
      </c>
      <c r="AI96" s="172">
        <v>4.0381574431797001E-3</v>
      </c>
      <c r="AJ96" s="172">
        <v>6.6995158637160601E-4</v>
      </c>
    </row>
    <row r="97" spans="1:36">
      <c r="A97" s="2">
        <v>161</v>
      </c>
      <c r="B97" s="2">
        <v>9938</v>
      </c>
      <c r="C97" s="2" t="s">
        <v>2057</v>
      </c>
      <c r="D97" s="2" t="s">
        <v>2058</v>
      </c>
      <c r="E97" s="4" t="s">
        <v>1363</v>
      </c>
      <c r="F97" s="2" t="s">
        <v>2066</v>
      </c>
      <c r="G97" s="2" t="s">
        <v>2067</v>
      </c>
      <c r="H97" s="2" t="s">
        <v>223</v>
      </c>
      <c r="I97" s="2" t="s">
        <v>1013</v>
      </c>
      <c r="J97" s="2" t="s">
        <v>30</v>
      </c>
      <c r="K97" s="2" t="s">
        <v>30</v>
      </c>
      <c r="L97" s="2" t="s">
        <v>377</v>
      </c>
      <c r="M97" s="2" t="s">
        <v>31</v>
      </c>
      <c r="N97" s="2" t="s">
        <v>525</v>
      </c>
      <c r="O97" s="2" t="s">
        <v>173</v>
      </c>
      <c r="P97" s="2" t="s">
        <v>2061</v>
      </c>
      <c r="Q97" s="2" t="s">
        <v>462</v>
      </c>
      <c r="R97" s="2" t="s">
        <v>456</v>
      </c>
      <c r="S97" s="2" t="s">
        <v>34</v>
      </c>
      <c r="T97" s="156">
        <v>1.84</v>
      </c>
      <c r="U97" s="2" t="s">
        <v>2068</v>
      </c>
      <c r="V97" s="170">
        <v>5.7000000000000002E-2</v>
      </c>
      <c r="W97" s="172">
        <v>6.1760000000000002E-2</v>
      </c>
      <c r="X97" s="4" t="s">
        <v>461</v>
      </c>
      <c r="Y97" s="4" t="s">
        <v>173</v>
      </c>
      <c r="Z97" s="156">
        <v>40500</v>
      </c>
      <c r="AA97" s="166">
        <v>1</v>
      </c>
      <c r="AB97" s="183">
        <v>99.56</v>
      </c>
      <c r="AD97" s="156">
        <v>40.322000000000003</v>
      </c>
      <c r="AG97" s="2" t="s">
        <v>36</v>
      </c>
      <c r="AH97" s="172">
        <v>4.1E-5</v>
      </c>
      <c r="AI97" s="172">
        <v>3.6647400971160701E-3</v>
      </c>
      <c r="AJ97" s="172">
        <v>6.0799968209493296E-4</v>
      </c>
    </row>
    <row r="98" spans="1:36">
      <c r="A98" s="2">
        <v>161</v>
      </c>
      <c r="B98" s="2">
        <v>9938</v>
      </c>
      <c r="C98" s="2" t="s">
        <v>2069</v>
      </c>
      <c r="D98" s="2" t="s">
        <v>2070</v>
      </c>
      <c r="E98" s="4" t="s">
        <v>1363</v>
      </c>
      <c r="F98" s="2" t="s">
        <v>2071</v>
      </c>
      <c r="G98" s="2" t="s">
        <v>2072</v>
      </c>
      <c r="H98" s="2" t="s">
        <v>223</v>
      </c>
      <c r="I98" s="2" t="s">
        <v>804</v>
      </c>
      <c r="J98" s="2" t="s">
        <v>30</v>
      </c>
      <c r="K98" s="2" t="s">
        <v>30</v>
      </c>
      <c r="L98" s="2" t="s">
        <v>377</v>
      </c>
      <c r="M98" s="2" t="s">
        <v>31</v>
      </c>
      <c r="N98" s="2" t="s">
        <v>525</v>
      </c>
      <c r="O98" s="2" t="s">
        <v>173</v>
      </c>
      <c r="P98" s="2" t="s">
        <v>2061</v>
      </c>
      <c r="Q98" s="2" t="s">
        <v>462</v>
      </c>
      <c r="R98" s="2" t="s">
        <v>456</v>
      </c>
      <c r="S98" s="2" t="s">
        <v>34</v>
      </c>
      <c r="T98" s="156">
        <v>2.8780000000000001</v>
      </c>
      <c r="U98" s="2" t="s">
        <v>2073</v>
      </c>
      <c r="V98" s="170">
        <v>3.2300000000000002E-2</v>
      </c>
      <c r="W98" s="172">
        <v>3.0870000000000002E-2</v>
      </c>
      <c r="X98" s="4" t="s">
        <v>461</v>
      </c>
      <c r="Y98" s="4" t="s">
        <v>173</v>
      </c>
      <c r="Z98" s="156">
        <v>44520</v>
      </c>
      <c r="AA98" s="166">
        <v>1</v>
      </c>
      <c r="AB98" s="183">
        <v>107.46</v>
      </c>
      <c r="AD98" s="156">
        <v>47.841000000000001</v>
      </c>
      <c r="AG98" s="2" t="s">
        <v>36</v>
      </c>
      <c r="AH98" s="172">
        <v>7.4999999999999993E-5</v>
      </c>
      <c r="AI98" s="172">
        <v>4.3481574388104802E-3</v>
      </c>
      <c r="AJ98" s="172">
        <v>7.2138221823040197E-4</v>
      </c>
    </row>
    <row r="99" spans="1:36">
      <c r="A99" s="2">
        <v>161</v>
      </c>
      <c r="B99" s="2">
        <v>9938</v>
      </c>
      <c r="C99" s="2" t="s">
        <v>1632</v>
      </c>
      <c r="D99" s="2" t="s">
        <v>1633</v>
      </c>
      <c r="E99" s="4" t="s">
        <v>1363</v>
      </c>
      <c r="F99" s="2" t="s">
        <v>2074</v>
      </c>
      <c r="G99" s="2" t="s">
        <v>2075</v>
      </c>
      <c r="H99" s="2" t="s">
        <v>223</v>
      </c>
      <c r="I99" s="2" t="s">
        <v>804</v>
      </c>
      <c r="J99" s="2" t="s">
        <v>30</v>
      </c>
      <c r="K99" s="2" t="s">
        <v>30</v>
      </c>
      <c r="L99" s="2" t="s">
        <v>377</v>
      </c>
      <c r="M99" s="2" t="s">
        <v>31</v>
      </c>
      <c r="N99" s="2" t="s">
        <v>511</v>
      </c>
      <c r="O99" s="2" t="s">
        <v>173</v>
      </c>
      <c r="P99" s="2" t="s">
        <v>1374</v>
      </c>
      <c r="Q99" s="2" t="s">
        <v>462</v>
      </c>
      <c r="R99" s="2" t="s">
        <v>456</v>
      </c>
      <c r="S99" s="2" t="s">
        <v>34</v>
      </c>
      <c r="T99" s="156">
        <v>6.9109999999999996</v>
      </c>
      <c r="U99" s="2" t="s">
        <v>2076</v>
      </c>
      <c r="V99" s="170">
        <v>2.5600000000000001E-2</v>
      </c>
      <c r="W99" s="172">
        <v>4.2349999999999999E-2</v>
      </c>
      <c r="X99" s="4" t="s">
        <v>461</v>
      </c>
      <c r="Y99" s="4" t="s">
        <v>173</v>
      </c>
      <c r="Z99" s="156">
        <v>130000</v>
      </c>
      <c r="AA99" s="166">
        <v>1</v>
      </c>
      <c r="AB99" s="183">
        <v>97.49</v>
      </c>
      <c r="AD99" s="156">
        <v>126.73699999999999</v>
      </c>
      <c r="AG99" s="2" t="s">
        <v>36</v>
      </c>
      <c r="AH99" s="172">
        <v>1.2400000000000001E-4</v>
      </c>
      <c r="AI99" s="172">
        <v>1.1518785512754899E-2</v>
      </c>
      <c r="AJ99" s="172">
        <v>1.91102717908589E-3</v>
      </c>
    </row>
    <row r="100" spans="1:36">
      <c r="A100" s="2">
        <v>161</v>
      </c>
      <c r="B100" s="2">
        <v>9938</v>
      </c>
      <c r="C100" s="2" t="s">
        <v>1632</v>
      </c>
      <c r="D100" s="2" t="s">
        <v>1633</v>
      </c>
      <c r="E100" s="4" t="s">
        <v>1363</v>
      </c>
      <c r="F100" s="2" t="s">
        <v>2077</v>
      </c>
      <c r="G100" s="2" t="s">
        <v>2078</v>
      </c>
      <c r="H100" s="2" t="s">
        <v>223</v>
      </c>
      <c r="I100" s="2" t="s">
        <v>1013</v>
      </c>
      <c r="J100" s="2" t="s">
        <v>30</v>
      </c>
      <c r="K100" s="2" t="s">
        <v>30</v>
      </c>
      <c r="L100" s="2" t="s">
        <v>377</v>
      </c>
      <c r="M100" s="2" t="s">
        <v>31</v>
      </c>
      <c r="N100" s="2" t="s">
        <v>511</v>
      </c>
      <c r="O100" s="2" t="s">
        <v>173</v>
      </c>
      <c r="P100" s="2" t="s">
        <v>1374</v>
      </c>
      <c r="Q100" s="2" t="s">
        <v>462</v>
      </c>
      <c r="R100" s="2" t="s">
        <v>456</v>
      </c>
      <c r="S100" s="2" t="s">
        <v>34</v>
      </c>
      <c r="T100" s="156">
        <v>3.9049999999999998</v>
      </c>
      <c r="U100" s="2" t="s">
        <v>2079</v>
      </c>
      <c r="V100" s="170">
        <v>2.41E-2</v>
      </c>
      <c r="W100" s="172">
        <v>6.3320000000000001E-2</v>
      </c>
      <c r="X100" s="4" t="s">
        <v>461</v>
      </c>
      <c r="Y100" s="4" t="s">
        <v>173</v>
      </c>
      <c r="Z100" s="156">
        <v>150000</v>
      </c>
      <c r="AA100" s="166">
        <v>1</v>
      </c>
      <c r="AB100" s="183">
        <v>86.08</v>
      </c>
      <c r="AD100" s="156">
        <v>129.12</v>
      </c>
      <c r="AG100" s="2" t="s">
        <v>36</v>
      </c>
      <c r="AH100" s="172">
        <v>7.2999999999999999E-5</v>
      </c>
      <c r="AI100" s="172">
        <v>1.1735369981985599E-2</v>
      </c>
      <c r="AJ100" s="172">
        <v>1.9469596831514901E-3</v>
      </c>
    </row>
    <row r="101" spans="1:36">
      <c r="A101" s="2">
        <v>161</v>
      </c>
      <c r="B101" s="2">
        <v>9938</v>
      </c>
      <c r="C101" s="2" t="s">
        <v>2080</v>
      </c>
      <c r="D101" s="2" t="s">
        <v>2081</v>
      </c>
      <c r="E101" s="4" t="s">
        <v>1363</v>
      </c>
      <c r="F101" s="2" t="s">
        <v>2082</v>
      </c>
      <c r="G101" s="2" t="s">
        <v>2083</v>
      </c>
      <c r="H101" s="2" t="s">
        <v>223</v>
      </c>
      <c r="I101" s="2" t="s">
        <v>1013</v>
      </c>
      <c r="J101" s="2" t="s">
        <v>30</v>
      </c>
      <c r="K101" s="2" t="s">
        <v>30</v>
      </c>
      <c r="L101" s="2" t="s">
        <v>377</v>
      </c>
      <c r="M101" s="2" t="s">
        <v>31</v>
      </c>
      <c r="N101" s="2" t="s">
        <v>498</v>
      </c>
      <c r="O101" s="2" t="s">
        <v>173</v>
      </c>
      <c r="P101" s="2" t="s">
        <v>2061</v>
      </c>
      <c r="Q101" s="2" t="s">
        <v>462</v>
      </c>
      <c r="R101" s="2" t="s">
        <v>456</v>
      </c>
      <c r="S101" s="2" t="s">
        <v>34</v>
      </c>
      <c r="T101" s="156">
        <v>2.2240000000000002</v>
      </c>
      <c r="U101" s="2" t="s">
        <v>2084</v>
      </c>
      <c r="V101" s="170">
        <v>0.04</v>
      </c>
      <c r="W101" s="172">
        <v>5.774E-2</v>
      </c>
      <c r="X101" s="4" t="s">
        <v>461</v>
      </c>
      <c r="Y101" s="4" t="s">
        <v>173</v>
      </c>
      <c r="Z101" s="156">
        <v>179000.01</v>
      </c>
      <c r="AA101" s="166">
        <v>1</v>
      </c>
      <c r="AB101" s="183">
        <v>96.04</v>
      </c>
      <c r="AD101" s="156">
        <v>171.91200000000001</v>
      </c>
      <c r="AG101" s="2" t="s">
        <v>36</v>
      </c>
      <c r="AH101" s="172">
        <v>2.6400000000000002E-4</v>
      </c>
      <c r="AI101" s="172">
        <v>1.5624584440068199E-2</v>
      </c>
      <c r="AJ101" s="172">
        <v>2.5922008439023098E-3</v>
      </c>
    </row>
    <row r="102" spans="1:36">
      <c r="A102" s="2">
        <v>161</v>
      </c>
      <c r="B102" s="2">
        <v>9938</v>
      </c>
      <c r="C102" s="2" t="s">
        <v>1636</v>
      </c>
      <c r="D102" s="2" t="s">
        <v>1637</v>
      </c>
      <c r="E102" s="4" t="s">
        <v>1363</v>
      </c>
      <c r="F102" s="2" t="s">
        <v>2085</v>
      </c>
      <c r="G102" s="2" t="s">
        <v>2086</v>
      </c>
      <c r="H102" s="2" t="s">
        <v>223</v>
      </c>
      <c r="I102" s="2" t="s">
        <v>804</v>
      </c>
      <c r="J102" s="2" t="s">
        <v>30</v>
      </c>
      <c r="K102" s="2" t="s">
        <v>30</v>
      </c>
      <c r="L102" s="2" t="s">
        <v>377</v>
      </c>
      <c r="M102" s="2" t="s">
        <v>31</v>
      </c>
      <c r="N102" s="2" t="s">
        <v>511</v>
      </c>
      <c r="O102" s="2" t="s">
        <v>173</v>
      </c>
      <c r="P102" s="2" t="s">
        <v>2052</v>
      </c>
      <c r="Q102" s="2" t="s">
        <v>462</v>
      </c>
      <c r="R102" s="2" t="s">
        <v>456</v>
      </c>
      <c r="S102" s="2" t="s">
        <v>34</v>
      </c>
      <c r="T102" s="156">
        <v>3.3279999999999998</v>
      </c>
      <c r="U102" s="2" t="s">
        <v>2087</v>
      </c>
      <c r="V102" s="170">
        <v>1.14E-2</v>
      </c>
      <c r="W102" s="172">
        <v>2.9170000000000001E-2</v>
      </c>
      <c r="X102" s="4" t="s">
        <v>461</v>
      </c>
      <c r="Y102" s="4" t="s">
        <v>173</v>
      </c>
      <c r="Z102" s="156">
        <v>205776</v>
      </c>
      <c r="AA102" s="166">
        <v>1</v>
      </c>
      <c r="AB102" s="183">
        <v>107.2</v>
      </c>
      <c r="AC102" s="156">
        <v>2.657</v>
      </c>
      <c r="AD102" s="156">
        <v>223.249</v>
      </c>
      <c r="AG102" s="2" t="s">
        <v>36</v>
      </c>
      <c r="AH102" s="172">
        <v>8.7000000000000001E-5</v>
      </c>
      <c r="AI102" s="172">
        <v>2.0290504868650399E-2</v>
      </c>
      <c r="AJ102" s="172">
        <v>3.3663016156025099E-3</v>
      </c>
    </row>
    <row r="103" spans="1:36">
      <c r="A103" s="2">
        <v>161</v>
      </c>
      <c r="B103" s="2">
        <v>9938</v>
      </c>
      <c r="C103" s="2" t="s">
        <v>1636</v>
      </c>
      <c r="D103" s="2" t="s">
        <v>1637</v>
      </c>
      <c r="E103" s="4" t="s">
        <v>1363</v>
      </c>
      <c r="F103" s="2" t="s">
        <v>2088</v>
      </c>
      <c r="G103" s="2" t="s">
        <v>2089</v>
      </c>
      <c r="H103" s="2" t="s">
        <v>223</v>
      </c>
      <c r="I103" s="2" t="s">
        <v>1013</v>
      </c>
      <c r="J103" s="2" t="s">
        <v>30</v>
      </c>
      <c r="K103" s="2" t="s">
        <v>30</v>
      </c>
      <c r="L103" s="2" t="s">
        <v>377</v>
      </c>
      <c r="M103" s="2" t="s">
        <v>31</v>
      </c>
      <c r="N103" s="2" t="s">
        <v>511</v>
      </c>
      <c r="O103" s="2" t="s">
        <v>173</v>
      </c>
      <c r="P103" s="2" t="s">
        <v>2052</v>
      </c>
      <c r="Q103" s="2" t="s">
        <v>462</v>
      </c>
      <c r="R103" s="2" t="s">
        <v>456</v>
      </c>
      <c r="S103" s="2" t="s">
        <v>34</v>
      </c>
      <c r="T103" s="156">
        <v>5.2549999999999999</v>
      </c>
      <c r="U103" s="2" t="s">
        <v>2090</v>
      </c>
      <c r="V103" s="170">
        <v>2.4400000000000002E-2</v>
      </c>
      <c r="W103" s="172">
        <v>5.9060000000000001E-2</v>
      </c>
      <c r="X103" s="4" t="s">
        <v>461</v>
      </c>
      <c r="Y103" s="4" t="s">
        <v>173</v>
      </c>
      <c r="Z103" s="156">
        <v>150000</v>
      </c>
      <c r="AA103" s="166">
        <v>1</v>
      </c>
      <c r="AB103" s="183">
        <v>85.33</v>
      </c>
      <c r="AD103" s="156">
        <v>127.995</v>
      </c>
      <c r="AG103" s="2" t="s">
        <v>36</v>
      </c>
      <c r="AH103" s="172">
        <v>1.2300000000000001E-4</v>
      </c>
      <c r="AI103" s="172">
        <v>1.16331217537504E-2</v>
      </c>
      <c r="AJ103" s="172">
        <v>1.9299961636073E-3</v>
      </c>
    </row>
    <row r="104" spans="1:36">
      <c r="A104" s="2">
        <v>161</v>
      </c>
      <c r="B104" s="2">
        <v>9938</v>
      </c>
      <c r="C104" s="2" t="s">
        <v>1636</v>
      </c>
      <c r="D104" s="2" t="s">
        <v>1637</v>
      </c>
      <c r="E104" s="4" t="s">
        <v>1363</v>
      </c>
      <c r="F104" s="2" t="s">
        <v>2091</v>
      </c>
      <c r="G104" s="2" t="s">
        <v>2092</v>
      </c>
      <c r="H104" s="2" t="s">
        <v>223</v>
      </c>
      <c r="I104" s="2" t="s">
        <v>804</v>
      </c>
      <c r="J104" s="2" t="s">
        <v>30</v>
      </c>
      <c r="K104" s="2" t="s">
        <v>30</v>
      </c>
      <c r="L104" s="2" t="s">
        <v>377</v>
      </c>
      <c r="M104" s="2" t="s">
        <v>31</v>
      </c>
      <c r="N104" s="2" t="s">
        <v>511</v>
      </c>
      <c r="O104" s="2" t="s">
        <v>173</v>
      </c>
      <c r="P104" s="2" t="s">
        <v>2052</v>
      </c>
      <c r="Q104" s="2" t="s">
        <v>462</v>
      </c>
      <c r="R104" s="2" t="s">
        <v>456</v>
      </c>
      <c r="S104" s="2" t="s">
        <v>34</v>
      </c>
      <c r="T104" s="156">
        <v>5.5579999999999998</v>
      </c>
      <c r="U104" s="2" t="s">
        <v>2090</v>
      </c>
      <c r="V104" s="170">
        <v>9.1999999999999998E-3</v>
      </c>
      <c r="W104" s="172">
        <v>3.3070000000000002E-2</v>
      </c>
      <c r="X104" s="4" t="s">
        <v>461</v>
      </c>
      <c r="Y104" s="4" t="s">
        <v>173</v>
      </c>
      <c r="Z104" s="156">
        <v>200000</v>
      </c>
      <c r="AA104" s="166">
        <v>1</v>
      </c>
      <c r="AB104" s="183">
        <v>102.12</v>
      </c>
      <c r="AD104" s="156">
        <v>204.24</v>
      </c>
      <c r="AG104" s="2" t="s">
        <v>36</v>
      </c>
      <c r="AH104" s="172">
        <v>7.7000000000000001E-5</v>
      </c>
      <c r="AI104" s="172">
        <v>1.8562825008679801E-2</v>
      </c>
      <c r="AJ104" s="172">
        <v>3.0796704281819999E-3</v>
      </c>
    </row>
    <row r="105" spans="1:36">
      <c r="A105" s="2">
        <v>161</v>
      </c>
      <c r="B105" s="2">
        <v>9938</v>
      </c>
      <c r="C105" s="2" t="s">
        <v>2093</v>
      </c>
      <c r="D105" s="2" t="s">
        <v>2094</v>
      </c>
      <c r="E105" s="4" t="s">
        <v>1363</v>
      </c>
      <c r="F105" s="2" t="s">
        <v>2095</v>
      </c>
      <c r="G105" s="2" t="s">
        <v>2096</v>
      </c>
      <c r="H105" s="2" t="s">
        <v>223</v>
      </c>
      <c r="I105" s="2" t="s">
        <v>1013</v>
      </c>
      <c r="J105" s="2" t="s">
        <v>30</v>
      </c>
      <c r="K105" s="2" t="s">
        <v>30</v>
      </c>
      <c r="L105" s="2" t="s">
        <v>377</v>
      </c>
      <c r="M105" s="2" t="s">
        <v>31</v>
      </c>
      <c r="N105" s="2" t="s">
        <v>511</v>
      </c>
      <c r="O105" s="2" t="s">
        <v>173</v>
      </c>
      <c r="P105" s="2" t="s">
        <v>225</v>
      </c>
      <c r="Q105" s="2" t="s">
        <v>226</v>
      </c>
      <c r="R105" s="2" t="s">
        <v>226</v>
      </c>
      <c r="S105" s="2" t="s">
        <v>34</v>
      </c>
      <c r="T105" s="156">
        <v>0.92200000000000004</v>
      </c>
      <c r="U105" s="2" t="s">
        <v>2097</v>
      </c>
      <c r="V105" s="170">
        <v>6.5000000000000002E-2</v>
      </c>
      <c r="W105" s="172">
        <v>8.6919999999999997E-2</v>
      </c>
      <c r="X105" s="4" t="s">
        <v>461</v>
      </c>
      <c r="Y105" s="4" t="s">
        <v>173</v>
      </c>
      <c r="Z105" s="156">
        <v>114209</v>
      </c>
      <c r="AA105" s="166">
        <v>1</v>
      </c>
      <c r="AB105" s="183">
        <v>100.1</v>
      </c>
      <c r="AD105" s="156">
        <v>114.32299999999999</v>
      </c>
      <c r="AG105" s="2" t="s">
        <v>36</v>
      </c>
      <c r="AH105" s="172">
        <v>1.039E-3</v>
      </c>
      <c r="AI105" s="172">
        <v>1.0390529392370401E-2</v>
      </c>
      <c r="AJ105" s="172">
        <v>1.7238435468672701E-3</v>
      </c>
    </row>
    <row r="106" spans="1:36">
      <c r="A106" s="2">
        <v>161</v>
      </c>
      <c r="B106" s="2">
        <v>9938</v>
      </c>
      <c r="C106" s="2" t="s">
        <v>1640</v>
      </c>
      <c r="D106" s="2" t="s">
        <v>1641</v>
      </c>
      <c r="E106" s="4" t="s">
        <v>1363</v>
      </c>
      <c r="F106" s="2" t="s">
        <v>2098</v>
      </c>
      <c r="G106" s="2" t="s">
        <v>2099</v>
      </c>
      <c r="H106" s="2" t="s">
        <v>223</v>
      </c>
      <c r="I106" s="2" t="s">
        <v>1013</v>
      </c>
      <c r="J106" s="2" t="s">
        <v>30</v>
      </c>
      <c r="K106" s="2" t="s">
        <v>91</v>
      </c>
      <c r="L106" s="2" t="s">
        <v>377</v>
      </c>
      <c r="M106" s="2" t="s">
        <v>31</v>
      </c>
      <c r="N106" s="2" t="s">
        <v>488</v>
      </c>
      <c r="O106" s="2" t="s">
        <v>173</v>
      </c>
      <c r="P106" s="2" t="s">
        <v>2100</v>
      </c>
      <c r="Q106" s="2" t="s">
        <v>464</v>
      </c>
      <c r="R106" s="2" t="s">
        <v>456</v>
      </c>
      <c r="S106" s="2" t="s">
        <v>34</v>
      </c>
      <c r="T106" s="156">
        <v>1.736</v>
      </c>
      <c r="U106" s="2" t="s">
        <v>2101</v>
      </c>
      <c r="V106" s="170">
        <v>3.4500000000000003E-2</v>
      </c>
      <c r="W106" s="172">
        <v>5.7250000000000002E-2</v>
      </c>
      <c r="X106" s="4" t="s">
        <v>461</v>
      </c>
      <c r="Y106" s="4" t="s">
        <v>173</v>
      </c>
      <c r="Z106" s="156">
        <v>182058.82</v>
      </c>
      <c r="AA106" s="166">
        <v>1</v>
      </c>
      <c r="AB106" s="183">
        <v>96.61</v>
      </c>
      <c r="AD106" s="156">
        <v>175.887</v>
      </c>
      <c r="AG106" s="2" t="s">
        <v>36</v>
      </c>
      <c r="AH106" s="172">
        <v>2.8299999999999999E-4</v>
      </c>
      <c r="AI106" s="172">
        <v>1.59858993584618E-2</v>
      </c>
      <c r="AJ106" s="172">
        <v>2.6521448916923102E-3</v>
      </c>
    </row>
    <row r="107" spans="1:36">
      <c r="A107" s="2">
        <v>161</v>
      </c>
      <c r="B107" s="2">
        <v>9938</v>
      </c>
      <c r="C107" s="2" t="s">
        <v>1640</v>
      </c>
      <c r="D107" s="2" t="s">
        <v>1641</v>
      </c>
      <c r="E107" s="4" t="s">
        <v>1363</v>
      </c>
      <c r="F107" s="2" t="s">
        <v>2102</v>
      </c>
      <c r="G107" s="2" t="s">
        <v>2103</v>
      </c>
      <c r="H107" s="2" t="s">
        <v>223</v>
      </c>
      <c r="I107" s="2" t="s">
        <v>1013</v>
      </c>
      <c r="J107" s="2" t="s">
        <v>30</v>
      </c>
      <c r="K107" s="2" t="s">
        <v>91</v>
      </c>
      <c r="L107" s="2" t="s">
        <v>377</v>
      </c>
      <c r="M107" s="2" t="s">
        <v>31</v>
      </c>
      <c r="N107" s="2" t="s">
        <v>488</v>
      </c>
      <c r="O107" s="2" t="s">
        <v>173</v>
      </c>
      <c r="P107" s="2" t="s">
        <v>2100</v>
      </c>
      <c r="Q107" s="2" t="s">
        <v>464</v>
      </c>
      <c r="R107" s="2" t="s">
        <v>456</v>
      </c>
      <c r="S107" s="2" t="s">
        <v>34</v>
      </c>
      <c r="T107" s="156">
        <v>3.7589999999999999</v>
      </c>
      <c r="U107" s="2" t="s">
        <v>2104</v>
      </c>
      <c r="V107" s="170">
        <v>1.4999999999999999E-2</v>
      </c>
      <c r="W107" s="172">
        <v>5.9859999999999997E-2</v>
      </c>
      <c r="X107" s="4" t="s">
        <v>461</v>
      </c>
      <c r="Y107" s="4" t="s">
        <v>173</v>
      </c>
      <c r="Z107" s="156">
        <v>68000</v>
      </c>
      <c r="AA107" s="166">
        <v>1</v>
      </c>
      <c r="AB107" s="183">
        <v>85.02</v>
      </c>
      <c r="AD107" s="156">
        <v>57.814</v>
      </c>
      <c r="AG107" s="2" t="s">
        <v>36</v>
      </c>
      <c r="AH107" s="172">
        <v>1.76E-4</v>
      </c>
      <c r="AI107" s="172">
        <v>5.2545228159117299E-3</v>
      </c>
      <c r="AJ107" s="172">
        <v>8.7175300757316395E-4</v>
      </c>
    </row>
    <row r="108" spans="1:36">
      <c r="A108" s="2">
        <v>161</v>
      </c>
      <c r="B108" s="2">
        <v>9938</v>
      </c>
      <c r="C108" s="2" t="s">
        <v>2105</v>
      </c>
      <c r="D108" s="2" t="s">
        <v>2106</v>
      </c>
      <c r="E108" s="4" t="s">
        <v>365</v>
      </c>
      <c r="F108" s="2" t="s">
        <v>2107</v>
      </c>
      <c r="G108" s="2" t="s">
        <v>2108</v>
      </c>
      <c r="H108" s="2" t="s">
        <v>223</v>
      </c>
      <c r="I108" s="2" t="s">
        <v>1013</v>
      </c>
      <c r="J108" s="2" t="s">
        <v>30</v>
      </c>
      <c r="K108" s="2" t="s">
        <v>30</v>
      </c>
      <c r="L108" s="2" t="s">
        <v>377</v>
      </c>
      <c r="M108" s="2" t="s">
        <v>31</v>
      </c>
      <c r="N108" s="2" t="s">
        <v>512</v>
      </c>
      <c r="O108" s="2" t="s">
        <v>173</v>
      </c>
      <c r="P108" s="2" t="s">
        <v>2041</v>
      </c>
      <c r="Q108" s="2" t="s">
        <v>464</v>
      </c>
      <c r="R108" s="2" t="s">
        <v>456</v>
      </c>
      <c r="S108" s="2" t="s">
        <v>34</v>
      </c>
      <c r="T108" s="156">
        <v>0.97099999999999997</v>
      </c>
      <c r="U108" s="2" t="s">
        <v>2109</v>
      </c>
      <c r="V108" s="170">
        <v>7.0000000000000007E-2</v>
      </c>
      <c r="W108" s="172">
        <v>7.2090000000000001E-2</v>
      </c>
      <c r="X108" s="4" t="s">
        <v>461</v>
      </c>
      <c r="Y108" s="4" t="s">
        <v>173</v>
      </c>
      <c r="Z108" s="156">
        <v>0.56000000000000005</v>
      </c>
      <c r="AA108" s="166">
        <v>1</v>
      </c>
      <c r="AB108" s="183">
        <v>99.95</v>
      </c>
      <c r="AD108" s="156">
        <v>1E-3</v>
      </c>
      <c r="AG108" s="2" t="s">
        <v>36</v>
      </c>
      <c r="AH108" s="172">
        <v>0</v>
      </c>
      <c r="AI108" s="172">
        <v>5.0871447384734997E-8</v>
      </c>
      <c r="AJ108" s="172">
        <v>8.4398410304643113E-9</v>
      </c>
    </row>
    <row r="109" spans="1:36">
      <c r="A109" s="2">
        <v>161</v>
      </c>
      <c r="B109" s="2">
        <v>9938</v>
      </c>
      <c r="C109" s="2" t="s">
        <v>2048</v>
      </c>
      <c r="D109" s="2" t="s">
        <v>2049</v>
      </c>
      <c r="E109" s="4" t="s">
        <v>1363</v>
      </c>
      <c r="F109" s="2" t="s">
        <v>2110</v>
      </c>
      <c r="G109" s="2" t="s">
        <v>2111</v>
      </c>
      <c r="H109" s="2" t="s">
        <v>223</v>
      </c>
      <c r="I109" s="2" t="s">
        <v>804</v>
      </c>
      <c r="J109" s="2" t="s">
        <v>30</v>
      </c>
      <c r="K109" s="2" t="s">
        <v>30</v>
      </c>
      <c r="L109" s="2" t="s">
        <v>377</v>
      </c>
      <c r="M109" s="2" t="s">
        <v>31</v>
      </c>
      <c r="N109" s="2" t="s">
        <v>511</v>
      </c>
      <c r="O109" s="2" t="s">
        <v>173</v>
      </c>
      <c r="P109" s="2" t="s">
        <v>2052</v>
      </c>
      <c r="Q109" s="2" t="s">
        <v>462</v>
      </c>
      <c r="R109" s="2" t="s">
        <v>456</v>
      </c>
      <c r="S109" s="2" t="s">
        <v>34</v>
      </c>
      <c r="T109" s="156">
        <v>5.3609999999999998</v>
      </c>
      <c r="U109" s="2" t="s">
        <v>2112</v>
      </c>
      <c r="V109" s="170">
        <v>6.4999999999999997E-3</v>
      </c>
      <c r="W109" s="172">
        <v>3.3059999999999999E-2</v>
      </c>
      <c r="X109" s="4" t="s">
        <v>461</v>
      </c>
      <c r="Y109" s="4" t="s">
        <v>173</v>
      </c>
      <c r="Z109" s="156">
        <v>150864.67000000001</v>
      </c>
      <c r="AA109" s="166">
        <v>1</v>
      </c>
      <c r="AB109" s="183">
        <v>99.45</v>
      </c>
      <c r="AD109" s="156">
        <v>150.035</v>
      </c>
      <c r="AG109" s="2" t="s">
        <v>36</v>
      </c>
      <c r="AH109" s="172">
        <v>6.7000000000000002E-5</v>
      </c>
      <c r="AI109" s="172">
        <v>1.36362703663416E-2</v>
      </c>
      <c r="AJ109" s="172">
        <v>2.2623290678159299E-3</v>
      </c>
    </row>
    <row r="110" spans="1:36">
      <c r="A110" s="2">
        <v>161</v>
      </c>
      <c r="B110" s="2">
        <v>9938</v>
      </c>
      <c r="C110" s="2" t="s">
        <v>1822</v>
      </c>
      <c r="D110" s="2" t="s">
        <v>1823</v>
      </c>
      <c r="E110" s="4" t="s">
        <v>1363</v>
      </c>
      <c r="F110" s="2" t="s">
        <v>2113</v>
      </c>
      <c r="G110" s="2" t="s">
        <v>2114</v>
      </c>
      <c r="H110" s="2" t="s">
        <v>223</v>
      </c>
      <c r="I110" s="2" t="s">
        <v>804</v>
      </c>
      <c r="J110" s="2" t="s">
        <v>30</v>
      </c>
      <c r="K110" s="2" t="s">
        <v>30</v>
      </c>
      <c r="L110" s="2" t="s">
        <v>377</v>
      </c>
      <c r="M110" s="2" t="s">
        <v>31</v>
      </c>
      <c r="N110" s="2" t="s">
        <v>511</v>
      </c>
      <c r="O110" s="2" t="s">
        <v>173</v>
      </c>
      <c r="P110" s="2" t="s">
        <v>2052</v>
      </c>
      <c r="Q110" s="2" t="s">
        <v>462</v>
      </c>
      <c r="R110" s="2" t="s">
        <v>456</v>
      </c>
      <c r="S110" s="2" t="s">
        <v>34</v>
      </c>
      <c r="T110" s="156">
        <v>1.4259999999999999</v>
      </c>
      <c r="U110" s="2" t="s">
        <v>2115</v>
      </c>
      <c r="V110" s="170">
        <v>1.34E-2</v>
      </c>
      <c r="W110" s="172">
        <v>2.58E-2</v>
      </c>
      <c r="X110" s="4" t="s">
        <v>461</v>
      </c>
      <c r="Y110" s="4" t="s">
        <v>173</v>
      </c>
      <c r="Z110" s="156">
        <v>110000</v>
      </c>
      <c r="AA110" s="166">
        <v>1</v>
      </c>
      <c r="AB110" s="183">
        <v>115.21</v>
      </c>
      <c r="AD110" s="156">
        <v>126.73099999999999</v>
      </c>
      <c r="AG110" s="2" t="s">
        <v>36</v>
      </c>
      <c r="AH110" s="172">
        <v>2.24E-4</v>
      </c>
      <c r="AI110" s="172">
        <v>1.1518240188870901E-2</v>
      </c>
      <c r="AJ110" s="172">
        <v>1.9109367069816601E-3</v>
      </c>
    </row>
    <row r="111" spans="1:36">
      <c r="A111" s="2">
        <v>161</v>
      </c>
      <c r="B111" s="2">
        <v>9938</v>
      </c>
      <c r="C111" s="2" t="s">
        <v>1822</v>
      </c>
      <c r="D111" s="2" t="s">
        <v>1823</v>
      </c>
      <c r="E111" s="4" t="s">
        <v>1363</v>
      </c>
      <c r="F111" s="2" t="s">
        <v>2116</v>
      </c>
      <c r="G111" s="2" t="s">
        <v>2117</v>
      </c>
      <c r="H111" s="2" t="s">
        <v>223</v>
      </c>
      <c r="I111" s="2" t="s">
        <v>804</v>
      </c>
      <c r="J111" s="2" t="s">
        <v>30</v>
      </c>
      <c r="K111" s="2" t="s">
        <v>30</v>
      </c>
      <c r="L111" s="2" t="s">
        <v>377</v>
      </c>
      <c r="M111" s="2" t="s">
        <v>31</v>
      </c>
      <c r="N111" s="2" t="s">
        <v>511</v>
      </c>
      <c r="O111" s="2" t="s">
        <v>173</v>
      </c>
      <c r="P111" s="2" t="s">
        <v>1374</v>
      </c>
      <c r="Q111" s="2" t="s">
        <v>464</v>
      </c>
      <c r="R111" s="2" t="s">
        <v>456</v>
      </c>
      <c r="S111" s="2" t="s">
        <v>34</v>
      </c>
      <c r="T111" s="156">
        <v>4.4729999999999999</v>
      </c>
      <c r="U111" s="2" t="s">
        <v>2118</v>
      </c>
      <c r="V111" s="170">
        <v>1.17E-2</v>
      </c>
      <c r="W111" s="172">
        <v>3.1579999999999997E-2</v>
      </c>
      <c r="X111" s="4" t="s">
        <v>461</v>
      </c>
      <c r="Y111" s="4" t="s">
        <v>173</v>
      </c>
      <c r="Z111" s="156">
        <v>41160</v>
      </c>
      <c r="AA111" s="166">
        <v>1</v>
      </c>
      <c r="AB111" s="183">
        <v>105.29</v>
      </c>
      <c r="AD111" s="156">
        <v>43.337000000000003</v>
      </c>
      <c r="AG111" s="2" t="s">
        <v>36</v>
      </c>
      <c r="AH111" s="172">
        <v>6.0000000000000002E-5</v>
      </c>
      <c r="AI111" s="172">
        <v>3.93881660923159E-3</v>
      </c>
      <c r="AJ111" s="172">
        <v>6.5347041885115197E-4</v>
      </c>
    </row>
    <row r="112" spans="1:36">
      <c r="A112" s="2">
        <v>161</v>
      </c>
      <c r="B112" s="2">
        <v>9938</v>
      </c>
      <c r="C112" s="2" t="s">
        <v>1919</v>
      </c>
      <c r="D112" s="2" t="s">
        <v>1920</v>
      </c>
      <c r="E112" s="4" t="s">
        <v>1363</v>
      </c>
      <c r="F112" s="2" t="s">
        <v>2119</v>
      </c>
      <c r="G112" s="2" t="s">
        <v>2120</v>
      </c>
      <c r="H112" s="2" t="s">
        <v>223</v>
      </c>
      <c r="I112" s="2" t="s">
        <v>1013</v>
      </c>
      <c r="J112" s="2" t="s">
        <v>30</v>
      </c>
      <c r="K112" s="2" t="s">
        <v>30</v>
      </c>
      <c r="L112" s="2" t="s">
        <v>377</v>
      </c>
      <c r="M112" s="2" t="s">
        <v>31</v>
      </c>
      <c r="N112" s="2" t="s">
        <v>487</v>
      </c>
      <c r="O112" s="2" t="s">
        <v>173</v>
      </c>
      <c r="P112" s="2" t="s">
        <v>2041</v>
      </c>
      <c r="Q112" s="2" t="s">
        <v>464</v>
      </c>
      <c r="R112" s="2" t="s">
        <v>456</v>
      </c>
      <c r="S112" s="2" t="s">
        <v>34</v>
      </c>
      <c r="T112" s="156">
        <v>3.0009999999999999</v>
      </c>
      <c r="U112" s="2" t="s">
        <v>2056</v>
      </c>
      <c r="V112" s="170">
        <v>7.2499999999999995E-2</v>
      </c>
      <c r="W112" s="172">
        <v>6.3950000000000007E-2</v>
      </c>
      <c r="X112" s="4" t="s">
        <v>461</v>
      </c>
      <c r="Y112" s="4" t="s">
        <v>173</v>
      </c>
      <c r="Z112" s="156">
        <v>241200</v>
      </c>
      <c r="AA112" s="166">
        <v>1</v>
      </c>
      <c r="AB112" s="183">
        <v>105.92</v>
      </c>
      <c r="AD112" s="156">
        <v>255.47900000000001</v>
      </c>
      <c r="AG112" s="2" t="s">
        <v>36</v>
      </c>
      <c r="AH112" s="172">
        <v>3.3500000000000001E-4</v>
      </c>
      <c r="AI112" s="172">
        <v>2.3219803725545999E-2</v>
      </c>
      <c r="AJ112" s="172">
        <v>3.8522877228179E-3</v>
      </c>
    </row>
    <row r="113" spans="1:36">
      <c r="A113" s="2">
        <v>161</v>
      </c>
      <c r="B113" s="2">
        <v>9938</v>
      </c>
      <c r="C113" s="2" t="s">
        <v>1830</v>
      </c>
      <c r="D113" s="2" t="s">
        <v>1831</v>
      </c>
      <c r="E113" s="4" t="s">
        <v>1363</v>
      </c>
      <c r="F113" s="2" t="s">
        <v>2363</v>
      </c>
      <c r="G113" s="2" t="s">
        <v>2364</v>
      </c>
      <c r="H113" s="2" t="s">
        <v>223</v>
      </c>
      <c r="I113" s="2" t="s">
        <v>804</v>
      </c>
      <c r="J113" s="2" t="s">
        <v>30</v>
      </c>
      <c r="K113" s="2" t="s">
        <v>30</v>
      </c>
      <c r="L113" s="2" t="s">
        <v>377</v>
      </c>
      <c r="M113" s="2" t="s">
        <v>31</v>
      </c>
      <c r="N113" s="2" t="s">
        <v>511</v>
      </c>
      <c r="O113" s="2" t="s">
        <v>173</v>
      </c>
      <c r="P113" s="2" t="s">
        <v>2052</v>
      </c>
      <c r="Q113" s="2" t="s">
        <v>462</v>
      </c>
      <c r="R113" s="2" t="s">
        <v>456</v>
      </c>
      <c r="S113" s="2" t="s">
        <v>34</v>
      </c>
      <c r="T113" s="156">
        <v>3.9689999999999999</v>
      </c>
      <c r="U113" s="2" t="s">
        <v>2365</v>
      </c>
      <c r="V113" s="170">
        <v>5.0000000000000001E-3</v>
      </c>
      <c r="W113" s="172">
        <v>3.1890000000000002E-2</v>
      </c>
      <c r="X113" s="4" t="s">
        <v>461</v>
      </c>
      <c r="Y113" s="4" t="s">
        <v>173</v>
      </c>
      <c r="Z113" s="156">
        <v>125000</v>
      </c>
      <c r="AA113" s="166">
        <v>1</v>
      </c>
      <c r="AB113" s="183">
        <v>103.53</v>
      </c>
      <c r="AD113" s="156">
        <v>129.41200000000001</v>
      </c>
      <c r="AG113" s="2" t="s">
        <v>36</v>
      </c>
      <c r="AH113" s="172">
        <v>7.7999999999999999E-5</v>
      </c>
      <c r="AI113" s="172">
        <v>1.1761954521326799E-2</v>
      </c>
      <c r="AJ113" s="172">
        <v>1.95137019823298E-3</v>
      </c>
    </row>
    <row r="114" spans="1:36">
      <c r="A114" s="2">
        <v>161</v>
      </c>
      <c r="B114" s="2">
        <v>9938</v>
      </c>
      <c r="C114" s="2" t="s">
        <v>1830</v>
      </c>
      <c r="D114" s="2" t="s">
        <v>1831</v>
      </c>
      <c r="E114" s="4" t="s">
        <v>1363</v>
      </c>
      <c r="F114" s="2" t="s">
        <v>2366</v>
      </c>
      <c r="G114" s="2" t="s">
        <v>2367</v>
      </c>
      <c r="H114" s="2" t="s">
        <v>223</v>
      </c>
      <c r="I114" s="2" t="s">
        <v>804</v>
      </c>
      <c r="J114" s="2" t="s">
        <v>30</v>
      </c>
      <c r="K114" s="2" t="s">
        <v>30</v>
      </c>
      <c r="L114" s="2" t="s">
        <v>377</v>
      </c>
      <c r="M114" s="2" t="s">
        <v>55</v>
      </c>
      <c r="N114" s="2" t="s">
        <v>511</v>
      </c>
      <c r="O114" s="2" t="s">
        <v>173</v>
      </c>
      <c r="P114" s="2" t="s">
        <v>2052</v>
      </c>
      <c r="Q114" s="2" t="s">
        <v>462</v>
      </c>
      <c r="R114" s="2" t="s">
        <v>456</v>
      </c>
      <c r="S114" s="2" t="s">
        <v>34</v>
      </c>
      <c r="T114" s="156">
        <v>3.6840000000000002</v>
      </c>
      <c r="U114" s="2" t="s">
        <v>85</v>
      </c>
      <c r="V114" s="170">
        <v>3.3399999999999999E-2</v>
      </c>
      <c r="W114" s="172">
        <v>3.0720000000000001E-2</v>
      </c>
      <c r="X114" s="4" t="s">
        <v>461</v>
      </c>
      <c r="Y114" s="4" t="s">
        <v>173</v>
      </c>
      <c r="Z114" s="156">
        <v>180000</v>
      </c>
      <c r="AA114" s="166">
        <v>1</v>
      </c>
      <c r="AB114" s="183">
        <v>103.53</v>
      </c>
      <c r="AD114" s="156">
        <v>186.35400000000001</v>
      </c>
      <c r="AG114" s="2" t="s">
        <v>36</v>
      </c>
      <c r="AH114" s="172">
        <v>2.42E-4</v>
      </c>
      <c r="AI114" s="172">
        <v>1.6937214510710501E-2</v>
      </c>
      <c r="AJ114" s="172">
        <v>2.8099730854554898E-3</v>
      </c>
    </row>
    <row r="115" spans="1:36">
      <c r="A115" s="2">
        <v>161</v>
      </c>
      <c r="B115" s="2">
        <v>9938</v>
      </c>
      <c r="C115" s="2" t="s">
        <v>2121</v>
      </c>
      <c r="D115" s="2" t="s">
        <v>2122</v>
      </c>
      <c r="E115" s="4" t="s">
        <v>1363</v>
      </c>
      <c r="F115" s="2" t="s">
        <v>2123</v>
      </c>
      <c r="G115" s="2" t="s">
        <v>2124</v>
      </c>
      <c r="H115" s="2" t="s">
        <v>223</v>
      </c>
      <c r="I115" s="2" t="s">
        <v>1013</v>
      </c>
      <c r="J115" s="2" t="s">
        <v>30</v>
      </c>
      <c r="K115" s="2" t="s">
        <v>30</v>
      </c>
      <c r="L115" s="2" t="s">
        <v>377</v>
      </c>
      <c r="M115" s="2" t="s">
        <v>31</v>
      </c>
      <c r="N115" s="2" t="s">
        <v>494</v>
      </c>
      <c r="O115" s="2" t="s">
        <v>173</v>
      </c>
      <c r="P115" s="2" t="s">
        <v>225</v>
      </c>
      <c r="Q115" s="2" t="s">
        <v>226</v>
      </c>
      <c r="R115" s="2" t="s">
        <v>226</v>
      </c>
      <c r="S115" s="2" t="s">
        <v>34</v>
      </c>
      <c r="T115" s="156">
        <v>1.647</v>
      </c>
      <c r="U115" s="2" t="s">
        <v>2125</v>
      </c>
      <c r="V115" s="170">
        <v>3.8699999999999998E-2</v>
      </c>
      <c r="W115" s="172">
        <v>6.2489999999999997E-2</v>
      </c>
      <c r="X115" s="4" t="s">
        <v>461</v>
      </c>
      <c r="Y115" s="4" t="s">
        <v>173</v>
      </c>
      <c r="Z115" s="156">
        <v>0.54</v>
      </c>
      <c r="AA115" s="166">
        <v>1</v>
      </c>
      <c r="AB115" s="183">
        <v>97.34</v>
      </c>
      <c r="AD115" s="156">
        <v>1E-3</v>
      </c>
      <c r="AG115" s="2" t="s">
        <v>36</v>
      </c>
      <c r="AH115" s="172">
        <v>0</v>
      </c>
      <c r="AI115" s="172">
        <v>4.77736441748062E-8</v>
      </c>
      <c r="AJ115" s="172">
        <v>7.9258991636695809E-9</v>
      </c>
    </row>
    <row r="116" spans="1:36">
      <c r="A116" s="2">
        <v>161</v>
      </c>
      <c r="B116" s="2">
        <v>9938</v>
      </c>
      <c r="C116" s="2" t="s">
        <v>2121</v>
      </c>
      <c r="D116" s="2" t="s">
        <v>2122</v>
      </c>
      <c r="E116" s="4" t="s">
        <v>1363</v>
      </c>
      <c r="F116" s="2" t="s">
        <v>2368</v>
      </c>
      <c r="G116" s="2" t="s">
        <v>2369</v>
      </c>
      <c r="H116" s="2" t="s">
        <v>223</v>
      </c>
      <c r="I116" s="2" t="s">
        <v>1013</v>
      </c>
      <c r="J116" s="2" t="s">
        <v>30</v>
      </c>
      <c r="K116" s="2" t="s">
        <v>30</v>
      </c>
      <c r="L116" s="2" t="s">
        <v>377</v>
      </c>
      <c r="M116" s="2" t="s">
        <v>31</v>
      </c>
      <c r="N116" s="2" t="s">
        <v>494</v>
      </c>
      <c r="O116" s="2" t="s">
        <v>173</v>
      </c>
      <c r="P116" s="2" t="s">
        <v>225</v>
      </c>
      <c r="Q116" s="2" t="s">
        <v>226</v>
      </c>
      <c r="R116" s="2" t="s">
        <v>226</v>
      </c>
      <c r="S116" s="2" t="s">
        <v>34</v>
      </c>
      <c r="T116" s="156">
        <v>1.63</v>
      </c>
      <c r="U116" s="2" t="s">
        <v>2370</v>
      </c>
      <c r="V116" s="170">
        <v>6.25E-2</v>
      </c>
      <c r="W116" s="172">
        <v>7.6359999999999997E-2</v>
      </c>
      <c r="X116" s="4" t="s">
        <v>461</v>
      </c>
      <c r="Y116" s="4" t="s">
        <v>173</v>
      </c>
      <c r="Z116" s="156">
        <v>0.25</v>
      </c>
      <c r="AA116" s="166">
        <v>1</v>
      </c>
      <c r="AB116" s="183">
        <v>99.6</v>
      </c>
      <c r="AD116" s="156">
        <v>0</v>
      </c>
      <c r="AG116" s="2" t="s">
        <v>36</v>
      </c>
      <c r="AH116" s="172">
        <v>0</v>
      </c>
      <c r="AI116" s="172">
        <v>2.26309411827324E-8</v>
      </c>
      <c r="AJ116" s="172">
        <v>3.7545923257800601E-9</v>
      </c>
    </row>
    <row r="117" spans="1:36">
      <c r="A117" s="2">
        <v>161</v>
      </c>
      <c r="B117" s="2">
        <v>9938</v>
      </c>
      <c r="C117" s="2" t="s">
        <v>2126</v>
      </c>
      <c r="D117" s="2" t="s">
        <v>2127</v>
      </c>
      <c r="E117" s="4" t="s">
        <v>1363</v>
      </c>
      <c r="F117" s="2" t="s">
        <v>2128</v>
      </c>
      <c r="G117" s="2" t="s">
        <v>2129</v>
      </c>
      <c r="H117" s="2" t="s">
        <v>223</v>
      </c>
      <c r="I117" s="2" t="s">
        <v>804</v>
      </c>
      <c r="J117" s="2" t="s">
        <v>30</v>
      </c>
      <c r="K117" s="2" t="s">
        <v>350</v>
      </c>
      <c r="L117" s="2" t="s">
        <v>377</v>
      </c>
      <c r="M117" s="2" t="s">
        <v>31</v>
      </c>
      <c r="N117" s="2" t="s">
        <v>512</v>
      </c>
      <c r="O117" s="2" t="s">
        <v>173</v>
      </c>
      <c r="P117" s="2" t="s">
        <v>2041</v>
      </c>
      <c r="Q117" s="2" t="s">
        <v>462</v>
      </c>
      <c r="R117" s="2" t="s">
        <v>456</v>
      </c>
      <c r="S117" s="2" t="s">
        <v>34</v>
      </c>
      <c r="T117" s="156">
        <v>2.2320000000000002</v>
      </c>
      <c r="U117" s="2" t="s">
        <v>2130</v>
      </c>
      <c r="V117" s="170">
        <v>3.2800000000000003E-2</v>
      </c>
      <c r="W117" s="172">
        <v>4.3990000000000001E-2</v>
      </c>
      <c r="X117" s="4" t="s">
        <v>461</v>
      </c>
      <c r="Y117" s="4" t="s">
        <v>173</v>
      </c>
      <c r="Z117" s="156">
        <v>150000</v>
      </c>
      <c r="AA117" s="166">
        <v>1</v>
      </c>
      <c r="AB117" s="183">
        <v>115.06</v>
      </c>
      <c r="AD117" s="156">
        <v>172.59</v>
      </c>
      <c r="AG117" s="2" t="s">
        <v>36</v>
      </c>
      <c r="AH117" s="172">
        <v>9.3999999999999994E-5</v>
      </c>
      <c r="AI117" s="172">
        <v>1.5686241520995198E-2</v>
      </c>
      <c r="AJ117" s="172">
        <v>2.6024300783388699E-3</v>
      </c>
    </row>
    <row r="118" spans="1:36">
      <c r="A118" s="2">
        <v>161</v>
      </c>
      <c r="B118" s="2">
        <v>9938</v>
      </c>
      <c r="C118" s="2" t="s">
        <v>2371</v>
      </c>
      <c r="D118" s="2" t="s">
        <v>2372</v>
      </c>
      <c r="E118" s="4" t="s">
        <v>1363</v>
      </c>
      <c r="F118" s="2" t="s">
        <v>2373</v>
      </c>
      <c r="G118" s="2" t="s">
        <v>2374</v>
      </c>
      <c r="H118" s="2" t="s">
        <v>223</v>
      </c>
      <c r="I118" s="2" t="s">
        <v>804</v>
      </c>
      <c r="J118" s="2" t="s">
        <v>30</v>
      </c>
      <c r="K118" s="2" t="s">
        <v>30</v>
      </c>
      <c r="L118" s="2" t="s">
        <v>377</v>
      </c>
      <c r="M118" s="2" t="s">
        <v>31</v>
      </c>
      <c r="N118" s="2" t="s">
        <v>498</v>
      </c>
      <c r="O118" s="2" t="s">
        <v>173</v>
      </c>
      <c r="P118" s="2" t="s">
        <v>2061</v>
      </c>
      <c r="Q118" s="2" t="s">
        <v>462</v>
      </c>
      <c r="R118" s="2" t="s">
        <v>456</v>
      </c>
      <c r="S118" s="2" t="s">
        <v>34</v>
      </c>
      <c r="T118" s="156">
        <v>3.8159999999999998</v>
      </c>
      <c r="U118" s="2" t="s">
        <v>2375</v>
      </c>
      <c r="V118" s="170">
        <v>7.4999999999999997E-3</v>
      </c>
      <c r="W118" s="172">
        <v>3.4759999999999999E-2</v>
      </c>
      <c r="X118" s="4" t="s">
        <v>461</v>
      </c>
      <c r="Y118" s="4" t="s">
        <v>173</v>
      </c>
      <c r="Z118" s="156">
        <v>0</v>
      </c>
      <c r="AA118" s="166">
        <v>1</v>
      </c>
      <c r="AB118" s="183">
        <v>0</v>
      </c>
      <c r="AC118" s="156">
        <v>0.39700000000000002</v>
      </c>
      <c r="AD118" s="156">
        <v>0.39700000000000002</v>
      </c>
      <c r="AG118" s="2" t="s">
        <v>36</v>
      </c>
      <c r="AH118" s="172">
        <v>0</v>
      </c>
      <c r="AI118" s="172">
        <v>3.6037728868936703E-5</v>
      </c>
      <c r="AJ118" s="172">
        <v>5.9788490084138503E-6</v>
      </c>
    </row>
    <row r="119" spans="1:36">
      <c r="A119" s="2">
        <v>161</v>
      </c>
      <c r="B119" s="2">
        <v>9938</v>
      </c>
      <c r="C119" s="2" t="s">
        <v>2131</v>
      </c>
      <c r="D119" s="2" t="s">
        <v>2132</v>
      </c>
      <c r="E119" s="4" t="s">
        <v>1363</v>
      </c>
      <c r="F119" s="2" t="s">
        <v>2133</v>
      </c>
      <c r="G119" s="2" t="s">
        <v>2134</v>
      </c>
      <c r="H119" s="2" t="s">
        <v>223</v>
      </c>
      <c r="I119" s="2" t="s">
        <v>804</v>
      </c>
      <c r="J119" s="2" t="s">
        <v>30</v>
      </c>
      <c r="K119" s="2" t="s">
        <v>30</v>
      </c>
      <c r="L119" s="2" t="s">
        <v>377</v>
      </c>
      <c r="M119" s="2" t="s">
        <v>31</v>
      </c>
      <c r="N119" s="2" t="s">
        <v>495</v>
      </c>
      <c r="O119" s="2" t="s">
        <v>173</v>
      </c>
      <c r="P119" s="2" t="s">
        <v>1224</v>
      </c>
      <c r="Q119" s="2" t="s">
        <v>462</v>
      </c>
      <c r="R119" s="2" t="s">
        <v>456</v>
      </c>
      <c r="S119" s="2" t="s">
        <v>34</v>
      </c>
      <c r="T119" s="156">
        <v>3.9830000000000001</v>
      </c>
      <c r="U119" s="2" t="s">
        <v>2135</v>
      </c>
      <c r="V119" s="170">
        <v>2E-3</v>
      </c>
      <c r="W119" s="172">
        <v>2.5190000000000001E-2</v>
      </c>
      <c r="X119" s="4" t="s">
        <v>461</v>
      </c>
      <c r="Y119" s="4" t="s">
        <v>173</v>
      </c>
      <c r="Z119" s="156">
        <v>273186.09999999998</v>
      </c>
      <c r="AA119" s="166">
        <v>1</v>
      </c>
      <c r="AB119" s="183">
        <v>102.6</v>
      </c>
      <c r="AD119" s="156">
        <v>280.28899999999999</v>
      </c>
      <c r="AG119" s="2" t="s">
        <v>36</v>
      </c>
      <c r="AH119" s="172">
        <v>7.4999999999999993E-5</v>
      </c>
      <c r="AI119" s="172">
        <v>2.5474708769586799E-2</v>
      </c>
      <c r="AJ119" s="172">
        <v>4.2263883448538002E-3</v>
      </c>
    </row>
    <row r="120" spans="1:36">
      <c r="A120" s="2">
        <v>161</v>
      </c>
      <c r="B120" s="2">
        <v>9938</v>
      </c>
      <c r="C120" s="2" t="s">
        <v>2131</v>
      </c>
      <c r="D120" s="2" t="s">
        <v>2132</v>
      </c>
      <c r="E120" s="4" t="s">
        <v>1363</v>
      </c>
      <c r="F120" s="2" t="s">
        <v>2136</v>
      </c>
      <c r="G120" s="2" t="s">
        <v>2137</v>
      </c>
      <c r="H120" s="2" t="s">
        <v>223</v>
      </c>
      <c r="I120" s="2" t="s">
        <v>1013</v>
      </c>
      <c r="J120" s="2" t="s">
        <v>30</v>
      </c>
      <c r="K120" s="2" t="s">
        <v>30</v>
      </c>
      <c r="L120" s="2" t="s">
        <v>377</v>
      </c>
      <c r="M120" s="2" t="s">
        <v>31</v>
      </c>
      <c r="N120" s="2" t="s">
        <v>495</v>
      </c>
      <c r="O120" s="2" t="s">
        <v>173</v>
      </c>
      <c r="P120" s="2" t="s">
        <v>1224</v>
      </c>
      <c r="Q120" s="2" t="s">
        <v>462</v>
      </c>
      <c r="R120" s="2" t="s">
        <v>456</v>
      </c>
      <c r="S120" s="2" t="s">
        <v>34</v>
      </c>
      <c r="T120" s="156">
        <v>2.1349999999999998</v>
      </c>
      <c r="U120" s="2" t="s">
        <v>2138</v>
      </c>
      <c r="V120" s="170">
        <v>2.6800000000000001E-2</v>
      </c>
      <c r="W120" s="172">
        <v>5.1090000000000003E-2</v>
      </c>
      <c r="X120" s="4" t="s">
        <v>461</v>
      </c>
      <c r="Y120" s="4" t="s">
        <v>173</v>
      </c>
      <c r="Z120" s="156">
        <v>170000</v>
      </c>
      <c r="AA120" s="166">
        <v>1</v>
      </c>
      <c r="AB120" s="183">
        <v>95.42</v>
      </c>
      <c r="AD120" s="156">
        <v>162.214</v>
      </c>
      <c r="AG120" s="2" t="s">
        <v>36</v>
      </c>
      <c r="AH120" s="172">
        <v>7.3999999999999996E-5</v>
      </c>
      <c r="AI120" s="172">
        <v>1.47431947510673E-2</v>
      </c>
      <c r="AJ120" s="172">
        <v>2.4459736527473299E-3</v>
      </c>
    </row>
    <row r="121" spans="1:36">
      <c r="A121" s="2">
        <v>161</v>
      </c>
      <c r="B121" s="2">
        <v>9938</v>
      </c>
      <c r="C121" s="2" t="s">
        <v>2131</v>
      </c>
      <c r="D121" s="2" t="s">
        <v>2132</v>
      </c>
      <c r="E121" s="4" t="s">
        <v>1363</v>
      </c>
      <c r="F121" s="2" t="s">
        <v>2139</v>
      </c>
      <c r="G121" s="2" t="s">
        <v>2140</v>
      </c>
      <c r="H121" s="2" t="s">
        <v>223</v>
      </c>
      <c r="I121" s="2" t="s">
        <v>804</v>
      </c>
      <c r="J121" s="2" t="s">
        <v>30</v>
      </c>
      <c r="K121" s="2" t="s">
        <v>30</v>
      </c>
      <c r="L121" s="2" t="s">
        <v>377</v>
      </c>
      <c r="M121" s="2" t="s">
        <v>55</v>
      </c>
      <c r="N121" s="2" t="s">
        <v>495</v>
      </c>
      <c r="O121" s="2" t="s">
        <v>173</v>
      </c>
      <c r="P121" s="2" t="s">
        <v>1374</v>
      </c>
      <c r="Q121" s="2" t="s">
        <v>462</v>
      </c>
      <c r="R121" s="2" t="s">
        <v>456</v>
      </c>
      <c r="S121" s="2" t="s">
        <v>34</v>
      </c>
      <c r="T121" s="156">
        <v>5.6779999999999999</v>
      </c>
      <c r="U121" s="2" t="s">
        <v>2141</v>
      </c>
      <c r="V121" s="170">
        <v>3.3203000000000003E-2</v>
      </c>
      <c r="W121" s="172">
        <v>3.1600000000000003E-2</v>
      </c>
      <c r="X121" s="4" t="s">
        <v>461</v>
      </c>
      <c r="Y121" s="4" t="s">
        <v>173</v>
      </c>
      <c r="Z121" s="156">
        <v>190000</v>
      </c>
      <c r="AA121" s="166">
        <v>1</v>
      </c>
      <c r="AB121" s="183">
        <v>101.97</v>
      </c>
      <c r="AD121" s="156">
        <v>193.74299999999999</v>
      </c>
      <c r="AG121" s="2" t="s">
        <v>36</v>
      </c>
      <c r="AH121" s="172">
        <v>5.6700000000000001E-4</v>
      </c>
      <c r="AI121" s="172">
        <v>1.76087808737596E-2</v>
      </c>
      <c r="AJ121" s="172">
        <v>2.9213894818217101E-3</v>
      </c>
    </row>
    <row r="122" spans="1:36">
      <c r="A122" s="2">
        <v>161</v>
      </c>
      <c r="B122" s="2">
        <v>9938</v>
      </c>
      <c r="C122" s="2" t="s">
        <v>2142</v>
      </c>
      <c r="D122" s="2" t="s">
        <v>2143</v>
      </c>
      <c r="E122" s="4" t="s">
        <v>1363</v>
      </c>
      <c r="F122" s="2" t="s">
        <v>2144</v>
      </c>
      <c r="G122" s="2" t="s">
        <v>2145</v>
      </c>
      <c r="H122" s="2" t="s">
        <v>223</v>
      </c>
      <c r="I122" s="2" t="s">
        <v>804</v>
      </c>
      <c r="J122" s="2" t="s">
        <v>30</v>
      </c>
      <c r="K122" s="2" t="s">
        <v>30</v>
      </c>
      <c r="L122" s="2" t="s">
        <v>377</v>
      </c>
      <c r="M122" s="2" t="s">
        <v>31</v>
      </c>
      <c r="N122" s="2" t="s">
        <v>487</v>
      </c>
      <c r="O122" s="2" t="s">
        <v>173</v>
      </c>
      <c r="P122" s="2" t="s">
        <v>2041</v>
      </c>
      <c r="Q122" s="2" t="s">
        <v>464</v>
      </c>
      <c r="R122" s="2" t="s">
        <v>456</v>
      </c>
      <c r="S122" s="2" t="s">
        <v>34</v>
      </c>
      <c r="T122" s="156">
        <v>3.4649999999999999</v>
      </c>
      <c r="U122" s="2" t="s">
        <v>2146</v>
      </c>
      <c r="V122" s="170">
        <v>1.7999999999999999E-2</v>
      </c>
      <c r="W122" s="172">
        <v>3.6589999999999998E-2</v>
      </c>
      <c r="X122" s="4" t="s">
        <v>461</v>
      </c>
      <c r="Y122" s="4" t="s">
        <v>173</v>
      </c>
      <c r="Z122" s="156">
        <v>0.62</v>
      </c>
      <c r="AA122" s="166">
        <v>1</v>
      </c>
      <c r="AB122" s="183">
        <v>107.89</v>
      </c>
      <c r="AD122" s="156">
        <v>1E-3</v>
      </c>
      <c r="AG122" s="2" t="s">
        <v>36</v>
      </c>
      <c r="AH122" s="172">
        <v>0</v>
      </c>
      <c r="AI122" s="172">
        <v>6.0796160297473996E-8</v>
      </c>
      <c r="AJ122" s="172">
        <v>1.00864031701853E-8</v>
      </c>
    </row>
    <row r="123" spans="1:36">
      <c r="A123" s="2">
        <v>161</v>
      </c>
      <c r="B123" s="2">
        <v>9938</v>
      </c>
      <c r="C123" s="2" t="s">
        <v>2147</v>
      </c>
      <c r="D123" s="2" t="s">
        <v>2148</v>
      </c>
      <c r="E123" s="4" t="s">
        <v>1363</v>
      </c>
      <c r="F123" s="2" t="s">
        <v>2149</v>
      </c>
      <c r="G123" s="2" t="s">
        <v>2150</v>
      </c>
      <c r="H123" s="2" t="s">
        <v>223</v>
      </c>
      <c r="I123" s="2" t="s">
        <v>804</v>
      </c>
      <c r="J123" s="2" t="s">
        <v>30</v>
      </c>
      <c r="K123" s="2" t="s">
        <v>30</v>
      </c>
      <c r="L123" s="2" t="s">
        <v>377</v>
      </c>
      <c r="M123" s="2" t="s">
        <v>31</v>
      </c>
      <c r="N123" s="2" t="s">
        <v>511</v>
      </c>
      <c r="O123" s="2" t="s">
        <v>173</v>
      </c>
      <c r="P123" s="2" t="s">
        <v>2100</v>
      </c>
      <c r="Q123" s="2" t="s">
        <v>462</v>
      </c>
      <c r="R123" s="2" t="s">
        <v>456</v>
      </c>
      <c r="S123" s="2" t="s">
        <v>34</v>
      </c>
      <c r="T123" s="156">
        <v>3.1960000000000002</v>
      </c>
      <c r="U123" s="2" t="s">
        <v>2151</v>
      </c>
      <c r="V123" s="170">
        <v>2.7E-2</v>
      </c>
      <c r="W123" s="172">
        <v>3.3169999999999998E-2</v>
      </c>
      <c r="X123" s="4" t="s">
        <v>461</v>
      </c>
      <c r="Y123" s="4" t="s">
        <v>173</v>
      </c>
      <c r="Z123" s="156">
        <v>38000</v>
      </c>
      <c r="AA123" s="166">
        <v>1</v>
      </c>
      <c r="AB123" s="183">
        <v>105.81</v>
      </c>
      <c r="AD123" s="156">
        <v>40.207999999999998</v>
      </c>
      <c r="AG123" s="2" t="s">
        <v>36</v>
      </c>
      <c r="AH123" s="172">
        <v>8.7000000000000001E-5</v>
      </c>
      <c r="AI123" s="172">
        <v>3.65437894332157E-3</v>
      </c>
      <c r="AJ123" s="172">
        <v>6.0628071211445503E-4</v>
      </c>
    </row>
    <row r="124" spans="1:36">
      <c r="A124" s="2">
        <v>161</v>
      </c>
      <c r="B124" s="2">
        <v>9938</v>
      </c>
      <c r="C124" s="2" t="s">
        <v>2147</v>
      </c>
      <c r="D124" s="2" t="s">
        <v>2148</v>
      </c>
      <c r="E124" s="4" t="s">
        <v>1363</v>
      </c>
      <c r="F124" s="2" t="s">
        <v>2152</v>
      </c>
      <c r="G124" s="2" t="s">
        <v>2153</v>
      </c>
      <c r="H124" s="2" t="s">
        <v>223</v>
      </c>
      <c r="I124" s="2" t="s">
        <v>804</v>
      </c>
      <c r="J124" s="2" t="s">
        <v>30</v>
      </c>
      <c r="K124" s="2" t="s">
        <v>30</v>
      </c>
      <c r="L124" s="2" t="s">
        <v>377</v>
      </c>
      <c r="M124" s="2" t="s">
        <v>31</v>
      </c>
      <c r="N124" s="2" t="s">
        <v>511</v>
      </c>
      <c r="O124" s="2" t="s">
        <v>173</v>
      </c>
      <c r="P124" s="2" t="s">
        <v>2100</v>
      </c>
      <c r="Q124" s="2" t="s">
        <v>462</v>
      </c>
      <c r="R124" s="2" t="s">
        <v>456</v>
      </c>
      <c r="S124" s="2" t="s">
        <v>34</v>
      </c>
      <c r="T124" s="156">
        <v>1.536</v>
      </c>
      <c r="U124" s="2" t="s">
        <v>2154</v>
      </c>
      <c r="V124" s="170">
        <v>1.7999999999999999E-2</v>
      </c>
      <c r="W124" s="172">
        <v>2.742E-2</v>
      </c>
      <c r="X124" s="4" t="s">
        <v>461</v>
      </c>
      <c r="Y124" s="4" t="s">
        <v>173</v>
      </c>
      <c r="Z124" s="156">
        <v>90000</v>
      </c>
      <c r="AA124" s="166">
        <v>1</v>
      </c>
      <c r="AB124" s="183">
        <v>113.45</v>
      </c>
      <c r="AD124" s="156">
        <v>102.105</v>
      </c>
      <c r="AG124" s="2" t="s">
        <v>36</v>
      </c>
      <c r="AH124" s="172">
        <v>1.1400000000000001E-4</v>
      </c>
      <c r="AI124" s="172">
        <v>9.2800491946301092E-3</v>
      </c>
      <c r="AJ124" s="172">
        <v>1.53960903383041E-3</v>
      </c>
    </row>
    <row r="125" spans="1:36">
      <c r="A125" s="2">
        <v>161</v>
      </c>
      <c r="B125" s="2">
        <v>9938</v>
      </c>
      <c r="C125" s="2" t="s">
        <v>1668</v>
      </c>
      <c r="D125" s="2" t="s">
        <v>1669</v>
      </c>
      <c r="E125" s="4" t="s">
        <v>1363</v>
      </c>
      <c r="F125" s="2" t="s">
        <v>2155</v>
      </c>
      <c r="G125" s="2" t="s">
        <v>2156</v>
      </c>
      <c r="H125" s="2" t="s">
        <v>223</v>
      </c>
      <c r="I125" s="2" t="s">
        <v>804</v>
      </c>
      <c r="J125" s="2" t="s">
        <v>30</v>
      </c>
      <c r="K125" s="2" t="s">
        <v>30</v>
      </c>
      <c r="L125" s="2" t="s">
        <v>377</v>
      </c>
      <c r="M125" s="2" t="s">
        <v>31</v>
      </c>
      <c r="N125" s="2" t="s">
        <v>492</v>
      </c>
      <c r="O125" s="2" t="s">
        <v>173</v>
      </c>
      <c r="P125" s="2" t="s">
        <v>2052</v>
      </c>
      <c r="Q125" s="2" t="s">
        <v>462</v>
      </c>
      <c r="R125" s="2" t="s">
        <v>456</v>
      </c>
      <c r="S125" s="2" t="s">
        <v>34</v>
      </c>
      <c r="T125" s="156">
        <v>4.5369999999999999</v>
      </c>
      <c r="U125" s="2" t="s">
        <v>2157</v>
      </c>
      <c r="V125" s="170">
        <v>4.4000000000000003E-3</v>
      </c>
      <c r="W125" s="172">
        <v>2.7050000000000001E-2</v>
      </c>
      <c r="X125" s="4" t="s">
        <v>461</v>
      </c>
      <c r="Y125" s="4" t="s">
        <v>173</v>
      </c>
      <c r="Z125" s="156">
        <v>120000</v>
      </c>
      <c r="AA125" s="166">
        <v>1</v>
      </c>
      <c r="AB125" s="183">
        <v>104.2</v>
      </c>
      <c r="AD125" s="156">
        <v>125.04</v>
      </c>
      <c r="AG125" s="2" t="s">
        <v>36</v>
      </c>
      <c r="AH125" s="172">
        <v>1.4100000000000001E-4</v>
      </c>
      <c r="AI125" s="172">
        <v>1.13645497409191E-2</v>
      </c>
      <c r="AJ125" s="172">
        <v>1.88543865227124E-3</v>
      </c>
    </row>
    <row r="126" spans="1:36">
      <c r="A126" s="2">
        <v>161</v>
      </c>
      <c r="B126" s="2">
        <v>9938</v>
      </c>
      <c r="C126" s="2" t="s">
        <v>1846</v>
      </c>
      <c r="D126" s="2" t="s">
        <v>1847</v>
      </c>
      <c r="E126" s="4" t="s">
        <v>1363</v>
      </c>
      <c r="F126" s="2" t="s">
        <v>2158</v>
      </c>
      <c r="G126" s="2" t="s">
        <v>2159</v>
      </c>
      <c r="H126" s="2" t="s">
        <v>223</v>
      </c>
      <c r="I126" s="2" t="s">
        <v>1013</v>
      </c>
      <c r="J126" s="2" t="s">
        <v>30</v>
      </c>
      <c r="K126" s="2" t="s">
        <v>30</v>
      </c>
      <c r="L126" s="2" t="s">
        <v>377</v>
      </c>
      <c r="M126" s="2" t="s">
        <v>31</v>
      </c>
      <c r="N126" s="2" t="s">
        <v>492</v>
      </c>
      <c r="O126" s="2" t="s">
        <v>173</v>
      </c>
      <c r="P126" s="2" t="s">
        <v>2052</v>
      </c>
      <c r="Q126" s="2" t="s">
        <v>464</v>
      </c>
      <c r="R126" s="2" t="s">
        <v>456</v>
      </c>
      <c r="S126" s="2" t="s">
        <v>34</v>
      </c>
      <c r="T126" s="156">
        <v>4.95</v>
      </c>
      <c r="U126" s="2" t="s">
        <v>2160</v>
      </c>
      <c r="V126" s="170">
        <v>1.95E-2</v>
      </c>
      <c r="W126" s="172">
        <v>5.7970000000000001E-2</v>
      </c>
      <c r="X126" s="4" t="s">
        <v>461</v>
      </c>
      <c r="Y126" s="4" t="s">
        <v>173</v>
      </c>
      <c r="Z126" s="156">
        <v>220000</v>
      </c>
      <c r="AA126" s="166">
        <v>1</v>
      </c>
      <c r="AB126" s="183">
        <v>83.08</v>
      </c>
      <c r="AD126" s="156">
        <v>182.77600000000001</v>
      </c>
      <c r="AG126" s="2" t="s">
        <v>36</v>
      </c>
      <c r="AH126" s="172">
        <v>2.1000000000000001E-4</v>
      </c>
      <c r="AI126" s="172">
        <v>1.6612019701265499E-2</v>
      </c>
      <c r="AJ126" s="172">
        <v>2.7560215539629502E-3</v>
      </c>
    </row>
    <row r="127" spans="1:36">
      <c r="A127" s="2">
        <v>161</v>
      </c>
      <c r="B127" s="2">
        <v>9938</v>
      </c>
      <c r="C127" s="2" t="s">
        <v>2161</v>
      </c>
      <c r="D127" s="2" t="s">
        <v>2162</v>
      </c>
      <c r="E127" s="4" t="s">
        <v>1363</v>
      </c>
      <c r="F127" s="2" t="s">
        <v>2163</v>
      </c>
      <c r="G127" s="2" t="s">
        <v>2164</v>
      </c>
      <c r="H127" s="2" t="s">
        <v>223</v>
      </c>
      <c r="I127" s="2" t="s">
        <v>1013</v>
      </c>
      <c r="J127" s="2" t="s">
        <v>30</v>
      </c>
      <c r="K127" s="2" t="s">
        <v>30</v>
      </c>
      <c r="L127" s="2" t="s">
        <v>377</v>
      </c>
      <c r="M127" s="2" t="s">
        <v>31</v>
      </c>
      <c r="N127" s="2" t="s">
        <v>498</v>
      </c>
      <c r="O127" s="2" t="s">
        <v>173</v>
      </c>
      <c r="P127" s="2" t="s">
        <v>2061</v>
      </c>
      <c r="Q127" s="2" t="s">
        <v>462</v>
      </c>
      <c r="R127" s="2" t="s">
        <v>456</v>
      </c>
      <c r="S127" s="2" t="s">
        <v>34</v>
      </c>
      <c r="T127" s="156">
        <v>1.859</v>
      </c>
      <c r="U127" s="2" t="s">
        <v>2130</v>
      </c>
      <c r="V127" s="170">
        <v>2.1999999999999999E-2</v>
      </c>
      <c r="W127" s="172">
        <v>5.6399999999999999E-2</v>
      </c>
      <c r="X127" s="4" t="s">
        <v>461</v>
      </c>
      <c r="Y127" s="4" t="s">
        <v>173</v>
      </c>
      <c r="Z127" s="156">
        <v>130000</v>
      </c>
      <c r="AA127" s="166">
        <v>1</v>
      </c>
      <c r="AB127" s="183">
        <v>93.06</v>
      </c>
      <c r="AD127" s="156">
        <v>120.97799999999999</v>
      </c>
      <c r="AG127" s="2" t="s">
        <v>36</v>
      </c>
      <c r="AH127" s="172">
        <v>1.2E-4</v>
      </c>
      <c r="AI127" s="172">
        <v>1.09953654715044E-2</v>
      </c>
      <c r="AJ127" s="172">
        <v>1.8241890377036899E-3</v>
      </c>
    </row>
    <row r="128" spans="1:36">
      <c r="A128" s="2">
        <v>161</v>
      </c>
      <c r="B128" s="2">
        <v>9938</v>
      </c>
      <c r="C128" s="2" t="s">
        <v>1854</v>
      </c>
      <c r="D128" s="2" t="s">
        <v>1855</v>
      </c>
      <c r="E128" s="4" t="s">
        <v>1363</v>
      </c>
      <c r="F128" s="2" t="s">
        <v>2165</v>
      </c>
      <c r="G128" s="2" t="s">
        <v>2166</v>
      </c>
      <c r="H128" s="2" t="s">
        <v>223</v>
      </c>
      <c r="I128" s="2" t="s">
        <v>1013</v>
      </c>
      <c r="J128" s="2" t="s">
        <v>30</v>
      </c>
      <c r="K128" s="2" t="s">
        <v>30</v>
      </c>
      <c r="L128" s="2" t="s">
        <v>377</v>
      </c>
      <c r="M128" s="2" t="s">
        <v>55</v>
      </c>
      <c r="N128" s="2" t="s">
        <v>494</v>
      </c>
      <c r="O128" s="2" t="s">
        <v>173</v>
      </c>
      <c r="P128" s="2" t="s">
        <v>225</v>
      </c>
      <c r="Q128" s="2" t="s">
        <v>226</v>
      </c>
      <c r="R128" s="2" t="s">
        <v>226</v>
      </c>
      <c r="S128" s="2" t="s">
        <v>34</v>
      </c>
      <c r="T128" s="156">
        <v>2.5249999999999999</v>
      </c>
      <c r="U128" s="2" t="s">
        <v>2167</v>
      </c>
      <c r="V128" s="170">
        <v>6.5000000000000002E-2</v>
      </c>
      <c r="W128" s="172">
        <v>8.0589999999999995E-2</v>
      </c>
      <c r="X128" s="4" t="s">
        <v>461</v>
      </c>
      <c r="Y128" s="4" t="s">
        <v>173</v>
      </c>
      <c r="Z128" s="156">
        <v>54000</v>
      </c>
      <c r="AA128" s="166">
        <v>1</v>
      </c>
      <c r="AB128" s="183">
        <v>98.98</v>
      </c>
      <c r="AD128" s="156">
        <v>53.448999999999998</v>
      </c>
      <c r="AG128" s="2" t="s">
        <v>36</v>
      </c>
      <c r="AH128" s="172">
        <v>4.35E-4</v>
      </c>
      <c r="AI128" s="172">
        <v>4.8578542227474004E-3</v>
      </c>
      <c r="AJ128" s="172">
        <v>8.0594359895214205E-4</v>
      </c>
    </row>
    <row r="129" spans="1:36">
      <c r="A129" s="2">
        <v>161</v>
      </c>
      <c r="B129" s="2">
        <v>9938</v>
      </c>
      <c r="C129" s="2" t="s">
        <v>2168</v>
      </c>
      <c r="D129" s="2" t="s">
        <v>2169</v>
      </c>
      <c r="E129" s="4" t="s">
        <v>1363</v>
      </c>
      <c r="F129" s="2" t="s">
        <v>2170</v>
      </c>
      <c r="G129" s="2" t="s">
        <v>2171</v>
      </c>
      <c r="H129" s="2" t="s">
        <v>223</v>
      </c>
      <c r="I129" s="2" t="s">
        <v>804</v>
      </c>
      <c r="J129" s="2" t="s">
        <v>30</v>
      </c>
      <c r="K129" s="2" t="s">
        <v>30</v>
      </c>
      <c r="L129" s="2" t="s">
        <v>377</v>
      </c>
      <c r="M129" s="2" t="s">
        <v>31</v>
      </c>
      <c r="N129" s="2" t="s">
        <v>487</v>
      </c>
      <c r="O129" s="2" t="s">
        <v>173</v>
      </c>
      <c r="P129" s="2" t="s">
        <v>93</v>
      </c>
      <c r="Q129" s="2" t="s">
        <v>462</v>
      </c>
      <c r="R129" s="2" t="s">
        <v>456</v>
      </c>
      <c r="S129" s="2" t="s">
        <v>34</v>
      </c>
      <c r="T129" s="156">
        <v>0.81299999999999994</v>
      </c>
      <c r="U129" s="2" t="s">
        <v>2172</v>
      </c>
      <c r="V129" s="170">
        <v>4.4999999999999998E-2</v>
      </c>
      <c r="W129" s="172">
        <v>2.615E-2</v>
      </c>
      <c r="X129" s="4" t="s">
        <v>461</v>
      </c>
      <c r="Y129" s="4" t="s">
        <v>173</v>
      </c>
      <c r="Z129" s="156">
        <v>61000</v>
      </c>
      <c r="AA129" s="166">
        <v>1</v>
      </c>
      <c r="AB129" s="183">
        <v>119.4</v>
      </c>
      <c r="AD129" s="156">
        <v>72.834000000000003</v>
      </c>
      <c r="AG129" s="2" t="s">
        <v>36</v>
      </c>
      <c r="AH129" s="172">
        <v>2.0999999999999999E-5</v>
      </c>
      <c r="AI129" s="172">
        <v>6.6196866269202202E-3</v>
      </c>
      <c r="AJ129" s="172">
        <v>1.09824087331673E-3</v>
      </c>
    </row>
    <row r="130" spans="1:36">
      <c r="A130" s="2">
        <v>161</v>
      </c>
      <c r="B130" s="2">
        <v>9938</v>
      </c>
      <c r="C130" s="2" t="s">
        <v>2168</v>
      </c>
      <c r="D130" s="2" t="s">
        <v>2169</v>
      </c>
      <c r="E130" s="4" t="s">
        <v>1363</v>
      </c>
      <c r="F130" s="2" t="s">
        <v>2176</v>
      </c>
      <c r="G130" s="2" t="s">
        <v>2177</v>
      </c>
      <c r="H130" s="2" t="s">
        <v>223</v>
      </c>
      <c r="I130" s="2" t="s">
        <v>804</v>
      </c>
      <c r="J130" s="2" t="s">
        <v>30</v>
      </c>
      <c r="K130" s="2" t="s">
        <v>30</v>
      </c>
      <c r="L130" s="2" t="s">
        <v>377</v>
      </c>
      <c r="M130" s="2" t="s">
        <v>31</v>
      </c>
      <c r="N130" s="2" t="s">
        <v>487</v>
      </c>
      <c r="O130" s="2" t="s">
        <v>173</v>
      </c>
      <c r="P130" s="2" t="s">
        <v>93</v>
      </c>
      <c r="Q130" s="2" t="s">
        <v>462</v>
      </c>
      <c r="R130" s="2" t="s">
        <v>456</v>
      </c>
      <c r="S130" s="2" t="s">
        <v>34</v>
      </c>
      <c r="T130" s="156">
        <v>5.798</v>
      </c>
      <c r="U130" s="2" t="s">
        <v>2178</v>
      </c>
      <c r="V130" s="170">
        <v>2.3900000000000001E-2</v>
      </c>
      <c r="W130" s="172">
        <v>2.9239999999999999E-2</v>
      </c>
      <c r="X130" s="4" t="s">
        <v>461</v>
      </c>
      <c r="Y130" s="4" t="s">
        <v>173</v>
      </c>
      <c r="Z130" s="156">
        <v>110000</v>
      </c>
      <c r="AA130" s="166">
        <v>1</v>
      </c>
      <c r="AB130" s="183">
        <v>111.74</v>
      </c>
      <c r="AD130" s="156">
        <v>122.914</v>
      </c>
      <c r="AG130" s="2" t="s">
        <v>36</v>
      </c>
      <c r="AH130" s="172">
        <v>2.8E-5</v>
      </c>
      <c r="AI130" s="172">
        <v>1.1171323311383E-2</v>
      </c>
      <c r="AJ130" s="172">
        <v>1.85338137000373E-3</v>
      </c>
    </row>
    <row r="131" spans="1:36">
      <c r="A131" s="2">
        <v>161</v>
      </c>
      <c r="B131" s="2">
        <v>9938</v>
      </c>
      <c r="C131" s="2" t="s">
        <v>2168</v>
      </c>
      <c r="D131" s="2" t="s">
        <v>2169</v>
      </c>
      <c r="E131" s="4" t="s">
        <v>1363</v>
      </c>
      <c r="F131" s="2" t="s">
        <v>2179</v>
      </c>
      <c r="G131" s="2" t="s">
        <v>2180</v>
      </c>
      <c r="H131" s="2" t="s">
        <v>223</v>
      </c>
      <c r="I131" s="2" t="s">
        <v>804</v>
      </c>
      <c r="J131" s="2" t="s">
        <v>30</v>
      </c>
      <c r="K131" s="2" t="s">
        <v>30</v>
      </c>
      <c r="L131" s="2" t="s">
        <v>377</v>
      </c>
      <c r="M131" s="2" t="s">
        <v>31</v>
      </c>
      <c r="N131" s="2" t="s">
        <v>487</v>
      </c>
      <c r="O131" s="2" t="s">
        <v>173</v>
      </c>
      <c r="P131" s="2" t="s">
        <v>93</v>
      </c>
      <c r="Q131" s="2" t="s">
        <v>462</v>
      </c>
      <c r="R131" s="2" t="s">
        <v>456</v>
      </c>
      <c r="S131" s="2" t="s">
        <v>34</v>
      </c>
      <c r="T131" s="156">
        <v>7.5629999999999997</v>
      </c>
      <c r="U131" s="2" t="s">
        <v>2181</v>
      </c>
      <c r="V131" s="170">
        <v>0.03</v>
      </c>
      <c r="W131" s="172">
        <v>3.2599999999999997E-2</v>
      </c>
      <c r="X131" s="4" t="s">
        <v>461</v>
      </c>
      <c r="Y131" s="4" t="s">
        <v>173</v>
      </c>
      <c r="Z131" s="156">
        <v>120000</v>
      </c>
      <c r="AA131" s="166">
        <v>1</v>
      </c>
      <c r="AB131" s="183">
        <v>103.71</v>
      </c>
      <c r="AD131" s="156">
        <v>124.452</v>
      </c>
      <c r="AG131" s="2" t="s">
        <v>36</v>
      </c>
      <c r="AH131" s="172">
        <v>2.9E-5</v>
      </c>
      <c r="AI131" s="172">
        <v>1.13111080002949E-2</v>
      </c>
      <c r="AJ131" s="172">
        <v>1.8765723860561399E-3</v>
      </c>
    </row>
    <row r="132" spans="1:36">
      <c r="A132" s="2">
        <v>161</v>
      </c>
      <c r="B132" s="2">
        <v>9938</v>
      </c>
      <c r="C132" s="2" t="s">
        <v>2182</v>
      </c>
      <c r="D132" s="2" t="s">
        <v>2183</v>
      </c>
      <c r="E132" s="4" t="s">
        <v>1363</v>
      </c>
      <c r="F132" s="2" t="s">
        <v>2184</v>
      </c>
      <c r="G132" s="2" t="s">
        <v>2185</v>
      </c>
      <c r="H132" s="2" t="s">
        <v>223</v>
      </c>
      <c r="I132" s="2" t="s">
        <v>804</v>
      </c>
      <c r="J132" s="2" t="s">
        <v>30</v>
      </c>
      <c r="K132" s="2" t="s">
        <v>30</v>
      </c>
      <c r="L132" s="2" t="s">
        <v>377</v>
      </c>
      <c r="M132" s="2" t="s">
        <v>31</v>
      </c>
      <c r="N132" s="2" t="s">
        <v>509</v>
      </c>
      <c r="O132" s="2" t="s">
        <v>173</v>
      </c>
      <c r="P132" s="2" t="s">
        <v>1374</v>
      </c>
      <c r="Q132" s="2" t="s">
        <v>462</v>
      </c>
      <c r="R132" s="2" t="s">
        <v>456</v>
      </c>
      <c r="S132" s="2" t="s">
        <v>34</v>
      </c>
      <c r="T132" s="156">
        <v>1.458</v>
      </c>
      <c r="U132" s="2" t="s">
        <v>2186</v>
      </c>
      <c r="V132" s="170">
        <v>1.0500000000000001E-2</v>
      </c>
      <c r="W132" s="172">
        <v>2.4389999999999998E-2</v>
      </c>
      <c r="X132" s="4" t="s">
        <v>461</v>
      </c>
      <c r="Y132" s="4" t="s">
        <v>173</v>
      </c>
      <c r="Z132" s="156">
        <v>110000</v>
      </c>
      <c r="AA132" s="166">
        <v>1</v>
      </c>
      <c r="AB132" s="183">
        <v>112.33</v>
      </c>
      <c r="AD132" s="156">
        <v>123.563</v>
      </c>
      <c r="AG132" s="2" t="s">
        <v>36</v>
      </c>
      <c r="AH132" s="172">
        <v>5.04E-4</v>
      </c>
      <c r="AI132" s="172">
        <v>1.1230309178160499E-2</v>
      </c>
      <c r="AJ132" s="172">
        <v>1.86316743594522E-3</v>
      </c>
    </row>
    <row r="133" spans="1:36">
      <c r="A133" s="2">
        <v>161</v>
      </c>
      <c r="B133" s="2">
        <v>9938</v>
      </c>
      <c r="C133" s="2" t="s">
        <v>2182</v>
      </c>
      <c r="D133" s="2" t="s">
        <v>2183</v>
      </c>
      <c r="E133" s="4" t="s">
        <v>1363</v>
      </c>
      <c r="F133" s="2" t="s">
        <v>2187</v>
      </c>
      <c r="G133" s="2" t="s">
        <v>2188</v>
      </c>
      <c r="H133" s="2" t="s">
        <v>223</v>
      </c>
      <c r="I133" s="2" t="s">
        <v>1013</v>
      </c>
      <c r="J133" s="2" t="s">
        <v>30</v>
      </c>
      <c r="K133" s="2" t="s">
        <v>30</v>
      </c>
      <c r="L133" s="2" t="s">
        <v>377</v>
      </c>
      <c r="M133" s="2" t="s">
        <v>31</v>
      </c>
      <c r="N133" s="2" t="s">
        <v>509</v>
      </c>
      <c r="O133" s="2" t="s">
        <v>173</v>
      </c>
      <c r="P133" s="2" t="s">
        <v>1374</v>
      </c>
      <c r="Q133" s="2" t="s">
        <v>462</v>
      </c>
      <c r="R133" s="2" t="s">
        <v>456</v>
      </c>
      <c r="S133" s="2" t="s">
        <v>34</v>
      </c>
      <c r="T133" s="156">
        <v>2.1070000000000002</v>
      </c>
      <c r="U133" s="2" t="s">
        <v>2189</v>
      </c>
      <c r="V133" s="170">
        <v>2.18E-2</v>
      </c>
      <c r="W133" s="172">
        <v>5.6860000000000001E-2</v>
      </c>
      <c r="X133" s="4" t="s">
        <v>461</v>
      </c>
      <c r="Y133" s="4" t="s">
        <v>173</v>
      </c>
      <c r="Z133" s="156">
        <v>140000</v>
      </c>
      <c r="AA133" s="166">
        <v>1</v>
      </c>
      <c r="AB133" s="183">
        <v>93.37</v>
      </c>
      <c r="AD133" s="156">
        <v>130.71799999999999</v>
      </c>
      <c r="AG133" s="2" t="s">
        <v>36</v>
      </c>
      <c r="AH133" s="172">
        <v>4.0900000000000002E-4</v>
      </c>
      <c r="AI133" s="172">
        <v>1.18806079097366E-2</v>
      </c>
      <c r="AJ133" s="172">
        <v>1.9710554202462499E-3</v>
      </c>
    </row>
    <row r="134" spans="1:36">
      <c r="A134" s="2">
        <v>161</v>
      </c>
      <c r="B134" s="2">
        <v>9938</v>
      </c>
      <c r="C134" s="2" t="s">
        <v>2182</v>
      </c>
      <c r="D134" s="2" t="s">
        <v>2183</v>
      </c>
      <c r="E134" s="4" t="s">
        <v>1363</v>
      </c>
      <c r="F134" s="2" t="s">
        <v>2376</v>
      </c>
      <c r="G134" s="2" t="s">
        <v>2377</v>
      </c>
      <c r="H134" s="2" t="s">
        <v>223</v>
      </c>
      <c r="I134" s="2" t="s">
        <v>1013</v>
      </c>
      <c r="J134" s="2" t="s">
        <v>30</v>
      </c>
      <c r="K134" s="2" t="s">
        <v>30</v>
      </c>
      <c r="L134" s="2" t="s">
        <v>377</v>
      </c>
      <c r="M134" s="2" t="s">
        <v>31</v>
      </c>
      <c r="N134" s="2" t="s">
        <v>509</v>
      </c>
      <c r="O134" s="2" t="s">
        <v>173</v>
      </c>
      <c r="P134" s="2" t="s">
        <v>1374</v>
      </c>
      <c r="Q134" s="2" t="s">
        <v>462</v>
      </c>
      <c r="R134" s="2" t="s">
        <v>456</v>
      </c>
      <c r="S134" s="2" t="s">
        <v>34</v>
      </c>
      <c r="T134" s="156">
        <v>2.8969999999999998</v>
      </c>
      <c r="U134" s="2" t="s">
        <v>2378</v>
      </c>
      <c r="V134" s="170">
        <v>4.6800000000000001E-2</v>
      </c>
      <c r="W134" s="172">
        <v>5.8160000000000003E-2</v>
      </c>
      <c r="X134" s="4" t="s">
        <v>461</v>
      </c>
      <c r="Y134" s="4" t="s">
        <v>173</v>
      </c>
      <c r="Z134" s="156">
        <v>160000</v>
      </c>
      <c r="AA134" s="166">
        <v>1</v>
      </c>
      <c r="AB134" s="183">
        <v>97.76</v>
      </c>
      <c r="AD134" s="156">
        <v>156.416</v>
      </c>
      <c r="AG134" s="2" t="s">
        <v>36</v>
      </c>
      <c r="AH134" s="172">
        <v>3.8099999999999999E-4</v>
      </c>
      <c r="AI134" s="172">
        <v>1.42162301045714E-2</v>
      </c>
      <c r="AJ134" s="172">
        <v>2.3585474426876E-3</v>
      </c>
    </row>
    <row r="135" spans="1:36">
      <c r="A135" s="2">
        <v>161</v>
      </c>
      <c r="B135" s="2">
        <v>9938</v>
      </c>
      <c r="C135" s="2" t="s">
        <v>1882</v>
      </c>
      <c r="D135" s="2" t="s">
        <v>1883</v>
      </c>
      <c r="E135" s="4" t="s">
        <v>1363</v>
      </c>
      <c r="F135" s="2" t="s">
        <v>2190</v>
      </c>
      <c r="G135" s="2" t="s">
        <v>2191</v>
      </c>
      <c r="H135" s="2" t="s">
        <v>223</v>
      </c>
      <c r="I135" s="2" t="s">
        <v>804</v>
      </c>
      <c r="J135" s="2" t="s">
        <v>30</v>
      </c>
      <c r="K135" s="2" t="s">
        <v>30</v>
      </c>
      <c r="L135" s="2" t="s">
        <v>377</v>
      </c>
      <c r="M135" s="2" t="s">
        <v>31</v>
      </c>
      <c r="N135" s="2" t="s">
        <v>511</v>
      </c>
      <c r="O135" s="2" t="s">
        <v>173</v>
      </c>
      <c r="P135" s="2" t="s">
        <v>2052</v>
      </c>
      <c r="Q135" s="2" t="s">
        <v>462</v>
      </c>
      <c r="R135" s="2" t="s">
        <v>456</v>
      </c>
      <c r="S135" s="2" t="s">
        <v>34</v>
      </c>
      <c r="T135" s="156">
        <v>2.3170000000000002</v>
      </c>
      <c r="U135" s="2" t="s">
        <v>2192</v>
      </c>
      <c r="V135" s="170">
        <v>1.5800000000000002E-2</v>
      </c>
      <c r="W135" s="172">
        <v>2.3970000000000002E-2</v>
      </c>
      <c r="X135" s="4" t="s">
        <v>461</v>
      </c>
      <c r="Y135" s="4" t="s">
        <v>173</v>
      </c>
      <c r="Z135" s="156">
        <v>44402.57</v>
      </c>
      <c r="AA135" s="166">
        <v>1</v>
      </c>
      <c r="AB135" s="183">
        <v>115.04</v>
      </c>
      <c r="AD135" s="156">
        <v>51.081000000000003</v>
      </c>
      <c r="AG135" s="2" t="s">
        <v>36</v>
      </c>
      <c r="AH135" s="172">
        <v>1.03E-4</v>
      </c>
      <c r="AI135" s="172">
        <v>4.6425891217550096E-3</v>
      </c>
      <c r="AJ135" s="172">
        <v>7.7022998502560296E-4</v>
      </c>
    </row>
    <row r="136" spans="1:36">
      <c r="A136" s="2">
        <v>161</v>
      </c>
      <c r="B136" s="2">
        <v>9938</v>
      </c>
      <c r="C136" s="2" t="s">
        <v>1882</v>
      </c>
      <c r="D136" s="2" t="s">
        <v>1883</v>
      </c>
      <c r="E136" s="4" t="s">
        <v>1363</v>
      </c>
      <c r="F136" s="2" t="s">
        <v>2193</v>
      </c>
      <c r="G136" s="2" t="s">
        <v>2194</v>
      </c>
      <c r="H136" s="2" t="s">
        <v>223</v>
      </c>
      <c r="I136" s="2" t="s">
        <v>804</v>
      </c>
      <c r="J136" s="2" t="s">
        <v>30</v>
      </c>
      <c r="K136" s="2" t="s">
        <v>30</v>
      </c>
      <c r="L136" s="2" t="s">
        <v>377</v>
      </c>
      <c r="M136" s="2" t="s">
        <v>31</v>
      </c>
      <c r="N136" s="2" t="s">
        <v>511</v>
      </c>
      <c r="O136" s="2" t="s">
        <v>173</v>
      </c>
      <c r="P136" s="2" t="s">
        <v>2052</v>
      </c>
      <c r="Q136" s="2" t="s">
        <v>462</v>
      </c>
      <c r="R136" s="2" t="s">
        <v>456</v>
      </c>
      <c r="S136" s="2" t="s">
        <v>34</v>
      </c>
      <c r="T136" s="156">
        <v>4.7450000000000001</v>
      </c>
      <c r="U136" s="2" t="s">
        <v>2195</v>
      </c>
      <c r="V136" s="170">
        <v>8.3999999999999995E-3</v>
      </c>
      <c r="W136" s="172">
        <v>2.921E-2</v>
      </c>
      <c r="X136" s="4" t="s">
        <v>461</v>
      </c>
      <c r="Y136" s="4" t="s">
        <v>173</v>
      </c>
      <c r="Z136" s="156">
        <v>109274.73</v>
      </c>
      <c r="AA136" s="166">
        <v>1</v>
      </c>
      <c r="AB136" s="183">
        <v>104.22</v>
      </c>
      <c r="AD136" s="156">
        <v>113.886</v>
      </c>
      <c r="AG136" s="2" t="s">
        <v>36</v>
      </c>
      <c r="AH136" s="172">
        <v>1.3799999999999999E-4</v>
      </c>
      <c r="AI136" s="172">
        <v>1.03508038749268E-2</v>
      </c>
      <c r="AJ136" s="172">
        <v>1.71725287431296E-3</v>
      </c>
    </row>
    <row r="137" spans="1:36">
      <c r="A137" s="2">
        <v>161</v>
      </c>
      <c r="B137" s="2">
        <v>9938</v>
      </c>
      <c r="C137" s="2" t="s">
        <v>1680</v>
      </c>
      <c r="D137" s="2" t="s">
        <v>1681</v>
      </c>
      <c r="E137" s="4" t="s">
        <v>1363</v>
      </c>
      <c r="F137" s="2" t="s">
        <v>2379</v>
      </c>
      <c r="G137" s="2" t="s">
        <v>2380</v>
      </c>
      <c r="H137" s="2" t="s">
        <v>223</v>
      </c>
      <c r="I137" s="2" t="s">
        <v>1013</v>
      </c>
      <c r="J137" s="2" t="s">
        <v>30</v>
      </c>
      <c r="K137" s="2" t="s">
        <v>30</v>
      </c>
      <c r="L137" s="2" t="s">
        <v>377</v>
      </c>
      <c r="M137" s="2" t="s">
        <v>31</v>
      </c>
      <c r="N137" s="2" t="s">
        <v>492</v>
      </c>
      <c r="O137" s="2" t="s">
        <v>173</v>
      </c>
      <c r="P137" s="2" t="s">
        <v>1374</v>
      </c>
      <c r="Q137" s="2" t="s">
        <v>462</v>
      </c>
      <c r="R137" s="2" t="s">
        <v>456</v>
      </c>
      <c r="S137" s="2" t="s">
        <v>34</v>
      </c>
      <c r="T137" s="156">
        <v>3.105</v>
      </c>
      <c r="U137" s="2" t="s">
        <v>2381</v>
      </c>
      <c r="V137" s="170">
        <v>4.7E-2</v>
      </c>
      <c r="W137" s="172">
        <v>5.4760000000000003E-2</v>
      </c>
      <c r="X137" s="4" t="s">
        <v>461</v>
      </c>
      <c r="Y137" s="4" t="s">
        <v>173</v>
      </c>
      <c r="Z137" s="156">
        <v>200000</v>
      </c>
      <c r="AA137" s="166">
        <v>1</v>
      </c>
      <c r="AB137" s="183">
        <v>100.38</v>
      </c>
      <c r="AD137" s="156">
        <v>200.76</v>
      </c>
      <c r="AG137" s="2" t="s">
        <v>36</v>
      </c>
      <c r="AH137" s="172">
        <v>2.22E-4</v>
      </c>
      <c r="AI137" s="172">
        <v>1.82465371560055E-2</v>
      </c>
      <c r="AJ137" s="172">
        <v>3.0271966077253199E-3</v>
      </c>
    </row>
    <row r="138" spans="1:36">
      <c r="A138" s="2">
        <v>161</v>
      </c>
      <c r="B138" s="2">
        <v>9938</v>
      </c>
      <c r="C138" s="2" t="s">
        <v>2196</v>
      </c>
      <c r="D138" s="2" t="s">
        <v>2197</v>
      </c>
      <c r="E138" s="4" t="s">
        <v>1363</v>
      </c>
      <c r="F138" s="2" t="s">
        <v>2198</v>
      </c>
      <c r="G138" s="2" t="s">
        <v>2199</v>
      </c>
      <c r="H138" s="2" t="s">
        <v>223</v>
      </c>
      <c r="I138" s="2" t="s">
        <v>1013</v>
      </c>
      <c r="J138" s="2" t="s">
        <v>30</v>
      </c>
      <c r="K138" s="2" t="s">
        <v>30</v>
      </c>
      <c r="L138" s="2" t="s">
        <v>377</v>
      </c>
      <c r="M138" s="2" t="s">
        <v>31</v>
      </c>
      <c r="N138" s="2" t="s">
        <v>492</v>
      </c>
      <c r="O138" s="2" t="s">
        <v>173</v>
      </c>
      <c r="P138" s="2" t="s">
        <v>1374</v>
      </c>
      <c r="Q138" s="2" t="s">
        <v>462</v>
      </c>
      <c r="R138" s="2" t="s">
        <v>456</v>
      </c>
      <c r="S138" s="2" t="s">
        <v>34</v>
      </c>
      <c r="T138" s="156">
        <v>9.0619999999999994</v>
      </c>
      <c r="U138" s="2" t="s">
        <v>2200</v>
      </c>
      <c r="V138" s="170">
        <v>2.5000000000000001E-2</v>
      </c>
      <c r="W138" s="172">
        <v>6.0569999999999999E-2</v>
      </c>
      <c r="X138" s="4" t="s">
        <v>461</v>
      </c>
      <c r="Y138" s="4" t="s">
        <v>173</v>
      </c>
      <c r="Z138" s="156">
        <v>80000</v>
      </c>
      <c r="AA138" s="166">
        <v>1</v>
      </c>
      <c r="AB138" s="183">
        <v>79.27</v>
      </c>
      <c r="AD138" s="156">
        <v>63.415999999999997</v>
      </c>
      <c r="AG138" s="2" t="s">
        <v>36</v>
      </c>
      <c r="AH138" s="172">
        <v>6.0000000000000002E-5</v>
      </c>
      <c r="AI138" s="172">
        <v>5.7637099037918102E-3</v>
      </c>
      <c r="AJ138" s="172">
        <v>9.5622982703481103E-4</v>
      </c>
    </row>
    <row r="139" spans="1:36">
      <c r="A139" s="2">
        <v>161</v>
      </c>
      <c r="B139" s="2">
        <v>9938</v>
      </c>
      <c r="C139" s="2" t="s">
        <v>1222</v>
      </c>
      <c r="D139" s="2" t="s">
        <v>1618</v>
      </c>
      <c r="E139" s="4" t="s">
        <v>1363</v>
      </c>
      <c r="F139" s="2" t="s">
        <v>2201</v>
      </c>
      <c r="G139" s="2" t="s">
        <v>2202</v>
      </c>
      <c r="H139" s="2" t="s">
        <v>223</v>
      </c>
      <c r="I139" s="2" t="s">
        <v>804</v>
      </c>
      <c r="J139" s="2" t="s">
        <v>30</v>
      </c>
      <c r="K139" s="2" t="s">
        <v>30</v>
      </c>
      <c r="L139" s="2" t="s">
        <v>377</v>
      </c>
      <c r="M139" s="2" t="s">
        <v>31</v>
      </c>
      <c r="N139" s="2" t="s">
        <v>495</v>
      </c>
      <c r="O139" s="2" t="s">
        <v>173</v>
      </c>
      <c r="P139" s="2" t="s">
        <v>1224</v>
      </c>
      <c r="Q139" s="2" t="s">
        <v>462</v>
      </c>
      <c r="R139" s="2" t="s">
        <v>456</v>
      </c>
      <c r="S139" s="2" t="s">
        <v>34</v>
      </c>
      <c r="T139" s="156">
        <v>1.7370000000000001</v>
      </c>
      <c r="U139" s="2" t="s">
        <v>2125</v>
      </c>
      <c r="V139" s="170">
        <v>8.3000000000000001E-3</v>
      </c>
      <c r="W139" s="172">
        <v>2.0449999999999999E-2</v>
      </c>
      <c r="X139" s="4" t="s">
        <v>461</v>
      </c>
      <c r="Y139" s="4" t="s">
        <v>173</v>
      </c>
      <c r="Z139" s="156">
        <v>212051.5</v>
      </c>
      <c r="AA139" s="166">
        <v>1</v>
      </c>
      <c r="AB139" s="183">
        <v>113.2</v>
      </c>
      <c r="AD139" s="156">
        <v>240.042</v>
      </c>
      <c r="AG139" s="2" t="s">
        <v>36</v>
      </c>
      <c r="AH139" s="172">
        <v>1.3899999999999999E-4</v>
      </c>
      <c r="AI139" s="172">
        <v>2.1816799708457599E-2</v>
      </c>
      <c r="AJ139" s="172">
        <v>3.6195219676040499E-3</v>
      </c>
    </row>
    <row r="140" spans="1:36">
      <c r="A140" s="2">
        <v>161</v>
      </c>
      <c r="B140" s="2">
        <v>9938</v>
      </c>
      <c r="C140" s="2" t="s">
        <v>1222</v>
      </c>
      <c r="D140" s="2" t="s">
        <v>1618</v>
      </c>
      <c r="E140" s="4" t="s">
        <v>1363</v>
      </c>
      <c r="F140" s="2" t="s">
        <v>2203</v>
      </c>
      <c r="G140" s="2" t="s">
        <v>2204</v>
      </c>
      <c r="H140" s="2" t="s">
        <v>223</v>
      </c>
      <c r="I140" s="2" t="s">
        <v>804</v>
      </c>
      <c r="J140" s="2" t="s">
        <v>30</v>
      </c>
      <c r="K140" s="2" t="s">
        <v>30</v>
      </c>
      <c r="L140" s="2" t="s">
        <v>377</v>
      </c>
      <c r="M140" s="2" t="s">
        <v>31</v>
      </c>
      <c r="N140" s="2" t="s">
        <v>495</v>
      </c>
      <c r="O140" s="2" t="s">
        <v>173</v>
      </c>
      <c r="P140" s="2" t="s">
        <v>1224</v>
      </c>
      <c r="Q140" s="2" t="s">
        <v>462</v>
      </c>
      <c r="R140" s="2" t="s">
        <v>456</v>
      </c>
      <c r="S140" s="2" t="s">
        <v>34</v>
      </c>
      <c r="T140" s="156">
        <v>2.5819999999999999</v>
      </c>
      <c r="U140" s="2" t="s">
        <v>2205</v>
      </c>
      <c r="V140" s="170">
        <v>1.8599999999999998E-2</v>
      </c>
      <c r="W140" s="172">
        <v>2.257E-2</v>
      </c>
      <c r="X140" s="4" t="s">
        <v>461</v>
      </c>
      <c r="Y140" s="4" t="s">
        <v>173</v>
      </c>
      <c r="Z140" s="156">
        <v>84000</v>
      </c>
      <c r="AA140" s="166">
        <v>1</v>
      </c>
      <c r="AB140" s="183">
        <v>102.67</v>
      </c>
      <c r="AD140" s="156">
        <v>86.242999999999995</v>
      </c>
      <c r="AG140" s="2" t="s">
        <v>36</v>
      </c>
      <c r="AH140" s="172">
        <v>4.5000000000000003E-5</v>
      </c>
      <c r="AI140" s="172">
        <v>7.8383764427074603E-3</v>
      </c>
      <c r="AJ140" s="172">
        <v>1.30042793186259E-3</v>
      </c>
    </row>
    <row r="141" spans="1:36">
      <c r="A141" s="2">
        <v>161</v>
      </c>
      <c r="B141" s="2">
        <v>9938</v>
      </c>
      <c r="C141" s="2" t="s">
        <v>1222</v>
      </c>
      <c r="D141" s="2" t="s">
        <v>1618</v>
      </c>
      <c r="E141" s="4" t="s">
        <v>1363</v>
      </c>
      <c r="F141" s="2" t="s">
        <v>2206</v>
      </c>
      <c r="G141" s="2" t="s">
        <v>2207</v>
      </c>
      <c r="H141" s="2" t="s">
        <v>223</v>
      </c>
      <c r="I141" s="2" t="s">
        <v>804</v>
      </c>
      <c r="J141" s="2" t="s">
        <v>30</v>
      </c>
      <c r="K141" s="2" t="s">
        <v>30</v>
      </c>
      <c r="L141" s="2" t="s">
        <v>377</v>
      </c>
      <c r="M141" s="2" t="s">
        <v>31</v>
      </c>
      <c r="N141" s="2" t="s">
        <v>495</v>
      </c>
      <c r="O141" s="2" t="s">
        <v>173</v>
      </c>
      <c r="P141" s="2" t="s">
        <v>1224</v>
      </c>
      <c r="Q141" s="2" t="s">
        <v>462</v>
      </c>
      <c r="R141" s="2" t="s">
        <v>456</v>
      </c>
      <c r="S141" s="2" t="s">
        <v>34</v>
      </c>
      <c r="T141" s="156">
        <v>3.1440000000000001</v>
      </c>
      <c r="U141" s="2" t="s">
        <v>2208</v>
      </c>
      <c r="V141" s="170">
        <v>1E-3</v>
      </c>
      <c r="W141" s="172">
        <v>2.307E-2</v>
      </c>
      <c r="X141" s="4" t="s">
        <v>461</v>
      </c>
      <c r="Y141" s="4" t="s">
        <v>173</v>
      </c>
      <c r="Z141" s="156">
        <v>85000</v>
      </c>
      <c r="AA141" s="166">
        <v>1</v>
      </c>
      <c r="AB141" s="183">
        <v>105.15</v>
      </c>
      <c r="AD141" s="156">
        <v>89.376999999999995</v>
      </c>
      <c r="AG141" s="2" t="s">
        <v>36</v>
      </c>
      <c r="AH141" s="172">
        <v>2.6999999999999999E-5</v>
      </c>
      <c r="AI141" s="172">
        <v>8.1232809058621198E-3</v>
      </c>
      <c r="AJ141" s="172">
        <v>1.34769508272051E-3</v>
      </c>
    </row>
    <row r="142" spans="1:36">
      <c r="A142" s="2">
        <v>161</v>
      </c>
      <c r="B142" s="2">
        <v>9938</v>
      </c>
      <c r="C142" s="2" t="s">
        <v>1222</v>
      </c>
      <c r="D142" s="2" t="s">
        <v>1618</v>
      </c>
      <c r="E142" s="4" t="s">
        <v>1363</v>
      </c>
      <c r="F142" s="2" t="s">
        <v>2209</v>
      </c>
      <c r="G142" s="2" t="s">
        <v>2210</v>
      </c>
      <c r="H142" s="2" t="s">
        <v>223</v>
      </c>
      <c r="I142" s="2" t="s">
        <v>1013</v>
      </c>
      <c r="J142" s="2" t="s">
        <v>30</v>
      </c>
      <c r="K142" s="2" t="s">
        <v>30</v>
      </c>
      <c r="L142" s="2" t="s">
        <v>377</v>
      </c>
      <c r="M142" s="2" t="s">
        <v>31</v>
      </c>
      <c r="N142" s="2" t="s">
        <v>495</v>
      </c>
      <c r="O142" s="2" t="s">
        <v>173</v>
      </c>
      <c r="P142" s="2" t="s">
        <v>1224</v>
      </c>
      <c r="Q142" s="2" t="s">
        <v>462</v>
      </c>
      <c r="R142" s="2" t="s">
        <v>456</v>
      </c>
      <c r="S142" s="2" t="s">
        <v>34</v>
      </c>
      <c r="T142" s="156">
        <v>3.1080000000000001</v>
      </c>
      <c r="U142" s="2" t="s">
        <v>2211</v>
      </c>
      <c r="V142" s="170">
        <v>2.76E-2</v>
      </c>
      <c r="W142" s="172">
        <v>5.0979999999999998E-2</v>
      </c>
      <c r="X142" s="4" t="s">
        <v>461</v>
      </c>
      <c r="Y142" s="4" t="s">
        <v>173</v>
      </c>
      <c r="Z142" s="156">
        <v>300000</v>
      </c>
      <c r="AA142" s="166">
        <v>1</v>
      </c>
      <c r="AB142" s="183">
        <v>94.29</v>
      </c>
      <c r="AD142" s="156">
        <v>282.87</v>
      </c>
      <c r="AG142" s="2" t="s">
        <v>36</v>
      </c>
      <c r="AH142" s="172">
        <v>2.2499999999999999E-4</v>
      </c>
      <c r="AI142" s="172">
        <v>2.5709294507467999E-2</v>
      </c>
      <c r="AJ142" s="172">
        <v>4.2653073541903796E-3</v>
      </c>
    </row>
    <row r="143" spans="1:36">
      <c r="A143" s="2">
        <v>161</v>
      </c>
      <c r="B143" s="2">
        <v>9938</v>
      </c>
      <c r="C143" s="2" t="s">
        <v>1222</v>
      </c>
      <c r="D143" s="2" t="s">
        <v>1618</v>
      </c>
      <c r="E143" s="4" t="s">
        <v>1363</v>
      </c>
      <c r="F143" s="2" t="s">
        <v>2212</v>
      </c>
      <c r="G143" s="2" t="s">
        <v>2213</v>
      </c>
      <c r="H143" s="2" t="s">
        <v>223</v>
      </c>
      <c r="I143" s="2" t="s">
        <v>804</v>
      </c>
      <c r="J143" s="2" t="s">
        <v>30</v>
      </c>
      <c r="K143" s="2" t="s">
        <v>30</v>
      </c>
      <c r="L143" s="2" t="s">
        <v>377</v>
      </c>
      <c r="M143" s="2" t="s">
        <v>31</v>
      </c>
      <c r="N143" s="2" t="s">
        <v>495</v>
      </c>
      <c r="O143" s="2" t="s">
        <v>173</v>
      </c>
      <c r="P143" s="2" t="s">
        <v>1224</v>
      </c>
      <c r="Q143" s="2" t="s">
        <v>462</v>
      </c>
      <c r="R143" s="2" t="s">
        <v>456</v>
      </c>
      <c r="S143" s="2" t="s">
        <v>34</v>
      </c>
      <c r="T143" s="156">
        <v>5.0449999999999999</v>
      </c>
      <c r="U143" s="2" t="s">
        <v>2214</v>
      </c>
      <c r="V143" s="170">
        <v>2.0199999999999999E-2</v>
      </c>
      <c r="W143" s="172">
        <v>2.5940000000000001E-2</v>
      </c>
      <c r="X143" s="4" t="s">
        <v>461</v>
      </c>
      <c r="Y143" s="4" t="s">
        <v>173</v>
      </c>
      <c r="Z143" s="156">
        <v>84000</v>
      </c>
      <c r="AA143" s="166">
        <v>1</v>
      </c>
      <c r="AB143" s="183">
        <v>101.35</v>
      </c>
      <c r="AD143" s="156">
        <v>85.134</v>
      </c>
      <c r="AG143" s="2" t="s">
        <v>36</v>
      </c>
      <c r="AH143" s="172">
        <v>2.4000000000000001E-5</v>
      </c>
      <c r="AI143" s="172">
        <v>7.7376005889588104E-3</v>
      </c>
      <c r="AJ143" s="172">
        <v>1.28370868699984E-3</v>
      </c>
    </row>
    <row r="144" spans="1:36">
      <c r="A144" s="2">
        <v>161</v>
      </c>
      <c r="B144" s="2">
        <v>9938</v>
      </c>
      <c r="C144" s="2" t="s">
        <v>1222</v>
      </c>
      <c r="D144" s="2" t="s">
        <v>1618</v>
      </c>
      <c r="E144" s="4" t="s">
        <v>1363</v>
      </c>
      <c r="F144" s="2" t="s">
        <v>2215</v>
      </c>
      <c r="G144" s="2" t="s">
        <v>2216</v>
      </c>
      <c r="H144" s="2" t="s">
        <v>223</v>
      </c>
      <c r="I144" s="2" t="s">
        <v>804</v>
      </c>
      <c r="J144" s="2" t="s">
        <v>30</v>
      </c>
      <c r="K144" s="2" t="s">
        <v>30</v>
      </c>
      <c r="L144" s="2" t="s">
        <v>377</v>
      </c>
      <c r="M144" s="2" t="s">
        <v>31</v>
      </c>
      <c r="N144" s="2" t="s">
        <v>495</v>
      </c>
      <c r="O144" s="2" t="s">
        <v>173</v>
      </c>
      <c r="P144" s="2" t="s">
        <v>1224</v>
      </c>
      <c r="Q144" s="2" t="s">
        <v>462</v>
      </c>
      <c r="R144" s="2" t="s">
        <v>456</v>
      </c>
      <c r="S144" s="2" t="s">
        <v>34</v>
      </c>
      <c r="T144" s="156">
        <v>5.1369999999999996</v>
      </c>
      <c r="U144" s="2" t="s">
        <v>2217</v>
      </c>
      <c r="V144" s="170">
        <v>1E-3</v>
      </c>
      <c r="W144" s="172">
        <v>2.622E-2</v>
      </c>
      <c r="X144" s="4" t="s">
        <v>461</v>
      </c>
      <c r="Y144" s="4" t="s">
        <v>173</v>
      </c>
      <c r="Z144" s="156">
        <v>89000</v>
      </c>
      <c r="AA144" s="166">
        <v>1</v>
      </c>
      <c r="AB144" s="183">
        <v>99.1</v>
      </c>
      <c r="AD144" s="156">
        <v>88.198999999999998</v>
      </c>
      <c r="AG144" s="2" t="s">
        <v>36</v>
      </c>
      <c r="AH144" s="172">
        <v>3.6000000000000001E-5</v>
      </c>
      <c r="AI144" s="172">
        <v>8.0161702063285892E-3</v>
      </c>
      <c r="AJ144" s="172">
        <v>1.3299248535802201E-3</v>
      </c>
    </row>
    <row r="145" spans="1:36">
      <c r="A145" s="2">
        <v>161</v>
      </c>
      <c r="B145" s="2">
        <v>9938</v>
      </c>
      <c r="C145" s="2" t="s">
        <v>1886</v>
      </c>
      <c r="D145" s="2" t="s">
        <v>1887</v>
      </c>
      <c r="E145" s="4" t="s">
        <v>1363</v>
      </c>
      <c r="F145" s="2" t="s">
        <v>2382</v>
      </c>
      <c r="G145" s="2" t="s">
        <v>2383</v>
      </c>
      <c r="H145" s="2" t="s">
        <v>223</v>
      </c>
      <c r="I145" s="2" t="s">
        <v>804</v>
      </c>
      <c r="J145" s="2" t="s">
        <v>30</v>
      </c>
      <c r="K145" s="2" t="s">
        <v>30</v>
      </c>
      <c r="L145" s="2" t="s">
        <v>377</v>
      </c>
      <c r="M145" s="2" t="s">
        <v>31</v>
      </c>
      <c r="N145" s="2" t="s">
        <v>511</v>
      </c>
      <c r="O145" s="2" t="s">
        <v>173</v>
      </c>
      <c r="P145" s="2" t="s">
        <v>2052</v>
      </c>
      <c r="Q145" s="2" t="s">
        <v>462</v>
      </c>
      <c r="R145" s="2" t="s">
        <v>456</v>
      </c>
      <c r="S145" s="2" t="s">
        <v>34</v>
      </c>
      <c r="T145" s="156">
        <v>5.83</v>
      </c>
      <c r="U145" s="2" t="s">
        <v>2384</v>
      </c>
      <c r="V145" s="170">
        <v>3.5000000000000001E-3</v>
      </c>
      <c r="W145" s="172">
        <v>3.4130000000000001E-2</v>
      </c>
      <c r="X145" s="4" t="s">
        <v>461</v>
      </c>
      <c r="Y145" s="4" t="s">
        <v>173</v>
      </c>
      <c r="Z145" s="156">
        <v>250000</v>
      </c>
      <c r="AA145" s="166">
        <v>1</v>
      </c>
      <c r="AB145" s="183">
        <v>94.3</v>
      </c>
      <c r="AD145" s="156">
        <v>235.75</v>
      </c>
      <c r="AG145" s="2" t="s">
        <v>36</v>
      </c>
      <c r="AH145" s="172">
        <v>7.2000000000000002E-5</v>
      </c>
      <c r="AI145" s="172">
        <v>2.14266842724063E-2</v>
      </c>
      <c r="AJ145" s="172">
        <v>3.55479976225963E-3</v>
      </c>
    </row>
    <row r="146" spans="1:36">
      <c r="A146" s="2">
        <v>161</v>
      </c>
      <c r="B146" s="2">
        <v>9938</v>
      </c>
      <c r="C146" s="2" t="s">
        <v>1886</v>
      </c>
      <c r="D146" s="2" t="s">
        <v>1887</v>
      </c>
      <c r="E146" s="4" t="s">
        <v>1363</v>
      </c>
      <c r="F146" s="2" t="s">
        <v>2218</v>
      </c>
      <c r="G146" s="2" t="s">
        <v>2219</v>
      </c>
      <c r="H146" s="2" t="s">
        <v>223</v>
      </c>
      <c r="I146" s="2" t="s">
        <v>804</v>
      </c>
      <c r="J146" s="2" t="s">
        <v>30</v>
      </c>
      <c r="K146" s="2" t="s">
        <v>30</v>
      </c>
      <c r="L146" s="2" t="s">
        <v>377</v>
      </c>
      <c r="M146" s="2" t="s">
        <v>31</v>
      </c>
      <c r="N146" s="2" t="s">
        <v>511</v>
      </c>
      <c r="O146" s="2" t="s">
        <v>173</v>
      </c>
      <c r="P146" s="2" t="s">
        <v>2052</v>
      </c>
      <c r="Q146" s="2" t="s">
        <v>462</v>
      </c>
      <c r="R146" s="2" t="s">
        <v>456</v>
      </c>
      <c r="S146" s="2" t="s">
        <v>34</v>
      </c>
      <c r="T146" s="156">
        <v>3.4409999999999998</v>
      </c>
      <c r="U146" s="2" t="s">
        <v>2151</v>
      </c>
      <c r="V146" s="170">
        <v>2.81E-2</v>
      </c>
      <c r="W146" s="172">
        <v>2.9329999999999998E-2</v>
      </c>
      <c r="X146" s="4" t="s">
        <v>461</v>
      </c>
      <c r="Y146" s="4" t="s">
        <v>173</v>
      </c>
      <c r="Z146" s="156">
        <v>90474.5</v>
      </c>
      <c r="AA146" s="166">
        <v>1</v>
      </c>
      <c r="AB146" s="183">
        <v>117.13</v>
      </c>
      <c r="AD146" s="156">
        <v>105.973</v>
      </c>
      <c r="AG146" s="2" t="s">
        <v>36</v>
      </c>
      <c r="AH146" s="172">
        <v>6.6000000000000005E-5</v>
      </c>
      <c r="AI146" s="172">
        <v>9.6315814980638004E-3</v>
      </c>
      <c r="AJ146" s="172">
        <v>1.59793009427941E-3</v>
      </c>
    </row>
    <row r="147" spans="1:36">
      <c r="A147" s="2">
        <v>161</v>
      </c>
      <c r="B147" s="2">
        <v>9938</v>
      </c>
      <c r="C147" s="2" t="s">
        <v>1886</v>
      </c>
      <c r="D147" s="2" t="s">
        <v>1887</v>
      </c>
      <c r="E147" s="4" t="s">
        <v>1363</v>
      </c>
      <c r="F147" s="2" t="s">
        <v>2385</v>
      </c>
      <c r="G147" s="2" t="s">
        <v>2386</v>
      </c>
      <c r="H147" s="2" t="s">
        <v>223</v>
      </c>
      <c r="I147" s="2" t="s">
        <v>804</v>
      </c>
      <c r="J147" s="2" t="s">
        <v>30</v>
      </c>
      <c r="K147" s="2" t="s">
        <v>30</v>
      </c>
      <c r="L147" s="2" t="s">
        <v>377</v>
      </c>
      <c r="M147" s="2" t="s">
        <v>31</v>
      </c>
      <c r="N147" s="2" t="s">
        <v>511</v>
      </c>
      <c r="O147" s="2" t="s">
        <v>173</v>
      </c>
      <c r="P147" s="2" t="s">
        <v>2052</v>
      </c>
      <c r="Q147" s="2" t="s">
        <v>462</v>
      </c>
      <c r="R147" s="2" t="s">
        <v>456</v>
      </c>
      <c r="S147" s="2" t="s">
        <v>34</v>
      </c>
      <c r="T147" s="156">
        <v>2.024</v>
      </c>
      <c r="U147" s="2" t="s">
        <v>2130</v>
      </c>
      <c r="V147" s="170">
        <v>3.6999999999999998E-2</v>
      </c>
      <c r="W147" s="172">
        <v>2.6419999999999999E-2</v>
      </c>
      <c r="X147" s="4" t="s">
        <v>461</v>
      </c>
      <c r="Y147" s="4" t="s">
        <v>173</v>
      </c>
      <c r="Z147" s="156">
        <v>3322.52</v>
      </c>
      <c r="AA147" s="166">
        <v>1</v>
      </c>
      <c r="AB147" s="183">
        <v>119.19</v>
      </c>
      <c r="AD147" s="156">
        <v>3.96</v>
      </c>
      <c r="AG147" s="2" t="s">
        <v>36</v>
      </c>
      <c r="AH147" s="172">
        <v>1.1E-5</v>
      </c>
      <c r="AI147" s="172">
        <v>3.5992390532162702E-4</v>
      </c>
      <c r="AJ147" s="172">
        <v>5.9713271395732801E-5</v>
      </c>
    </row>
    <row r="148" spans="1:36">
      <c r="A148" s="2">
        <v>161</v>
      </c>
      <c r="B148" s="2">
        <v>9938</v>
      </c>
      <c r="C148" s="2" t="s">
        <v>2220</v>
      </c>
      <c r="D148" s="2" t="s">
        <v>2221</v>
      </c>
      <c r="E148" s="4" t="s">
        <v>1363</v>
      </c>
      <c r="F148" s="2" t="s">
        <v>2222</v>
      </c>
      <c r="G148" s="2" t="s">
        <v>2223</v>
      </c>
      <c r="H148" s="2" t="s">
        <v>223</v>
      </c>
      <c r="I148" s="2" t="s">
        <v>1013</v>
      </c>
      <c r="J148" s="2" t="s">
        <v>30</v>
      </c>
      <c r="K148" s="2" t="s">
        <v>30</v>
      </c>
      <c r="L148" s="2" t="s">
        <v>377</v>
      </c>
      <c r="M148" s="2" t="s">
        <v>31</v>
      </c>
      <c r="N148" s="2" t="s">
        <v>492</v>
      </c>
      <c r="O148" s="2" t="s">
        <v>173</v>
      </c>
      <c r="P148" s="2" t="s">
        <v>2061</v>
      </c>
      <c r="Q148" s="2" t="s">
        <v>464</v>
      </c>
      <c r="R148" s="2" t="s">
        <v>456</v>
      </c>
      <c r="S148" s="2" t="s">
        <v>34</v>
      </c>
      <c r="T148" s="156">
        <v>2.13</v>
      </c>
      <c r="U148" s="2" t="s">
        <v>2224</v>
      </c>
      <c r="V148" s="170">
        <v>4.1000000000000002E-2</v>
      </c>
      <c r="W148" s="172">
        <v>5.416E-2</v>
      </c>
      <c r="X148" s="4" t="s">
        <v>461</v>
      </c>
      <c r="Y148" s="4" t="s">
        <v>173</v>
      </c>
      <c r="Z148" s="156">
        <v>100000</v>
      </c>
      <c r="AA148" s="166">
        <v>1</v>
      </c>
      <c r="AB148" s="183">
        <v>100.34</v>
      </c>
      <c r="AD148" s="156">
        <v>100.34</v>
      </c>
      <c r="AG148" s="2" t="s">
        <v>36</v>
      </c>
      <c r="AH148" s="172">
        <v>1.3999999999999999E-4</v>
      </c>
      <c r="AI148" s="172">
        <v>9.1196330854432708E-3</v>
      </c>
      <c r="AJ148" s="172">
        <v>1.5129951565010899E-3</v>
      </c>
    </row>
    <row r="149" spans="1:36">
      <c r="A149" s="2">
        <v>161</v>
      </c>
      <c r="B149" s="2">
        <v>9938</v>
      </c>
      <c r="C149" s="2" t="s">
        <v>2225</v>
      </c>
      <c r="D149" s="2" t="s">
        <v>2226</v>
      </c>
      <c r="E149" s="4" t="s">
        <v>1363</v>
      </c>
      <c r="F149" s="2" t="s">
        <v>2227</v>
      </c>
      <c r="G149" s="2" t="s">
        <v>2228</v>
      </c>
      <c r="H149" s="2" t="s">
        <v>223</v>
      </c>
      <c r="I149" s="2" t="s">
        <v>804</v>
      </c>
      <c r="J149" s="2" t="s">
        <v>30</v>
      </c>
      <c r="K149" s="2" t="s">
        <v>30</v>
      </c>
      <c r="L149" s="2" t="s">
        <v>377</v>
      </c>
      <c r="M149" s="2" t="s">
        <v>31</v>
      </c>
      <c r="N149" s="2" t="s">
        <v>511</v>
      </c>
      <c r="O149" s="2" t="s">
        <v>173</v>
      </c>
      <c r="P149" s="2" t="s">
        <v>2061</v>
      </c>
      <c r="Q149" s="2" t="s">
        <v>462</v>
      </c>
      <c r="R149" s="2" t="s">
        <v>456</v>
      </c>
      <c r="S149" s="2" t="s">
        <v>34</v>
      </c>
      <c r="T149" s="156">
        <v>1.8720000000000001</v>
      </c>
      <c r="U149" s="2" t="s">
        <v>2229</v>
      </c>
      <c r="V149" s="170">
        <v>2.0500000000000001E-2</v>
      </c>
      <c r="W149" s="172">
        <v>2.6960000000000001E-2</v>
      </c>
      <c r="X149" s="4" t="s">
        <v>461</v>
      </c>
      <c r="Y149" s="4" t="s">
        <v>173</v>
      </c>
      <c r="Z149" s="156">
        <v>93900</v>
      </c>
      <c r="AA149" s="166">
        <v>1</v>
      </c>
      <c r="AB149" s="183">
        <v>115.69</v>
      </c>
      <c r="AD149" s="156">
        <v>108.633</v>
      </c>
      <c r="AG149" s="2" t="s">
        <v>36</v>
      </c>
      <c r="AH149" s="172">
        <v>1.2400000000000001E-4</v>
      </c>
      <c r="AI149" s="172">
        <v>9.8733534004781798E-3</v>
      </c>
      <c r="AJ149" s="172">
        <v>1.6380413261572501E-3</v>
      </c>
    </row>
    <row r="150" spans="1:36">
      <c r="A150" s="2">
        <v>161</v>
      </c>
      <c r="B150" s="2">
        <v>9938</v>
      </c>
      <c r="C150" s="2" t="s">
        <v>2230</v>
      </c>
      <c r="D150" s="2" t="s">
        <v>2231</v>
      </c>
      <c r="E150" s="4" t="s">
        <v>1363</v>
      </c>
      <c r="F150" s="2" t="s">
        <v>2232</v>
      </c>
      <c r="G150" s="2" t="s">
        <v>2233</v>
      </c>
      <c r="H150" s="2" t="s">
        <v>223</v>
      </c>
      <c r="I150" s="2" t="s">
        <v>804</v>
      </c>
      <c r="J150" s="2" t="s">
        <v>30</v>
      </c>
      <c r="K150" s="2" t="s">
        <v>30</v>
      </c>
      <c r="L150" s="2" t="s">
        <v>377</v>
      </c>
      <c r="M150" s="2" t="s">
        <v>31</v>
      </c>
      <c r="N150" s="2" t="s">
        <v>495</v>
      </c>
      <c r="O150" s="2" t="s">
        <v>173</v>
      </c>
      <c r="P150" s="2" t="s">
        <v>1224</v>
      </c>
      <c r="Q150" s="2" t="s">
        <v>462</v>
      </c>
      <c r="R150" s="2" t="s">
        <v>456</v>
      </c>
      <c r="S150" s="2" t="s">
        <v>34</v>
      </c>
      <c r="T150" s="156">
        <v>4.0069999999999997</v>
      </c>
      <c r="U150" s="2" t="s">
        <v>2234</v>
      </c>
      <c r="V150" s="170">
        <v>1E-3</v>
      </c>
      <c r="W150" s="172">
        <v>2.5020000000000001E-2</v>
      </c>
      <c r="X150" s="4" t="s">
        <v>461</v>
      </c>
      <c r="Y150" s="4" t="s">
        <v>173</v>
      </c>
      <c r="Z150" s="156">
        <v>25217</v>
      </c>
      <c r="AA150" s="166">
        <v>1</v>
      </c>
      <c r="AB150" s="183">
        <v>102.41</v>
      </c>
      <c r="AD150" s="156">
        <v>25.824999999999999</v>
      </c>
      <c r="AG150" s="2" t="s">
        <v>36</v>
      </c>
      <c r="AH150" s="172">
        <v>6.9999999999999999E-6</v>
      </c>
      <c r="AI150" s="172">
        <v>2.3471403168701401E-3</v>
      </c>
      <c r="AJ150" s="172">
        <v>3.8940293954604102E-4</v>
      </c>
    </row>
    <row r="151" spans="1:36">
      <c r="A151" s="2">
        <v>161</v>
      </c>
      <c r="B151" s="2">
        <v>9938</v>
      </c>
      <c r="C151" s="2" t="s">
        <v>2230</v>
      </c>
      <c r="D151" s="2" t="s">
        <v>2231</v>
      </c>
      <c r="E151" s="4" t="s">
        <v>1363</v>
      </c>
      <c r="F151" s="2" t="s">
        <v>2235</v>
      </c>
      <c r="G151" s="2" t="s">
        <v>2236</v>
      </c>
      <c r="H151" s="2" t="s">
        <v>223</v>
      </c>
      <c r="I151" s="2" t="s">
        <v>804</v>
      </c>
      <c r="J151" s="2" t="s">
        <v>30</v>
      </c>
      <c r="K151" s="2" t="s">
        <v>30</v>
      </c>
      <c r="L151" s="2" t="s">
        <v>377</v>
      </c>
      <c r="M151" s="2" t="s">
        <v>31</v>
      </c>
      <c r="N151" s="2" t="s">
        <v>495</v>
      </c>
      <c r="O151" s="2" t="s">
        <v>173</v>
      </c>
      <c r="P151" s="2" t="s">
        <v>1224</v>
      </c>
      <c r="Q151" s="2" t="s">
        <v>464</v>
      </c>
      <c r="R151" s="2" t="s">
        <v>456</v>
      </c>
      <c r="S151" s="2" t="s">
        <v>34</v>
      </c>
      <c r="T151" s="156">
        <v>2.16</v>
      </c>
      <c r="U151" s="2" t="s">
        <v>2237</v>
      </c>
      <c r="V151" s="170">
        <v>5.0000000000000001E-3</v>
      </c>
      <c r="W151" s="172">
        <v>2.1420000000000002E-2</v>
      </c>
      <c r="X151" s="4" t="s">
        <v>461</v>
      </c>
      <c r="Y151" s="4" t="s">
        <v>173</v>
      </c>
      <c r="Z151" s="156">
        <v>45000</v>
      </c>
      <c r="AA151" s="166">
        <v>1</v>
      </c>
      <c r="AB151" s="183">
        <v>110.72</v>
      </c>
      <c r="AD151" s="156">
        <v>49.823999999999998</v>
      </c>
      <c r="AG151" s="2" t="s">
        <v>36</v>
      </c>
      <c r="AH151" s="172">
        <v>5.8999999999999998E-5</v>
      </c>
      <c r="AI151" s="172">
        <v>4.52836953208217E-3</v>
      </c>
      <c r="AJ151" s="172">
        <v>7.5128035357295401E-4</v>
      </c>
    </row>
    <row r="152" spans="1:36">
      <c r="A152" s="2">
        <v>161</v>
      </c>
      <c r="B152" s="2">
        <v>9938</v>
      </c>
      <c r="C152" s="2" t="s">
        <v>2230</v>
      </c>
      <c r="D152" s="2" t="s">
        <v>2231</v>
      </c>
      <c r="E152" s="4" t="s">
        <v>1363</v>
      </c>
      <c r="F152" s="2" t="s">
        <v>2241</v>
      </c>
      <c r="G152" s="2" t="s">
        <v>2242</v>
      </c>
      <c r="H152" s="2" t="s">
        <v>223</v>
      </c>
      <c r="I152" s="2" t="s">
        <v>804</v>
      </c>
      <c r="J152" s="2" t="s">
        <v>30</v>
      </c>
      <c r="K152" s="2" t="s">
        <v>30</v>
      </c>
      <c r="L152" s="2" t="s">
        <v>377</v>
      </c>
      <c r="M152" s="2" t="s">
        <v>31</v>
      </c>
      <c r="N152" s="2" t="s">
        <v>495</v>
      </c>
      <c r="O152" s="2" t="s">
        <v>173</v>
      </c>
      <c r="P152" s="2" t="s">
        <v>1224</v>
      </c>
      <c r="Q152" s="2" t="s">
        <v>464</v>
      </c>
      <c r="R152" s="2" t="s">
        <v>456</v>
      </c>
      <c r="S152" s="2" t="s">
        <v>34</v>
      </c>
      <c r="T152" s="156">
        <v>0.375</v>
      </c>
      <c r="U152" s="2" t="s">
        <v>2243</v>
      </c>
      <c r="V152" s="170">
        <v>9.4999999999999998E-3</v>
      </c>
      <c r="W152" s="172">
        <v>2.657E-2</v>
      </c>
      <c r="X152" s="4" t="s">
        <v>461</v>
      </c>
      <c r="Y152" s="4" t="s">
        <v>173</v>
      </c>
      <c r="Z152" s="156">
        <v>22704.400000000001</v>
      </c>
      <c r="AA152" s="166">
        <v>1</v>
      </c>
      <c r="AB152" s="183">
        <v>116.08</v>
      </c>
      <c r="AD152" s="156">
        <v>26.355</v>
      </c>
      <c r="AG152" s="2" t="s">
        <v>36</v>
      </c>
      <c r="AH152" s="172">
        <v>1.4100000000000001E-4</v>
      </c>
      <c r="AI152" s="172">
        <v>2.3953594742983902E-3</v>
      </c>
      <c r="AJ152" s="172">
        <v>3.9740275170470802E-4</v>
      </c>
    </row>
    <row r="153" spans="1:36">
      <c r="A153" s="2">
        <v>161</v>
      </c>
      <c r="B153" s="2">
        <v>9938</v>
      </c>
      <c r="C153" s="2" t="s">
        <v>2230</v>
      </c>
      <c r="D153" s="2" t="s">
        <v>2231</v>
      </c>
      <c r="E153" s="4" t="s">
        <v>1363</v>
      </c>
      <c r="F153" s="2" t="s">
        <v>2387</v>
      </c>
      <c r="G153" s="2" t="s">
        <v>2388</v>
      </c>
      <c r="H153" s="2" t="s">
        <v>223</v>
      </c>
      <c r="I153" s="2" t="s">
        <v>804</v>
      </c>
      <c r="J153" s="2" t="s">
        <v>30</v>
      </c>
      <c r="K153" s="2" t="s">
        <v>30</v>
      </c>
      <c r="L153" s="2" t="s">
        <v>377</v>
      </c>
      <c r="M153" s="2" t="s">
        <v>31</v>
      </c>
      <c r="N153" s="2" t="s">
        <v>495</v>
      </c>
      <c r="O153" s="2" t="s">
        <v>173</v>
      </c>
      <c r="P153" s="2" t="s">
        <v>1374</v>
      </c>
      <c r="Q153" s="2" t="s">
        <v>462</v>
      </c>
      <c r="R153" s="2" t="s">
        <v>456</v>
      </c>
      <c r="S153" s="2" t="s">
        <v>34</v>
      </c>
      <c r="T153" s="156">
        <v>4.4210000000000003</v>
      </c>
      <c r="U153" s="2" t="s">
        <v>2389</v>
      </c>
      <c r="V153" s="170">
        <v>3.3599999999999998E-2</v>
      </c>
      <c r="W153" s="172">
        <v>3.0880000000000001E-2</v>
      </c>
      <c r="X153" s="4" t="s">
        <v>461</v>
      </c>
      <c r="Y153" s="4" t="s">
        <v>173</v>
      </c>
      <c r="Z153" s="156">
        <v>168000</v>
      </c>
      <c r="AA153" s="166">
        <v>1</v>
      </c>
      <c r="AB153" s="183">
        <v>105.66</v>
      </c>
      <c r="AD153" s="156">
        <v>177.50899999999999</v>
      </c>
      <c r="AG153" s="2" t="s">
        <v>36</v>
      </c>
      <c r="AH153" s="172">
        <v>1.44E-4</v>
      </c>
      <c r="AI153" s="172">
        <v>1.6133298041033799E-2</v>
      </c>
      <c r="AJ153" s="172">
        <v>2.6765991093912699E-3</v>
      </c>
    </row>
    <row r="154" spans="1:36">
      <c r="A154" s="2">
        <v>161</v>
      </c>
      <c r="B154" s="2">
        <v>9938</v>
      </c>
      <c r="C154" s="2" t="s">
        <v>2230</v>
      </c>
      <c r="D154" s="2" t="s">
        <v>2231</v>
      </c>
      <c r="E154" s="4" t="s">
        <v>1363</v>
      </c>
      <c r="F154" s="2" t="s">
        <v>2247</v>
      </c>
      <c r="G154" s="2" t="s">
        <v>2248</v>
      </c>
      <c r="H154" s="2" t="s">
        <v>223</v>
      </c>
      <c r="I154" s="2" t="s">
        <v>804</v>
      </c>
      <c r="J154" s="2" t="s">
        <v>30</v>
      </c>
      <c r="K154" s="2" t="s">
        <v>30</v>
      </c>
      <c r="L154" s="2" t="s">
        <v>377</v>
      </c>
      <c r="M154" s="2" t="s">
        <v>31</v>
      </c>
      <c r="N154" s="2" t="s">
        <v>495</v>
      </c>
      <c r="O154" s="2" t="s">
        <v>173</v>
      </c>
      <c r="P154" s="2" t="s">
        <v>1224</v>
      </c>
      <c r="Q154" s="2" t="s">
        <v>462</v>
      </c>
      <c r="R154" s="2" t="s">
        <v>456</v>
      </c>
      <c r="S154" s="2" t="s">
        <v>34</v>
      </c>
      <c r="T154" s="156">
        <v>3.43</v>
      </c>
      <c r="U154" s="2" t="s">
        <v>2249</v>
      </c>
      <c r="V154" s="170">
        <v>1E-3</v>
      </c>
      <c r="W154" s="172">
        <v>2.4819999999999998E-2</v>
      </c>
      <c r="X154" s="4" t="s">
        <v>461</v>
      </c>
      <c r="Y154" s="4" t="s">
        <v>173</v>
      </c>
      <c r="Z154" s="156">
        <v>375000</v>
      </c>
      <c r="AA154" s="166">
        <v>1</v>
      </c>
      <c r="AB154" s="183">
        <v>102.63</v>
      </c>
      <c r="AD154" s="156">
        <v>384.863</v>
      </c>
      <c r="AG154" s="2" t="s">
        <v>36</v>
      </c>
      <c r="AH154" s="172">
        <v>1.44E-4</v>
      </c>
      <c r="AI154" s="172">
        <v>3.4979118879274601E-2</v>
      </c>
      <c r="AJ154" s="172">
        <v>5.8032200360663699E-3</v>
      </c>
    </row>
    <row r="155" spans="1:36">
      <c r="A155" s="2">
        <v>161</v>
      </c>
      <c r="B155" s="2">
        <v>9938</v>
      </c>
      <c r="C155" s="2" t="s">
        <v>2250</v>
      </c>
      <c r="D155" s="2" t="s">
        <v>2251</v>
      </c>
      <c r="E155" s="4" t="s">
        <v>1363</v>
      </c>
      <c r="F155" s="2" t="s">
        <v>2252</v>
      </c>
      <c r="G155" s="2" t="s">
        <v>2253</v>
      </c>
      <c r="H155" s="2" t="s">
        <v>223</v>
      </c>
      <c r="I155" s="2" t="s">
        <v>804</v>
      </c>
      <c r="J155" s="2" t="s">
        <v>30</v>
      </c>
      <c r="K155" s="2" t="s">
        <v>30</v>
      </c>
      <c r="L155" s="2" t="s">
        <v>377</v>
      </c>
      <c r="M155" s="2" t="s">
        <v>31</v>
      </c>
      <c r="N155" s="2" t="s">
        <v>490</v>
      </c>
      <c r="O155" s="2" t="s">
        <v>173</v>
      </c>
      <c r="P155" s="2" t="s">
        <v>2061</v>
      </c>
      <c r="Q155" s="2" t="s">
        <v>464</v>
      </c>
      <c r="R155" s="2" t="s">
        <v>456</v>
      </c>
      <c r="S155" s="2" t="s">
        <v>34</v>
      </c>
      <c r="T155" s="156">
        <v>3.2530000000000001</v>
      </c>
      <c r="U155" s="2" t="s">
        <v>2254</v>
      </c>
      <c r="V155" s="170">
        <v>0.01</v>
      </c>
      <c r="W155" s="172">
        <v>3.3340000000000002E-2</v>
      </c>
      <c r="X155" s="4" t="s">
        <v>461</v>
      </c>
      <c r="Y155" s="4" t="s">
        <v>173</v>
      </c>
      <c r="Z155" s="156">
        <v>79322.19</v>
      </c>
      <c r="AA155" s="166">
        <v>1</v>
      </c>
      <c r="AB155" s="183">
        <v>104.54</v>
      </c>
      <c r="AD155" s="156">
        <v>82.923000000000002</v>
      </c>
      <c r="AG155" s="2" t="s">
        <v>36</v>
      </c>
      <c r="AH155" s="172">
        <v>5.0000000000000002E-5</v>
      </c>
      <c r="AI155" s="172">
        <v>7.5366866764617598E-3</v>
      </c>
      <c r="AJ155" s="172">
        <v>1.2503760108237599E-3</v>
      </c>
    </row>
    <row r="156" spans="1:36">
      <c r="A156" s="2">
        <v>161</v>
      </c>
      <c r="B156" s="2">
        <v>9938</v>
      </c>
      <c r="C156" s="2" t="s">
        <v>2250</v>
      </c>
      <c r="D156" s="2" t="s">
        <v>2251</v>
      </c>
      <c r="E156" s="4" t="s">
        <v>1363</v>
      </c>
      <c r="F156" s="2" t="s">
        <v>2255</v>
      </c>
      <c r="G156" s="2" t="s">
        <v>2253</v>
      </c>
      <c r="H156" s="2" t="s">
        <v>223</v>
      </c>
      <c r="I156" s="2" t="s">
        <v>804</v>
      </c>
      <c r="J156" s="2" t="s">
        <v>30</v>
      </c>
      <c r="K156" s="2" t="s">
        <v>30</v>
      </c>
      <c r="L156" s="2" t="s">
        <v>379</v>
      </c>
      <c r="M156" s="2" t="s">
        <v>31</v>
      </c>
      <c r="N156" s="2" t="s">
        <v>145</v>
      </c>
      <c r="O156" s="2" t="s">
        <v>173</v>
      </c>
      <c r="P156" s="2" t="s">
        <v>2061</v>
      </c>
      <c r="Q156" s="2" t="s">
        <v>464</v>
      </c>
      <c r="R156" s="2" t="s">
        <v>456</v>
      </c>
      <c r="S156" s="2" t="s">
        <v>34</v>
      </c>
      <c r="T156" s="156">
        <v>3.27</v>
      </c>
      <c r="U156" s="2" t="s">
        <v>2254</v>
      </c>
      <c r="V156" s="170">
        <v>0.01</v>
      </c>
      <c r="W156" s="172">
        <v>3.3739999999999999E-2</v>
      </c>
      <c r="X156" s="4" t="s">
        <v>461</v>
      </c>
      <c r="Y156" s="4" t="s">
        <v>173</v>
      </c>
      <c r="Z156" s="156">
        <v>57000</v>
      </c>
      <c r="AA156" s="166">
        <v>1</v>
      </c>
      <c r="AB156" s="183">
        <v>104.54</v>
      </c>
      <c r="AD156" s="156">
        <v>59.588000000000001</v>
      </c>
      <c r="AG156" s="2" t="s">
        <v>36</v>
      </c>
      <c r="AH156" s="172">
        <v>6.3999999999999997E-5</v>
      </c>
      <c r="AI156" s="172">
        <v>5.4157750883872501E-3</v>
      </c>
      <c r="AJ156" s="172">
        <v>8.9850560879565003E-4</v>
      </c>
    </row>
    <row r="157" spans="1:36">
      <c r="A157" s="2">
        <v>161</v>
      </c>
      <c r="B157" s="2">
        <v>9938</v>
      </c>
      <c r="C157" s="2" t="s">
        <v>2250</v>
      </c>
      <c r="D157" s="2" t="s">
        <v>2251</v>
      </c>
      <c r="E157" s="4" t="s">
        <v>1363</v>
      </c>
      <c r="F157" s="2" t="s">
        <v>2256</v>
      </c>
      <c r="G157" s="2" t="s">
        <v>2257</v>
      </c>
      <c r="H157" s="2" t="s">
        <v>223</v>
      </c>
      <c r="I157" s="2" t="s">
        <v>804</v>
      </c>
      <c r="J157" s="2" t="s">
        <v>30</v>
      </c>
      <c r="K157" s="2" t="s">
        <v>30</v>
      </c>
      <c r="L157" s="2" t="s">
        <v>377</v>
      </c>
      <c r="M157" s="2" t="s">
        <v>31</v>
      </c>
      <c r="N157" s="2" t="s">
        <v>490</v>
      </c>
      <c r="O157" s="2" t="s">
        <v>173</v>
      </c>
      <c r="P157" s="2" t="s">
        <v>2061</v>
      </c>
      <c r="Q157" s="2" t="s">
        <v>464</v>
      </c>
      <c r="R157" s="2" t="s">
        <v>456</v>
      </c>
      <c r="S157" s="2" t="s">
        <v>34</v>
      </c>
      <c r="T157" s="156">
        <v>1.6559999999999999</v>
      </c>
      <c r="U157" s="2" t="s">
        <v>141</v>
      </c>
      <c r="V157" s="170">
        <v>3.5400000000000001E-2</v>
      </c>
      <c r="W157" s="172">
        <v>3.2190000000000003E-2</v>
      </c>
      <c r="X157" s="4" t="s">
        <v>461</v>
      </c>
      <c r="Y157" s="4" t="s">
        <v>173</v>
      </c>
      <c r="Z157" s="156">
        <v>107000</v>
      </c>
      <c r="AA157" s="166">
        <v>1</v>
      </c>
      <c r="AB157" s="183">
        <v>107.7</v>
      </c>
      <c r="AD157" s="156">
        <v>115.239</v>
      </c>
      <c r="AG157" s="2" t="s">
        <v>36</v>
      </c>
      <c r="AH157" s="172">
        <v>9.6000000000000002E-5</v>
      </c>
      <c r="AI157" s="172">
        <v>1.04737631765338E-2</v>
      </c>
      <c r="AJ157" s="172">
        <v>1.7376524700022801E-3</v>
      </c>
    </row>
    <row r="158" spans="1:36">
      <c r="A158" s="2">
        <v>161</v>
      </c>
      <c r="B158" s="2">
        <v>9938</v>
      </c>
      <c r="C158" s="2" t="s">
        <v>2250</v>
      </c>
      <c r="D158" s="2" t="s">
        <v>2251</v>
      </c>
      <c r="E158" s="4" t="s">
        <v>1363</v>
      </c>
      <c r="F158" s="2" t="s">
        <v>2258</v>
      </c>
      <c r="G158" s="2" t="s">
        <v>2259</v>
      </c>
      <c r="H158" s="2" t="s">
        <v>223</v>
      </c>
      <c r="I158" s="2" t="s">
        <v>804</v>
      </c>
      <c r="J158" s="2" t="s">
        <v>30</v>
      </c>
      <c r="K158" s="2" t="s">
        <v>30</v>
      </c>
      <c r="L158" s="2" t="s">
        <v>377</v>
      </c>
      <c r="M158" s="2" t="s">
        <v>31</v>
      </c>
      <c r="N158" s="2" t="s">
        <v>490</v>
      </c>
      <c r="O158" s="2" t="s">
        <v>173</v>
      </c>
      <c r="P158" s="2" t="s">
        <v>2061</v>
      </c>
      <c r="Q158" s="2" t="s">
        <v>464</v>
      </c>
      <c r="R158" s="2" t="s">
        <v>456</v>
      </c>
      <c r="S158" s="2" t="s">
        <v>34</v>
      </c>
      <c r="T158" s="156">
        <v>0.66200000000000003</v>
      </c>
      <c r="U158" s="2" t="s">
        <v>2260</v>
      </c>
      <c r="V158" s="170">
        <v>0.01</v>
      </c>
      <c r="W158" s="172">
        <v>2.707E-2</v>
      </c>
      <c r="X158" s="4" t="s">
        <v>461</v>
      </c>
      <c r="Y158" s="4" t="s">
        <v>173</v>
      </c>
      <c r="Z158" s="156">
        <v>81790.2</v>
      </c>
      <c r="AA158" s="166">
        <v>1</v>
      </c>
      <c r="AB158" s="183">
        <v>113.12</v>
      </c>
      <c r="AD158" s="156">
        <v>92.521000000000001</v>
      </c>
      <c r="AG158" s="2" t="s">
        <v>36</v>
      </c>
      <c r="AH158" s="172">
        <v>2.6899999999999998E-4</v>
      </c>
      <c r="AI158" s="172">
        <v>8.4089919248540607E-3</v>
      </c>
      <c r="AJ158" s="172">
        <v>1.3950960454394801E-3</v>
      </c>
    </row>
    <row r="159" spans="1:36">
      <c r="A159" s="2">
        <v>161</v>
      </c>
      <c r="B159" s="2">
        <v>9938</v>
      </c>
      <c r="C159" s="2" t="s">
        <v>1692</v>
      </c>
      <c r="D159" s="2" t="s">
        <v>1693</v>
      </c>
      <c r="E159" s="4" t="s">
        <v>1363</v>
      </c>
      <c r="F159" s="2" t="s">
        <v>2261</v>
      </c>
      <c r="G159" s="2" t="s">
        <v>2262</v>
      </c>
      <c r="H159" s="2" t="s">
        <v>223</v>
      </c>
      <c r="I159" s="2" t="s">
        <v>804</v>
      </c>
      <c r="J159" s="2" t="s">
        <v>30</v>
      </c>
      <c r="K159" s="2" t="s">
        <v>30</v>
      </c>
      <c r="L159" s="2" t="s">
        <v>377</v>
      </c>
      <c r="M159" s="2" t="s">
        <v>31</v>
      </c>
      <c r="N159" s="2" t="s">
        <v>511</v>
      </c>
      <c r="O159" s="2" t="s">
        <v>173</v>
      </c>
      <c r="P159" s="2" t="s">
        <v>2052</v>
      </c>
      <c r="Q159" s="2" t="s">
        <v>462</v>
      </c>
      <c r="R159" s="2" t="s">
        <v>456</v>
      </c>
      <c r="S159" s="2" t="s">
        <v>34</v>
      </c>
      <c r="T159" s="156">
        <v>4.3440000000000003</v>
      </c>
      <c r="U159" s="2" t="s">
        <v>2263</v>
      </c>
      <c r="V159" s="170">
        <v>1.43E-2</v>
      </c>
      <c r="W159" s="172">
        <v>2.938E-2</v>
      </c>
      <c r="X159" s="4" t="s">
        <v>461</v>
      </c>
      <c r="Y159" s="4" t="s">
        <v>173</v>
      </c>
      <c r="Z159" s="156">
        <v>207741.93</v>
      </c>
      <c r="AA159" s="166">
        <v>1</v>
      </c>
      <c r="AB159" s="183">
        <v>108.57</v>
      </c>
      <c r="AD159" s="156">
        <v>225.54499999999999</v>
      </c>
      <c r="AG159" s="2" t="s">
        <v>36</v>
      </c>
      <c r="AH159" s="172">
        <v>1.85E-4</v>
      </c>
      <c r="AI159" s="172">
        <v>2.0499216806076699E-2</v>
      </c>
      <c r="AJ159" s="172">
        <v>3.4009280251818702E-3</v>
      </c>
    </row>
    <row r="160" spans="1:36">
      <c r="A160" s="2">
        <v>161</v>
      </c>
      <c r="B160" s="2">
        <v>9938</v>
      </c>
      <c r="C160" s="2" t="s">
        <v>1692</v>
      </c>
      <c r="D160" s="2" t="s">
        <v>1693</v>
      </c>
      <c r="E160" s="4" t="s">
        <v>1363</v>
      </c>
      <c r="F160" s="2" t="s">
        <v>2267</v>
      </c>
      <c r="G160" s="2" t="s">
        <v>2268</v>
      </c>
      <c r="H160" s="2" t="s">
        <v>223</v>
      </c>
      <c r="I160" s="2" t="s">
        <v>804</v>
      </c>
      <c r="J160" s="2" t="s">
        <v>30</v>
      </c>
      <c r="K160" s="2" t="s">
        <v>30</v>
      </c>
      <c r="L160" s="2" t="s">
        <v>377</v>
      </c>
      <c r="M160" s="2" t="s">
        <v>31</v>
      </c>
      <c r="N160" s="2" t="s">
        <v>511</v>
      </c>
      <c r="O160" s="2" t="s">
        <v>173</v>
      </c>
      <c r="P160" s="2" t="s">
        <v>2052</v>
      </c>
      <c r="Q160" s="2" t="s">
        <v>462</v>
      </c>
      <c r="R160" s="2" t="s">
        <v>456</v>
      </c>
      <c r="S160" s="2" t="s">
        <v>34</v>
      </c>
      <c r="T160" s="156">
        <v>1.5029999999999999</v>
      </c>
      <c r="U160" s="2" t="s">
        <v>2269</v>
      </c>
      <c r="V160" s="170">
        <v>2.1499999999999998E-2</v>
      </c>
      <c r="W160" s="172">
        <v>2.529E-2</v>
      </c>
      <c r="X160" s="4" t="s">
        <v>461</v>
      </c>
      <c r="Y160" s="4" t="s">
        <v>173</v>
      </c>
      <c r="Z160" s="156">
        <v>110000</v>
      </c>
      <c r="AA160" s="166">
        <v>1</v>
      </c>
      <c r="AB160" s="183">
        <v>117.88</v>
      </c>
      <c r="AD160" s="156">
        <v>129.66800000000001</v>
      </c>
      <c r="AG160" s="2" t="s">
        <v>36</v>
      </c>
      <c r="AH160" s="172">
        <v>9.2E-5</v>
      </c>
      <c r="AI160" s="172">
        <v>1.17851762300504E-2</v>
      </c>
      <c r="AJ160" s="172">
        <v>1.9552228020050101E-3</v>
      </c>
    </row>
    <row r="161" spans="1:36">
      <c r="A161" s="2">
        <v>161</v>
      </c>
      <c r="B161" s="2">
        <v>9938</v>
      </c>
      <c r="C161" s="2" t="s">
        <v>1692</v>
      </c>
      <c r="D161" s="2" t="s">
        <v>1693</v>
      </c>
      <c r="E161" s="4" t="s">
        <v>1363</v>
      </c>
      <c r="F161" s="2" t="s">
        <v>2273</v>
      </c>
      <c r="G161" s="2" t="s">
        <v>2274</v>
      </c>
      <c r="H161" s="2" t="s">
        <v>223</v>
      </c>
      <c r="I161" s="2" t="s">
        <v>804</v>
      </c>
      <c r="J161" s="2" t="s">
        <v>30</v>
      </c>
      <c r="K161" s="2" t="s">
        <v>30</v>
      </c>
      <c r="L161" s="2" t="s">
        <v>377</v>
      </c>
      <c r="M161" s="2" t="s">
        <v>31</v>
      </c>
      <c r="N161" s="2" t="s">
        <v>511</v>
      </c>
      <c r="O161" s="2" t="s">
        <v>173</v>
      </c>
      <c r="P161" s="2" t="s">
        <v>2052</v>
      </c>
      <c r="Q161" s="2" t="s">
        <v>462</v>
      </c>
      <c r="R161" s="2" t="s">
        <v>456</v>
      </c>
      <c r="S161" s="2" t="s">
        <v>34</v>
      </c>
      <c r="T161" s="156">
        <v>5.298</v>
      </c>
      <c r="U161" s="2" t="s">
        <v>2240</v>
      </c>
      <c r="V161" s="170">
        <v>2.5000000000000001E-3</v>
      </c>
      <c r="W161" s="172">
        <v>3.0300000000000001E-2</v>
      </c>
      <c r="X161" s="4" t="s">
        <v>461</v>
      </c>
      <c r="Y161" s="4" t="s">
        <v>173</v>
      </c>
      <c r="Z161" s="156">
        <v>91520</v>
      </c>
      <c r="AA161" s="166">
        <v>1</v>
      </c>
      <c r="AB161" s="183">
        <v>97.92</v>
      </c>
      <c r="AD161" s="156">
        <v>89.616</v>
      </c>
      <c r="AG161" s="2" t="s">
        <v>36</v>
      </c>
      <c r="AH161" s="172">
        <v>7.3999999999999996E-5</v>
      </c>
      <c r="AI161" s="172">
        <v>8.1449924309765706E-3</v>
      </c>
      <c r="AJ161" s="172">
        <v>1.3512971390785499E-3</v>
      </c>
    </row>
    <row r="162" spans="1:36">
      <c r="A162" s="2">
        <v>161</v>
      </c>
      <c r="B162" s="2">
        <v>9938</v>
      </c>
      <c r="C162" s="2" t="s">
        <v>2275</v>
      </c>
      <c r="D162" s="2" t="s">
        <v>2276</v>
      </c>
      <c r="E162" s="4" t="s">
        <v>1363</v>
      </c>
      <c r="F162" s="2" t="s">
        <v>2277</v>
      </c>
      <c r="G162" s="2" t="s">
        <v>2278</v>
      </c>
      <c r="H162" s="2" t="s">
        <v>223</v>
      </c>
      <c r="I162" s="2" t="s">
        <v>1013</v>
      </c>
      <c r="J162" s="2" t="s">
        <v>30</v>
      </c>
      <c r="K162" s="2" t="s">
        <v>30</v>
      </c>
      <c r="L162" s="2" t="s">
        <v>377</v>
      </c>
      <c r="M162" s="2" t="s">
        <v>31</v>
      </c>
      <c r="N162" s="2" t="s">
        <v>492</v>
      </c>
      <c r="O162" s="2" t="s">
        <v>173</v>
      </c>
      <c r="P162" s="2" t="s">
        <v>1374</v>
      </c>
      <c r="Q162" s="2" t="s">
        <v>464</v>
      </c>
      <c r="R162" s="2" t="s">
        <v>456</v>
      </c>
      <c r="S162" s="2" t="s">
        <v>34</v>
      </c>
      <c r="T162" s="156">
        <v>5.6529999999999996</v>
      </c>
      <c r="U162" s="2" t="s">
        <v>2279</v>
      </c>
      <c r="V162" s="170">
        <v>2.98E-2</v>
      </c>
      <c r="W162" s="172">
        <v>5.7610000000000001E-2</v>
      </c>
      <c r="X162" s="4" t="s">
        <v>461</v>
      </c>
      <c r="Y162" s="4" t="s">
        <v>173</v>
      </c>
      <c r="Z162" s="156">
        <v>150000</v>
      </c>
      <c r="AA162" s="166">
        <v>1</v>
      </c>
      <c r="AB162" s="183">
        <v>86.69</v>
      </c>
      <c r="AD162" s="156">
        <v>130.035</v>
      </c>
      <c r="AG162" s="2" t="s">
        <v>36</v>
      </c>
      <c r="AH162" s="172">
        <v>3.8200000000000002E-4</v>
      </c>
      <c r="AI162" s="172">
        <v>1.1818531874283601E-2</v>
      </c>
      <c r="AJ162" s="172">
        <v>1.96075667904743E-3</v>
      </c>
    </row>
    <row r="163" spans="1:36">
      <c r="A163" s="2">
        <v>161</v>
      </c>
      <c r="B163" s="2">
        <v>9938</v>
      </c>
      <c r="C163" s="2" t="s">
        <v>2280</v>
      </c>
      <c r="D163" s="2" t="s">
        <v>2281</v>
      </c>
      <c r="E163" s="4" t="s">
        <v>1363</v>
      </c>
      <c r="F163" s="2" t="s">
        <v>2282</v>
      </c>
      <c r="G163" s="2" t="s">
        <v>2283</v>
      </c>
      <c r="H163" s="2" t="s">
        <v>223</v>
      </c>
      <c r="I163" s="2" t="s">
        <v>804</v>
      </c>
      <c r="J163" s="2" t="s">
        <v>30</v>
      </c>
      <c r="K163" s="2" t="s">
        <v>30</v>
      </c>
      <c r="L163" s="2" t="s">
        <v>377</v>
      </c>
      <c r="M163" s="2" t="s">
        <v>31</v>
      </c>
      <c r="N163" s="2" t="s">
        <v>494</v>
      </c>
      <c r="O163" s="2" t="s">
        <v>173</v>
      </c>
      <c r="P163" s="2" t="s">
        <v>146</v>
      </c>
      <c r="Q163" s="2" t="s">
        <v>464</v>
      </c>
      <c r="R163" s="2" t="s">
        <v>456</v>
      </c>
      <c r="S163" s="2" t="s">
        <v>34</v>
      </c>
      <c r="T163" s="156">
        <v>3.5590000000000002</v>
      </c>
      <c r="U163" s="2" t="s">
        <v>2284</v>
      </c>
      <c r="V163" s="170">
        <v>2.07E-2</v>
      </c>
      <c r="W163" s="172">
        <v>4.965E-2</v>
      </c>
      <c r="X163" s="4" t="s">
        <v>461</v>
      </c>
      <c r="Y163" s="4" t="s">
        <v>173</v>
      </c>
      <c r="Z163" s="156">
        <v>0.8</v>
      </c>
      <c r="AA163" s="166">
        <v>1</v>
      </c>
      <c r="AB163" s="183">
        <v>101.96</v>
      </c>
      <c r="AD163" s="156">
        <v>1E-3</v>
      </c>
      <c r="AG163" s="2" t="s">
        <v>36</v>
      </c>
      <c r="AH163" s="172">
        <v>0</v>
      </c>
      <c r="AI163" s="172">
        <v>7.4134964272816101E-8</v>
      </c>
      <c r="AJ163" s="172">
        <v>1.22993809971577E-8</v>
      </c>
    </row>
    <row r="164" spans="1:36">
      <c r="A164" s="2">
        <v>161</v>
      </c>
      <c r="B164" s="2">
        <v>9938</v>
      </c>
      <c r="C164" s="2" t="s">
        <v>1911</v>
      </c>
      <c r="D164" s="2" t="s">
        <v>1912</v>
      </c>
      <c r="E164" s="4" t="s">
        <v>1363</v>
      </c>
      <c r="F164" s="2" t="s">
        <v>2390</v>
      </c>
      <c r="G164" s="2" t="s">
        <v>2391</v>
      </c>
      <c r="H164" s="2" t="s">
        <v>223</v>
      </c>
      <c r="I164" s="2" t="s">
        <v>804</v>
      </c>
      <c r="J164" s="2" t="s">
        <v>30</v>
      </c>
      <c r="K164" s="2" t="s">
        <v>30</v>
      </c>
      <c r="L164" s="2" t="s">
        <v>377</v>
      </c>
      <c r="M164" s="2" t="s">
        <v>31</v>
      </c>
      <c r="N164" s="2" t="s">
        <v>511</v>
      </c>
      <c r="O164" s="2" t="s">
        <v>173</v>
      </c>
      <c r="P164" s="2" t="s">
        <v>1374</v>
      </c>
      <c r="Q164" s="2" t="s">
        <v>464</v>
      </c>
      <c r="R164" s="2" t="s">
        <v>456</v>
      </c>
      <c r="S164" s="2" t="s">
        <v>34</v>
      </c>
      <c r="T164" s="156">
        <v>0.28499999999999998</v>
      </c>
      <c r="U164" s="2" t="s">
        <v>2392</v>
      </c>
      <c r="V164" s="170">
        <v>2.75E-2</v>
      </c>
      <c r="W164" s="172">
        <v>4.6550000000000001E-2</v>
      </c>
      <c r="X164" s="4" t="s">
        <v>461</v>
      </c>
      <c r="Y164" s="4" t="s">
        <v>173</v>
      </c>
      <c r="Z164" s="156">
        <v>11919.51</v>
      </c>
      <c r="AA164" s="166">
        <v>1</v>
      </c>
      <c r="AB164" s="183">
        <v>116.74</v>
      </c>
      <c r="AD164" s="156">
        <v>13.914999999999999</v>
      </c>
      <c r="AG164" s="2" t="s">
        <v>36</v>
      </c>
      <c r="AH164" s="172">
        <v>8.6000000000000003E-5</v>
      </c>
      <c r="AI164" s="172">
        <v>1.26468206624483E-3</v>
      </c>
      <c r="AJ164" s="172">
        <v>2.0981741511031599E-4</v>
      </c>
    </row>
    <row r="165" spans="1:36">
      <c r="A165" s="2">
        <v>161</v>
      </c>
      <c r="B165" s="2">
        <v>9938</v>
      </c>
      <c r="C165" s="2" t="s">
        <v>2289</v>
      </c>
      <c r="D165" s="2" t="s">
        <v>2290</v>
      </c>
      <c r="E165" s="4" t="s">
        <v>1363</v>
      </c>
      <c r="F165" s="2" t="s">
        <v>2291</v>
      </c>
      <c r="G165" s="2" t="s">
        <v>2292</v>
      </c>
      <c r="H165" s="2" t="s">
        <v>223</v>
      </c>
      <c r="I165" s="2" t="s">
        <v>1013</v>
      </c>
      <c r="J165" s="2" t="s">
        <v>30</v>
      </c>
      <c r="K165" s="2" t="s">
        <v>30</v>
      </c>
      <c r="L165" s="2" t="s">
        <v>377</v>
      </c>
      <c r="M165" s="2" t="s">
        <v>31</v>
      </c>
      <c r="N165" s="2" t="s">
        <v>512</v>
      </c>
      <c r="O165" s="2" t="s">
        <v>173</v>
      </c>
      <c r="P165" s="2" t="s">
        <v>225</v>
      </c>
      <c r="Q165" s="2" t="s">
        <v>226</v>
      </c>
      <c r="R165" s="2" t="s">
        <v>226</v>
      </c>
      <c r="S165" s="2" t="s">
        <v>34</v>
      </c>
      <c r="T165" s="156">
        <v>0.38100000000000001</v>
      </c>
      <c r="U165" s="2" t="s">
        <v>2293</v>
      </c>
      <c r="V165" s="170">
        <v>6.7500000000000004E-2</v>
      </c>
      <c r="W165" s="172">
        <v>0.19284000000000001</v>
      </c>
      <c r="X165" s="4" t="s">
        <v>461</v>
      </c>
      <c r="Y165" s="4" t="s">
        <v>173</v>
      </c>
      <c r="Z165" s="156">
        <v>0.54</v>
      </c>
      <c r="AA165" s="166">
        <v>1</v>
      </c>
      <c r="AB165" s="183">
        <v>98.9</v>
      </c>
      <c r="AD165" s="156">
        <v>1E-3</v>
      </c>
      <c r="AG165" s="2" t="s">
        <v>36</v>
      </c>
      <c r="AH165" s="172">
        <v>0</v>
      </c>
      <c r="AI165" s="172">
        <v>4.85392789078317E-8</v>
      </c>
      <c r="AJ165" s="172">
        <v>8.05292199801645E-9</v>
      </c>
    </row>
    <row r="166" spans="1:36">
      <c r="A166" s="2">
        <v>161</v>
      </c>
      <c r="B166" s="2">
        <v>9938</v>
      </c>
      <c r="C166" s="2" t="s">
        <v>1711</v>
      </c>
      <c r="D166" s="2" t="s">
        <v>1712</v>
      </c>
      <c r="E166" s="4" t="s">
        <v>1363</v>
      </c>
      <c r="F166" s="2" t="s">
        <v>2294</v>
      </c>
      <c r="G166" s="2" t="s">
        <v>2295</v>
      </c>
      <c r="H166" s="2" t="s">
        <v>223</v>
      </c>
      <c r="I166" s="2" t="s">
        <v>804</v>
      </c>
      <c r="J166" s="2" t="s">
        <v>30</v>
      </c>
      <c r="K166" s="2" t="s">
        <v>30</v>
      </c>
      <c r="L166" s="2" t="s">
        <v>377</v>
      </c>
      <c r="M166" s="2" t="s">
        <v>31</v>
      </c>
      <c r="N166" s="2" t="s">
        <v>511</v>
      </c>
      <c r="O166" s="2" t="s">
        <v>173</v>
      </c>
      <c r="P166" s="2" t="s">
        <v>93</v>
      </c>
      <c r="Q166" s="2" t="s">
        <v>464</v>
      </c>
      <c r="R166" s="2" t="s">
        <v>456</v>
      </c>
      <c r="S166" s="2" t="s">
        <v>34</v>
      </c>
      <c r="T166" s="156">
        <v>2.6890000000000001</v>
      </c>
      <c r="U166" s="2" t="s">
        <v>2296</v>
      </c>
      <c r="V166" s="170">
        <v>1.34E-2</v>
      </c>
      <c r="W166" s="172">
        <v>2.819E-2</v>
      </c>
      <c r="X166" s="4" t="s">
        <v>461</v>
      </c>
      <c r="Y166" s="4" t="s">
        <v>173</v>
      </c>
      <c r="Z166" s="156">
        <v>177533.28</v>
      </c>
      <c r="AA166" s="166">
        <v>1</v>
      </c>
      <c r="AB166" s="183">
        <v>112.38</v>
      </c>
      <c r="AD166" s="156">
        <v>199.512</v>
      </c>
      <c r="AG166" s="2" t="s">
        <v>36</v>
      </c>
      <c r="AH166" s="172">
        <v>6.7000000000000002E-5</v>
      </c>
      <c r="AI166" s="172">
        <v>1.8133100705235199E-2</v>
      </c>
      <c r="AJ166" s="172">
        <v>3.0083769031409302E-3</v>
      </c>
    </row>
    <row r="167" spans="1:36">
      <c r="A167" s="2">
        <v>161</v>
      </c>
      <c r="B167" s="2">
        <v>9938</v>
      </c>
      <c r="C167" s="2" t="s">
        <v>1711</v>
      </c>
      <c r="D167" s="2" t="s">
        <v>1712</v>
      </c>
      <c r="E167" s="4" t="s">
        <v>1363</v>
      </c>
      <c r="F167" s="2" t="s">
        <v>2297</v>
      </c>
      <c r="G167" s="2" t="s">
        <v>2298</v>
      </c>
      <c r="H167" s="2" t="s">
        <v>223</v>
      </c>
      <c r="I167" s="2" t="s">
        <v>804</v>
      </c>
      <c r="J167" s="2" t="s">
        <v>30</v>
      </c>
      <c r="K167" s="2" t="s">
        <v>30</v>
      </c>
      <c r="L167" s="2" t="s">
        <v>377</v>
      </c>
      <c r="M167" s="2" t="s">
        <v>31</v>
      </c>
      <c r="N167" s="2" t="s">
        <v>511</v>
      </c>
      <c r="O167" s="2" t="s">
        <v>173</v>
      </c>
      <c r="P167" s="2" t="s">
        <v>93</v>
      </c>
      <c r="Q167" s="2" t="s">
        <v>464</v>
      </c>
      <c r="R167" s="2" t="s">
        <v>456</v>
      </c>
      <c r="S167" s="2" t="s">
        <v>34</v>
      </c>
      <c r="T167" s="156">
        <v>2.456</v>
      </c>
      <c r="U167" s="2" t="s">
        <v>2130</v>
      </c>
      <c r="V167" s="170">
        <v>1.77E-2</v>
      </c>
      <c r="W167" s="172">
        <v>2.7099999999999999E-2</v>
      </c>
      <c r="X167" s="4" t="s">
        <v>461</v>
      </c>
      <c r="Y167" s="4" t="s">
        <v>173</v>
      </c>
      <c r="Z167" s="156">
        <v>143200</v>
      </c>
      <c r="AA167" s="166">
        <v>1</v>
      </c>
      <c r="AB167" s="183">
        <v>113.19</v>
      </c>
      <c r="AD167" s="156">
        <v>162.08799999999999</v>
      </c>
      <c r="AG167" s="2" t="s">
        <v>36</v>
      </c>
      <c r="AH167" s="172">
        <v>5.5000000000000002E-5</v>
      </c>
      <c r="AI167" s="172">
        <v>1.47317502204901E-2</v>
      </c>
      <c r="AJ167" s="172">
        <v>2.4440749448531099E-3</v>
      </c>
    </row>
    <row r="168" spans="1:36">
      <c r="A168" s="2">
        <v>161</v>
      </c>
      <c r="B168" s="2">
        <v>9938</v>
      </c>
      <c r="C168" s="2" t="s">
        <v>1711</v>
      </c>
      <c r="D168" s="2" t="s">
        <v>1712</v>
      </c>
      <c r="E168" s="4" t="s">
        <v>1363</v>
      </c>
      <c r="F168" s="2" t="s">
        <v>2299</v>
      </c>
      <c r="G168" s="2" t="s">
        <v>2300</v>
      </c>
      <c r="H168" s="2" t="s">
        <v>223</v>
      </c>
      <c r="I168" s="2" t="s">
        <v>804</v>
      </c>
      <c r="J168" s="2" t="s">
        <v>30</v>
      </c>
      <c r="K168" s="2" t="s">
        <v>30</v>
      </c>
      <c r="L168" s="2" t="s">
        <v>377</v>
      </c>
      <c r="M168" s="2" t="s">
        <v>31</v>
      </c>
      <c r="N168" s="2" t="s">
        <v>511</v>
      </c>
      <c r="O168" s="2" t="s">
        <v>173</v>
      </c>
      <c r="P168" s="2" t="s">
        <v>93</v>
      </c>
      <c r="Q168" s="2" t="s">
        <v>462</v>
      </c>
      <c r="R168" s="2" t="s">
        <v>456</v>
      </c>
      <c r="S168" s="2" t="s">
        <v>34</v>
      </c>
      <c r="T168" s="156">
        <v>6.7329999999999997</v>
      </c>
      <c r="U168" s="2" t="s">
        <v>2301</v>
      </c>
      <c r="V168" s="170">
        <v>8.9999999999999993E-3</v>
      </c>
      <c r="W168" s="172">
        <v>3.3419999999999998E-2</v>
      </c>
      <c r="X168" s="4" t="s">
        <v>461</v>
      </c>
      <c r="Y168" s="4" t="s">
        <v>173</v>
      </c>
      <c r="Z168" s="156">
        <v>57820</v>
      </c>
      <c r="AA168" s="166">
        <v>1</v>
      </c>
      <c r="AB168" s="183">
        <v>96.33</v>
      </c>
      <c r="AD168" s="156">
        <v>55.698</v>
      </c>
      <c r="AG168" s="2" t="s">
        <v>36</v>
      </c>
      <c r="AH168" s="172">
        <v>2.0999999999999999E-5</v>
      </c>
      <c r="AI168" s="172">
        <v>5.0622421597649797E-3</v>
      </c>
      <c r="AJ168" s="172">
        <v>8.3985263409177299E-4</v>
      </c>
    </row>
    <row r="169" spans="1:36">
      <c r="A169" s="2">
        <v>161</v>
      </c>
      <c r="B169" s="2">
        <v>9938</v>
      </c>
      <c r="C169" s="2" t="s">
        <v>1711</v>
      </c>
      <c r="D169" s="2" t="s">
        <v>1712</v>
      </c>
      <c r="E169" s="4" t="s">
        <v>1363</v>
      </c>
      <c r="F169" s="2" t="s">
        <v>2302</v>
      </c>
      <c r="G169" s="2" t="s">
        <v>2303</v>
      </c>
      <c r="H169" s="2" t="s">
        <v>223</v>
      </c>
      <c r="I169" s="2" t="s">
        <v>804</v>
      </c>
      <c r="J169" s="2" t="s">
        <v>30</v>
      </c>
      <c r="K169" s="2" t="s">
        <v>30</v>
      </c>
      <c r="L169" s="2" t="s">
        <v>377</v>
      </c>
      <c r="M169" s="2" t="s">
        <v>31</v>
      </c>
      <c r="N169" s="2" t="s">
        <v>511</v>
      </c>
      <c r="O169" s="2" t="s">
        <v>173</v>
      </c>
      <c r="P169" s="2" t="s">
        <v>93</v>
      </c>
      <c r="Q169" s="2" t="s">
        <v>462</v>
      </c>
      <c r="R169" s="2" t="s">
        <v>456</v>
      </c>
      <c r="S169" s="2" t="s">
        <v>34</v>
      </c>
      <c r="T169" s="156">
        <v>0.45800000000000002</v>
      </c>
      <c r="U169" s="2" t="s">
        <v>2304</v>
      </c>
      <c r="V169" s="170">
        <v>6.4999999999999997E-3</v>
      </c>
      <c r="W169" s="172">
        <v>2.793E-2</v>
      </c>
      <c r="X169" s="4" t="s">
        <v>461</v>
      </c>
      <c r="Y169" s="4" t="s">
        <v>173</v>
      </c>
      <c r="Z169" s="156">
        <v>51000</v>
      </c>
      <c r="AA169" s="166">
        <v>1</v>
      </c>
      <c r="AB169" s="183">
        <v>114.12</v>
      </c>
      <c r="AC169" s="156">
        <v>0.191</v>
      </c>
      <c r="AD169" s="156">
        <v>58.392000000000003</v>
      </c>
      <c r="AG169" s="2" t="s">
        <v>36</v>
      </c>
      <c r="AH169" s="172">
        <v>9.2999999999999997E-5</v>
      </c>
      <c r="AI169" s="172">
        <v>5.3071238488816399E-3</v>
      </c>
      <c r="AJ169" s="172">
        <v>8.8047979596089603E-4</v>
      </c>
    </row>
    <row r="170" spans="1:36">
      <c r="A170" s="2">
        <v>161</v>
      </c>
      <c r="B170" s="2">
        <v>9938</v>
      </c>
      <c r="C170" s="2" t="s">
        <v>1620</v>
      </c>
      <c r="D170" s="2" t="s">
        <v>1621</v>
      </c>
      <c r="E170" s="4" t="s">
        <v>1363</v>
      </c>
      <c r="F170" s="2" t="s">
        <v>2308</v>
      </c>
      <c r="G170" s="2" t="s">
        <v>2309</v>
      </c>
      <c r="H170" s="2" t="s">
        <v>223</v>
      </c>
      <c r="I170" s="2" t="s">
        <v>804</v>
      </c>
      <c r="J170" s="2" t="s">
        <v>30</v>
      </c>
      <c r="K170" s="2" t="s">
        <v>30</v>
      </c>
      <c r="L170" s="2" t="s">
        <v>377</v>
      </c>
      <c r="M170" s="2" t="s">
        <v>31</v>
      </c>
      <c r="N170" s="2" t="s">
        <v>495</v>
      </c>
      <c r="O170" s="2" t="s">
        <v>173</v>
      </c>
      <c r="P170" s="2" t="s">
        <v>1224</v>
      </c>
      <c r="Q170" s="2" t="s">
        <v>462</v>
      </c>
      <c r="R170" s="2" t="s">
        <v>456</v>
      </c>
      <c r="S170" s="2" t="s">
        <v>34</v>
      </c>
      <c r="T170" s="156">
        <v>3.5609999999999999</v>
      </c>
      <c r="U170" s="2" t="s">
        <v>2307</v>
      </c>
      <c r="V170" s="170">
        <v>1E-3</v>
      </c>
      <c r="W170" s="172">
        <v>2.3970000000000002E-2</v>
      </c>
      <c r="X170" s="4" t="s">
        <v>461</v>
      </c>
      <c r="Y170" s="4" t="s">
        <v>173</v>
      </c>
      <c r="Z170" s="156">
        <v>316481.59999999998</v>
      </c>
      <c r="AA170" s="166">
        <v>1</v>
      </c>
      <c r="AB170" s="183">
        <v>103.73</v>
      </c>
      <c r="AD170" s="156">
        <v>328.286</v>
      </c>
      <c r="AG170" s="2" t="s">
        <v>36</v>
      </c>
      <c r="AH170" s="172">
        <v>2.81E-4</v>
      </c>
      <c r="AI170" s="172">
        <v>2.98370658133944E-2</v>
      </c>
      <c r="AJ170" s="172">
        <v>4.9501263523340101E-3</v>
      </c>
    </row>
    <row r="171" spans="1:36">
      <c r="A171" s="2">
        <v>161</v>
      </c>
      <c r="B171" s="2">
        <v>9938</v>
      </c>
      <c r="C171" s="2" t="s">
        <v>1620</v>
      </c>
      <c r="D171" s="2" t="s">
        <v>1621</v>
      </c>
      <c r="E171" s="4" t="s">
        <v>1363</v>
      </c>
      <c r="F171" s="2" t="s">
        <v>2310</v>
      </c>
      <c r="G171" s="2" t="s">
        <v>2311</v>
      </c>
      <c r="H171" s="2" t="s">
        <v>223</v>
      </c>
      <c r="I171" s="2" t="s">
        <v>804</v>
      </c>
      <c r="J171" s="2" t="s">
        <v>30</v>
      </c>
      <c r="K171" s="2" t="s">
        <v>30</v>
      </c>
      <c r="L171" s="2" t="s">
        <v>377</v>
      </c>
      <c r="M171" s="2" t="s">
        <v>31</v>
      </c>
      <c r="N171" s="2" t="s">
        <v>495</v>
      </c>
      <c r="O171" s="2" t="s">
        <v>173</v>
      </c>
      <c r="P171" s="2" t="s">
        <v>1224</v>
      </c>
      <c r="Q171" s="2" t="s">
        <v>462</v>
      </c>
      <c r="R171" s="2" t="s">
        <v>456</v>
      </c>
      <c r="S171" s="2" t="s">
        <v>34</v>
      </c>
      <c r="T171" s="156">
        <v>3.9140000000000001</v>
      </c>
      <c r="U171" s="2" t="s">
        <v>2312</v>
      </c>
      <c r="V171" s="170">
        <v>1.3899999999999999E-2</v>
      </c>
      <c r="W171" s="172">
        <v>2.4809999999999999E-2</v>
      </c>
      <c r="X171" s="4" t="s">
        <v>461</v>
      </c>
      <c r="Y171" s="4" t="s">
        <v>173</v>
      </c>
      <c r="Z171" s="156">
        <v>348100</v>
      </c>
      <c r="AA171" s="166">
        <v>1</v>
      </c>
      <c r="AB171" s="183">
        <v>103.84</v>
      </c>
      <c r="AD171" s="156">
        <v>361.46699999999998</v>
      </c>
      <c r="AG171" s="2" t="s">
        <v>36</v>
      </c>
      <c r="AH171" s="172">
        <v>1.93E-4</v>
      </c>
      <c r="AI171" s="172">
        <v>3.28527683603871E-2</v>
      </c>
      <c r="AJ171" s="172">
        <v>5.4504472867728197E-3</v>
      </c>
    </row>
    <row r="172" spans="1:36">
      <c r="A172" s="2">
        <v>161</v>
      </c>
      <c r="B172" s="2">
        <v>9938</v>
      </c>
      <c r="C172" s="2" t="s">
        <v>1620</v>
      </c>
      <c r="D172" s="2" t="s">
        <v>1621</v>
      </c>
      <c r="E172" s="4" t="s">
        <v>1363</v>
      </c>
      <c r="F172" s="2" t="s">
        <v>2313</v>
      </c>
      <c r="G172" s="2" t="s">
        <v>2314</v>
      </c>
      <c r="H172" s="2" t="s">
        <v>223</v>
      </c>
      <c r="I172" s="2" t="s">
        <v>804</v>
      </c>
      <c r="J172" s="2" t="s">
        <v>30</v>
      </c>
      <c r="K172" s="2" t="s">
        <v>30</v>
      </c>
      <c r="L172" s="2" t="s">
        <v>377</v>
      </c>
      <c r="M172" s="2" t="s">
        <v>31</v>
      </c>
      <c r="N172" s="2" t="s">
        <v>495</v>
      </c>
      <c r="O172" s="2" t="s">
        <v>173</v>
      </c>
      <c r="P172" s="2" t="s">
        <v>1224</v>
      </c>
      <c r="Q172" s="2" t="s">
        <v>462</v>
      </c>
      <c r="R172" s="2" t="s">
        <v>456</v>
      </c>
      <c r="S172" s="2" t="s">
        <v>34</v>
      </c>
      <c r="T172" s="156">
        <v>1.905</v>
      </c>
      <c r="U172" s="2" t="s">
        <v>2315</v>
      </c>
      <c r="V172" s="170">
        <v>6.0000000000000001E-3</v>
      </c>
      <c r="W172" s="172">
        <v>2.0719999999999999E-2</v>
      </c>
      <c r="X172" s="4" t="s">
        <v>461</v>
      </c>
      <c r="Y172" s="4" t="s">
        <v>173</v>
      </c>
      <c r="Z172" s="156">
        <v>22222.22</v>
      </c>
      <c r="AA172" s="166">
        <v>1</v>
      </c>
      <c r="AB172" s="183">
        <v>113.24</v>
      </c>
      <c r="AD172" s="156">
        <v>25.164000000000001</v>
      </c>
      <c r="AG172" s="2" t="s">
        <v>36</v>
      </c>
      <c r="AH172" s="172">
        <v>2.5000000000000001E-5</v>
      </c>
      <c r="AI172" s="172">
        <v>2.2871285348146802E-3</v>
      </c>
      <c r="AJ172" s="172">
        <v>3.79446668857055E-4</v>
      </c>
    </row>
    <row r="173" spans="1:36">
      <c r="A173" s="2">
        <v>161</v>
      </c>
      <c r="B173" s="2">
        <v>9938</v>
      </c>
      <c r="C173" s="2" t="s">
        <v>1620</v>
      </c>
      <c r="D173" s="2" t="s">
        <v>1621</v>
      </c>
      <c r="E173" s="4" t="s">
        <v>1363</v>
      </c>
      <c r="F173" s="2" t="s">
        <v>2316</v>
      </c>
      <c r="G173" s="2" t="s">
        <v>2317</v>
      </c>
      <c r="H173" s="2" t="s">
        <v>223</v>
      </c>
      <c r="I173" s="2" t="s">
        <v>804</v>
      </c>
      <c r="J173" s="2" t="s">
        <v>30</v>
      </c>
      <c r="K173" s="2" t="s">
        <v>30</v>
      </c>
      <c r="L173" s="2" t="s">
        <v>377</v>
      </c>
      <c r="M173" s="2" t="s">
        <v>31</v>
      </c>
      <c r="N173" s="2" t="s">
        <v>495</v>
      </c>
      <c r="O173" s="2" t="s">
        <v>173</v>
      </c>
      <c r="P173" s="2" t="s">
        <v>1224</v>
      </c>
      <c r="Q173" s="2" t="s">
        <v>462</v>
      </c>
      <c r="R173" s="2" t="s">
        <v>456</v>
      </c>
      <c r="S173" s="2" t="s">
        <v>34</v>
      </c>
      <c r="T173" s="156">
        <v>2.786</v>
      </c>
      <c r="U173" s="2" t="s">
        <v>2318</v>
      </c>
      <c r="V173" s="170">
        <v>1.7500000000000002E-2</v>
      </c>
      <c r="W173" s="172">
        <v>2.3460000000000002E-2</v>
      </c>
      <c r="X173" s="4" t="s">
        <v>461</v>
      </c>
      <c r="Y173" s="4" t="s">
        <v>173</v>
      </c>
      <c r="Z173" s="156">
        <v>296181.94</v>
      </c>
      <c r="AA173" s="166">
        <v>1</v>
      </c>
      <c r="AB173" s="183">
        <v>114.28</v>
      </c>
      <c r="AD173" s="156">
        <v>338.47699999999998</v>
      </c>
      <c r="AG173" s="2" t="s">
        <v>36</v>
      </c>
      <c r="AH173" s="172">
        <v>1.1400000000000001E-4</v>
      </c>
      <c r="AI173" s="172">
        <v>3.07632400216841E-2</v>
      </c>
      <c r="AJ173" s="172">
        <v>5.1037835310921396E-3</v>
      </c>
    </row>
    <row r="174" spans="1:36">
      <c r="A174" s="2">
        <v>161</v>
      </c>
      <c r="B174" s="2">
        <v>9938</v>
      </c>
      <c r="C174" s="2" t="s">
        <v>1620</v>
      </c>
      <c r="D174" s="2" t="s">
        <v>1621</v>
      </c>
      <c r="E174" s="4" t="s">
        <v>1363</v>
      </c>
      <c r="F174" s="2" t="s">
        <v>2393</v>
      </c>
      <c r="G174" s="2" t="s">
        <v>2394</v>
      </c>
      <c r="H174" s="2" t="s">
        <v>223</v>
      </c>
      <c r="I174" s="2" t="s">
        <v>804</v>
      </c>
      <c r="J174" s="2" t="s">
        <v>30</v>
      </c>
      <c r="K174" s="2" t="s">
        <v>30</v>
      </c>
      <c r="L174" s="2" t="s">
        <v>377</v>
      </c>
      <c r="M174" s="2" t="s">
        <v>31</v>
      </c>
      <c r="N174" s="2" t="s">
        <v>495</v>
      </c>
      <c r="O174" s="2" t="s">
        <v>173</v>
      </c>
      <c r="P174" s="2" t="s">
        <v>1374</v>
      </c>
      <c r="Q174" s="2" t="s">
        <v>462</v>
      </c>
      <c r="R174" s="2" t="s">
        <v>456</v>
      </c>
      <c r="S174" s="2" t="s">
        <v>34</v>
      </c>
      <c r="T174" s="156">
        <v>6.1710000000000003</v>
      </c>
      <c r="U174" s="2" t="s">
        <v>2395</v>
      </c>
      <c r="V174" s="170">
        <v>2.9700000000000001E-2</v>
      </c>
      <c r="W174" s="172">
        <v>2.511E-2</v>
      </c>
      <c r="X174" s="4" t="s">
        <v>461</v>
      </c>
      <c r="Y174" s="4" t="s">
        <v>173</v>
      </c>
      <c r="Z174" s="156">
        <v>50000</v>
      </c>
      <c r="AA174" s="166">
        <v>1</v>
      </c>
      <c r="AB174" s="183">
        <v>116.71</v>
      </c>
      <c r="AD174" s="156">
        <v>58.354999999999997</v>
      </c>
      <c r="AG174" s="2" t="s">
        <v>36</v>
      </c>
      <c r="AH174" s="172">
        <v>7.1000000000000005E-5</v>
      </c>
      <c r="AI174" s="172">
        <v>5.3037292077042202E-3</v>
      </c>
      <c r="AJ174" s="172">
        <v>8.7991660711202895E-4</v>
      </c>
    </row>
    <row r="175" spans="1:36">
      <c r="A175" s="2">
        <v>161</v>
      </c>
      <c r="B175" s="2">
        <v>9938</v>
      </c>
      <c r="C175" s="2" t="s">
        <v>1719</v>
      </c>
      <c r="D175" s="2" t="s">
        <v>1720</v>
      </c>
      <c r="E175" s="4" t="s">
        <v>1363</v>
      </c>
      <c r="F175" s="2" t="s">
        <v>2319</v>
      </c>
      <c r="G175" s="2" t="s">
        <v>2320</v>
      </c>
      <c r="H175" s="2" t="s">
        <v>223</v>
      </c>
      <c r="I175" s="2" t="s">
        <v>1013</v>
      </c>
      <c r="J175" s="2" t="s">
        <v>30</v>
      </c>
      <c r="K175" s="2" t="s">
        <v>30</v>
      </c>
      <c r="L175" s="2" t="s">
        <v>377</v>
      </c>
      <c r="M175" s="2" t="s">
        <v>31</v>
      </c>
      <c r="N175" s="2" t="s">
        <v>524</v>
      </c>
      <c r="O175" s="2" t="s">
        <v>173</v>
      </c>
      <c r="P175" s="2" t="s">
        <v>1374</v>
      </c>
      <c r="Q175" s="2" t="s">
        <v>462</v>
      </c>
      <c r="R175" s="2" t="s">
        <v>456</v>
      </c>
      <c r="S175" s="2" t="s">
        <v>34</v>
      </c>
      <c r="T175" s="156">
        <v>1.327</v>
      </c>
      <c r="U175" s="2" t="s">
        <v>2321</v>
      </c>
      <c r="V175" s="170">
        <v>2.29E-2</v>
      </c>
      <c r="W175" s="172">
        <v>5.219E-2</v>
      </c>
      <c r="X175" s="4" t="s">
        <v>461</v>
      </c>
      <c r="Y175" s="4" t="s">
        <v>173</v>
      </c>
      <c r="Z175" s="156">
        <v>66769.23</v>
      </c>
      <c r="AA175" s="166">
        <v>1</v>
      </c>
      <c r="AB175" s="183">
        <v>97.05</v>
      </c>
      <c r="AD175" s="156">
        <v>64.8</v>
      </c>
      <c r="AG175" s="2" t="s">
        <v>36</v>
      </c>
      <c r="AH175" s="172">
        <v>1.6200000000000001E-4</v>
      </c>
      <c r="AI175" s="172">
        <v>5.8894559305076996E-3</v>
      </c>
      <c r="AJ175" s="172">
        <v>9.7709175509571992E-4</v>
      </c>
    </row>
    <row r="176" spans="1:36">
      <c r="A176" s="2">
        <v>161</v>
      </c>
      <c r="B176" s="2">
        <v>9938</v>
      </c>
      <c r="C176" s="2" t="s">
        <v>2322</v>
      </c>
      <c r="D176" s="2" t="s">
        <v>2323</v>
      </c>
      <c r="E176" s="4" t="s">
        <v>1363</v>
      </c>
      <c r="F176" s="2" t="s">
        <v>2324</v>
      </c>
      <c r="G176" s="2" t="s">
        <v>2325</v>
      </c>
      <c r="H176" s="2" t="s">
        <v>223</v>
      </c>
      <c r="I176" s="2" t="s">
        <v>804</v>
      </c>
      <c r="J176" s="2" t="s">
        <v>30</v>
      </c>
      <c r="K176" s="2" t="s">
        <v>30</v>
      </c>
      <c r="L176" s="2" t="s">
        <v>377</v>
      </c>
      <c r="M176" s="2" t="s">
        <v>31</v>
      </c>
      <c r="N176" s="2" t="s">
        <v>487</v>
      </c>
      <c r="O176" s="2" t="s">
        <v>173</v>
      </c>
      <c r="P176" s="2" t="s">
        <v>1374</v>
      </c>
      <c r="Q176" s="2" t="s">
        <v>462</v>
      </c>
      <c r="R176" s="2" t="s">
        <v>456</v>
      </c>
      <c r="S176" s="2" t="s">
        <v>34</v>
      </c>
      <c r="T176" s="156">
        <v>1.8979999999999999</v>
      </c>
      <c r="U176" s="2" t="s">
        <v>2326</v>
      </c>
      <c r="V176" s="170">
        <v>1.9400000000000001E-2</v>
      </c>
      <c r="W176" s="172">
        <v>2.4199999999999999E-2</v>
      </c>
      <c r="X176" s="4" t="s">
        <v>461</v>
      </c>
      <c r="Y176" s="4" t="s">
        <v>173</v>
      </c>
      <c r="Z176" s="156">
        <v>110000</v>
      </c>
      <c r="AA176" s="166">
        <v>1</v>
      </c>
      <c r="AB176" s="183">
        <v>115.88</v>
      </c>
      <c r="AD176" s="156">
        <v>127.468</v>
      </c>
      <c r="AG176" s="2" t="s">
        <v>36</v>
      </c>
      <c r="AH176" s="172">
        <v>3.6499999999999998E-4</v>
      </c>
      <c r="AI176" s="172">
        <v>1.15852241392793E-2</v>
      </c>
      <c r="AJ176" s="172">
        <v>1.9220496971185999E-3</v>
      </c>
    </row>
    <row r="177" spans="1:36">
      <c r="A177" s="2">
        <v>161</v>
      </c>
      <c r="B177" s="2">
        <v>9938</v>
      </c>
      <c r="C177" s="2" t="s">
        <v>2396</v>
      </c>
      <c r="D177" s="2" t="s">
        <v>2397</v>
      </c>
      <c r="E177" s="4" t="s">
        <v>1363</v>
      </c>
      <c r="F177" s="2" t="s">
        <v>2398</v>
      </c>
      <c r="G177" s="2" t="s">
        <v>2399</v>
      </c>
      <c r="H177" s="2" t="s">
        <v>223</v>
      </c>
      <c r="I177" s="2" t="s">
        <v>804</v>
      </c>
      <c r="J177" s="2" t="s">
        <v>30</v>
      </c>
      <c r="K177" s="2" t="s">
        <v>30</v>
      </c>
      <c r="L177" s="2" t="s">
        <v>377</v>
      </c>
      <c r="M177" s="2" t="s">
        <v>31</v>
      </c>
      <c r="N177" s="2" t="s">
        <v>492</v>
      </c>
      <c r="O177" s="2" t="s">
        <v>173</v>
      </c>
      <c r="P177" s="2" t="s">
        <v>2052</v>
      </c>
      <c r="Q177" s="2" t="s">
        <v>462</v>
      </c>
      <c r="R177" s="2" t="s">
        <v>456</v>
      </c>
      <c r="S177" s="2" t="s">
        <v>34</v>
      </c>
      <c r="T177" s="156">
        <v>2.0299999999999998</v>
      </c>
      <c r="U177" s="2" t="s">
        <v>2400</v>
      </c>
      <c r="V177" s="170">
        <v>2.2499999999999999E-2</v>
      </c>
      <c r="W177" s="172">
        <v>2.2409999999999999E-2</v>
      </c>
      <c r="X177" s="4" t="s">
        <v>461</v>
      </c>
      <c r="Y177" s="4" t="s">
        <v>173</v>
      </c>
      <c r="Z177" s="156">
        <v>56700</v>
      </c>
      <c r="AA177" s="166">
        <v>1</v>
      </c>
      <c r="AB177" s="183">
        <v>117.98</v>
      </c>
      <c r="AD177" s="156">
        <v>66.894999999999996</v>
      </c>
      <c r="AG177" s="2" t="s">
        <v>36</v>
      </c>
      <c r="AH177" s="172">
        <v>1.3899999999999999E-4</v>
      </c>
      <c r="AI177" s="172">
        <v>6.0798759674653997E-3</v>
      </c>
      <c r="AJ177" s="172">
        <v>1.0086834420548799E-3</v>
      </c>
    </row>
    <row r="178" spans="1:36">
      <c r="A178" s="2">
        <v>161</v>
      </c>
      <c r="B178" s="2">
        <v>9938</v>
      </c>
      <c r="C178" s="2" t="s">
        <v>2327</v>
      </c>
      <c r="D178" s="2" t="s">
        <v>2328</v>
      </c>
      <c r="E178" s="4" t="s">
        <v>1363</v>
      </c>
      <c r="F178" s="2" t="s">
        <v>2329</v>
      </c>
      <c r="G178" s="2" t="s">
        <v>2330</v>
      </c>
      <c r="H178" s="2" t="s">
        <v>223</v>
      </c>
      <c r="I178" s="2" t="s">
        <v>1013</v>
      </c>
      <c r="J178" s="2" t="s">
        <v>30</v>
      </c>
      <c r="K178" s="2" t="s">
        <v>30</v>
      </c>
      <c r="L178" s="2" t="s">
        <v>377</v>
      </c>
      <c r="M178" s="2" t="s">
        <v>31</v>
      </c>
      <c r="N178" s="2" t="s">
        <v>494</v>
      </c>
      <c r="O178" s="2" t="s">
        <v>173</v>
      </c>
      <c r="P178" s="2" t="s">
        <v>2041</v>
      </c>
      <c r="Q178" s="2" t="s">
        <v>464</v>
      </c>
      <c r="R178" s="2" t="s">
        <v>456</v>
      </c>
      <c r="S178" s="2" t="s">
        <v>34</v>
      </c>
      <c r="T178" s="156">
        <v>0.52800000000000002</v>
      </c>
      <c r="U178" s="2" t="s">
        <v>2331</v>
      </c>
      <c r="V178" s="170">
        <v>0.06</v>
      </c>
      <c r="W178" s="172">
        <v>6.6379999999999995E-2</v>
      </c>
      <c r="X178" s="4" t="s">
        <v>461</v>
      </c>
      <c r="Y178" s="4" t="s">
        <v>173</v>
      </c>
      <c r="Z178" s="156">
        <v>0.6</v>
      </c>
      <c r="AA178" s="166">
        <v>1</v>
      </c>
      <c r="AB178" s="183">
        <v>101</v>
      </c>
      <c r="AD178" s="156">
        <v>1E-3</v>
      </c>
      <c r="AG178" s="2" t="s">
        <v>36</v>
      </c>
      <c r="AH178" s="172">
        <v>0</v>
      </c>
      <c r="AI178" s="172">
        <v>5.50777122760476E-8</v>
      </c>
      <c r="AJ178" s="172">
        <v>9.1376825278020601E-9</v>
      </c>
    </row>
    <row r="179" spans="1:36">
      <c r="A179" s="2">
        <v>161</v>
      </c>
      <c r="B179" s="2">
        <v>9938</v>
      </c>
      <c r="C179" s="2" t="s">
        <v>1939</v>
      </c>
      <c r="D179" s="2" t="s">
        <v>1940</v>
      </c>
      <c r="E179" s="4" t="s">
        <v>1363</v>
      </c>
      <c r="F179" s="2" t="s">
        <v>2332</v>
      </c>
      <c r="G179" s="2" t="s">
        <v>2333</v>
      </c>
      <c r="H179" s="2" t="s">
        <v>223</v>
      </c>
      <c r="I179" s="2" t="s">
        <v>804</v>
      </c>
      <c r="J179" s="2" t="s">
        <v>30</v>
      </c>
      <c r="K179" s="2" t="s">
        <v>30</v>
      </c>
      <c r="L179" s="2" t="s">
        <v>377</v>
      </c>
      <c r="M179" s="2" t="s">
        <v>31</v>
      </c>
      <c r="N179" s="2" t="s">
        <v>511</v>
      </c>
      <c r="O179" s="2" t="s">
        <v>173</v>
      </c>
      <c r="P179" s="2" t="s">
        <v>2052</v>
      </c>
      <c r="Q179" s="2" t="s">
        <v>462</v>
      </c>
      <c r="R179" s="2" t="s">
        <v>456</v>
      </c>
      <c r="S179" s="2" t="s">
        <v>34</v>
      </c>
      <c r="T179" s="156">
        <v>6.6509999999999998</v>
      </c>
      <c r="U179" s="2" t="s">
        <v>2334</v>
      </c>
      <c r="V179" s="170">
        <v>2.5000000000000001E-2</v>
      </c>
      <c r="W179" s="172">
        <v>3.3890000000000003E-2</v>
      </c>
      <c r="X179" s="4" t="s">
        <v>461</v>
      </c>
      <c r="Y179" s="4" t="s">
        <v>173</v>
      </c>
      <c r="Z179" s="156">
        <v>55100</v>
      </c>
      <c r="AA179" s="166">
        <v>1</v>
      </c>
      <c r="AB179" s="183">
        <v>109.06</v>
      </c>
      <c r="AD179" s="156">
        <v>60.091999999999999</v>
      </c>
      <c r="AG179" s="2" t="s">
        <v>36</v>
      </c>
      <c r="AH179" s="172">
        <v>6.4999999999999994E-5</v>
      </c>
      <c r="AI179" s="172">
        <v>5.46160592533827E-3</v>
      </c>
      <c r="AJ179" s="172">
        <v>9.0610918600929596E-4</v>
      </c>
    </row>
    <row r="180" spans="1:36">
      <c r="A180" s="2">
        <v>161</v>
      </c>
      <c r="B180" s="2">
        <v>9938</v>
      </c>
      <c r="C180" s="2" t="s">
        <v>2335</v>
      </c>
      <c r="D180" s="2" t="s">
        <v>2336</v>
      </c>
      <c r="E180" s="4" t="s">
        <v>1363</v>
      </c>
      <c r="F180" s="2" t="s">
        <v>2337</v>
      </c>
      <c r="G180" s="2" t="s">
        <v>2338</v>
      </c>
      <c r="H180" s="2" t="s">
        <v>223</v>
      </c>
      <c r="I180" s="2" t="s">
        <v>1013</v>
      </c>
      <c r="J180" s="2" t="s">
        <v>30</v>
      </c>
      <c r="K180" s="2" t="s">
        <v>30</v>
      </c>
      <c r="L180" s="2" t="s">
        <v>377</v>
      </c>
      <c r="M180" s="2" t="s">
        <v>31</v>
      </c>
      <c r="N180" s="2" t="s">
        <v>490</v>
      </c>
      <c r="O180" s="2" t="s">
        <v>173</v>
      </c>
      <c r="P180" s="2" t="s">
        <v>2339</v>
      </c>
      <c r="Q180" s="2" t="s">
        <v>464</v>
      </c>
      <c r="R180" s="2" t="s">
        <v>456</v>
      </c>
      <c r="S180" s="2" t="s">
        <v>34</v>
      </c>
      <c r="T180" s="156">
        <v>0.73</v>
      </c>
      <c r="U180" s="2" t="s">
        <v>2340</v>
      </c>
      <c r="V180" s="170">
        <v>3.15E-2</v>
      </c>
      <c r="W180" s="172">
        <v>8.2530000000000006E-2</v>
      </c>
      <c r="X180" s="4" t="s">
        <v>461</v>
      </c>
      <c r="Y180" s="4" t="s">
        <v>173</v>
      </c>
      <c r="Z180" s="156">
        <v>0.87</v>
      </c>
      <c r="AA180" s="166">
        <v>1</v>
      </c>
      <c r="AB180" s="183">
        <v>97.3</v>
      </c>
      <c r="AD180" s="156">
        <v>1E-3</v>
      </c>
      <c r="AG180" s="2" t="s">
        <v>36</v>
      </c>
      <c r="AH180" s="172">
        <v>0</v>
      </c>
      <c r="AI180" s="172">
        <v>7.6937020163031504E-8</v>
      </c>
      <c r="AJ180" s="172">
        <v>1.2764256826088699E-8</v>
      </c>
    </row>
    <row r="181" spans="1:36">
      <c r="A181" s="2">
        <v>161</v>
      </c>
      <c r="B181" s="2">
        <v>9938</v>
      </c>
      <c r="C181" s="2" t="s">
        <v>2341</v>
      </c>
      <c r="D181" s="2" t="s">
        <v>2342</v>
      </c>
      <c r="E181" s="4" t="s">
        <v>1363</v>
      </c>
      <c r="F181" s="2" t="s">
        <v>2343</v>
      </c>
      <c r="G181" s="2" t="s">
        <v>2344</v>
      </c>
      <c r="H181" s="2" t="s">
        <v>223</v>
      </c>
      <c r="I181" s="2" t="s">
        <v>1013</v>
      </c>
      <c r="J181" s="2" t="s">
        <v>30</v>
      </c>
      <c r="K181" s="2" t="s">
        <v>30</v>
      </c>
      <c r="L181" s="2" t="s">
        <v>377</v>
      </c>
      <c r="M181" s="2" t="s">
        <v>31</v>
      </c>
      <c r="N181" s="2" t="s">
        <v>487</v>
      </c>
      <c r="O181" s="2" t="s">
        <v>173</v>
      </c>
      <c r="P181" s="2" t="s">
        <v>2041</v>
      </c>
      <c r="Q181" s="2" t="s">
        <v>464</v>
      </c>
      <c r="R181" s="2" t="s">
        <v>456</v>
      </c>
      <c r="S181" s="2" t="s">
        <v>34</v>
      </c>
      <c r="T181" s="156">
        <v>4.2539999999999996</v>
      </c>
      <c r="U181" s="2" t="s">
        <v>2345</v>
      </c>
      <c r="V181" s="170">
        <v>6.7699999999999996E-2</v>
      </c>
      <c r="W181" s="172">
        <v>6.6390000000000005E-2</v>
      </c>
      <c r="X181" s="4" t="s">
        <v>461</v>
      </c>
      <c r="Y181" s="4" t="s">
        <v>173</v>
      </c>
      <c r="Z181" s="156">
        <v>120000</v>
      </c>
      <c r="AA181" s="166">
        <v>1</v>
      </c>
      <c r="AB181" s="183">
        <v>102.69</v>
      </c>
      <c r="AD181" s="156">
        <v>123.22799999999999</v>
      </c>
      <c r="AG181" s="2" t="s">
        <v>36</v>
      </c>
      <c r="AH181" s="172">
        <v>1.6000000000000001E-4</v>
      </c>
      <c r="AI181" s="172">
        <v>1.11998619279749E-2</v>
      </c>
      <c r="AJ181" s="172">
        <v>1.85811607679207E-3</v>
      </c>
    </row>
    <row r="182" spans="1:36">
      <c r="A182" s="2">
        <v>161</v>
      </c>
      <c r="B182" s="2">
        <v>9938</v>
      </c>
      <c r="C182" s="2" t="s">
        <v>2346</v>
      </c>
      <c r="D182" s="2" t="s">
        <v>2347</v>
      </c>
      <c r="E182" s="4" t="s">
        <v>1363</v>
      </c>
      <c r="F182" s="2" t="s">
        <v>2348</v>
      </c>
      <c r="G182" s="2" t="s">
        <v>2349</v>
      </c>
      <c r="H182" s="2" t="s">
        <v>223</v>
      </c>
      <c r="I182" s="2" t="s">
        <v>804</v>
      </c>
      <c r="J182" s="2" t="s">
        <v>30</v>
      </c>
      <c r="K182" s="2" t="s">
        <v>30</v>
      </c>
      <c r="L182" s="2" t="s">
        <v>377</v>
      </c>
      <c r="M182" s="2" t="s">
        <v>31</v>
      </c>
      <c r="N182" s="2" t="s">
        <v>525</v>
      </c>
      <c r="O182" s="2" t="s">
        <v>173</v>
      </c>
      <c r="P182" s="2" t="s">
        <v>2052</v>
      </c>
      <c r="Q182" s="2" t="s">
        <v>462</v>
      </c>
      <c r="R182" s="2" t="s">
        <v>456</v>
      </c>
      <c r="S182" s="2" t="s">
        <v>34</v>
      </c>
      <c r="T182" s="156">
        <v>3.5009999999999999</v>
      </c>
      <c r="U182" s="2" t="s">
        <v>2350</v>
      </c>
      <c r="V182" s="170">
        <v>2.1999999999999999E-2</v>
      </c>
      <c r="W182" s="172">
        <v>3.0370000000000001E-2</v>
      </c>
      <c r="X182" s="4" t="s">
        <v>461</v>
      </c>
      <c r="Y182" s="4" t="s">
        <v>173</v>
      </c>
      <c r="Z182" s="156">
        <v>116000.02</v>
      </c>
      <c r="AA182" s="166">
        <v>1</v>
      </c>
      <c r="AB182" s="183">
        <v>103.8</v>
      </c>
      <c r="AD182" s="156">
        <v>120.408</v>
      </c>
      <c r="AG182" s="2" t="s">
        <v>36</v>
      </c>
      <c r="AH182" s="172">
        <v>1.8100000000000001E-4</v>
      </c>
      <c r="AI182" s="172">
        <v>1.0943561589352601E-2</v>
      </c>
      <c r="AJ182" s="172">
        <v>1.8155945008347899E-3</v>
      </c>
    </row>
    <row r="183" spans="1:36">
      <c r="A183" s="2">
        <v>161</v>
      </c>
      <c r="B183" s="2">
        <v>9938</v>
      </c>
      <c r="C183" s="2" t="s">
        <v>2401</v>
      </c>
      <c r="D183" s="2" t="s">
        <v>2402</v>
      </c>
      <c r="E183" s="4" t="s">
        <v>1363</v>
      </c>
      <c r="F183" s="2" t="s">
        <v>2403</v>
      </c>
      <c r="G183" s="2" t="s">
        <v>2404</v>
      </c>
      <c r="H183" s="2" t="s">
        <v>223</v>
      </c>
      <c r="I183" s="2" t="s">
        <v>1013</v>
      </c>
      <c r="J183" s="2" t="s">
        <v>30</v>
      </c>
      <c r="K183" s="2" t="s">
        <v>30</v>
      </c>
      <c r="L183" s="2" t="s">
        <v>377</v>
      </c>
      <c r="M183" s="2" t="s">
        <v>31</v>
      </c>
      <c r="N183" s="2" t="s">
        <v>511</v>
      </c>
      <c r="O183" s="2" t="s">
        <v>173</v>
      </c>
      <c r="P183" s="2" t="s">
        <v>2041</v>
      </c>
      <c r="Q183" s="2" t="s">
        <v>464</v>
      </c>
      <c r="R183" s="2" t="s">
        <v>456</v>
      </c>
      <c r="S183" s="2" t="s">
        <v>34</v>
      </c>
      <c r="T183" s="156">
        <v>2.726</v>
      </c>
      <c r="U183" s="2" t="s">
        <v>2405</v>
      </c>
      <c r="V183" s="170">
        <v>4.1000000000000002E-2</v>
      </c>
      <c r="W183" s="172">
        <v>6.3700000000000007E-2</v>
      </c>
      <c r="X183" s="4" t="s">
        <v>461</v>
      </c>
      <c r="Y183" s="4" t="s">
        <v>173</v>
      </c>
      <c r="Z183" s="156">
        <v>0.11</v>
      </c>
      <c r="AA183" s="166">
        <v>1</v>
      </c>
      <c r="AB183" s="183">
        <v>95.92</v>
      </c>
      <c r="AD183" s="156">
        <v>0</v>
      </c>
      <c r="AG183" s="2" t="s">
        <v>36</v>
      </c>
      <c r="AH183" s="172">
        <v>0</v>
      </c>
      <c r="AI183" s="172">
        <v>9.5897022733834004E-9</v>
      </c>
      <c r="AJ183" s="172">
        <v>1.5909821103522302E-9</v>
      </c>
    </row>
    <row r="184" spans="1:36">
      <c r="A184" s="2">
        <v>161</v>
      </c>
      <c r="B184" s="2">
        <v>9938</v>
      </c>
      <c r="C184" s="2" t="s">
        <v>2351</v>
      </c>
      <c r="D184" s="2" t="s">
        <v>2352</v>
      </c>
      <c r="E184" s="4" t="s">
        <v>1363</v>
      </c>
      <c r="F184" s="2" t="s">
        <v>2353</v>
      </c>
      <c r="G184" s="2" t="s">
        <v>2354</v>
      </c>
      <c r="H184" s="2" t="s">
        <v>223</v>
      </c>
      <c r="I184" s="2" t="s">
        <v>805</v>
      </c>
      <c r="J184" s="2" t="s">
        <v>30</v>
      </c>
      <c r="K184" s="2" t="s">
        <v>30</v>
      </c>
      <c r="L184" s="2" t="s">
        <v>377</v>
      </c>
      <c r="M184" s="2" t="s">
        <v>31</v>
      </c>
      <c r="N184" s="2" t="s">
        <v>501</v>
      </c>
      <c r="O184" s="2" t="s">
        <v>173</v>
      </c>
      <c r="P184" s="2" t="s">
        <v>2061</v>
      </c>
      <c r="Q184" s="2" t="s">
        <v>464</v>
      </c>
      <c r="R184" s="2" t="s">
        <v>456</v>
      </c>
      <c r="S184" s="2" t="s">
        <v>34</v>
      </c>
      <c r="T184" s="156">
        <v>3.129</v>
      </c>
      <c r="U184" s="2" t="s">
        <v>2355</v>
      </c>
      <c r="V184" s="170">
        <v>4.6899999999999997E-2</v>
      </c>
      <c r="W184" s="172">
        <v>7.5190000000000007E-2</v>
      </c>
      <c r="X184" s="4" t="s">
        <v>461</v>
      </c>
      <c r="Y184" s="4" t="s">
        <v>173</v>
      </c>
      <c r="Z184" s="156">
        <v>182443.74</v>
      </c>
      <c r="AA184" s="166">
        <v>1</v>
      </c>
      <c r="AB184" s="183">
        <v>99.56</v>
      </c>
      <c r="AD184" s="156">
        <v>181.64099999999999</v>
      </c>
      <c r="AG184" s="2" t="s">
        <v>36</v>
      </c>
      <c r="AH184" s="172">
        <v>1.5899999999999999E-4</v>
      </c>
      <c r="AI184" s="172">
        <v>1.6508861467798001E-2</v>
      </c>
      <c r="AJ184" s="172">
        <v>2.73890705975829E-3</v>
      </c>
    </row>
    <row r="185" spans="1:36">
      <c r="A185" s="2">
        <v>161</v>
      </c>
      <c r="B185" s="2">
        <v>9938</v>
      </c>
      <c r="C185" s="2" t="s">
        <v>1222</v>
      </c>
      <c r="D185" s="2" t="s">
        <v>1618</v>
      </c>
      <c r="E185" s="4" t="s">
        <v>1363</v>
      </c>
      <c r="F185" s="2" t="s">
        <v>2356</v>
      </c>
      <c r="G185" s="2" t="s">
        <v>2357</v>
      </c>
      <c r="H185" s="2" t="s">
        <v>223</v>
      </c>
      <c r="I185" s="2" t="s">
        <v>805</v>
      </c>
      <c r="J185" s="2" t="s">
        <v>30</v>
      </c>
      <c r="K185" s="2" t="s">
        <v>30</v>
      </c>
      <c r="L185" s="2" t="s">
        <v>377</v>
      </c>
      <c r="M185" s="2" t="s">
        <v>55</v>
      </c>
      <c r="N185" s="2" t="s">
        <v>584</v>
      </c>
      <c r="O185" s="2" t="s">
        <v>173</v>
      </c>
      <c r="P185" s="2" t="s">
        <v>2358</v>
      </c>
      <c r="Q185" s="2" t="s">
        <v>480</v>
      </c>
      <c r="R185" s="2" t="s">
        <v>456</v>
      </c>
      <c r="S185" s="2" t="s">
        <v>95</v>
      </c>
      <c r="T185" s="156">
        <v>5.4939999999999998</v>
      </c>
      <c r="U185" s="2" t="s">
        <v>2359</v>
      </c>
      <c r="V185" s="170">
        <v>3.2750000000000001E-2</v>
      </c>
      <c r="W185" s="172">
        <v>6.0199999999999997E-2</v>
      </c>
      <c r="X185" s="4" t="s">
        <v>461</v>
      </c>
      <c r="Y185" s="4" t="s">
        <v>173</v>
      </c>
      <c r="Z185" s="156">
        <v>14000</v>
      </c>
      <c r="AA185" s="166">
        <v>3.71</v>
      </c>
      <c r="AB185" s="183">
        <v>95.418000000000006</v>
      </c>
      <c r="AD185" s="156">
        <v>49.56</v>
      </c>
      <c r="AG185" s="2" t="s">
        <v>36</v>
      </c>
      <c r="AH185" s="172">
        <v>1.9000000000000001E-5</v>
      </c>
      <c r="AI185" s="172">
        <v>4.50440081807091E-3</v>
      </c>
      <c r="AJ185" s="172">
        <v>7.4730381768967503E-4</v>
      </c>
    </row>
    <row r="186" spans="1:36">
      <c r="A186" s="2">
        <v>161</v>
      </c>
      <c r="B186" s="2">
        <v>9938</v>
      </c>
      <c r="C186" s="2" t="s">
        <v>1684</v>
      </c>
      <c r="D186" s="2" t="s">
        <v>1685</v>
      </c>
      <c r="E186" s="4" t="s">
        <v>1363</v>
      </c>
      <c r="F186" s="2" t="s">
        <v>2360</v>
      </c>
      <c r="G186" s="2" t="s">
        <v>2361</v>
      </c>
      <c r="H186" s="2" t="s">
        <v>223</v>
      </c>
      <c r="I186" s="2" t="s">
        <v>805</v>
      </c>
      <c r="J186" s="2" t="s">
        <v>90</v>
      </c>
      <c r="K186" s="2" t="s">
        <v>30</v>
      </c>
      <c r="L186" s="2" t="s">
        <v>377</v>
      </c>
      <c r="M186" s="2" t="s">
        <v>145</v>
      </c>
      <c r="N186" s="2" t="s">
        <v>584</v>
      </c>
      <c r="O186" s="2" t="s">
        <v>173</v>
      </c>
      <c r="P186" s="2" t="s">
        <v>2358</v>
      </c>
      <c r="Q186" s="2" t="s">
        <v>480</v>
      </c>
      <c r="R186" s="2" t="s">
        <v>456</v>
      </c>
      <c r="S186" s="2" t="s">
        <v>95</v>
      </c>
      <c r="T186" s="156">
        <v>5.6210000000000004</v>
      </c>
      <c r="U186" s="2" t="s">
        <v>2362</v>
      </c>
      <c r="V186" s="170">
        <v>3.0769999999999999E-2</v>
      </c>
      <c r="W186" s="172">
        <v>6.5729999999999997E-2</v>
      </c>
      <c r="X186" s="4" t="s">
        <v>461</v>
      </c>
      <c r="Y186" s="4" t="s">
        <v>173</v>
      </c>
      <c r="Z186" s="156">
        <v>14000</v>
      </c>
      <c r="AA186" s="166">
        <v>3.71</v>
      </c>
      <c r="AB186" s="183">
        <v>95.182000000000002</v>
      </c>
      <c r="AD186" s="156">
        <v>49.436999999999998</v>
      </c>
      <c r="AG186" s="2" t="s">
        <v>36</v>
      </c>
      <c r="AH186" s="172">
        <v>2.3E-5</v>
      </c>
      <c r="AI186" s="172">
        <v>4.49322877256893E-3</v>
      </c>
      <c r="AJ186" s="172">
        <v>7.4545031650444802E-4</v>
      </c>
    </row>
    <row r="187" spans="1:36">
      <c r="A187" s="2">
        <v>161</v>
      </c>
      <c r="B187" s="2">
        <v>9942</v>
      </c>
      <c r="C187" s="2" t="s">
        <v>2037</v>
      </c>
      <c r="D187" s="2" t="s">
        <v>2038</v>
      </c>
      <c r="E187" s="4" t="s">
        <v>1363</v>
      </c>
      <c r="F187" s="2" t="s">
        <v>2039</v>
      </c>
      <c r="G187" s="2" t="s">
        <v>2040</v>
      </c>
      <c r="H187" s="2" t="s">
        <v>223</v>
      </c>
      <c r="I187" s="2" t="s">
        <v>804</v>
      </c>
      <c r="J187" s="2" t="s">
        <v>30</v>
      </c>
      <c r="K187" s="2" t="s">
        <v>30</v>
      </c>
      <c r="L187" s="2" t="s">
        <v>377</v>
      </c>
      <c r="M187" s="2" t="s">
        <v>31</v>
      </c>
      <c r="N187" s="2" t="s">
        <v>487</v>
      </c>
      <c r="O187" s="2" t="s">
        <v>173</v>
      </c>
      <c r="P187" s="2" t="s">
        <v>2041</v>
      </c>
      <c r="Q187" s="2" t="s">
        <v>462</v>
      </c>
      <c r="R187" s="2" t="s">
        <v>456</v>
      </c>
      <c r="S187" s="2" t="s">
        <v>34</v>
      </c>
      <c r="T187" s="156">
        <v>2.9049999999999998</v>
      </c>
      <c r="U187" s="2" t="s">
        <v>2042</v>
      </c>
      <c r="V187" s="170">
        <v>2.75E-2</v>
      </c>
      <c r="W187" s="172">
        <v>3.1E-2</v>
      </c>
      <c r="X187" s="4" t="s">
        <v>461</v>
      </c>
      <c r="Y187" s="4" t="s">
        <v>173</v>
      </c>
      <c r="Z187" s="156">
        <v>0.55000000000000004</v>
      </c>
      <c r="AA187" s="166">
        <v>1</v>
      </c>
      <c r="AB187" s="183">
        <v>113.65</v>
      </c>
      <c r="AD187" s="156">
        <v>1E-3</v>
      </c>
      <c r="AG187" s="2" t="s">
        <v>36</v>
      </c>
      <c r="AH187" s="172">
        <v>0</v>
      </c>
      <c r="AI187" s="172">
        <v>4.0094822052050498E-8</v>
      </c>
      <c r="AJ187" s="172">
        <v>6.8200501335900307E-9</v>
      </c>
    </row>
    <row r="188" spans="1:36">
      <c r="A188" s="2">
        <v>161</v>
      </c>
      <c r="B188" s="2">
        <v>9942</v>
      </c>
      <c r="C188" s="2" t="s">
        <v>2043</v>
      </c>
      <c r="D188" s="2" t="s">
        <v>2044</v>
      </c>
      <c r="E188" s="4" t="s">
        <v>1363</v>
      </c>
      <c r="F188" s="2" t="s">
        <v>2045</v>
      </c>
      <c r="G188" s="2" t="s">
        <v>2046</v>
      </c>
      <c r="H188" s="2" t="s">
        <v>223</v>
      </c>
      <c r="I188" s="2" t="s">
        <v>1013</v>
      </c>
      <c r="J188" s="2" t="s">
        <v>30</v>
      </c>
      <c r="K188" s="2" t="s">
        <v>30</v>
      </c>
      <c r="L188" s="2" t="s">
        <v>379</v>
      </c>
      <c r="M188" s="2" t="s">
        <v>55</v>
      </c>
      <c r="N188" s="2" t="s">
        <v>494</v>
      </c>
      <c r="O188" s="2" t="s">
        <v>173</v>
      </c>
      <c r="P188" s="2" t="s">
        <v>225</v>
      </c>
      <c r="Q188" s="2" t="s">
        <v>226</v>
      </c>
      <c r="R188" s="2" t="s">
        <v>226</v>
      </c>
      <c r="S188" s="2" t="s">
        <v>34</v>
      </c>
      <c r="T188" s="156">
        <v>2.86</v>
      </c>
      <c r="U188" s="2" t="s">
        <v>2047</v>
      </c>
      <c r="V188" s="170">
        <v>0.08</v>
      </c>
      <c r="W188" s="172">
        <v>6.2579999999999997E-2</v>
      </c>
      <c r="X188" s="4" t="s">
        <v>461</v>
      </c>
      <c r="Y188" s="4" t="s">
        <v>173</v>
      </c>
      <c r="Z188" s="156">
        <v>260000</v>
      </c>
      <c r="AA188" s="166">
        <v>1</v>
      </c>
      <c r="AB188" s="183">
        <v>107.08</v>
      </c>
      <c r="AD188" s="156">
        <v>278.40800000000002</v>
      </c>
      <c r="AG188" s="2" t="s">
        <v>36</v>
      </c>
      <c r="AH188" s="172">
        <v>0</v>
      </c>
      <c r="AI188" s="172">
        <v>1.7858207763656E-2</v>
      </c>
      <c r="AJ188" s="172">
        <v>3.0376459106387799E-3</v>
      </c>
    </row>
    <row r="189" spans="1:36">
      <c r="A189" s="2">
        <v>161</v>
      </c>
      <c r="B189" s="2">
        <v>9942</v>
      </c>
      <c r="C189" s="2" t="s">
        <v>2048</v>
      </c>
      <c r="D189" s="2" t="s">
        <v>2049</v>
      </c>
      <c r="E189" s="4" t="s">
        <v>1363</v>
      </c>
      <c r="F189" s="2" t="s">
        <v>2050</v>
      </c>
      <c r="G189" s="2" t="s">
        <v>2051</v>
      </c>
      <c r="H189" s="2" t="s">
        <v>223</v>
      </c>
      <c r="I189" s="2" t="s">
        <v>804</v>
      </c>
      <c r="J189" s="2" t="s">
        <v>30</v>
      </c>
      <c r="K189" s="2" t="s">
        <v>30</v>
      </c>
      <c r="L189" s="2" t="s">
        <v>377</v>
      </c>
      <c r="M189" s="2" t="s">
        <v>31</v>
      </c>
      <c r="N189" s="2" t="s">
        <v>511</v>
      </c>
      <c r="O189" s="2" t="s">
        <v>173</v>
      </c>
      <c r="P189" s="2" t="s">
        <v>2052</v>
      </c>
      <c r="Q189" s="2" t="s">
        <v>462</v>
      </c>
      <c r="R189" s="2" t="s">
        <v>456</v>
      </c>
      <c r="S189" s="2" t="s">
        <v>34</v>
      </c>
      <c r="T189" s="156">
        <v>2.012</v>
      </c>
      <c r="U189" s="2" t="s">
        <v>2053</v>
      </c>
      <c r="V189" s="170">
        <v>2.3400000000000001E-2</v>
      </c>
      <c r="W189" s="172">
        <v>2.664E-2</v>
      </c>
      <c r="X189" s="4" t="s">
        <v>461</v>
      </c>
      <c r="Y189" s="4" t="s">
        <v>173</v>
      </c>
      <c r="Z189" s="156">
        <v>423013.18</v>
      </c>
      <c r="AA189" s="166">
        <v>1</v>
      </c>
      <c r="AB189" s="183">
        <v>115.87</v>
      </c>
      <c r="AD189" s="156">
        <v>490.14499999999998</v>
      </c>
      <c r="AG189" s="2" t="s">
        <v>36</v>
      </c>
      <c r="AH189" s="172">
        <v>2.0100000000000001E-4</v>
      </c>
      <c r="AI189" s="172">
        <v>3.1439893543309901E-2</v>
      </c>
      <c r="AJ189" s="172">
        <v>5.3478638683505803E-3</v>
      </c>
    </row>
    <row r="190" spans="1:36">
      <c r="A190" s="2">
        <v>161</v>
      </c>
      <c r="B190" s="2">
        <v>9942</v>
      </c>
      <c r="C190" s="2" t="s">
        <v>2048</v>
      </c>
      <c r="D190" s="2" t="s">
        <v>2049</v>
      </c>
      <c r="E190" s="4" t="s">
        <v>1363</v>
      </c>
      <c r="F190" s="2" t="s">
        <v>2054</v>
      </c>
      <c r="G190" s="2" t="s">
        <v>2055</v>
      </c>
      <c r="H190" s="2" t="s">
        <v>223</v>
      </c>
      <c r="I190" s="2" t="s">
        <v>1013</v>
      </c>
      <c r="J190" s="2" t="s">
        <v>30</v>
      </c>
      <c r="K190" s="2" t="s">
        <v>30</v>
      </c>
      <c r="L190" s="2" t="s">
        <v>377</v>
      </c>
      <c r="M190" s="2" t="s">
        <v>31</v>
      </c>
      <c r="N190" s="2" t="s">
        <v>511</v>
      </c>
      <c r="O190" s="2" t="s">
        <v>173</v>
      </c>
      <c r="P190" s="2" t="s">
        <v>2052</v>
      </c>
      <c r="Q190" s="2" t="s">
        <v>462</v>
      </c>
      <c r="R190" s="2" t="s">
        <v>456</v>
      </c>
      <c r="S190" s="2" t="s">
        <v>34</v>
      </c>
      <c r="T190" s="156">
        <v>2.681</v>
      </c>
      <c r="U190" s="2" t="s">
        <v>2056</v>
      </c>
      <c r="V190" s="170">
        <v>0.05</v>
      </c>
      <c r="W190" s="172">
        <v>5.5370000000000003E-2</v>
      </c>
      <c r="X190" s="4" t="s">
        <v>461</v>
      </c>
      <c r="Y190" s="4" t="s">
        <v>173</v>
      </c>
      <c r="Z190" s="156">
        <v>180000</v>
      </c>
      <c r="AA190" s="166">
        <v>1</v>
      </c>
      <c r="AB190" s="183">
        <v>100.87</v>
      </c>
      <c r="AD190" s="156">
        <v>181.566</v>
      </c>
      <c r="AG190" s="2" t="s">
        <v>36</v>
      </c>
      <c r="AH190" s="172">
        <v>4.4999999999999999E-4</v>
      </c>
      <c r="AI190" s="172">
        <v>1.16463727723915E-2</v>
      </c>
      <c r="AJ190" s="172">
        <v>1.9810250330846799E-3</v>
      </c>
    </row>
    <row r="191" spans="1:36">
      <c r="A191" s="2">
        <v>161</v>
      </c>
      <c r="B191" s="2">
        <v>9942</v>
      </c>
      <c r="C191" s="2" t="s">
        <v>2057</v>
      </c>
      <c r="D191" s="2" t="s">
        <v>2058</v>
      </c>
      <c r="E191" s="4" t="s">
        <v>1363</v>
      </c>
      <c r="F191" s="2" t="s">
        <v>2063</v>
      </c>
      <c r="G191" s="2" t="s">
        <v>2064</v>
      </c>
      <c r="H191" s="2" t="s">
        <v>223</v>
      </c>
      <c r="I191" s="2" t="s">
        <v>804</v>
      </c>
      <c r="J191" s="2" t="s">
        <v>30</v>
      </c>
      <c r="K191" s="2" t="s">
        <v>30</v>
      </c>
      <c r="L191" s="2" t="s">
        <v>377</v>
      </c>
      <c r="M191" s="2" t="s">
        <v>31</v>
      </c>
      <c r="N191" s="2" t="s">
        <v>525</v>
      </c>
      <c r="O191" s="2" t="s">
        <v>173</v>
      </c>
      <c r="P191" s="2" t="s">
        <v>2061</v>
      </c>
      <c r="Q191" s="2" t="s">
        <v>462</v>
      </c>
      <c r="R191" s="2" t="s">
        <v>456</v>
      </c>
      <c r="S191" s="2" t="s">
        <v>34</v>
      </c>
      <c r="T191" s="156">
        <v>1.802</v>
      </c>
      <c r="U191" s="2" t="s">
        <v>2065</v>
      </c>
      <c r="V191" s="170">
        <v>3.2000000000000001E-2</v>
      </c>
      <c r="W191" s="172">
        <v>3.1350000000000003E-2</v>
      </c>
      <c r="X191" s="4" t="s">
        <v>461</v>
      </c>
      <c r="Y191" s="4" t="s">
        <v>173</v>
      </c>
      <c r="Z191" s="156">
        <v>62250</v>
      </c>
      <c r="AA191" s="166">
        <v>1</v>
      </c>
      <c r="AB191" s="183">
        <v>107.71</v>
      </c>
      <c r="AD191" s="156">
        <v>67.049000000000007</v>
      </c>
      <c r="AG191" s="2" t="s">
        <v>36</v>
      </c>
      <c r="AH191" s="172">
        <v>7.6000000000000004E-5</v>
      </c>
      <c r="AI191" s="172">
        <v>4.3008227313656904E-3</v>
      </c>
      <c r="AJ191" s="172">
        <v>7.3156146211397299E-4</v>
      </c>
    </row>
    <row r="192" spans="1:36">
      <c r="A192" s="2">
        <v>161</v>
      </c>
      <c r="B192" s="2">
        <v>9942</v>
      </c>
      <c r="C192" s="2" t="s">
        <v>2057</v>
      </c>
      <c r="D192" s="2" t="s">
        <v>2058</v>
      </c>
      <c r="E192" s="4" t="s">
        <v>1363</v>
      </c>
      <c r="F192" s="2" t="s">
        <v>2066</v>
      </c>
      <c r="G192" s="2" t="s">
        <v>2067</v>
      </c>
      <c r="H192" s="2" t="s">
        <v>223</v>
      </c>
      <c r="I192" s="2" t="s">
        <v>1013</v>
      </c>
      <c r="J192" s="2" t="s">
        <v>30</v>
      </c>
      <c r="K192" s="2" t="s">
        <v>30</v>
      </c>
      <c r="L192" s="2" t="s">
        <v>377</v>
      </c>
      <c r="M192" s="2" t="s">
        <v>31</v>
      </c>
      <c r="N192" s="2" t="s">
        <v>525</v>
      </c>
      <c r="O192" s="2" t="s">
        <v>173</v>
      </c>
      <c r="P192" s="2" t="s">
        <v>2061</v>
      </c>
      <c r="Q192" s="2" t="s">
        <v>462</v>
      </c>
      <c r="R192" s="2" t="s">
        <v>456</v>
      </c>
      <c r="S192" s="2" t="s">
        <v>34</v>
      </c>
      <c r="T192" s="156">
        <v>1.84</v>
      </c>
      <c r="U192" s="2" t="s">
        <v>2068</v>
      </c>
      <c r="V192" s="170">
        <v>5.7000000000000002E-2</v>
      </c>
      <c r="W192" s="172">
        <v>6.1760000000000002E-2</v>
      </c>
      <c r="X192" s="4" t="s">
        <v>461</v>
      </c>
      <c r="Y192" s="4" t="s">
        <v>173</v>
      </c>
      <c r="Z192" s="156">
        <v>61500</v>
      </c>
      <c r="AA192" s="166">
        <v>1</v>
      </c>
      <c r="AB192" s="183">
        <v>99.56</v>
      </c>
      <c r="AD192" s="156">
        <v>61.228999999999999</v>
      </c>
      <c r="AG192" s="2" t="s">
        <v>36</v>
      </c>
      <c r="AH192" s="172">
        <v>6.2000000000000003E-5</v>
      </c>
      <c r="AI192" s="172">
        <v>3.9274997357978203E-3</v>
      </c>
      <c r="AJ192" s="172">
        <v>6.6805995704457503E-4</v>
      </c>
    </row>
    <row r="193" spans="1:36">
      <c r="A193" s="2">
        <v>161</v>
      </c>
      <c r="B193" s="2">
        <v>9942</v>
      </c>
      <c r="C193" s="2" t="s">
        <v>2069</v>
      </c>
      <c r="D193" s="2" t="s">
        <v>2070</v>
      </c>
      <c r="E193" s="4" t="s">
        <v>1363</v>
      </c>
      <c r="F193" s="2" t="s">
        <v>2071</v>
      </c>
      <c r="G193" s="2" t="s">
        <v>2072</v>
      </c>
      <c r="H193" s="2" t="s">
        <v>223</v>
      </c>
      <c r="I193" s="2" t="s">
        <v>804</v>
      </c>
      <c r="J193" s="2" t="s">
        <v>30</v>
      </c>
      <c r="K193" s="2" t="s">
        <v>30</v>
      </c>
      <c r="L193" s="2" t="s">
        <v>377</v>
      </c>
      <c r="M193" s="2" t="s">
        <v>31</v>
      </c>
      <c r="N193" s="2" t="s">
        <v>525</v>
      </c>
      <c r="O193" s="2" t="s">
        <v>173</v>
      </c>
      <c r="P193" s="2" t="s">
        <v>2061</v>
      </c>
      <c r="Q193" s="2" t="s">
        <v>462</v>
      </c>
      <c r="R193" s="2" t="s">
        <v>456</v>
      </c>
      <c r="S193" s="2" t="s">
        <v>34</v>
      </c>
      <c r="T193" s="156">
        <v>2.8780000000000001</v>
      </c>
      <c r="U193" s="2" t="s">
        <v>2073</v>
      </c>
      <c r="V193" s="170">
        <v>3.2300000000000002E-2</v>
      </c>
      <c r="W193" s="172">
        <v>3.0870000000000002E-2</v>
      </c>
      <c r="X193" s="4" t="s">
        <v>461</v>
      </c>
      <c r="Y193" s="4" t="s">
        <v>173</v>
      </c>
      <c r="Z193" s="156">
        <v>72240</v>
      </c>
      <c r="AA193" s="166">
        <v>1</v>
      </c>
      <c r="AB193" s="183">
        <v>107.46</v>
      </c>
      <c r="AD193" s="156">
        <v>77.629000000000005</v>
      </c>
      <c r="AG193" s="2" t="s">
        <v>36</v>
      </c>
      <c r="AH193" s="172">
        <v>1.22E-4</v>
      </c>
      <c r="AI193" s="172">
        <v>4.97944264438687E-3</v>
      </c>
      <c r="AJ193" s="172">
        <v>8.4699337056461197E-4</v>
      </c>
    </row>
    <row r="194" spans="1:36">
      <c r="A194" s="2">
        <v>161</v>
      </c>
      <c r="B194" s="2">
        <v>9942</v>
      </c>
      <c r="C194" s="2" t="s">
        <v>1632</v>
      </c>
      <c r="D194" s="2" t="s">
        <v>1633</v>
      </c>
      <c r="E194" s="4" t="s">
        <v>1363</v>
      </c>
      <c r="F194" s="2" t="s">
        <v>2074</v>
      </c>
      <c r="G194" s="2" t="s">
        <v>2075</v>
      </c>
      <c r="H194" s="2" t="s">
        <v>223</v>
      </c>
      <c r="I194" s="2" t="s">
        <v>804</v>
      </c>
      <c r="J194" s="2" t="s">
        <v>30</v>
      </c>
      <c r="K194" s="2" t="s">
        <v>30</v>
      </c>
      <c r="L194" s="2" t="s">
        <v>377</v>
      </c>
      <c r="M194" s="2" t="s">
        <v>31</v>
      </c>
      <c r="N194" s="2" t="s">
        <v>511</v>
      </c>
      <c r="O194" s="2" t="s">
        <v>173</v>
      </c>
      <c r="P194" s="2" t="s">
        <v>1374</v>
      </c>
      <c r="Q194" s="2" t="s">
        <v>462</v>
      </c>
      <c r="R194" s="2" t="s">
        <v>456</v>
      </c>
      <c r="S194" s="2" t="s">
        <v>34</v>
      </c>
      <c r="T194" s="156">
        <v>6.9109999999999996</v>
      </c>
      <c r="U194" s="2" t="s">
        <v>2076</v>
      </c>
      <c r="V194" s="170">
        <v>2.5600000000000001E-2</v>
      </c>
      <c r="W194" s="172">
        <v>4.2349999999999999E-2</v>
      </c>
      <c r="X194" s="4" t="s">
        <v>461</v>
      </c>
      <c r="Y194" s="4" t="s">
        <v>173</v>
      </c>
      <c r="Z194" s="156">
        <v>180000</v>
      </c>
      <c r="AA194" s="166">
        <v>1</v>
      </c>
      <c r="AB194" s="183">
        <v>97.49</v>
      </c>
      <c r="AD194" s="156">
        <v>175.482</v>
      </c>
      <c r="AG194" s="2" t="s">
        <v>36</v>
      </c>
      <c r="AH194" s="172">
        <v>1.7100000000000001E-4</v>
      </c>
      <c r="AI194" s="172">
        <v>1.1256120566872699E-2</v>
      </c>
      <c r="AJ194" s="172">
        <v>1.9146439027999001E-3</v>
      </c>
    </row>
    <row r="195" spans="1:36">
      <c r="A195" s="2">
        <v>161</v>
      </c>
      <c r="B195" s="2">
        <v>9942</v>
      </c>
      <c r="C195" s="2" t="s">
        <v>1632</v>
      </c>
      <c r="D195" s="2" t="s">
        <v>1633</v>
      </c>
      <c r="E195" s="4" t="s">
        <v>1363</v>
      </c>
      <c r="F195" s="2" t="s">
        <v>2077</v>
      </c>
      <c r="G195" s="2" t="s">
        <v>2078</v>
      </c>
      <c r="H195" s="2" t="s">
        <v>223</v>
      </c>
      <c r="I195" s="2" t="s">
        <v>1013</v>
      </c>
      <c r="J195" s="2" t="s">
        <v>30</v>
      </c>
      <c r="K195" s="2" t="s">
        <v>30</v>
      </c>
      <c r="L195" s="2" t="s">
        <v>377</v>
      </c>
      <c r="M195" s="2" t="s">
        <v>31</v>
      </c>
      <c r="N195" s="2" t="s">
        <v>511</v>
      </c>
      <c r="O195" s="2" t="s">
        <v>173</v>
      </c>
      <c r="P195" s="2" t="s">
        <v>1374</v>
      </c>
      <c r="Q195" s="2" t="s">
        <v>462</v>
      </c>
      <c r="R195" s="2" t="s">
        <v>456</v>
      </c>
      <c r="S195" s="2" t="s">
        <v>34</v>
      </c>
      <c r="T195" s="156">
        <v>3.9049999999999998</v>
      </c>
      <c r="U195" s="2" t="s">
        <v>2079</v>
      </c>
      <c r="V195" s="170">
        <v>2.41E-2</v>
      </c>
      <c r="W195" s="172">
        <v>6.3320000000000001E-2</v>
      </c>
      <c r="X195" s="4" t="s">
        <v>461</v>
      </c>
      <c r="Y195" s="4" t="s">
        <v>173</v>
      </c>
      <c r="Z195" s="156">
        <v>200000</v>
      </c>
      <c r="AA195" s="166">
        <v>1</v>
      </c>
      <c r="AB195" s="183">
        <v>86.08</v>
      </c>
      <c r="AD195" s="156">
        <v>172.16</v>
      </c>
      <c r="AG195" s="2" t="s">
        <v>36</v>
      </c>
      <c r="AH195" s="172">
        <v>9.7E-5</v>
      </c>
      <c r="AI195" s="172">
        <v>1.1043034139072899E-2</v>
      </c>
      <c r="AJ195" s="172">
        <v>1.87839832179956E-3</v>
      </c>
    </row>
    <row r="196" spans="1:36">
      <c r="A196" s="2">
        <v>161</v>
      </c>
      <c r="B196" s="2">
        <v>9942</v>
      </c>
      <c r="C196" s="2" t="s">
        <v>2080</v>
      </c>
      <c r="D196" s="2" t="s">
        <v>2081</v>
      </c>
      <c r="E196" s="4" t="s">
        <v>1363</v>
      </c>
      <c r="F196" s="2" t="s">
        <v>2082</v>
      </c>
      <c r="G196" s="2" t="s">
        <v>2083</v>
      </c>
      <c r="H196" s="2" t="s">
        <v>223</v>
      </c>
      <c r="I196" s="2" t="s">
        <v>1013</v>
      </c>
      <c r="J196" s="2" t="s">
        <v>30</v>
      </c>
      <c r="K196" s="2" t="s">
        <v>30</v>
      </c>
      <c r="L196" s="2" t="s">
        <v>377</v>
      </c>
      <c r="M196" s="2" t="s">
        <v>31</v>
      </c>
      <c r="N196" s="2" t="s">
        <v>498</v>
      </c>
      <c r="O196" s="2" t="s">
        <v>173</v>
      </c>
      <c r="P196" s="2" t="s">
        <v>2061</v>
      </c>
      <c r="Q196" s="2" t="s">
        <v>462</v>
      </c>
      <c r="R196" s="2" t="s">
        <v>456</v>
      </c>
      <c r="S196" s="2" t="s">
        <v>34</v>
      </c>
      <c r="T196" s="156">
        <v>2.2240000000000002</v>
      </c>
      <c r="U196" s="2" t="s">
        <v>2084</v>
      </c>
      <c r="V196" s="170">
        <v>0.04</v>
      </c>
      <c r="W196" s="172">
        <v>5.774E-2</v>
      </c>
      <c r="X196" s="4" t="s">
        <v>461</v>
      </c>
      <c r="Y196" s="4" t="s">
        <v>173</v>
      </c>
      <c r="Z196" s="156">
        <v>268750.01</v>
      </c>
      <c r="AA196" s="166">
        <v>1</v>
      </c>
      <c r="AB196" s="183">
        <v>96.04</v>
      </c>
      <c r="AD196" s="156">
        <v>258.108</v>
      </c>
      <c r="AG196" s="2" t="s">
        <v>36</v>
      </c>
      <c r="AH196" s="172">
        <v>3.97E-4</v>
      </c>
      <c r="AI196" s="172">
        <v>1.6556052742263402E-2</v>
      </c>
      <c r="AJ196" s="172">
        <v>2.8161519103393198E-3</v>
      </c>
    </row>
    <row r="197" spans="1:36">
      <c r="A197" s="2">
        <v>161</v>
      </c>
      <c r="B197" s="2">
        <v>9942</v>
      </c>
      <c r="C197" s="2" t="s">
        <v>1636</v>
      </c>
      <c r="D197" s="2" t="s">
        <v>1637</v>
      </c>
      <c r="E197" s="4" t="s">
        <v>1363</v>
      </c>
      <c r="F197" s="2" t="s">
        <v>2088</v>
      </c>
      <c r="G197" s="2" t="s">
        <v>2089</v>
      </c>
      <c r="H197" s="2" t="s">
        <v>223</v>
      </c>
      <c r="I197" s="2" t="s">
        <v>1013</v>
      </c>
      <c r="J197" s="2" t="s">
        <v>30</v>
      </c>
      <c r="K197" s="2" t="s">
        <v>30</v>
      </c>
      <c r="L197" s="2" t="s">
        <v>377</v>
      </c>
      <c r="M197" s="2" t="s">
        <v>31</v>
      </c>
      <c r="N197" s="2" t="s">
        <v>511</v>
      </c>
      <c r="O197" s="2" t="s">
        <v>173</v>
      </c>
      <c r="P197" s="2" t="s">
        <v>2052</v>
      </c>
      <c r="Q197" s="2" t="s">
        <v>462</v>
      </c>
      <c r="R197" s="2" t="s">
        <v>456</v>
      </c>
      <c r="S197" s="2" t="s">
        <v>34</v>
      </c>
      <c r="T197" s="156">
        <v>5.2549999999999999</v>
      </c>
      <c r="U197" s="2" t="s">
        <v>2090</v>
      </c>
      <c r="V197" s="170">
        <v>2.4400000000000002E-2</v>
      </c>
      <c r="W197" s="172">
        <v>5.9060000000000001E-2</v>
      </c>
      <c r="X197" s="4" t="s">
        <v>461</v>
      </c>
      <c r="Y197" s="4" t="s">
        <v>173</v>
      </c>
      <c r="Z197" s="156">
        <v>200000</v>
      </c>
      <c r="AA197" s="166">
        <v>1</v>
      </c>
      <c r="AB197" s="183">
        <v>85.33</v>
      </c>
      <c r="AD197" s="156">
        <v>170.66</v>
      </c>
      <c r="AG197" s="2" t="s">
        <v>36</v>
      </c>
      <c r="AH197" s="172">
        <v>1.65E-4</v>
      </c>
      <c r="AI197" s="172">
        <v>1.09468181120712E-2</v>
      </c>
      <c r="AJ197" s="172">
        <v>1.8620321654177099E-3</v>
      </c>
    </row>
    <row r="198" spans="1:36">
      <c r="A198" s="2">
        <v>161</v>
      </c>
      <c r="B198" s="2">
        <v>9942</v>
      </c>
      <c r="C198" s="2" t="s">
        <v>1636</v>
      </c>
      <c r="D198" s="2" t="s">
        <v>1637</v>
      </c>
      <c r="E198" s="4" t="s">
        <v>1363</v>
      </c>
      <c r="F198" s="2" t="s">
        <v>2091</v>
      </c>
      <c r="G198" s="2" t="s">
        <v>2092</v>
      </c>
      <c r="H198" s="2" t="s">
        <v>223</v>
      </c>
      <c r="I198" s="2" t="s">
        <v>804</v>
      </c>
      <c r="J198" s="2" t="s">
        <v>30</v>
      </c>
      <c r="K198" s="2" t="s">
        <v>30</v>
      </c>
      <c r="L198" s="2" t="s">
        <v>377</v>
      </c>
      <c r="M198" s="2" t="s">
        <v>31</v>
      </c>
      <c r="N198" s="2" t="s">
        <v>511</v>
      </c>
      <c r="O198" s="2" t="s">
        <v>173</v>
      </c>
      <c r="P198" s="2" t="s">
        <v>2052</v>
      </c>
      <c r="Q198" s="2" t="s">
        <v>462</v>
      </c>
      <c r="R198" s="2" t="s">
        <v>456</v>
      </c>
      <c r="S198" s="2" t="s">
        <v>34</v>
      </c>
      <c r="T198" s="156">
        <v>5.5579999999999998</v>
      </c>
      <c r="U198" s="2" t="s">
        <v>2090</v>
      </c>
      <c r="V198" s="170">
        <v>9.1999999999999998E-3</v>
      </c>
      <c r="W198" s="172">
        <v>3.3070000000000002E-2</v>
      </c>
      <c r="X198" s="4" t="s">
        <v>461</v>
      </c>
      <c r="Y198" s="4" t="s">
        <v>173</v>
      </c>
      <c r="Z198" s="156">
        <v>260000</v>
      </c>
      <c r="AA198" s="166">
        <v>1</v>
      </c>
      <c r="AB198" s="183">
        <v>102.12</v>
      </c>
      <c r="AD198" s="156">
        <v>265.512</v>
      </c>
      <c r="AG198" s="2" t="s">
        <v>36</v>
      </c>
      <c r="AH198" s="172">
        <v>1.01E-4</v>
      </c>
      <c r="AI198" s="172">
        <v>1.7031006507513501E-2</v>
      </c>
      <c r="AJ198" s="172">
        <v>2.8969406088385501E-3</v>
      </c>
    </row>
    <row r="199" spans="1:36">
      <c r="A199" s="2">
        <v>161</v>
      </c>
      <c r="B199" s="2">
        <v>9942</v>
      </c>
      <c r="C199" s="2" t="s">
        <v>2093</v>
      </c>
      <c r="D199" s="2" t="s">
        <v>2094</v>
      </c>
      <c r="E199" s="4" t="s">
        <v>1363</v>
      </c>
      <c r="F199" s="2" t="s">
        <v>2095</v>
      </c>
      <c r="G199" s="2" t="s">
        <v>2096</v>
      </c>
      <c r="H199" s="2" t="s">
        <v>223</v>
      </c>
      <c r="I199" s="2" t="s">
        <v>1013</v>
      </c>
      <c r="J199" s="2" t="s">
        <v>30</v>
      </c>
      <c r="K199" s="2" t="s">
        <v>30</v>
      </c>
      <c r="L199" s="2" t="s">
        <v>377</v>
      </c>
      <c r="M199" s="2" t="s">
        <v>31</v>
      </c>
      <c r="N199" s="2" t="s">
        <v>511</v>
      </c>
      <c r="O199" s="2" t="s">
        <v>173</v>
      </c>
      <c r="P199" s="2" t="s">
        <v>225</v>
      </c>
      <c r="Q199" s="2" t="s">
        <v>226</v>
      </c>
      <c r="R199" s="2" t="s">
        <v>226</v>
      </c>
      <c r="S199" s="2" t="s">
        <v>34</v>
      </c>
      <c r="T199" s="156">
        <v>0.92200000000000004</v>
      </c>
      <c r="U199" s="2" t="s">
        <v>2097</v>
      </c>
      <c r="V199" s="170">
        <v>6.5000000000000002E-2</v>
      </c>
      <c r="W199" s="172">
        <v>8.6919999999999997E-2</v>
      </c>
      <c r="X199" s="4" t="s">
        <v>461</v>
      </c>
      <c r="Y199" s="4" t="s">
        <v>173</v>
      </c>
      <c r="Z199" s="156">
        <v>169108</v>
      </c>
      <c r="AA199" s="166">
        <v>1</v>
      </c>
      <c r="AB199" s="183">
        <v>100.1</v>
      </c>
      <c r="AD199" s="156">
        <v>169.27699999999999</v>
      </c>
      <c r="AG199" s="2" t="s">
        <v>36</v>
      </c>
      <c r="AH199" s="172">
        <v>1.539E-3</v>
      </c>
      <c r="AI199" s="172">
        <v>1.08581138627296E-2</v>
      </c>
      <c r="AJ199" s="172">
        <v>1.8469437475968999E-3</v>
      </c>
    </row>
    <row r="200" spans="1:36">
      <c r="A200" s="2">
        <v>161</v>
      </c>
      <c r="B200" s="2">
        <v>9942</v>
      </c>
      <c r="C200" s="2" t="s">
        <v>1640</v>
      </c>
      <c r="D200" s="2" t="s">
        <v>1641</v>
      </c>
      <c r="E200" s="4" t="s">
        <v>1363</v>
      </c>
      <c r="F200" s="2" t="s">
        <v>2098</v>
      </c>
      <c r="G200" s="2" t="s">
        <v>2099</v>
      </c>
      <c r="H200" s="2" t="s">
        <v>223</v>
      </c>
      <c r="I200" s="2" t="s">
        <v>1013</v>
      </c>
      <c r="J200" s="2" t="s">
        <v>30</v>
      </c>
      <c r="K200" s="2" t="s">
        <v>91</v>
      </c>
      <c r="L200" s="2" t="s">
        <v>377</v>
      </c>
      <c r="M200" s="2" t="s">
        <v>31</v>
      </c>
      <c r="N200" s="2" t="s">
        <v>488</v>
      </c>
      <c r="O200" s="2" t="s">
        <v>173</v>
      </c>
      <c r="P200" s="2" t="s">
        <v>2100</v>
      </c>
      <c r="Q200" s="2" t="s">
        <v>464</v>
      </c>
      <c r="R200" s="2" t="s">
        <v>456</v>
      </c>
      <c r="S200" s="2" t="s">
        <v>34</v>
      </c>
      <c r="T200" s="156">
        <v>1.736</v>
      </c>
      <c r="U200" s="2" t="s">
        <v>2101</v>
      </c>
      <c r="V200" s="170">
        <v>3.4500000000000003E-2</v>
      </c>
      <c r="W200" s="172">
        <v>5.7250000000000002E-2</v>
      </c>
      <c r="X200" s="4" t="s">
        <v>461</v>
      </c>
      <c r="Y200" s="4" t="s">
        <v>173</v>
      </c>
      <c r="Z200" s="156">
        <v>265882.34999999998</v>
      </c>
      <c r="AA200" s="166">
        <v>1</v>
      </c>
      <c r="AB200" s="183">
        <v>96.61</v>
      </c>
      <c r="AD200" s="156">
        <v>256.86900000000003</v>
      </c>
      <c r="AG200" s="2" t="s">
        <v>36</v>
      </c>
      <c r="AH200" s="172">
        <v>4.1399999999999998E-4</v>
      </c>
      <c r="AI200" s="172">
        <v>1.6476605804489002E-2</v>
      </c>
      <c r="AJ200" s="172">
        <v>2.8026381429536399E-3</v>
      </c>
    </row>
    <row r="201" spans="1:36">
      <c r="A201" s="2">
        <v>161</v>
      </c>
      <c r="B201" s="2">
        <v>9942</v>
      </c>
      <c r="C201" s="2" t="s">
        <v>1640</v>
      </c>
      <c r="D201" s="2" t="s">
        <v>1641</v>
      </c>
      <c r="E201" s="4" t="s">
        <v>1363</v>
      </c>
      <c r="F201" s="2" t="s">
        <v>2102</v>
      </c>
      <c r="G201" s="2" t="s">
        <v>2103</v>
      </c>
      <c r="H201" s="2" t="s">
        <v>223</v>
      </c>
      <c r="I201" s="2" t="s">
        <v>1013</v>
      </c>
      <c r="J201" s="2" t="s">
        <v>30</v>
      </c>
      <c r="K201" s="2" t="s">
        <v>91</v>
      </c>
      <c r="L201" s="2" t="s">
        <v>377</v>
      </c>
      <c r="M201" s="2" t="s">
        <v>31</v>
      </c>
      <c r="N201" s="2" t="s">
        <v>488</v>
      </c>
      <c r="O201" s="2" t="s">
        <v>173</v>
      </c>
      <c r="P201" s="2" t="s">
        <v>2100</v>
      </c>
      <c r="Q201" s="2" t="s">
        <v>464</v>
      </c>
      <c r="R201" s="2" t="s">
        <v>456</v>
      </c>
      <c r="S201" s="2" t="s">
        <v>34</v>
      </c>
      <c r="T201" s="156">
        <v>3.7589999999999999</v>
      </c>
      <c r="U201" s="2" t="s">
        <v>2104</v>
      </c>
      <c r="V201" s="170">
        <v>1.4999999999999999E-2</v>
      </c>
      <c r="W201" s="172">
        <v>5.9859999999999997E-2</v>
      </c>
      <c r="X201" s="4" t="s">
        <v>461</v>
      </c>
      <c r="Y201" s="4" t="s">
        <v>173</v>
      </c>
      <c r="Z201" s="156">
        <v>98000</v>
      </c>
      <c r="AA201" s="166">
        <v>1</v>
      </c>
      <c r="AB201" s="183">
        <v>85.02</v>
      </c>
      <c r="AD201" s="156">
        <v>83.32</v>
      </c>
      <c r="AG201" s="2" t="s">
        <v>36</v>
      </c>
      <c r="AH201" s="172">
        <v>2.5399999999999999E-4</v>
      </c>
      <c r="AI201" s="172">
        <v>5.3444539222461699E-3</v>
      </c>
      <c r="AJ201" s="172">
        <v>9.0908106884880703E-4</v>
      </c>
    </row>
    <row r="202" spans="1:36">
      <c r="A202" s="2">
        <v>161</v>
      </c>
      <c r="B202" s="2">
        <v>9942</v>
      </c>
      <c r="C202" s="2" t="s">
        <v>2105</v>
      </c>
      <c r="D202" s="2" t="s">
        <v>2106</v>
      </c>
      <c r="E202" s="4" t="s">
        <v>365</v>
      </c>
      <c r="F202" s="2" t="s">
        <v>2107</v>
      </c>
      <c r="G202" s="2" t="s">
        <v>2108</v>
      </c>
      <c r="H202" s="2" t="s">
        <v>223</v>
      </c>
      <c r="I202" s="2" t="s">
        <v>1013</v>
      </c>
      <c r="J202" s="2" t="s">
        <v>30</v>
      </c>
      <c r="K202" s="2" t="s">
        <v>30</v>
      </c>
      <c r="L202" s="2" t="s">
        <v>377</v>
      </c>
      <c r="M202" s="2" t="s">
        <v>31</v>
      </c>
      <c r="N202" s="2" t="s">
        <v>512</v>
      </c>
      <c r="O202" s="2" t="s">
        <v>173</v>
      </c>
      <c r="P202" s="2" t="s">
        <v>2041</v>
      </c>
      <c r="Q202" s="2" t="s">
        <v>464</v>
      </c>
      <c r="R202" s="2" t="s">
        <v>456</v>
      </c>
      <c r="S202" s="2" t="s">
        <v>34</v>
      </c>
      <c r="T202" s="156">
        <v>0.97099999999999997</v>
      </c>
      <c r="U202" s="2" t="s">
        <v>2109</v>
      </c>
      <c r="V202" s="170">
        <v>7.0000000000000007E-2</v>
      </c>
      <c r="W202" s="172">
        <v>7.2090000000000001E-2</v>
      </c>
      <c r="X202" s="4" t="s">
        <v>461</v>
      </c>
      <c r="Y202" s="4" t="s">
        <v>173</v>
      </c>
      <c r="Z202" s="156">
        <v>0.55000000000000004</v>
      </c>
      <c r="AA202" s="166">
        <v>1</v>
      </c>
      <c r="AB202" s="183">
        <v>99.95</v>
      </c>
      <c r="AD202" s="156">
        <v>1E-3</v>
      </c>
      <c r="AG202" s="2" t="s">
        <v>36</v>
      </c>
      <c r="AH202" s="172">
        <v>0</v>
      </c>
      <c r="AI202" s="172">
        <v>3.5261570295665999E-8</v>
      </c>
      <c r="AJ202" s="172">
        <v>5.9979235446750908E-9</v>
      </c>
    </row>
    <row r="203" spans="1:36">
      <c r="A203" s="2">
        <v>161</v>
      </c>
      <c r="B203" s="2">
        <v>9942</v>
      </c>
      <c r="C203" s="2" t="s">
        <v>2048</v>
      </c>
      <c r="D203" s="2" t="s">
        <v>2049</v>
      </c>
      <c r="E203" s="4" t="s">
        <v>1363</v>
      </c>
      <c r="F203" s="2" t="s">
        <v>2110</v>
      </c>
      <c r="G203" s="2" t="s">
        <v>2111</v>
      </c>
      <c r="H203" s="2" t="s">
        <v>223</v>
      </c>
      <c r="I203" s="2" t="s">
        <v>804</v>
      </c>
      <c r="J203" s="2" t="s">
        <v>30</v>
      </c>
      <c r="K203" s="2" t="s">
        <v>30</v>
      </c>
      <c r="L203" s="2" t="s">
        <v>377</v>
      </c>
      <c r="M203" s="2" t="s">
        <v>31</v>
      </c>
      <c r="N203" s="2" t="s">
        <v>511</v>
      </c>
      <c r="O203" s="2" t="s">
        <v>173</v>
      </c>
      <c r="P203" s="2" t="s">
        <v>2052</v>
      </c>
      <c r="Q203" s="2" t="s">
        <v>462</v>
      </c>
      <c r="R203" s="2" t="s">
        <v>456</v>
      </c>
      <c r="S203" s="2" t="s">
        <v>34</v>
      </c>
      <c r="T203" s="156">
        <v>5.3609999999999998</v>
      </c>
      <c r="U203" s="2" t="s">
        <v>2112</v>
      </c>
      <c r="V203" s="170">
        <v>6.4999999999999997E-3</v>
      </c>
      <c r="W203" s="172">
        <v>3.3059999999999999E-2</v>
      </c>
      <c r="X203" s="4" t="s">
        <v>461</v>
      </c>
      <c r="Y203" s="4" t="s">
        <v>173</v>
      </c>
      <c r="Z203" s="156">
        <v>235271.47</v>
      </c>
      <c r="AA203" s="166">
        <v>1</v>
      </c>
      <c r="AB203" s="183">
        <v>99.45</v>
      </c>
      <c r="AD203" s="156">
        <v>233.977</v>
      </c>
      <c r="AG203" s="2" t="s">
        <v>36</v>
      </c>
      <c r="AH203" s="172">
        <v>1.0399999999999999E-4</v>
      </c>
      <c r="AI203" s="172">
        <v>1.50082554910926E-2</v>
      </c>
      <c r="AJ203" s="172">
        <v>2.5528746513477701E-3</v>
      </c>
    </row>
    <row r="204" spans="1:36">
      <c r="A204" s="2">
        <v>161</v>
      </c>
      <c r="B204" s="2">
        <v>9942</v>
      </c>
      <c r="C204" s="2" t="s">
        <v>1822</v>
      </c>
      <c r="D204" s="2" t="s">
        <v>1823</v>
      </c>
      <c r="E204" s="4" t="s">
        <v>1363</v>
      </c>
      <c r="F204" s="2" t="s">
        <v>2113</v>
      </c>
      <c r="G204" s="2" t="s">
        <v>2114</v>
      </c>
      <c r="H204" s="2" t="s">
        <v>223</v>
      </c>
      <c r="I204" s="2" t="s">
        <v>804</v>
      </c>
      <c r="J204" s="2" t="s">
        <v>30</v>
      </c>
      <c r="K204" s="2" t="s">
        <v>30</v>
      </c>
      <c r="L204" s="2" t="s">
        <v>377</v>
      </c>
      <c r="M204" s="2" t="s">
        <v>31</v>
      </c>
      <c r="N204" s="2" t="s">
        <v>511</v>
      </c>
      <c r="O204" s="2" t="s">
        <v>173</v>
      </c>
      <c r="P204" s="2" t="s">
        <v>2052</v>
      </c>
      <c r="Q204" s="2" t="s">
        <v>462</v>
      </c>
      <c r="R204" s="2" t="s">
        <v>456</v>
      </c>
      <c r="S204" s="2" t="s">
        <v>34</v>
      </c>
      <c r="T204" s="156">
        <v>1.4259999999999999</v>
      </c>
      <c r="U204" s="2" t="s">
        <v>2115</v>
      </c>
      <c r="V204" s="170">
        <v>1.34E-2</v>
      </c>
      <c r="W204" s="172">
        <v>2.58E-2</v>
      </c>
      <c r="X204" s="4" t="s">
        <v>461</v>
      </c>
      <c r="Y204" s="4" t="s">
        <v>173</v>
      </c>
      <c r="Z204" s="156">
        <v>160000</v>
      </c>
      <c r="AA204" s="166">
        <v>1</v>
      </c>
      <c r="AB204" s="183">
        <v>115.21</v>
      </c>
      <c r="AD204" s="156">
        <v>184.33600000000001</v>
      </c>
      <c r="AG204" s="2" t="s">
        <v>36</v>
      </c>
      <c r="AH204" s="172">
        <v>3.2499999999999999E-4</v>
      </c>
      <c r="AI204" s="172">
        <v>1.18240517022546E-2</v>
      </c>
      <c r="AJ204" s="172">
        <v>2.0112478685365E-3</v>
      </c>
    </row>
    <row r="205" spans="1:36">
      <c r="A205" s="2">
        <v>161</v>
      </c>
      <c r="B205" s="2">
        <v>9942</v>
      </c>
      <c r="C205" s="2" t="s">
        <v>1919</v>
      </c>
      <c r="D205" s="2" t="s">
        <v>1920</v>
      </c>
      <c r="E205" s="4" t="s">
        <v>1363</v>
      </c>
      <c r="F205" s="2" t="s">
        <v>2119</v>
      </c>
      <c r="G205" s="2" t="s">
        <v>2120</v>
      </c>
      <c r="H205" s="2" t="s">
        <v>223</v>
      </c>
      <c r="I205" s="2" t="s">
        <v>1013</v>
      </c>
      <c r="J205" s="2" t="s">
        <v>30</v>
      </c>
      <c r="K205" s="2" t="s">
        <v>30</v>
      </c>
      <c r="L205" s="2" t="s">
        <v>377</v>
      </c>
      <c r="M205" s="2" t="s">
        <v>31</v>
      </c>
      <c r="N205" s="2" t="s">
        <v>487</v>
      </c>
      <c r="O205" s="2" t="s">
        <v>173</v>
      </c>
      <c r="P205" s="2" t="s">
        <v>2041</v>
      </c>
      <c r="Q205" s="2" t="s">
        <v>464</v>
      </c>
      <c r="R205" s="2" t="s">
        <v>456</v>
      </c>
      <c r="S205" s="2" t="s">
        <v>34</v>
      </c>
      <c r="T205" s="156">
        <v>3.0009999999999999</v>
      </c>
      <c r="U205" s="2" t="s">
        <v>2056</v>
      </c>
      <c r="V205" s="170">
        <v>7.2499999999999995E-2</v>
      </c>
      <c r="W205" s="172">
        <v>6.3950000000000007E-2</v>
      </c>
      <c r="X205" s="4" t="s">
        <v>461</v>
      </c>
      <c r="Y205" s="4" t="s">
        <v>173</v>
      </c>
      <c r="Z205" s="156">
        <v>389700</v>
      </c>
      <c r="AA205" s="166">
        <v>1</v>
      </c>
      <c r="AB205" s="183">
        <v>105.92</v>
      </c>
      <c r="AD205" s="156">
        <v>412.77</v>
      </c>
      <c r="AG205" s="2" t="s">
        <v>36</v>
      </c>
      <c r="AH205" s="172">
        <v>5.4100000000000003E-4</v>
      </c>
      <c r="AI205" s="172">
        <v>2.64767417048869E-2</v>
      </c>
      <c r="AJ205" s="172">
        <v>4.5036415317425797E-3</v>
      </c>
    </row>
    <row r="206" spans="1:36">
      <c r="A206" s="2">
        <v>161</v>
      </c>
      <c r="B206" s="2">
        <v>9942</v>
      </c>
      <c r="C206" s="2" t="s">
        <v>1830</v>
      </c>
      <c r="D206" s="2" t="s">
        <v>1831</v>
      </c>
      <c r="E206" s="4" t="s">
        <v>1363</v>
      </c>
      <c r="F206" s="2" t="s">
        <v>2366</v>
      </c>
      <c r="G206" s="2" t="s">
        <v>2367</v>
      </c>
      <c r="H206" s="2" t="s">
        <v>223</v>
      </c>
      <c r="I206" s="2" t="s">
        <v>804</v>
      </c>
      <c r="J206" s="2" t="s">
        <v>30</v>
      </c>
      <c r="K206" s="2" t="s">
        <v>30</v>
      </c>
      <c r="L206" s="2" t="s">
        <v>377</v>
      </c>
      <c r="M206" s="2" t="s">
        <v>55</v>
      </c>
      <c r="N206" s="2" t="s">
        <v>511</v>
      </c>
      <c r="O206" s="2" t="s">
        <v>173</v>
      </c>
      <c r="P206" s="2" t="s">
        <v>2052</v>
      </c>
      <c r="Q206" s="2" t="s">
        <v>462</v>
      </c>
      <c r="R206" s="2" t="s">
        <v>456</v>
      </c>
      <c r="S206" s="2" t="s">
        <v>34</v>
      </c>
      <c r="T206" s="156">
        <v>3.6840000000000002</v>
      </c>
      <c r="U206" s="2" t="s">
        <v>85</v>
      </c>
      <c r="V206" s="170">
        <v>3.3399999999999999E-2</v>
      </c>
      <c r="W206" s="172">
        <v>3.0720000000000001E-2</v>
      </c>
      <c r="X206" s="4" t="s">
        <v>461</v>
      </c>
      <c r="Y206" s="4" t="s">
        <v>173</v>
      </c>
      <c r="Z206" s="156">
        <v>280000</v>
      </c>
      <c r="AA206" s="166">
        <v>1</v>
      </c>
      <c r="AB206" s="183">
        <v>103.53</v>
      </c>
      <c r="AD206" s="156">
        <v>289.88400000000001</v>
      </c>
      <c r="AG206" s="2" t="s">
        <v>36</v>
      </c>
      <c r="AH206" s="172">
        <v>3.77E-4</v>
      </c>
      <c r="AI206" s="172">
        <v>1.8594324514236898E-2</v>
      </c>
      <c r="AJ206" s="172">
        <v>3.1628579177308499E-3</v>
      </c>
    </row>
    <row r="207" spans="1:36">
      <c r="A207" s="2">
        <v>161</v>
      </c>
      <c r="B207" s="2">
        <v>9942</v>
      </c>
      <c r="C207" s="2" t="s">
        <v>2121</v>
      </c>
      <c r="D207" s="2" t="s">
        <v>2122</v>
      </c>
      <c r="E207" s="4" t="s">
        <v>1363</v>
      </c>
      <c r="F207" s="2" t="s">
        <v>2123</v>
      </c>
      <c r="G207" s="2" t="s">
        <v>2124</v>
      </c>
      <c r="H207" s="2" t="s">
        <v>223</v>
      </c>
      <c r="I207" s="2" t="s">
        <v>1013</v>
      </c>
      <c r="J207" s="2" t="s">
        <v>30</v>
      </c>
      <c r="K207" s="2" t="s">
        <v>30</v>
      </c>
      <c r="L207" s="2" t="s">
        <v>377</v>
      </c>
      <c r="M207" s="2" t="s">
        <v>31</v>
      </c>
      <c r="N207" s="2" t="s">
        <v>494</v>
      </c>
      <c r="O207" s="2" t="s">
        <v>173</v>
      </c>
      <c r="P207" s="2" t="s">
        <v>225</v>
      </c>
      <c r="Q207" s="2" t="s">
        <v>226</v>
      </c>
      <c r="R207" s="2" t="s">
        <v>226</v>
      </c>
      <c r="S207" s="2" t="s">
        <v>34</v>
      </c>
      <c r="T207" s="156">
        <v>1.647</v>
      </c>
      <c r="U207" s="2" t="s">
        <v>2125</v>
      </c>
      <c r="V207" s="170">
        <v>3.8699999999999998E-2</v>
      </c>
      <c r="W207" s="172">
        <v>6.2489999999999997E-2</v>
      </c>
      <c r="X207" s="4" t="s">
        <v>461</v>
      </c>
      <c r="Y207" s="4" t="s">
        <v>173</v>
      </c>
      <c r="Z207" s="156">
        <v>0.46</v>
      </c>
      <c r="AA207" s="166">
        <v>1</v>
      </c>
      <c r="AB207" s="183">
        <v>97.34</v>
      </c>
      <c r="AD207" s="156">
        <v>0</v>
      </c>
      <c r="AG207" s="2" t="s">
        <v>36</v>
      </c>
      <c r="AH207" s="172">
        <v>0</v>
      </c>
      <c r="AI207" s="172">
        <v>2.8721382076253799E-8</v>
      </c>
      <c r="AJ207" s="172">
        <v>4.8854504307752001E-9</v>
      </c>
    </row>
    <row r="208" spans="1:36">
      <c r="A208" s="2">
        <v>161</v>
      </c>
      <c r="B208" s="2">
        <v>9942</v>
      </c>
      <c r="C208" s="2" t="s">
        <v>2126</v>
      </c>
      <c r="D208" s="2" t="s">
        <v>2127</v>
      </c>
      <c r="E208" s="4" t="s">
        <v>1363</v>
      </c>
      <c r="F208" s="2" t="s">
        <v>2128</v>
      </c>
      <c r="G208" s="2" t="s">
        <v>2129</v>
      </c>
      <c r="H208" s="2" t="s">
        <v>223</v>
      </c>
      <c r="I208" s="2" t="s">
        <v>804</v>
      </c>
      <c r="J208" s="2" t="s">
        <v>30</v>
      </c>
      <c r="K208" s="2" t="s">
        <v>350</v>
      </c>
      <c r="L208" s="2" t="s">
        <v>377</v>
      </c>
      <c r="M208" s="2" t="s">
        <v>31</v>
      </c>
      <c r="N208" s="2" t="s">
        <v>512</v>
      </c>
      <c r="O208" s="2" t="s">
        <v>173</v>
      </c>
      <c r="P208" s="2" t="s">
        <v>2041</v>
      </c>
      <c r="Q208" s="2" t="s">
        <v>462</v>
      </c>
      <c r="R208" s="2" t="s">
        <v>456</v>
      </c>
      <c r="S208" s="2" t="s">
        <v>34</v>
      </c>
      <c r="T208" s="156">
        <v>2.2320000000000002</v>
      </c>
      <c r="U208" s="2" t="s">
        <v>2130</v>
      </c>
      <c r="V208" s="170">
        <v>3.2800000000000003E-2</v>
      </c>
      <c r="W208" s="172">
        <v>4.3990000000000001E-2</v>
      </c>
      <c r="X208" s="4" t="s">
        <v>461</v>
      </c>
      <c r="Y208" s="4" t="s">
        <v>173</v>
      </c>
      <c r="Z208" s="156">
        <v>200000</v>
      </c>
      <c r="AA208" s="166">
        <v>1</v>
      </c>
      <c r="AB208" s="183">
        <v>115.06</v>
      </c>
      <c r="AD208" s="156">
        <v>230.12</v>
      </c>
      <c r="AG208" s="2" t="s">
        <v>36</v>
      </c>
      <c r="AH208" s="172">
        <v>1.25E-4</v>
      </c>
      <c r="AI208" s="172">
        <v>1.47608214224179E-2</v>
      </c>
      <c r="AJ208" s="172">
        <v>2.51078660439425E-3</v>
      </c>
    </row>
    <row r="209" spans="1:36">
      <c r="A209" s="2">
        <v>161</v>
      </c>
      <c r="B209" s="2">
        <v>9942</v>
      </c>
      <c r="C209" s="2" t="s">
        <v>2371</v>
      </c>
      <c r="D209" s="2" t="s">
        <v>2372</v>
      </c>
      <c r="E209" s="4" t="s">
        <v>1363</v>
      </c>
      <c r="F209" s="2" t="s">
        <v>2373</v>
      </c>
      <c r="G209" s="2" t="s">
        <v>2374</v>
      </c>
      <c r="H209" s="2" t="s">
        <v>223</v>
      </c>
      <c r="I209" s="2" t="s">
        <v>804</v>
      </c>
      <c r="J209" s="2" t="s">
        <v>30</v>
      </c>
      <c r="K209" s="2" t="s">
        <v>30</v>
      </c>
      <c r="L209" s="2" t="s">
        <v>377</v>
      </c>
      <c r="M209" s="2" t="s">
        <v>31</v>
      </c>
      <c r="N209" s="2" t="s">
        <v>498</v>
      </c>
      <c r="O209" s="2" t="s">
        <v>173</v>
      </c>
      <c r="P209" s="2" t="s">
        <v>2061</v>
      </c>
      <c r="Q209" s="2" t="s">
        <v>462</v>
      </c>
      <c r="R209" s="2" t="s">
        <v>456</v>
      </c>
      <c r="S209" s="2" t="s">
        <v>34</v>
      </c>
      <c r="T209" s="156">
        <v>3.8159999999999998</v>
      </c>
      <c r="U209" s="2" t="s">
        <v>2375</v>
      </c>
      <c r="V209" s="170">
        <v>7.4999999999999997E-3</v>
      </c>
      <c r="W209" s="172">
        <v>3.4759999999999999E-2</v>
      </c>
      <c r="X209" s="4" t="s">
        <v>461</v>
      </c>
      <c r="Y209" s="4" t="s">
        <v>173</v>
      </c>
      <c r="Z209" s="156">
        <v>0</v>
      </c>
      <c r="AA209" s="166">
        <v>1</v>
      </c>
      <c r="AB209" s="183">
        <v>0</v>
      </c>
      <c r="AC209" s="156">
        <v>0.56000000000000005</v>
      </c>
      <c r="AD209" s="156">
        <v>0.56000000000000005</v>
      </c>
      <c r="AG209" s="2" t="s">
        <v>36</v>
      </c>
      <c r="AH209" s="172">
        <v>0</v>
      </c>
      <c r="AI209" s="172">
        <v>3.5912311358287403E-5</v>
      </c>
      <c r="AJ209" s="172">
        <v>6.1086133156710004E-6</v>
      </c>
    </row>
    <row r="210" spans="1:36">
      <c r="A210" s="2">
        <v>161</v>
      </c>
      <c r="B210" s="2">
        <v>9942</v>
      </c>
      <c r="C210" s="2" t="s">
        <v>2131</v>
      </c>
      <c r="D210" s="2" t="s">
        <v>2132</v>
      </c>
      <c r="E210" s="4" t="s">
        <v>1363</v>
      </c>
      <c r="F210" s="2" t="s">
        <v>2133</v>
      </c>
      <c r="G210" s="2" t="s">
        <v>2134</v>
      </c>
      <c r="H210" s="2" t="s">
        <v>223</v>
      </c>
      <c r="I210" s="2" t="s">
        <v>804</v>
      </c>
      <c r="J210" s="2" t="s">
        <v>30</v>
      </c>
      <c r="K210" s="2" t="s">
        <v>30</v>
      </c>
      <c r="L210" s="2" t="s">
        <v>377</v>
      </c>
      <c r="M210" s="2" t="s">
        <v>31</v>
      </c>
      <c r="N210" s="2" t="s">
        <v>495</v>
      </c>
      <c r="O210" s="2" t="s">
        <v>173</v>
      </c>
      <c r="P210" s="2" t="s">
        <v>1224</v>
      </c>
      <c r="Q210" s="2" t="s">
        <v>462</v>
      </c>
      <c r="R210" s="2" t="s">
        <v>456</v>
      </c>
      <c r="S210" s="2" t="s">
        <v>34</v>
      </c>
      <c r="T210" s="156">
        <v>3.9830000000000001</v>
      </c>
      <c r="U210" s="2" t="s">
        <v>2135</v>
      </c>
      <c r="V210" s="170">
        <v>2E-3</v>
      </c>
      <c r="W210" s="172">
        <v>2.5190000000000001E-2</v>
      </c>
      <c r="X210" s="4" t="s">
        <v>461</v>
      </c>
      <c r="Y210" s="4" t="s">
        <v>173</v>
      </c>
      <c r="Z210" s="156">
        <v>701994.14</v>
      </c>
      <c r="AA210" s="166">
        <v>1</v>
      </c>
      <c r="AB210" s="183">
        <v>102.6</v>
      </c>
      <c r="AD210" s="156">
        <v>720.24599999999998</v>
      </c>
      <c r="AG210" s="2" t="s">
        <v>36</v>
      </c>
      <c r="AH210" s="172">
        <v>1.93E-4</v>
      </c>
      <c r="AI210" s="172">
        <v>4.6199471596415097E-2</v>
      </c>
      <c r="AJ210" s="172">
        <v>7.8584389780776195E-3</v>
      </c>
    </row>
    <row r="211" spans="1:36">
      <c r="A211" s="2">
        <v>161</v>
      </c>
      <c r="B211" s="2">
        <v>9942</v>
      </c>
      <c r="C211" s="2" t="s">
        <v>2131</v>
      </c>
      <c r="D211" s="2" t="s">
        <v>2132</v>
      </c>
      <c r="E211" s="4" t="s">
        <v>1363</v>
      </c>
      <c r="F211" s="2" t="s">
        <v>2406</v>
      </c>
      <c r="G211" s="2" t="s">
        <v>2407</v>
      </c>
      <c r="H211" s="2" t="s">
        <v>223</v>
      </c>
      <c r="I211" s="2" t="s">
        <v>804</v>
      </c>
      <c r="J211" s="2" t="s">
        <v>30</v>
      </c>
      <c r="K211" s="2" t="s">
        <v>30</v>
      </c>
      <c r="L211" s="2" t="s">
        <v>377</v>
      </c>
      <c r="M211" s="2" t="s">
        <v>31</v>
      </c>
      <c r="N211" s="2" t="s">
        <v>495</v>
      </c>
      <c r="O211" s="2" t="s">
        <v>173</v>
      </c>
      <c r="P211" s="2" t="s">
        <v>1224</v>
      </c>
      <c r="Q211" s="2" t="s">
        <v>462</v>
      </c>
      <c r="R211" s="2" t="s">
        <v>456</v>
      </c>
      <c r="S211" s="2" t="s">
        <v>34</v>
      </c>
      <c r="T211" s="156">
        <v>4.9290000000000003</v>
      </c>
      <c r="U211" s="2" t="s">
        <v>2408</v>
      </c>
      <c r="V211" s="170">
        <v>2.47E-2</v>
      </c>
      <c r="W211" s="172">
        <v>2.5839999999999998E-2</v>
      </c>
      <c r="X211" s="4" t="s">
        <v>461</v>
      </c>
      <c r="Y211" s="4" t="s">
        <v>173</v>
      </c>
      <c r="Z211" s="156">
        <v>220000</v>
      </c>
      <c r="AA211" s="166">
        <v>1</v>
      </c>
      <c r="AB211" s="183">
        <v>102.7</v>
      </c>
      <c r="AD211" s="156">
        <v>225.94</v>
      </c>
      <c r="AG211" s="2" t="s">
        <v>36</v>
      </c>
      <c r="AH211" s="172">
        <v>7.7000000000000001E-5</v>
      </c>
      <c r="AI211" s="172">
        <v>1.4492699427173201E-2</v>
      </c>
      <c r="AJ211" s="172">
        <v>2.4651795819435E-3</v>
      </c>
    </row>
    <row r="212" spans="1:36">
      <c r="A212" s="2">
        <v>161</v>
      </c>
      <c r="B212" s="2">
        <v>9942</v>
      </c>
      <c r="C212" s="2" t="s">
        <v>2131</v>
      </c>
      <c r="D212" s="2" t="s">
        <v>2132</v>
      </c>
      <c r="E212" s="4" t="s">
        <v>1363</v>
      </c>
      <c r="F212" s="2" t="s">
        <v>2136</v>
      </c>
      <c r="G212" s="2" t="s">
        <v>2137</v>
      </c>
      <c r="H212" s="2" t="s">
        <v>223</v>
      </c>
      <c r="I212" s="2" t="s">
        <v>1013</v>
      </c>
      <c r="J212" s="2" t="s">
        <v>30</v>
      </c>
      <c r="K212" s="2" t="s">
        <v>30</v>
      </c>
      <c r="L212" s="2" t="s">
        <v>377</v>
      </c>
      <c r="M212" s="2" t="s">
        <v>31</v>
      </c>
      <c r="N212" s="2" t="s">
        <v>495</v>
      </c>
      <c r="O212" s="2" t="s">
        <v>173</v>
      </c>
      <c r="P212" s="2" t="s">
        <v>1224</v>
      </c>
      <c r="Q212" s="2" t="s">
        <v>462</v>
      </c>
      <c r="R212" s="2" t="s">
        <v>456</v>
      </c>
      <c r="S212" s="2" t="s">
        <v>34</v>
      </c>
      <c r="T212" s="156">
        <v>2.1349999999999998</v>
      </c>
      <c r="U212" s="2" t="s">
        <v>2138</v>
      </c>
      <c r="V212" s="170">
        <v>2.6800000000000001E-2</v>
      </c>
      <c r="W212" s="172">
        <v>5.1090000000000003E-2</v>
      </c>
      <c r="X212" s="4" t="s">
        <v>461</v>
      </c>
      <c r="Y212" s="4" t="s">
        <v>173</v>
      </c>
      <c r="Z212" s="156">
        <v>240000</v>
      </c>
      <c r="AA212" s="166">
        <v>1</v>
      </c>
      <c r="AB212" s="183">
        <v>95.42</v>
      </c>
      <c r="AD212" s="156">
        <v>229.00800000000001</v>
      </c>
      <c r="AG212" s="2" t="s">
        <v>36</v>
      </c>
      <c r="AH212" s="172">
        <v>1.05E-4</v>
      </c>
      <c r="AI212" s="172">
        <v>1.4689493274400601E-2</v>
      </c>
      <c r="AJ212" s="172">
        <v>2.4986538271298399E-3</v>
      </c>
    </row>
    <row r="213" spans="1:36">
      <c r="A213" s="2">
        <v>161</v>
      </c>
      <c r="B213" s="2">
        <v>9942</v>
      </c>
      <c r="C213" s="2" t="s">
        <v>2131</v>
      </c>
      <c r="D213" s="2" t="s">
        <v>2132</v>
      </c>
      <c r="E213" s="4" t="s">
        <v>1363</v>
      </c>
      <c r="F213" s="2" t="s">
        <v>2139</v>
      </c>
      <c r="G213" s="2" t="s">
        <v>2140</v>
      </c>
      <c r="H213" s="2" t="s">
        <v>223</v>
      </c>
      <c r="I213" s="2" t="s">
        <v>804</v>
      </c>
      <c r="J213" s="2" t="s">
        <v>30</v>
      </c>
      <c r="K213" s="2" t="s">
        <v>30</v>
      </c>
      <c r="L213" s="2" t="s">
        <v>377</v>
      </c>
      <c r="M213" s="2" t="s">
        <v>55</v>
      </c>
      <c r="N213" s="2" t="s">
        <v>495</v>
      </c>
      <c r="O213" s="2" t="s">
        <v>173</v>
      </c>
      <c r="P213" s="2" t="s">
        <v>1374</v>
      </c>
      <c r="Q213" s="2" t="s">
        <v>462</v>
      </c>
      <c r="R213" s="2" t="s">
        <v>456</v>
      </c>
      <c r="S213" s="2" t="s">
        <v>34</v>
      </c>
      <c r="T213" s="156">
        <v>5.6779999999999999</v>
      </c>
      <c r="U213" s="2" t="s">
        <v>2141</v>
      </c>
      <c r="V213" s="170">
        <v>3.3203000000000003E-2</v>
      </c>
      <c r="W213" s="172">
        <v>3.1600000000000003E-2</v>
      </c>
      <c r="X213" s="4" t="s">
        <v>461</v>
      </c>
      <c r="Y213" s="4" t="s">
        <v>173</v>
      </c>
      <c r="Z213" s="156">
        <v>270000</v>
      </c>
      <c r="AA213" s="166">
        <v>1</v>
      </c>
      <c r="AB213" s="183">
        <v>101.97</v>
      </c>
      <c r="AD213" s="156">
        <v>275.31900000000002</v>
      </c>
      <c r="AG213" s="2" t="s">
        <v>36</v>
      </c>
      <c r="AH213" s="172">
        <v>8.0599999999999997E-4</v>
      </c>
      <c r="AI213" s="172">
        <v>1.7660066892050501E-2</v>
      </c>
      <c r="AJ213" s="172">
        <v>3.0039425392630898E-3</v>
      </c>
    </row>
    <row r="214" spans="1:36">
      <c r="A214" s="2">
        <v>161</v>
      </c>
      <c r="B214" s="2">
        <v>9942</v>
      </c>
      <c r="C214" s="2" t="s">
        <v>2142</v>
      </c>
      <c r="D214" s="2" t="s">
        <v>2143</v>
      </c>
      <c r="E214" s="4" t="s">
        <v>1363</v>
      </c>
      <c r="F214" s="2" t="s">
        <v>2144</v>
      </c>
      <c r="G214" s="2" t="s">
        <v>2145</v>
      </c>
      <c r="H214" s="2" t="s">
        <v>223</v>
      </c>
      <c r="I214" s="2" t="s">
        <v>804</v>
      </c>
      <c r="J214" s="2" t="s">
        <v>30</v>
      </c>
      <c r="K214" s="2" t="s">
        <v>30</v>
      </c>
      <c r="L214" s="2" t="s">
        <v>377</v>
      </c>
      <c r="M214" s="2" t="s">
        <v>31</v>
      </c>
      <c r="N214" s="2" t="s">
        <v>487</v>
      </c>
      <c r="O214" s="2" t="s">
        <v>173</v>
      </c>
      <c r="P214" s="2" t="s">
        <v>2041</v>
      </c>
      <c r="Q214" s="2" t="s">
        <v>464</v>
      </c>
      <c r="R214" s="2" t="s">
        <v>456</v>
      </c>
      <c r="S214" s="2" t="s">
        <v>34</v>
      </c>
      <c r="T214" s="156">
        <v>3.4649999999999999</v>
      </c>
      <c r="U214" s="2" t="s">
        <v>2146</v>
      </c>
      <c r="V214" s="170">
        <v>1.7999999999999999E-2</v>
      </c>
      <c r="W214" s="172">
        <v>3.6589999999999998E-2</v>
      </c>
      <c r="X214" s="4" t="s">
        <v>461</v>
      </c>
      <c r="Y214" s="4" t="s">
        <v>173</v>
      </c>
      <c r="Z214" s="156">
        <v>0.87</v>
      </c>
      <c r="AA214" s="166">
        <v>1</v>
      </c>
      <c r="AB214" s="183">
        <v>107.89</v>
      </c>
      <c r="AD214" s="156">
        <v>1E-3</v>
      </c>
      <c r="AG214" s="2" t="s">
        <v>36</v>
      </c>
      <c r="AH214" s="172">
        <v>0</v>
      </c>
      <c r="AI214" s="172">
        <v>6.0208333488625894E-8</v>
      </c>
      <c r="AJ214" s="172">
        <v>1.02413187498194E-8</v>
      </c>
    </row>
    <row r="215" spans="1:36">
      <c r="A215" s="2">
        <v>161</v>
      </c>
      <c r="B215" s="2">
        <v>9942</v>
      </c>
      <c r="C215" s="2" t="s">
        <v>2147</v>
      </c>
      <c r="D215" s="2" t="s">
        <v>2148</v>
      </c>
      <c r="E215" s="4" t="s">
        <v>1363</v>
      </c>
      <c r="F215" s="2" t="s">
        <v>2149</v>
      </c>
      <c r="G215" s="2" t="s">
        <v>2150</v>
      </c>
      <c r="H215" s="2" t="s">
        <v>223</v>
      </c>
      <c r="I215" s="2" t="s">
        <v>804</v>
      </c>
      <c r="J215" s="2" t="s">
        <v>30</v>
      </c>
      <c r="K215" s="2" t="s">
        <v>30</v>
      </c>
      <c r="L215" s="2" t="s">
        <v>377</v>
      </c>
      <c r="M215" s="2" t="s">
        <v>31</v>
      </c>
      <c r="N215" s="2" t="s">
        <v>511</v>
      </c>
      <c r="O215" s="2" t="s">
        <v>173</v>
      </c>
      <c r="P215" s="2" t="s">
        <v>2100</v>
      </c>
      <c r="Q215" s="2" t="s">
        <v>462</v>
      </c>
      <c r="R215" s="2" t="s">
        <v>456</v>
      </c>
      <c r="S215" s="2" t="s">
        <v>34</v>
      </c>
      <c r="T215" s="156">
        <v>3.1960000000000002</v>
      </c>
      <c r="U215" s="2" t="s">
        <v>2151</v>
      </c>
      <c r="V215" s="170">
        <v>2.7E-2</v>
      </c>
      <c r="W215" s="172">
        <v>3.3169999999999998E-2</v>
      </c>
      <c r="X215" s="4" t="s">
        <v>461</v>
      </c>
      <c r="Y215" s="4" t="s">
        <v>173</v>
      </c>
      <c r="Z215" s="156">
        <v>57000</v>
      </c>
      <c r="AA215" s="166">
        <v>1</v>
      </c>
      <c r="AB215" s="183">
        <v>105.81</v>
      </c>
      <c r="AD215" s="156">
        <v>60.311999999999998</v>
      </c>
      <c r="AG215" s="2" t="s">
        <v>36</v>
      </c>
      <c r="AH215" s="172">
        <v>1.2999999999999999E-4</v>
      </c>
      <c r="AI215" s="172">
        <v>3.8686347704781901E-3</v>
      </c>
      <c r="AJ215" s="172">
        <v>6.5804714257015895E-4</v>
      </c>
    </row>
    <row r="216" spans="1:36">
      <c r="A216" s="2">
        <v>161</v>
      </c>
      <c r="B216" s="2">
        <v>9942</v>
      </c>
      <c r="C216" s="2" t="s">
        <v>2147</v>
      </c>
      <c r="D216" s="2" t="s">
        <v>2148</v>
      </c>
      <c r="E216" s="4" t="s">
        <v>1363</v>
      </c>
      <c r="F216" s="2" t="s">
        <v>2152</v>
      </c>
      <c r="G216" s="2" t="s">
        <v>2153</v>
      </c>
      <c r="H216" s="2" t="s">
        <v>223</v>
      </c>
      <c r="I216" s="2" t="s">
        <v>804</v>
      </c>
      <c r="J216" s="2" t="s">
        <v>30</v>
      </c>
      <c r="K216" s="2" t="s">
        <v>30</v>
      </c>
      <c r="L216" s="2" t="s">
        <v>377</v>
      </c>
      <c r="M216" s="2" t="s">
        <v>31</v>
      </c>
      <c r="N216" s="2" t="s">
        <v>511</v>
      </c>
      <c r="O216" s="2" t="s">
        <v>173</v>
      </c>
      <c r="P216" s="2" t="s">
        <v>2100</v>
      </c>
      <c r="Q216" s="2" t="s">
        <v>462</v>
      </c>
      <c r="R216" s="2" t="s">
        <v>456</v>
      </c>
      <c r="S216" s="2" t="s">
        <v>34</v>
      </c>
      <c r="T216" s="156">
        <v>1.536</v>
      </c>
      <c r="U216" s="2" t="s">
        <v>2154</v>
      </c>
      <c r="V216" s="170">
        <v>1.7999999999999999E-2</v>
      </c>
      <c r="W216" s="172">
        <v>2.742E-2</v>
      </c>
      <c r="X216" s="4" t="s">
        <v>461</v>
      </c>
      <c r="Y216" s="4" t="s">
        <v>173</v>
      </c>
      <c r="Z216" s="156">
        <v>262222.21999999997</v>
      </c>
      <c r="AA216" s="166">
        <v>1</v>
      </c>
      <c r="AB216" s="183">
        <v>113.45</v>
      </c>
      <c r="AD216" s="156">
        <v>297.49099999999999</v>
      </c>
      <c r="AG216" s="2" t="s">
        <v>36</v>
      </c>
      <c r="AH216" s="172">
        <v>3.3199999999999999E-4</v>
      </c>
      <c r="AI216" s="172">
        <v>1.90822750245703E-2</v>
      </c>
      <c r="AJ216" s="172">
        <v>3.24585733692929E-3</v>
      </c>
    </row>
    <row r="217" spans="1:36">
      <c r="A217" s="2">
        <v>161</v>
      </c>
      <c r="B217" s="2">
        <v>9942</v>
      </c>
      <c r="C217" s="2" t="s">
        <v>1668</v>
      </c>
      <c r="D217" s="2" t="s">
        <v>1669</v>
      </c>
      <c r="E217" s="4" t="s">
        <v>1363</v>
      </c>
      <c r="F217" s="2" t="s">
        <v>2155</v>
      </c>
      <c r="G217" s="2" t="s">
        <v>2156</v>
      </c>
      <c r="H217" s="2" t="s">
        <v>223</v>
      </c>
      <c r="I217" s="2" t="s">
        <v>804</v>
      </c>
      <c r="J217" s="2" t="s">
        <v>30</v>
      </c>
      <c r="K217" s="2" t="s">
        <v>30</v>
      </c>
      <c r="L217" s="2" t="s">
        <v>377</v>
      </c>
      <c r="M217" s="2" t="s">
        <v>31</v>
      </c>
      <c r="N217" s="2" t="s">
        <v>492</v>
      </c>
      <c r="O217" s="2" t="s">
        <v>173</v>
      </c>
      <c r="P217" s="2" t="s">
        <v>2052</v>
      </c>
      <c r="Q217" s="2" t="s">
        <v>462</v>
      </c>
      <c r="R217" s="2" t="s">
        <v>456</v>
      </c>
      <c r="S217" s="2" t="s">
        <v>34</v>
      </c>
      <c r="T217" s="156">
        <v>4.5369999999999999</v>
      </c>
      <c r="U217" s="2" t="s">
        <v>2157</v>
      </c>
      <c r="V217" s="170">
        <v>4.4000000000000003E-3</v>
      </c>
      <c r="W217" s="172">
        <v>2.7050000000000001E-2</v>
      </c>
      <c r="X217" s="4" t="s">
        <v>461</v>
      </c>
      <c r="Y217" s="4" t="s">
        <v>173</v>
      </c>
      <c r="Z217" s="156">
        <v>170000</v>
      </c>
      <c r="AA217" s="166">
        <v>1</v>
      </c>
      <c r="AB217" s="183">
        <v>104.2</v>
      </c>
      <c r="AD217" s="156">
        <v>177.14</v>
      </c>
      <c r="AG217" s="2" t="s">
        <v>36</v>
      </c>
      <c r="AH217" s="172">
        <v>1.9900000000000001E-4</v>
      </c>
      <c r="AI217" s="172">
        <v>1.1362471348718499E-2</v>
      </c>
      <c r="AJ217" s="172">
        <v>1.9327339609873E-3</v>
      </c>
    </row>
    <row r="218" spans="1:36">
      <c r="A218" s="2">
        <v>161</v>
      </c>
      <c r="B218" s="2">
        <v>9942</v>
      </c>
      <c r="C218" s="2" t="s">
        <v>1846</v>
      </c>
      <c r="D218" s="2" t="s">
        <v>1847</v>
      </c>
      <c r="E218" s="4" t="s">
        <v>1363</v>
      </c>
      <c r="F218" s="2" t="s">
        <v>2158</v>
      </c>
      <c r="G218" s="2" t="s">
        <v>2159</v>
      </c>
      <c r="H218" s="2" t="s">
        <v>223</v>
      </c>
      <c r="I218" s="2" t="s">
        <v>1013</v>
      </c>
      <c r="J218" s="2" t="s">
        <v>30</v>
      </c>
      <c r="K218" s="2" t="s">
        <v>30</v>
      </c>
      <c r="L218" s="2" t="s">
        <v>377</v>
      </c>
      <c r="M218" s="2" t="s">
        <v>31</v>
      </c>
      <c r="N218" s="2" t="s">
        <v>492</v>
      </c>
      <c r="O218" s="2" t="s">
        <v>173</v>
      </c>
      <c r="P218" s="2" t="s">
        <v>2052</v>
      </c>
      <c r="Q218" s="2" t="s">
        <v>464</v>
      </c>
      <c r="R218" s="2" t="s">
        <v>456</v>
      </c>
      <c r="S218" s="2" t="s">
        <v>34</v>
      </c>
      <c r="T218" s="156">
        <v>4.95</v>
      </c>
      <c r="U218" s="2" t="s">
        <v>2160</v>
      </c>
      <c r="V218" s="170">
        <v>1.95E-2</v>
      </c>
      <c r="W218" s="172">
        <v>5.7970000000000001E-2</v>
      </c>
      <c r="X218" s="4" t="s">
        <v>461</v>
      </c>
      <c r="Y218" s="4" t="s">
        <v>173</v>
      </c>
      <c r="Z218" s="156">
        <v>310000</v>
      </c>
      <c r="AA218" s="166">
        <v>1</v>
      </c>
      <c r="AB218" s="183">
        <v>83.08</v>
      </c>
      <c r="AD218" s="156">
        <v>257.548</v>
      </c>
      <c r="AG218" s="2" t="s">
        <v>36</v>
      </c>
      <c r="AH218" s="172">
        <v>2.9599999999999998E-4</v>
      </c>
      <c r="AI218" s="172">
        <v>1.6520163548152601E-2</v>
      </c>
      <c r="AJ218" s="172">
        <v>2.8100472292218498E-3</v>
      </c>
    </row>
    <row r="219" spans="1:36">
      <c r="A219" s="2">
        <v>161</v>
      </c>
      <c r="B219" s="2">
        <v>9942</v>
      </c>
      <c r="C219" s="2" t="s">
        <v>2161</v>
      </c>
      <c r="D219" s="2" t="s">
        <v>2162</v>
      </c>
      <c r="E219" s="4" t="s">
        <v>1363</v>
      </c>
      <c r="F219" s="2" t="s">
        <v>2163</v>
      </c>
      <c r="G219" s="2" t="s">
        <v>2164</v>
      </c>
      <c r="H219" s="2" t="s">
        <v>223</v>
      </c>
      <c r="I219" s="2" t="s">
        <v>1013</v>
      </c>
      <c r="J219" s="2" t="s">
        <v>30</v>
      </c>
      <c r="K219" s="2" t="s">
        <v>30</v>
      </c>
      <c r="L219" s="2" t="s">
        <v>377</v>
      </c>
      <c r="M219" s="2" t="s">
        <v>31</v>
      </c>
      <c r="N219" s="2" t="s">
        <v>498</v>
      </c>
      <c r="O219" s="2" t="s">
        <v>173</v>
      </c>
      <c r="P219" s="2" t="s">
        <v>2061</v>
      </c>
      <c r="Q219" s="2" t="s">
        <v>462</v>
      </c>
      <c r="R219" s="2" t="s">
        <v>456</v>
      </c>
      <c r="S219" s="2" t="s">
        <v>34</v>
      </c>
      <c r="T219" s="156">
        <v>1.859</v>
      </c>
      <c r="U219" s="2" t="s">
        <v>2130</v>
      </c>
      <c r="V219" s="170">
        <v>2.1999999999999999E-2</v>
      </c>
      <c r="W219" s="172">
        <v>5.6399999999999999E-2</v>
      </c>
      <c r="X219" s="4" t="s">
        <v>461</v>
      </c>
      <c r="Y219" s="4" t="s">
        <v>173</v>
      </c>
      <c r="Z219" s="156">
        <v>190000</v>
      </c>
      <c r="AA219" s="166">
        <v>1</v>
      </c>
      <c r="AB219" s="183">
        <v>93.06</v>
      </c>
      <c r="AD219" s="156">
        <v>176.81399999999999</v>
      </c>
      <c r="AG219" s="2" t="s">
        <v>36</v>
      </c>
      <c r="AH219" s="172">
        <v>1.75E-4</v>
      </c>
      <c r="AI219" s="172">
        <v>1.1341560398850099E-2</v>
      </c>
      <c r="AJ219" s="172">
        <v>1.92917704966698E-3</v>
      </c>
    </row>
    <row r="220" spans="1:36">
      <c r="A220" s="2">
        <v>161</v>
      </c>
      <c r="B220" s="2">
        <v>9942</v>
      </c>
      <c r="C220" s="2" t="s">
        <v>1854</v>
      </c>
      <c r="D220" s="2" t="s">
        <v>1855</v>
      </c>
      <c r="E220" s="4" t="s">
        <v>1363</v>
      </c>
      <c r="F220" s="2" t="s">
        <v>2165</v>
      </c>
      <c r="G220" s="2" t="s">
        <v>2166</v>
      </c>
      <c r="H220" s="2" t="s">
        <v>223</v>
      </c>
      <c r="I220" s="2" t="s">
        <v>1013</v>
      </c>
      <c r="J220" s="2" t="s">
        <v>30</v>
      </c>
      <c r="K220" s="2" t="s">
        <v>30</v>
      </c>
      <c r="L220" s="2" t="s">
        <v>377</v>
      </c>
      <c r="M220" s="2" t="s">
        <v>55</v>
      </c>
      <c r="N220" s="2" t="s">
        <v>494</v>
      </c>
      <c r="O220" s="2" t="s">
        <v>173</v>
      </c>
      <c r="P220" s="2" t="s">
        <v>225</v>
      </c>
      <c r="Q220" s="2" t="s">
        <v>226</v>
      </c>
      <c r="R220" s="2" t="s">
        <v>226</v>
      </c>
      <c r="S220" s="2" t="s">
        <v>34</v>
      </c>
      <c r="T220" s="156">
        <v>2.5249999999999999</v>
      </c>
      <c r="U220" s="2" t="s">
        <v>2167</v>
      </c>
      <c r="V220" s="170">
        <v>6.5000000000000002E-2</v>
      </c>
      <c r="W220" s="172">
        <v>8.0589999999999995E-2</v>
      </c>
      <c r="X220" s="4" t="s">
        <v>461</v>
      </c>
      <c r="Y220" s="4" t="s">
        <v>173</v>
      </c>
      <c r="Z220" s="156">
        <v>80000</v>
      </c>
      <c r="AA220" s="166">
        <v>1</v>
      </c>
      <c r="AB220" s="183">
        <v>98.98</v>
      </c>
      <c r="AD220" s="156">
        <v>79.183999999999997</v>
      </c>
      <c r="AG220" s="2" t="s">
        <v>36</v>
      </c>
      <c r="AH220" s="172">
        <v>6.4499999999999996E-4</v>
      </c>
      <c r="AI220" s="172">
        <v>5.0791799214007401E-3</v>
      </c>
      <c r="AJ220" s="172">
        <v>8.6395848462695398E-4</v>
      </c>
    </row>
    <row r="221" spans="1:36">
      <c r="A221" s="2">
        <v>161</v>
      </c>
      <c r="B221" s="2">
        <v>9942</v>
      </c>
      <c r="C221" s="2" t="s">
        <v>2168</v>
      </c>
      <c r="D221" s="2" t="s">
        <v>2169</v>
      </c>
      <c r="E221" s="4" t="s">
        <v>1363</v>
      </c>
      <c r="F221" s="2" t="s">
        <v>2170</v>
      </c>
      <c r="G221" s="2" t="s">
        <v>2171</v>
      </c>
      <c r="H221" s="2" t="s">
        <v>223</v>
      </c>
      <c r="I221" s="2" t="s">
        <v>804</v>
      </c>
      <c r="J221" s="2" t="s">
        <v>30</v>
      </c>
      <c r="K221" s="2" t="s">
        <v>30</v>
      </c>
      <c r="L221" s="2" t="s">
        <v>377</v>
      </c>
      <c r="M221" s="2" t="s">
        <v>31</v>
      </c>
      <c r="N221" s="2" t="s">
        <v>487</v>
      </c>
      <c r="O221" s="2" t="s">
        <v>173</v>
      </c>
      <c r="P221" s="2" t="s">
        <v>93</v>
      </c>
      <c r="Q221" s="2" t="s">
        <v>462</v>
      </c>
      <c r="R221" s="2" t="s">
        <v>456</v>
      </c>
      <c r="S221" s="2" t="s">
        <v>34</v>
      </c>
      <c r="T221" s="156">
        <v>0.81299999999999994</v>
      </c>
      <c r="U221" s="2" t="s">
        <v>2172</v>
      </c>
      <c r="V221" s="170">
        <v>4.4999999999999998E-2</v>
      </c>
      <c r="W221" s="172">
        <v>2.615E-2</v>
      </c>
      <c r="X221" s="4" t="s">
        <v>461</v>
      </c>
      <c r="Y221" s="4" t="s">
        <v>173</v>
      </c>
      <c r="Z221" s="156">
        <v>234000</v>
      </c>
      <c r="AA221" s="166">
        <v>1</v>
      </c>
      <c r="AB221" s="183">
        <v>119.4</v>
      </c>
      <c r="AD221" s="156">
        <v>279.39600000000002</v>
      </c>
      <c r="AG221" s="2" t="s">
        <v>36</v>
      </c>
      <c r="AH221" s="172">
        <v>7.8999999999999996E-5</v>
      </c>
      <c r="AI221" s="172">
        <v>1.7921582053441101E-2</v>
      </c>
      <c r="AJ221" s="172">
        <v>3.0484257523089599E-3</v>
      </c>
    </row>
    <row r="222" spans="1:36">
      <c r="A222" s="2">
        <v>161</v>
      </c>
      <c r="B222" s="2">
        <v>9942</v>
      </c>
      <c r="C222" s="2" t="s">
        <v>2168</v>
      </c>
      <c r="D222" s="2" t="s">
        <v>2169</v>
      </c>
      <c r="E222" s="4" t="s">
        <v>1363</v>
      </c>
      <c r="F222" s="2" t="s">
        <v>2176</v>
      </c>
      <c r="G222" s="2" t="s">
        <v>2177</v>
      </c>
      <c r="H222" s="2" t="s">
        <v>223</v>
      </c>
      <c r="I222" s="2" t="s">
        <v>804</v>
      </c>
      <c r="J222" s="2" t="s">
        <v>30</v>
      </c>
      <c r="K222" s="2" t="s">
        <v>30</v>
      </c>
      <c r="L222" s="2" t="s">
        <v>377</v>
      </c>
      <c r="M222" s="2" t="s">
        <v>31</v>
      </c>
      <c r="N222" s="2" t="s">
        <v>487</v>
      </c>
      <c r="O222" s="2" t="s">
        <v>173</v>
      </c>
      <c r="P222" s="2" t="s">
        <v>93</v>
      </c>
      <c r="Q222" s="2" t="s">
        <v>462</v>
      </c>
      <c r="R222" s="2" t="s">
        <v>456</v>
      </c>
      <c r="S222" s="2" t="s">
        <v>34</v>
      </c>
      <c r="T222" s="156">
        <v>5.798</v>
      </c>
      <c r="U222" s="2" t="s">
        <v>2178</v>
      </c>
      <c r="V222" s="170">
        <v>2.3900000000000001E-2</v>
      </c>
      <c r="W222" s="172">
        <v>2.9239999999999999E-2</v>
      </c>
      <c r="X222" s="4" t="s">
        <v>461</v>
      </c>
      <c r="Y222" s="4" t="s">
        <v>173</v>
      </c>
      <c r="Z222" s="156">
        <v>160000</v>
      </c>
      <c r="AA222" s="166">
        <v>1</v>
      </c>
      <c r="AB222" s="183">
        <v>111.74</v>
      </c>
      <c r="AD222" s="156">
        <v>178.78399999999999</v>
      </c>
      <c r="AG222" s="2" t="s">
        <v>36</v>
      </c>
      <c r="AH222" s="172">
        <v>4.1E-5</v>
      </c>
      <c r="AI222" s="172">
        <v>1.1467924114312401E-2</v>
      </c>
      <c r="AJ222" s="172">
        <v>1.95067126838181E-3</v>
      </c>
    </row>
    <row r="223" spans="1:36">
      <c r="A223" s="2">
        <v>161</v>
      </c>
      <c r="B223" s="2">
        <v>9942</v>
      </c>
      <c r="C223" s="2" t="s">
        <v>2168</v>
      </c>
      <c r="D223" s="2" t="s">
        <v>2169</v>
      </c>
      <c r="E223" s="4" t="s">
        <v>1363</v>
      </c>
      <c r="F223" s="2" t="s">
        <v>2179</v>
      </c>
      <c r="G223" s="2" t="s">
        <v>2180</v>
      </c>
      <c r="H223" s="2" t="s">
        <v>223</v>
      </c>
      <c r="I223" s="2" t="s">
        <v>804</v>
      </c>
      <c r="J223" s="2" t="s">
        <v>30</v>
      </c>
      <c r="K223" s="2" t="s">
        <v>30</v>
      </c>
      <c r="L223" s="2" t="s">
        <v>377</v>
      </c>
      <c r="M223" s="2" t="s">
        <v>31</v>
      </c>
      <c r="N223" s="2" t="s">
        <v>487</v>
      </c>
      <c r="O223" s="2" t="s">
        <v>173</v>
      </c>
      <c r="P223" s="2" t="s">
        <v>93</v>
      </c>
      <c r="Q223" s="2" t="s">
        <v>462</v>
      </c>
      <c r="R223" s="2" t="s">
        <v>456</v>
      </c>
      <c r="S223" s="2" t="s">
        <v>34</v>
      </c>
      <c r="T223" s="156">
        <v>7.5629999999999997</v>
      </c>
      <c r="U223" s="2" t="s">
        <v>2181</v>
      </c>
      <c r="V223" s="170">
        <v>0.03</v>
      </c>
      <c r="W223" s="172">
        <v>3.2599999999999997E-2</v>
      </c>
      <c r="X223" s="4" t="s">
        <v>461</v>
      </c>
      <c r="Y223" s="4" t="s">
        <v>173</v>
      </c>
      <c r="Z223" s="156">
        <v>180000</v>
      </c>
      <c r="AA223" s="166">
        <v>1</v>
      </c>
      <c r="AB223" s="183">
        <v>103.71</v>
      </c>
      <c r="AD223" s="156">
        <v>186.678</v>
      </c>
      <c r="AG223" s="2" t="s">
        <v>36</v>
      </c>
      <c r="AH223" s="172">
        <v>4.3999999999999999E-5</v>
      </c>
      <c r="AI223" s="172">
        <v>1.1974276992413199E-2</v>
      </c>
      <c r="AJ223" s="172">
        <v>2.03680089403403E-3</v>
      </c>
    </row>
    <row r="224" spans="1:36">
      <c r="A224" s="2">
        <v>161</v>
      </c>
      <c r="B224" s="2">
        <v>9942</v>
      </c>
      <c r="C224" s="2" t="s">
        <v>2182</v>
      </c>
      <c r="D224" s="2" t="s">
        <v>2183</v>
      </c>
      <c r="E224" s="4" t="s">
        <v>1363</v>
      </c>
      <c r="F224" s="2" t="s">
        <v>2184</v>
      </c>
      <c r="G224" s="2" t="s">
        <v>2185</v>
      </c>
      <c r="H224" s="2" t="s">
        <v>223</v>
      </c>
      <c r="I224" s="2" t="s">
        <v>804</v>
      </c>
      <c r="J224" s="2" t="s">
        <v>30</v>
      </c>
      <c r="K224" s="2" t="s">
        <v>30</v>
      </c>
      <c r="L224" s="2" t="s">
        <v>377</v>
      </c>
      <c r="M224" s="2" t="s">
        <v>31</v>
      </c>
      <c r="N224" s="2" t="s">
        <v>509</v>
      </c>
      <c r="O224" s="2" t="s">
        <v>173</v>
      </c>
      <c r="P224" s="2" t="s">
        <v>1374</v>
      </c>
      <c r="Q224" s="2" t="s">
        <v>462</v>
      </c>
      <c r="R224" s="2" t="s">
        <v>456</v>
      </c>
      <c r="S224" s="2" t="s">
        <v>34</v>
      </c>
      <c r="T224" s="156">
        <v>1.458</v>
      </c>
      <c r="U224" s="2" t="s">
        <v>2186</v>
      </c>
      <c r="V224" s="170">
        <v>1.0500000000000001E-2</v>
      </c>
      <c r="W224" s="172">
        <v>2.4389999999999998E-2</v>
      </c>
      <c r="X224" s="4" t="s">
        <v>461</v>
      </c>
      <c r="Y224" s="4" t="s">
        <v>173</v>
      </c>
      <c r="Z224" s="156">
        <v>160000</v>
      </c>
      <c r="AA224" s="166">
        <v>1</v>
      </c>
      <c r="AB224" s="183">
        <v>112.33</v>
      </c>
      <c r="AD224" s="156">
        <v>179.72800000000001</v>
      </c>
      <c r="AG224" s="2" t="s">
        <v>36</v>
      </c>
      <c r="AH224" s="172">
        <v>7.3300000000000004E-4</v>
      </c>
      <c r="AI224" s="172">
        <v>1.15284760673054E-2</v>
      </c>
      <c r="AJ224" s="172">
        <v>1.96097103613146E-3</v>
      </c>
    </row>
    <row r="225" spans="1:36">
      <c r="A225" s="2">
        <v>161</v>
      </c>
      <c r="B225" s="2">
        <v>9942</v>
      </c>
      <c r="C225" s="2" t="s">
        <v>2182</v>
      </c>
      <c r="D225" s="2" t="s">
        <v>2183</v>
      </c>
      <c r="E225" s="4" t="s">
        <v>1363</v>
      </c>
      <c r="F225" s="2" t="s">
        <v>2187</v>
      </c>
      <c r="G225" s="2" t="s">
        <v>2188</v>
      </c>
      <c r="H225" s="2" t="s">
        <v>223</v>
      </c>
      <c r="I225" s="2" t="s">
        <v>1013</v>
      </c>
      <c r="J225" s="2" t="s">
        <v>30</v>
      </c>
      <c r="K225" s="2" t="s">
        <v>30</v>
      </c>
      <c r="L225" s="2" t="s">
        <v>377</v>
      </c>
      <c r="M225" s="2" t="s">
        <v>31</v>
      </c>
      <c r="N225" s="2" t="s">
        <v>509</v>
      </c>
      <c r="O225" s="2" t="s">
        <v>173</v>
      </c>
      <c r="P225" s="2" t="s">
        <v>1374</v>
      </c>
      <c r="Q225" s="2" t="s">
        <v>462</v>
      </c>
      <c r="R225" s="2" t="s">
        <v>456</v>
      </c>
      <c r="S225" s="2" t="s">
        <v>34</v>
      </c>
      <c r="T225" s="156">
        <v>2.1070000000000002</v>
      </c>
      <c r="U225" s="2" t="s">
        <v>2189</v>
      </c>
      <c r="V225" s="170">
        <v>2.18E-2</v>
      </c>
      <c r="W225" s="172">
        <v>5.6860000000000001E-2</v>
      </c>
      <c r="X225" s="4" t="s">
        <v>461</v>
      </c>
      <c r="Y225" s="4" t="s">
        <v>173</v>
      </c>
      <c r="Z225" s="156">
        <v>200000</v>
      </c>
      <c r="AA225" s="166">
        <v>1</v>
      </c>
      <c r="AB225" s="183">
        <v>93.37</v>
      </c>
      <c r="AD225" s="156">
        <v>186.74</v>
      </c>
      <c r="AG225" s="2" t="s">
        <v>36</v>
      </c>
      <c r="AH225" s="172">
        <v>5.8399999999999999E-4</v>
      </c>
      <c r="AI225" s="172">
        <v>1.19782539215293E-2</v>
      </c>
      <c r="AJ225" s="172">
        <v>2.0374773618311399E-3</v>
      </c>
    </row>
    <row r="226" spans="1:36">
      <c r="A226" s="2">
        <v>161</v>
      </c>
      <c r="B226" s="2">
        <v>9942</v>
      </c>
      <c r="C226" s="2" t="s">
        <v>1882</v>
      </c>
      <c r="D226" s="2" t="s">
        <v>1883</v>
      </c>
      <c r="E226" s="4" t="s">
        <v>1363</v>
      </c>
      <c r="F226" s="2" t="s">
        <v>2190</v>
      </c>
      <c r="G226" s="2" t="s">
        <v>2191</v>
      </c>
      <c r="H226" s="2" t="s">
        <v>223</v>
      </c>
      <c r="I226" s="2" t="s">
        <v>804</v>
      </c>
      <c r="J226" s="2" t="s">
        <v>30</v>
      </c>
      <c r="K226" s="2" t="s">
        <v>30</v>
      </c>
      <c r="L226" s="2" t="s">
        <v>377</v>
      </c>
      <c r="M226" s="2" t="s">
        <v>31</v>
      </c>
      <c r="N226" s="2" t="s">
        <v>511</v>
      </c>
      <c r="O226" s="2" t="s">
        <v>173</v>
      </c>
      <c r="P226" s="2" t="s">
        <v>2052</v>
      </c>
      <c r="Q226" s="2" t="s">
        <v>462</v>
      </c>
      <c r="R226" s="2" t="s">
        <v>456</v>
      </c>
      <c r="S226" s="2" t="s">
        <v>34</v>
      </c>
      <c r="T226" s="156">
        <v>2.3170000000000002</v>
      </c>
      <c r="U226" s="2" t="s">
        <v>2192</v>
      </c>
      <c r="V226" s="170">
        <v>1.5800000000000002E-2</v>
      </c>
      <c r="W226" s="172">
        <v>2.3970000000000002E-2</v>
      </c>
      <c r="X226" s="4" t="s">
        <v>461</v>
      </c>
      <c r="Y226" s="4" t="s">
        <v>173</v>
      </c>
      <c r="Z226" s="156">
        <v>69457.710000000006</v>
      </c>
      <c r="AA226" s="166">
        <v>1</v>
      </c>
      <c r="AB226" s="183">
        <v>115.04</v>
      </c>
      <c r="AD226" s="156">
        <v>79.903999999999996</v>
      </c>
      <c r="AG226" s="2" t="s">
        <v>36</v>
      </c>
      <c r="AH226" s="172">
        <v>1.6200000000000001E-4</v>
      </c>
      <c r="AI226" s="172">
        <v>5.12537320928033E-3</v>
      </c>
      <c r="AJ226" s="172">
        <v>8.7181587176700002E-4</v>
      </c>
    </row>
    <row r="227" spans="1:36">
      <c r="A227" s="2">
        <v>161</v>
      </c>
      <c r="B227" s="2">
        <v>9942</v>
      </c>
      <c r="C227" s="2" t="s">
        <v>1882</v>
      </c>
      <c r="D227" s="2" t="s">
        <v>1883</v>
      </c>
      <c r="E227" s="4" t="s">
        <v>1363</v>
      </c>
      <c r="F227" s="2" t="s">
        <v>2193</v>
      </c>
      <c r="G227" s="2" t="s">
        <v>2194</v>
      </c>
      <c r="H227" s="2" t="s">
        <v>223</v>
      </c>
      <c r="I227" s="2" t="s">
        <v>804</v>
      </c>
      <c r="J227" s="2" t="s">
        <v>30</v>
      </c>
      <c r="K227" s="2" t="s">
        <v>30</v>
      </c>
      <c r="L227" s="2" t="s">
        <v>377</v>
      </c>
      <c r="M227" s="2" t="s">
        <v>31</v>
      </c>
      <c r="N227" s="2" t="s">
        <v>511</v>
      </c>
      <c r="O227" s="2" t="s">
        <v>173</v>
      </c>
      <c r="P227" s="2" t="s">
        <v>2052</v>
      </c>
      <c r="Q227" s="2" t="s">
        <v>462</v>
      </c>
      <c r="R227" s="2" t="s">
        <v>456</v>
      </c>
      <c r="S227" s="2" t="s">
        <v>34</v>
      </c>
      <c r="T227" s="156">
        <v>4.7450000000000001</v>
      </c>
      <c r="U227" s="2" t="s">
        <v>2195</v>
      </c>
      <c r="V227" s="170">
        <v>8.3999999999999995E-3</v>
      </c>
      <c r="W227" s="172">
        <v>2.921E-2</v>
      </c>
      <c r="X227" s="4" t="s">
        <v>461</v>
      </c>
      <c r="Y227" s="4" t="s">
        <v>173</v>
      </c>
      <c r="Z227" s="156">
        <v>165362.64000000001</v>
      </c>
      <c r="AA227" s="166">
        <v>1</v>
      </c>
      <c r="AB227" s="183">
        <v>104.22</v>
      </c>
      <c r="AD227" s="156">
        <v>172.34100000000001</v>
      </c>
      <c r="AG227" s="2" t="s">
        <v>36</v>
      </c>
      <c r="AH227" s="172">
        <v>2.0799999999999999E-4</v>
      </c>
      <c r="AI227" s="172">
        <v>1.10546405762929E-2</v>
      </c>
      <c r="AJ227" s="172">
        <v>1.8803725538739601E-3</v>
      </c>
    </row>
    <row r="228" spans="1:36">
      <c r="A228" s="2">
        <v>161</v>
      </c>
      <c r="B228" s="2">
        <v>9942</v>
      </c>
      <c r="C228" s="2" t="s">
        <v>2196</v>
      </c>
      <c r="D228" s="2" t="s">
        <v>2197</v>
      </c>
      <c r="E228" s="4" t="s">
        <v>1363</v>
      </c>
      <c r="F228" s="2" t="s">
        <v>2198</v>
      </c>
      <c r="G228" s="2" t="s">
        <v>2199</v>
      </c>
      <c r="H228" s="2" t="s">
        <v>223</v>
      </c>
      <c r="I228" s="2" t="s">
        <v>1013</v>
      </c>
      <c r="J228" s="2" t="s">
        <v>30</v>
      </c>
      <c r="K228" s="2" t="s">
        <v>30</v>
      </c>
      <c r="L228" s="2" t="s">
        <v>377</v>
      </c>
      <c r="M228" s="2" t="s">
        <v>31</v>
      </c>
      <c r="N228" s="2" t="s">
        <v>492</v>
      </c>
      <c r="O228" s="2" t="s">
        <v>173</v>
      </c>
      <c r="P228" s="2" t="s">
        <v>1374</v>
      </c>
      <c r="Q228" s="2" t="s">
        <v>462</v>
      </c>
      <c r="R228" s="2" t="s">
        <v>456</v>
      </c>
      <c r="S228" s="2" t="s">
        <v>34</v>
      </c>
      <c r="T228" s="156">
        <v>9.0619999999999994</v>
      </c>
      <c r="U228" s="2" t="s">
        <v>2200</v>
      </c>
      <c r="V228" s="170">
        <v>2.5000000000000001E-2</v>
      </c>
      <c r="W228" s="172">
        <v>6.0569999999999999E-2</v>
      </c>
      <c r="X228" s="4" t="s">
        <v>461</v>
      </c>
      <c r="Y228" s="4" t="s">
        <v>173</v>
      </c>
      <c r="Z228" s="156">
        <v>270000</v>
      </c>
      <c r="AA228" s="166">
        <v>1</v>
      </c>
      <c r="AB228" s="183">
        <v>79.27</v>
      </c>
      <c r="AD228" s="156">
        <v>214.029</v>
      </c>
      <c r="AG228" s="2" t="s">
        <v>36</v>
      </c>
      <c r="AH228" s="172">
        <v>2.02E-4</v>
      </c>
      <c r="AI228" s="172">
        <v>1.3728680028761899E-2</v>
      </c>
      <c r="AJ228" s="172">
        <v>2.3352213895006901E-3</v>
      </c>
    </row>
    <row r="229" spans="1:36">
      <c r="A229" s="2">
        <v>161</v>
      </c>
      <c r="B229" s="2">
        <v>9942</v>
      </c>
      <c r="C229" s="2" t="s">
        <v>1222</v>
      </c>
      <c r="D229" s="2" t="s">
        <v>1618</v>
      </c>
      <c r="E229" s="4" t="s">
        <v>1363</v>
      </c>
      <c r="F229" s="2" t="s">
        <v>2203</v>
      </c>
      <c r="G229" s="2" t="s">
        <v>2204</v>
      </c>
      <c r="H229" s="2" t="s">
        <v>223</v>
      </c>
      <c r="I229" s="2" t="s">
        <v>804</v>
      </c>
      <c r="J229" s="2" t="s">
        <v>30</v>
      </c>
      <c r="K229" s="2" t="s">
        <v>30</v>
      </c>
      <c r="L229" s="2" t="s">
        <v>377</v>
      </c>
      <c r="M229" s="2" t="s">
        <v>31</v>
      </c>
      <c r="N229" s="2" t="s">
        <v>495</v>
      </c>
      <c r="O229" s="2" t="s">
        <v>173</v>
      </c>
      <c r="P229" s="2" t="s">
        <v>1224</v>
      </c>
      <c r="Q229" s="2" t="s">
        <v>462</v>
      </c>
      <c r="R229" s="2" t="s">
        <v>456</v>
      </c>
      <c r="S229" s="2" t="s">
        <v>34</v>
      </c>
      <c r="T229" s="156">
        <v>2.5819999999999999</v>
      </c>
      <c r="U229" s="2" t="s">
        <v>2205</v>
      </c>
      <c r="V229" s="170">
        <v>1.8599999999999998E-2</v>
      </c>
      <c r="W229" s="172">
        <v>2.257E-2</v>
      </c>
      <c r="X229" s="4" t="s">
        <v>461</v>
      </c>
      <c r="Y229" s="4" t="s">
        <v>173</v>
      </c>
      <c r="Z229" s="156">
        <v>127000</v>
      </c>
      <c r="AA229" s="166">
        <v>1</v>
      </c>
      <c r="AB229" s="183">
        <v>102.67</v>
      </c>
      <c r="AD229" s="156">
        <v>130.39099999999999</v>
      </c>
      <c r="AG229" s="2" t="s">
        <v>36</v>
      </c>
      <c r="AH229" s="172">
        <v>6.8999999999999997E-5</v>
      </c>
      <c r="AI229" s="172">
        <v>8.3637962367823192E-3</v>
      </c>
      <c r="AJ229" s="172">
        <v>1.4226652401134699E-3</v>
      </c>
    </row>
    <row r="230" spans="1:36">
      <c r="A230" s="2">
        <v>161</v>
      </c>
      <c r="B230" s="2">
        <v>9942</v>
      </c>
      <c r="C230" s="2" t="s">
        <v>1222</v>
      </c>
      <c r="D230" s="2" t="s">
        <v>1618</v>
      </c>
      <c r="E230" s="4" t="s">
        <v>1363</v>
      </c>
      <c r="F230" s="2" t="s">
        <v>2206</v>
      </c>
      <c r="G230" s="2" t="s">
        <v>2207</v>
      </c>
      <c r="H230" s="2" t="s">
        <v>223</v>
      </c>
      <c r="I230" s="2" t="s">
        <v>804</v>
      </c>
      <c r="J230" s="2" t="s">
        <v>30</v>
      </c>
      <c r="K230" s="2" t="s">
        <v>30</v>
      </c>
      <c r="L230" s="2" t="s">
        <v>377</v>
      </c>
      <c r="M230" s="2" t="s">
        <v>31</v>
      </c>
      <c r="N230" s="2" t="s">
        <v>495</v>
      </c>
      <c r="O230" s="2" t="s">
        <v>173</v>
      </c>
      <c r="P230" s="2" t="s">
        <v>1224</v>
      </c>
      <c r="Q230" s="2" t="s">
        <v>462</v>
      </c>
      <c r="R230" s="2" t="s">
        <v>456</v>
      </c>
      <c r="S230" s="2" t="s">
        <v>34</v>
      </c>
      <c r="T230" s="156">
        <v>3.1440000000000001</v>
      </c>
      <c r="U230" s="2" t="s">
        <v>2208</v>
      </c>
      <c r="V230" s="170">
        <v>1E-3</v>
      </c>
      <c r="W230" s="172">
        <v>2.307E-2</v>
      </c>
      <c r="X230" s="4" t="s">
        <v>461</v>
      </c>
      <c r="Y230" s="4" t="s">
        <v>173</v>
      </c>
      <c r="Z230" s="156">
        <v>122000</v>
      </c>
      <c r="AA230" s="166">
        <v>1</v>
      </c>
      <c r="AB230" s="183">
        <v>105.15</v>
      </c>
      <c r="AD230" s="156">
        <v>128.28299999999999</v>
      </c>
      <c r="AG230" s="2" t="s">
        <v>36</v>
      </c>
      <c r="AH230" s="172">
        <v>3.8999999999999999E-5</v>
      </c>
      <c r="AI230" s="172">
        <v>8.2285870612377604E-3</v>
      </c>
      <c r="AJ230" s="172">
        <v>1.3996664260886001E-3</v>
      </c>
    </row>
    <row r="231" spans="1:36">
      <c r="A231" s="2">
        <v>161</v>
      </c>
      <c r="B231" s="2">
        <v>9942</v>
      </c>
      <c r="C231" s="2" t="s">
        <v>1222</v>
      </c>
      <c r="D231" s="2" t="s">
        <v>1618</v>
      </c>
      <c r="E231" s="4" t="s">
        <v>1363</v>
      </c>
      <c r="F231" s="2" t="s">
        <v>2209</v>
      </c>
      <c r="G231" s="2" t="s">
        <v>2210</v>
      </c>
      <c r="H231" s="2" t="s">
        <v>223</v>
      </c>
      <c r="I231" s="2" t="s">
        <v>1013</v>
      </c>
      <c r="J231" s="2" t="s">
        <v>30</v>
      </c>
      <c r="K231" s="2" t="s">
        <v>30</v>
      </c>
      <c r="L231" s="2" t="s">
        <v>377</v>
      </c>
      <c r="M231" s="2" t="s">
        <v>31</v>
      </c>
      <c r="N231" s="2" t="s">
        <v>495</v>
      </c>
      <c r="O231" s="2" t="s">
        <v>173</v>
      </c>
      <c r="P231" s="2" t="s">
        <v>1224</v>
      </c>
      <c r="Q231" s="2" t="s">
        <v>462</v>
      </c>
      <c r="R231" s="2" t="s">
        <v>456</v>
      </c>
      <c r="S231" s="2" t="s">
        <v>34</v>
      </c>
      <c r="T231" s="156">
        <v>3.1080000000000001</v>
      </c>
      <c r="U231" s="2" t="s">
        <v>2211</v>
      </c>
      <c r="V231" s="170">
        <v>2.76E-2</v>
      </c>
      <c r="W231" s="172">
        <v>5.0979999999999998E-2</v>
      </c>
      <c r="X231" s="4" t="s">
        <v>461</v>
      </c>
      <c r="Y231" s="4" t="s">
        <v>173</v>
      </c>
      <c r="Z231" s="156">
        <v>380000</v>
      </c>
      <c r="AA231" s="166">
        <v>1</v>
      </c>
      <c r="AB231" s="183">
        <v>94.29</v>
      </c>
      <c r="AD231" s="156">
        <v>358.30200000000002</v>
      </c>
      <c r="AG231" s="2" t="s">
        <v>36</v>
      </c>
      <c r="AH231" s="172">
        <v>2.8400000000000002E-4</v>
      </c>
      <c r="AI231" s="172">
        <v>2.2982929937837501E-2</v>
      </c>
      <c r="AJ231" s="172">
        <v>3.9093510426198097E-3</v>
      </c>
    </row>
    <row r="232" spans="1:36">
      <c r="A232" s="2">
        <v>161</v>
      </c>
      <c r="B232" s="2">
        <v>9942</v>
      </c>
      <c r="C232" s="2" t="s">
        <v>1222</v>
      </c>
      <c r="D232" s="2" t="s">
        <v>1618</v>
      </c>
      <c r="E232" s="4" t="s">
        <v>1363</v>
      </c>
      <c r="F232" s="2" t="s">
        <v>2212</v>
      </c>
      <c r="G232" s="2" t="s">
        <v>2213</v>
      </c>
      <c r="H232" s="2" t="s">
        <v>223</v>
      </c>
      <c r="I232" s="2" t="s">
        <v>804</v>
      </c>
      <c r="J232" s="2" t="s">
        <v>30</v>
      </c>
      <c r="K232" s="2" t="s">
        <v>30</v>
      </c>
      <c r="L232" s="2" t="s">
        <v>377</v>
      </c>
      <c r="M232" s="2" t="s">
        <v>31</v>
      </c>
      <c r="N232" s="2" t="s">
        <v>495</v>
      </c>
      <c r="O232" s="2" t="s">
        <v>173</v>
      </c>
      <c r="P232" s="2" t="s">
        <v>1224</v>
      </c>
      <c r="Q232" s="2" t="s">
        <v>462</v>
      </c>
      <c r="R232" s="2" t="s">
        <v>456</v>
      </c>
      <c r="S232" s="2" t="s">
        <v>34</v>
      </c>
      <c r="T232" s="156">
        <v>5.0449999999999999</v>
      </c>
      <c r="U232" s="2" t="s">
        <v>2214</v>
      </c>
      <c r="V232" s="170">
        <v>2.0199999999999999E-2</v>
      </c>
      <c r="W232" s="172">
        <v>2.5940000000000001E-2</v>
      </c>
      <c r="X232" s="4" t="s">
        <v>461</v>
      </c>
      <c r="Y232" s="4" t="s">
        <v>173</v>
      </c>
      <c r="Z232" s="156">
        <v>127000</v>
      </c>
      <c r="AA232" s="166">
        <v>1</v>
      </c>
      <c r="AB232" s="183">
        <v>101.35</v>
      </c>
      <c r="AD232" s="156">
        <v>128.714</v>
      </c>
      <c r="AG232" s="2" t="s">
        <v>36</v>
      </c>
      <c r="AH232" s="172">
        <v>3.6000000000000001E-5</v>
      </c>
      <c r="AI232" s="172">
        <v>8.2562652050052407E-3</v>
      </c>
      <c r="AJ232" s="172">
        <v>1.40437442374111E-3</v>
      </c>
    </row>
    <row r="233" spans="1:36">
      <c r="A233" s="2">
        <v>161</v>
      </c>
      <c r="B233" s="2">
        <v>9942</v>
      </c>
      <c r="C233" s="2" t="s">
        <v>1222</v>
      </c>
      <c r="D233" s="2" t="s">
        <v>1618</v>
      </c>
      <c r="E233" s="4" t="s">
        <v>1363</v>
      </c>
      <c r="F233" s="2" t="s">
        <v>2215</v>
      </c>
      <c r="G233" s="2" t="s">
        <v>2216</v>
      </c>
      <c r="H233" s="2" t="s">
        <v>223</v>
      </c>
      <c r="I233" s="2" t="s">
        <v>804</v>
      </c>
      <c r="J233" s="2" t="s">
        <v>30</v>
      </c>
      <c r="K233" s="2" t="s">
        <v>30</v>
      </c>
      <c r="L233" s="2" t="s">
        <v>377</v>
      </c>
      <c r="M233" s="2" t="s">
        <v>31</v>
      </c>
      <c r="N233" s="2" t="s">
        <v>495</v>
      </c>
      <c r="O233" s="2" t="s">
        <v>173</v>
      </c>
      <c r="P233" s="2" t="s">
        <v>1224</v>
      </c>
      <c r="Q233" s="2" t="s">
        <v>462</v>
      </c>
      <c r="R233" s="2" t="s">
        <v>456</v>
      </c>
      <c r="S233" s="2" t="s">
        <v>34</v>
      </c>
      <c r="T233" s="156">
        <v>5.1369999999999996</v>
      </c>
      <c r="U233" s="2" t="s">
        <v>2217</v>
      </c>
      <c r="V233" s="170">
        <v>1E-3</v>
      </c>
      <c r="W233" s="172">
        <v>2.622E-2</v>
      </c>
      <c r="X233" s="4" t="s">
        <v>461</v>
      </c>
      <c r="Y233" s="4" t="s">
        <v>173</v>
      </c>
      <c r="Z233" s="156">
        <v>127000</v>
      </c>
      <c r="AA233" s="166">
        <v>1</v>
      </c>
      <c r="AB233" s="183">
        <v>99.1</v>
      </c>
      <c r="AD233" s="156">
        <v>125.857</v>
      </c>
      <c r="AG233" s="2" t="s">
        <v>36</v>
      </c>
      <c r="AH233" s="172">
        <v>5.1E-5</v>
      </c>
      <c r="AI233" s="172">
        <v>8.0729736735670396E-3</v>
      </c>
      <c r="AJ233" s="172">
        <v>1.3731968958336899E-3</v>
      </c>
    </row>
    <row r="234" spans="1:36">
      <c r="A234" s="2">
        <v>161</v>
      </c>
      <c r="B234" s="2">
        <v>9942</v>
      </c>
      <c r="C234" s="2" t="s">
        <v>1886</v>
      </c>
      <c r="D234" s="2" t="s">
        <v>1887</v>
      </c>
      <c r="E234" s="4" t="s">
        <v>1363</v>
      </c>
      <c r="F234" s="2" t="s">
        <v>2218</v>
      </c>
      <c r="G234" s="2" t="s">
        <v>2219</v>
      </c>
      <c r="H234" s="2" t="s">
        <v>223</v>
      </c>
      <c r="I234" s="2" t="s">
        <v>804</v>
      </c>
      <c r="J234" s="2" t="s">
        <v>30</v>
      </c>
      <c r="K234" s="2" t="s">
        <v>30</v>
      </c>
      <c r="L234" s="2" t="s">
        <v>377</v>
      </c>
      <c r="M234" s="2" t="s">
        <v>31</v>
      </c>
      <c r="N234" s="2" t="s">
        <v>511</v>
      </c>
      <c r="O234" s="2" t="s">
        <v>173</v>
      </c>
      <c r="P234" s="2" t="s">
        <v>2052</v>
      </c>
      <c r="Q234" s="2" t="s">
        <v>462</v>
      </c>
      <c r="R234" s="2" t="s">
        <v>456</v>
      </c>
      <c r="S234" s="2" t="s">
        <v>34</v>
      </c>
      <c r="T234" s="156">
        <v>3.4409999999999998</v>
      </c>
      <c r="U234" s="2" t="s">
        <v>2151</v>
      </c>
      <c r="V234" s="170">
        <v>2.81E-2</v>
      </c>
      <c r="W234" s="172">
        <v>2.9329999999999998E-2</v>
      </c>
      <c r="X234" s="4" t="s">
        <v>461</v>
      </c>
      <c r="Y234" s="4" t="s">
        <v>173</v>
      </c>
      <c r="Z234" s="156">
        <v>90000</v>
      </c>
      <c r="AA234" s="166">
        <v>1</v>
      </c>
      <c r="AB234" s="183">
        <v>117.13</v>
      </c>
      <c r="AD234" s="156">
        <v>105.417</v>
      </c>
      <c r="AG234" s="2" t="s">
        <v>36</v>
      </c>
      <c r="AH234" s="172">
        <v>6.4999999999999994E-5</v>
      </c>
      <c r="AI234" s="172">
        <v>6.76186994562414E-3</v>
      </c>
      <c r="AJ234" s="172">
        <v>1.1501807382036701E-3</v>
      </c>
    </row>
    <row r="235" spans="1:36">
      <c r="A235" s="2">
        <v>161</v>
      </c>
      <c r="B235" s="2">
        <v>9942</v>
      </c>
      <c r="C235" s="2" t="s">
        <v>1886</v>
      </c>
      <c r="D235" s="2" t="s">
        <v>1887</v>
      </c>
      <c r="E235" s="4" t="s">
        <v>1363</v>
      </c>
      <c r="F235" s="2" t="s">
        <v>2385</v>
      </c>
      <c r="G235" s="2" t="s">
        <v>2386</v>
      </c>
      <c r="H235" s="2" t="s">
        <v>223</v>
      </c>
      <c r="I235" s="2" t="s">
        <v>804</v>
      </c>
      <c r="J235" s="2" t="s">
        <v>30</v>
      </c>
      <c r="K235" s="2" t="s">
        <v>30</v>
      </c>
      <c r="L235" s="2" t="s">
        <v>377</v>
      </c>
      <c r="M235" s="2" t="s">
        <v>31</v>
      </c>
      <c r="N235" s="2" t="s">
        <v>511</v>
      </c>
      <c r="O235" s="2" t="s">
        <v>173</v>
      </c>
      <c r="P235" s="2" t="s">
        <v>2052</v>
      </c>
      <c r="Q235" s="2" t="s">
        <v>462</v>
      </c>
      <c r="R235" s="2" t="s">
        <v>456</v>
      </c>
      <c r="S235" s="2" t="s">
        <v>34</v>
      </c>
      <c r="T235" s="156">
        <v>2.024</v>
      </c>
      <c r="U235" s="2" t="s">
        <v>2130</v>
      </c>
      <c r="V235" s="170">
        <v>3.6999999999999998E-2</v>
      </c>
      <c r="W235" s="172">
        <v>2.6419999999999999E-2</v>
      </c>
      <c r="X235" s="4" t="s">
        <v>461</v>
      </c>
      <c r="Y235" s="4" t="s">
        <v>173</v>
      </c>
      <c r="Z235" s="156">
        <v>122898.78</v>
      </c>
      <c r="AA235" s="166">
        <v>1</v>
      </c>
      <c r="AB235" s="183">
        <v>119.19</v>
      </c>
      <c r="AD235" s="156">
        <v>146.483</v>
      </c>
      <c r="AG235" s="2" t="s">
        <v>36</v>
      </c>
      <c r="AH235" s="172">
        <v>4.0900000000000002E-4</v>
      </c>
      <c r="AI235" s="172">
        <v>9.3960117733541699E-3</v>
      </c>
      <c r="AJ235" s="172">
        <v>1.5982430665707501E-3</v>
      </c>
    </row>
    <row r="236" spans="1:36">
      <c r="A236" s="2">
        <v>161</v>
      </c>
      <c r="B236" s="2">
        <v>9942</v>
      </c>
      <c r="C236" s="2" t="s">
        <v>2220</v>
      </c>
      <c r="D236" s="2" t="s">
        <v>2221</v>
      </c>
      <c r="E236" s="4" t="s">
        <v>1363</v>
      </c>
      <c r="F236" s="2" t="s">
        <v>2222</v>
      </c>
      <c r="G236" s="2" t="s">
        <v>2223</v>
      </c>
      <c r="H236" s="2" t="s">
        <v>223</v>
      </c>
      <c r="I236" s="2" t="s">
        <v>1013</v>
      </c>
      <c r="J236" s="2" t="s">
        <v>30</v>
      </c>
      <c r="K236" s="2" t="s">
        <v>30</v>
      </c>
      <c r="L236" s="2" t="s">
        <v>377</v>
      </c>
      <c r="M236" s="2" t="s">
        <v>31</v>
      </c>
      <c r="N236" s="2" t="s">
        <v>492</v>
      </c>
      <c r="O236" s="2" t="s">
        <v>173</v>
      </c>
      <c r="P236" s="2" t="s">
        <v>2061</v>
      </c>
      <c r="Q236" s="2" t="s">
        <v>464</v>
      </c>
      <c r="R236" s="2" t="s">
        <v>456</v>
      </c>
      <c r="S236" s="2" t="s">
        <v>34</v>
      </c>
      <c r="T236" s="156">
        <v>2.13</v>
      </c>
      <c r="U236" s="2" t="s">
        <v>2224</v>
      </c>
      <c r="V236" s="170">
        <v>4.1000000000000002E-2</v>
      </c>
      <c r="W236" s="172">
        <v>5.416E-2</v>
      </c>
      <c r="X236" s="4" t="s">
        <v>461</v>
      </c>
      <c r="Y236" s="4" t="s">
        <v>173</v>
      </c>
      <c r="Z236" s="156">
        <v>130000</v>
      </c>
      <c r="AA236" s="166">
        <v>1</v>
      </c>
      <c r="AB236" s="183">
        <v>100.34</v>
      </c>
      <c r="AD236" s="156">
        <v>130.44200000000001</v>
      </c>
      <c r="AG236" s="2" t="s">
        <v>36</v>
      </c>
      <c r="AH236" s="172">
        <v>1.8200000000000001E-4</v>
      </c>
      <c r="AI236" s="172">
        <v>8.3670739961021808E-3</v>
      </c>
      <c r="AJ236" s="172">
        <v>1.4232227805075399E-3</v>
      </c>
    </row>
    <row r="237" spans="1:36">
      <c r="A237" s="2">
        <v>161</v>
      </c>
      <c r="B237" s="2">
        <v>9942</v>
      </c>
      <c r="C237" s="2" t="s">
        <v>2225</v>
      </c>
      <c r="D237" s="2" t="s">
        <v>2226</v>
      </c>
      <c r="E237" s="4" t="s">
        <v>1363</v>
      </c>
      <c r="F237" s="2" t="s">
        <v>2227</v>
      </c>
      <c r="G237" s="2" t="s">
        <v>2228</v>
      </c>
      <c r="H237" s="2" t="s">
        <v>223</v>
      </c>
      <c r="I237" s="2" t="s">
        <v>804</v>
      </c>
      <c r="J237" s="2" t="s">
        <v>30</v>
      </c>
      <c r="K237" s="2" t="s">
        <v>30</v>
      </c>
      <c r="L237" s="2" t="s">
        <v>377</v>
      </c>
      <c r="M237" s="2" t="s">
        <v>31</v>
      </c>
      <c r="N237" s="2" t="s">
        <v>511</v>
      </c>
      <c r="O237" s="2" t="s">
        <v>173</v>
      </c>
      <c r="P237" s="2" t="s">
        <v>2061</v>
      </c>
      <c r="Q237" s="2" t="s">
        <v>462</v>
      </c>
      <c r="R237" s="2" t="s">
        <v>456</v>
      </c>
      <c r="S237" s="2" t="s">
        <v>34</v>
      </c>
      <c r="T237" s="156">
        <v>1.8720000000000001</v>
      </c>
      <c r="U237" s="2" t="s">
        <v>2229</v>
      </c>
      <c r="V237" s="170">
        <v>2.0500000000000001E-2</v>
      </c>
      <c r="W237" s="172">
        <v>2.6960000000000001E-2</v>
      </c>
      <c r="X237" s="4" t="s">
        <v>461</v>
      </c>
      <c r="Y237" s="4" t="s">
        <v>173</v>
      </c>
      <c r="Z237" s="156">
        <v>146954.67000000001</v>
      </c>
      <c r="AA237" s="166">
        <v>1</v>
      </c>
      <c r="AB237" s="183">
        <v>115.69</v>
      </c>
      <c r="AD237" s="156">
        <v>170.012</v>
      </c>
      <c r="AG237" s="2" t="s">
        <v>36</v>
      </c>
      <c r="AH237" s="172">
        <v>1.95E-4</v>
      </c>
      <c r="AI237" s="172">
        <v>1.09052436621881E-2</v>
      </c>
      <c r="AJ237" s="172">
        <v>1.8549604335090001E-3</v>
      </c>
    </row>
    <row r="238" spans="1:36">
      <c r="A238" s="2">
        <v>161</v>
      </c>
      <c r="B238" s="2">
        <v>9942</v>
      </c>
      <c r="C238" s="2" t="s">
        <v>2230</v>
      </c>
      <c r="D238" s="2" t="s">
        <v>2231</v>
      </c>
      <c r="E238" s="4" t="s">
        <v>1363</v>
      </c>
      <c r="F238" s="2" t="s">
        <v>2232</v>
      </c>
      <c r="G238" s="2" t="s">
        <v>2233</v>
      </c>
      <c r="H238" s="2" t="s">
        <v>223</v>
      </c>
      <c r="I238" s="2" t="s">
        <v>804</v>
      </c>
      <c r="J238" s="2" t="s">
        <v>30</v>
      </c>
      <c r="K238" s="2" t="s">
        <v>30</v>
      </c>
      <c r="L238" s="2" t="s">
        <v>377</v>
      </c>
      <c r="M238" s="2" t="s">
        <v>31</v>
      </c>
      <c r="N238" s="2" t="s">
        <v>495</v>
      </c>
      <c r="O238" s="2" t="s">
        <v>173</v>
      </c>
      <c r="P238" s="2" t="s">
        <v>1224</v>
      </c>
      <c r="Q238" s="2" t="s">
        <v>462</v>
      </c>
      <c r="R238" s="2" t="s">
        <v>456</v>
      </c>
      <c r="S238" s="2" t="s">
        <v>34</v>
      </c>
      <c r="T238" s="156">
        <v>4.0069999999999997</v>
      </c>
      <c r="U238" s="2" t="s">
        <v>2234</v>
      </c>
      <c r="V238" s="170">
        <v>1E-3</v>
      </c>
      <c r="W238" s="172">
        <v>2.5020000000000001E-2</v>
      </c>
      <c r="X238" s="4" t="s">
        <v>461</v>
      </c>
      <c r="Y238" s="4" t="s">
        <v>173</v>
      </c>
      <c r="Z238" s="156">
        <v>36957</v>
      </c>
      <c r="AA238" s="166">
        <v>1</v>
      </c>
      <c r="AB238" s="183">
        <v>102.41</v>
      </c>
      <c r="AD238" s="156">
        <v>37.847999999999999</v>
      </c>
      <c r="AG238" s="2" t="s">
        <v>36</v>
      </c>
      <c r="AH238" s="172">
        <v>1.1E-5</v>
      </c>
      <c r="AI238" s="172">
        <v>2.4277012216731599E-3</v>
      </c>
      <c r="AJ238" s="172">
        <v>4.1294718853458501E-4</v>
      </c>
    </row>
    <row r="239" spans="1:36">
      <c r="A239" s="2">
        <v>161</v>
      </c>
      <c r="B239" s="2">
        <v>9942</v>
      </c>
      <c r="C239" s="2" t="s">
        <v>2230</v>
      </c>
      <c r="D239" s="2" t="s">
        <v>2231</v>
      </c>
      <c r="E239" s="4" t="s">
        <v>1363</v>
      </c>
      <c r="F239" s="2" t="s">
        <v>2235</v>
      </c>
      <c r="G239" s="2" t="s">
        <v>2236</v>
      </c>
      <c r="H239" s="2" t="s">
        <v>223</v>
      </c>
      <c r="I239" s="2" t="s">
        <v>804</v>
      </c>
      <c r="J239" s="2" t="s">
        <v>30</v>
      </c>
      <c r="K239" s="2" t="s">
        <v>30</v>
      </c>
      <c r="L239" s="2" t="s">
        <v>377</v>
      </c>
      <c r="M239" s="2" t="s">
        <v>31</v>
      </c>
      <c r="N239" s="2" t="s">
        <v>495</v>
      </c>
      <c r="O239" s="2" t="s">
        <v>173</v>
      </c>
      <c r="P239" s="2" t="s">
        <v>1224</v>
      </c>
      <c r="Q239" s="2" t="s">
        <v>464</v>
      </c>
      <c r="R239" s="2" t="s">
        <v>456</v>
      </c>
      <c r="S239" s="2" t="s">
        <v>34</v>
      </c>
      <c r="T239" s="156">
        <v>2.16</v>
      </c>
      <c r="U239" s="2" t="s">
        <v>2237</v>
      </c>
      <c r="V239" s="170">
        <v>5.0000000000000001E-3</v>
      </c>
      <c r="W239" s="172">
        <v>2.1420000000000002E-2</v>
      </c>
      <c r="X239" s="4" t="s">
        <v>461</v>
      </c>
      <c r="Y239" s="4" t="s">
        <v>173</v>
      </c>
      <c r="Z239" s="156">
        <v>89000</v>
      </c>
      <c r="AA239" s="166">
        <v>1</v>
      </c>
      <c r="AB239" s="183">
        <v>110.72</v>
      </c>
      <c r="AD239" s="156">
        <v>98.540999999999997</v>
      </c>
      <c r="AG239" s="2" t="s">
        <v>36</v>
      </c>
      <c r="AH239" s="172">
        <v>1.17E-4</v>
      </c>
      <c r="AI239" s="172">
        <v>6.3208028490448296E-3</v>
      </c>
      <c r="AJ239" s="172">
        <v>1.0751560951950899E-3</v>
      </c>
    </row>
    <row r="240" spans="1:36">
      <c r="A240" s="2">
        <v>161</v>
      </c>
      <c r="B240" s="2">
        <v>9942</v>
      </c>
      <c r="C240" s="2" t="s">
        <v>2230</v>
      </c>
      <c r="D240" s="2" t="s">
        <v>2231</v>
      </c>
      <c r="E240" s="4" t="s">
        <v>1363</v>
      </c>
      <c r="F240" s="2" t="s">
        <v>2241</v>
      </c>
      <c r="G240" s="2" t="s">
        <v>2242</v>
      </c>
      <c r="H240" s="2" t="s">
        <v>223</v>
      </c>
      <c r="I240" s="2" t="s">
        <v>804</v>
      </c>
      <c r="J240" s="2" t="s">
        <v>30</v>
      </c>
      <c r="K240" s="2" t="s">
        <v>30</v>
      </c>
      <c r="L240" s="2" t="s">
        <v>377</v>
      </c>
      <c r="M240" s="2" t="s">
        <v>31</v>
      </c>
      <c r="N240" s="2" t="s">
        <v>495</v>
      </c>
      <c r="O240" s="2" t="s">
        <v>173</v>
      </c>
      <c r="P240" s="2" t="s">
        <v>1224</v>
      </c>
      <c r="Q240" s="2" t="s">
        <v>464</v>
      </c>
      <c r="R240" s="2" t="s">
        <v>456</v>
      </c>
      <c r="S240" s="2" t="s">
        <v>34</v>
      </c>
      <c r="T240" s="156">
        <v>0.375</v>
      </c>
      <c r="U240" s="2" t="s">
        <v>2243</v>
      </c>
      <c r="V240" s="170">
        <v>9.4999999999999998E-3</v>
      </c>
      <c r="W240" s="172">
        <v>2.657E-2</v>
      </c>
      <c r="X240" s="4" t="s">
        <v>461</v>
      </c>
      <c r="Y240" s="4" t="s">
        <v>173</v>
      </c>
      <c r="Z240" s="156">
        <v>32200</v>
      </c>
      <c r="AA240" s="166">
        <v>1</v>
      </c>
      <c r="AB240" s="183">
        <v>116.08</v>
      </c>
      <c r="AD240" s="156">
        <v>37.378</v>
      </c>
      <c r="AG240" s="2" t="s">
        <v>36</v>
      </c>
      <c r="AH240" s="172">
        <v>2.0000000000000001E-4</v>
      </c>
      <c r="AI240" s="172">
        <v>2.3975597102815702E-3</v>
      </c>
      <c r="AJ240" s="172">
        <v>4.0782017690884498E-4</v>
      </c>
    </row>
    <row r="241" spans="1:36">
      <c r="A241" s="2">
        <v>161</v>
      </c>
      <c r="B241" s="2">
        <v>9942</v>
      </c>
      <c r="C241" s="2" t="s">
        <v>2230</v>
      </c>
      <c r="D241" s="2" t="s">
        <v>2231</v>
      </c>
      <c r="E241" s="4" t="s">
        <v>1363</v>
      </c>
      <c r="F241" s="2" t="s">
        <v>2244</v>
      </c>
      <c r="G241" s="2" t="s">
        <v>2245</v>
      </c>
      <c r="H241" s="2" t="s">
        <v>223</v>
      </c>
      <c r="I241" s="2" t="s">
        <v>804</v>
      </c>
      <c r="J241" s="2" t="s">
        <v>30</v>
      </c>
      <c r="K241" s="2" t="s">
        <v>30</v>
      </c>
      <c r="L241" s="2" t="s">
        <v>377</v>
      </c>
      <c r="M241" s="2" t="s">
        <v>31</v>
      </c>
      <c r="N241" s="2" t="s">
        <v>495</v>
      </c>
      <c r="O241" s="2" t="s">
        <v>173</v>
      </c>
      <c r="P241" s="2" t="s">
        <v>1224</v>
      </c>
      <c r="Q241" s="2" t="s">
        <v>462</v>
      </c>
      <c r="R241" s="2" t="s">
        <v>456</v>
      </c>
      <c r="S241" s="2" t="s">
        <v>34</v>
      </c>
      <c r="T241" s="156">
        <v>1.681</v>
      </c>
      <c r="U241" s="2" t="s">
        <v>2246</v>
      </c>
      <c r="V241" s="170">
        <v>3.8E-3</v>
      </c>
      <c r="W241" s="172">
        <v>2.1440000000000001E-2</v>
      </c>
      <c r="X241" s="4" t="s">
        <v>461</v>
      </c>
      <c r="Y241" s="4" t="s">
        <v>173</v>
      </c>
      <c r="Z241" s="156">
        <v>112734</v>
      </c>
      <c r="AA241" s="166">
        <v>1</v>
      </c>
      <c r="AB241" s="183">
        <v>110.39</v>
      </c>
      <c r="AD241" s="156">
        <v>124.447</v>
      </c>
      <c r="AG241" s="2" t="s">
        <v>36</v>
      </c>
      <c r="AH241" s="172">
        <v>3.8000000000000002E-5</v>
      </c>
      <c r="AI241" s="172">
        <v>7.9825346236009898E-3</v>
      </c>
      <c r="AJ241" s="172">
        <v>1.3578133918490101E-3</v>
      </c>
    </row>
    <row r="242" spans="1:36">
      <c r="A242" s="2">
        <v>161</v>
      </c>
      <c r="B242" s="2">
        <v>9942</v>
      </c>
      <c r="C242" s="2" t="s">
        <v>2250</v>
      </c>
      <c r="D242" s="2" t="s">
        <v>2251</v>
      </c>
      <c r="E242" s="4" t="s">
        <v>1363</v>
      </c>
      <c r="F242" s="2" t="s">
        <v>2252</v>
      </c>
      <c r="G242" s="2" t="s">
        <v>2253</v>
      </c>
      <c r="H242" s="2" t="s">
        <v>223</v>
      </c>
      <c r="I242" s="2" t="s">
        <v>804</v>
      </c>
      <c r="J242" s="2" t="s">
        <v>30</v>
      </c>
      <c r="K242" s="2" t="s">
        <v>30</v>
      </c>
      <c r="L242" s="2" t="s">
        <v>377</v>
      </c>
      <c r="M242" s="2" t="s">
        <v>31</v>
      </c>
      <c r="N242" s="2" t="s">
        <v>490</v>
      </c>
      <c r="O242" s="2" t="s">
        <v>173</v>
      </c>
      <c r="P242" s="2" t="s">
        <v>2061</v>
      </c>
      <c r="Q242" s="2" t="s">
        <v>464</v>
      </c>
      <c r="R242" s="2" t="s">
        <v>456</v>
      </c>
      <c r="S242" s="2" t="s">
        <v>34</v>
      </c>
      <c r="T242" s="156">
        <v>3.2530000000000001</v>
      </c>
      <c r="U242" s="2" t="s">
        <v>2254</v>
      </c>
      <c r="V242" s="170">
        <v>0.01</v>
      </c>
      <c r="W242" s="172">
        <v>3.3340000000000002E-2</v>
      </c>
      <c r="X242" s="4" t="s">
        <v>461</v>
      </c>
      <c r="Y242" s="4" t="s">
        <v>173</v>
      </c>
      <c r="Z242" s="156">
        <v>123862.19</v>
      </c>
      <c r="AA242" s="166">
        <v>1</v>
      </c>
      <c r="AB242" s="183">
        <v>104.54</v>
      </c>
      <c r="AD242" s="156">
        <v>129.48599999999999</v>
      </c>
      <c r="AG242" s="2" t="s">
        <v>36</v>
      </c>
      <c r="AH242" s="172">
        <v>7.7999999999999999E-5</v>
      </c>
      <c r="AI242" s="172">
        <v>8.3057223869620594E-3</v>
      </c>
      <c r="AJ242" s="172">
        <v>1.4127869928248101E-3</v>
      </c>
    </row>
    <row r="243" spans="1:36">
      <c r="A243" s="2">
        <v>161</v>
      </c>
      <c r="B243" s="2">
        <v>9942</v>
      </c>
      <c r="C243" s="2" t="s">
        <v>2250</v>
      </c>
      <c r="D243" s="2" t="s">
        <v>2251</v>
      </c>
      <c r="E243" s="4" t="s">
        <v>1363</v>
      </c>
      <c r="F243" s="2" t="s">
        <v>2255</v>
      </c>
      <c r="G243" s="2" t="s">
        <v>2253</v>
      </c>
      <c r="H243" s="2" t="s">
        <v>223</v>
      </c>
      <c r="I243" s="2" t="s">
        <v>804</v>
      </c>
      <c r="J243" s="2" t="s">
        <v>30</v>
      </c>
      <c r="K243" s="2" t="s">
        <v>30</v>
      </c>
      <c r="L243" s="2" t="s">
        <v>379</v>
      </c>
      <c r="M243" s="2" t="s">
        <v>31</v>
      </c>
      <c r="N243" s="2" t="s">
        <v>145</v>
      </c>
      <c r="O243" s="2" t="s">
        <v>173</v>
      </c>
      <c r="P243" s="2" t="s">
        <v>2061</v>
      </c>
      <c r="Q243" s="2" t="s">
        <v>464</v>
      </c>
      <c r="R243" s="2" t="s">
        <v>456</v>
      </c>
      <c r="S243" s="2" t="s">
        <v>34</v>
      </c>
      <c r="T243" s="156">
        <v>3.27</v>
      </c>
      <c r="U243" s="2" t="s">
        <v>2254</v>
      </c>
      <c r="V243" s="170">
        <v>0.01</v>
      </c>
      <c r="W243" s="172">
        <v>3.3739999999999999E-2</v>
      </c>
      <c r="X243" s="4" t="s">
        <v>461</v>
      </c>
      <c r="Y243" s="4" t="s">
        <v>173</v>
      </c>
      <c r="Z243" s="156">
        <v>85000</v>
      </c>
      <c r="AA243" s="166">
        <v>1</v>
      </c>
      <c r="AB243" s="183">
        <v>104.54</v>
      </c>
      <c r="AD243" s="156">
        <v>88.858999999999995</v>
      </c>
      <c r="AG243" s="2" t="s">
        <v>36</v>
      </c>
      <c r="AH243" s="172">
        <v>9.5000000000000005E-5</v>
      </c>
      <c r="AI243" s="172">
        <v>5.6997732955615804E-3</v>
      </c>
      <c r="AJ243" s="172">
        <v>9.6952019328988798E-4</v>
      </c>
    </row>
    <row r="244" spans="1:36">
      <c r="A244" s="2">
        <v>161</v>
      </c>
      <c r="B244" s="2">
        <v>9942</v>
      </c>
      <c r="C244" s="2" t="s">
        <v>2250</v>
      </c>
      <c r="D244" s="2" t="s">
        <v>2251</v>
      </c>
      <c r="E244" s="4" t="s">
        <v>1363</v>
      </c>
      <c r="F244" s="2" t="s">
        <v>2256</v>
      </c>
      <c r="G244" s="2" t="s">
        <v>2257</v>
      </c>
      <c r="H244" s="2" t="s">
        <v>223</v>
      </c>
      <c r="I244" s="2" t="s">
        <v>804</v>
      </c>
      <c r="J244" s="2" t="s">
        <v>30</v>
      </c>
      <c r="K244" s="2" t="s">
        <v>30</v>
      </c>
      <c r="L244" s="2" t="s">
        <v>377</v>
      </c>
      <c r="M244" s="2" t="s">
        <v>31</v>
      </c>
      <c r="N244" s="2" t="s">
        <v>490</v>
      </c>
      <c r="O244" s="2" t="s">
        <v>173</v>
      </c>
      <c r="P244" s="2" t="s">
        <v>2061</v>
      </c>
      <c r="Q244" s="2" t="s">
        <v>464</v>
      </c>
      <c r="R244" s="2" t="s">
        <v>456</v>
      </c>
      <c r="S244" s="2" t="s">
        <v>34</v>
      </c>
      <c r="T244" s="156">
        <v>1.6559999999999999</v>
      </c>
      <c r="U244" s="2" t="s">
        <v>141</v>
      </c>
      <c r="V244" s="170">
        <v>3.5400000000000001E-2</v>
      </c>
      <c r="W244" s="172">
        <v>3.2190000000000003E-2</v>
      </c>
      <c r="X244" s="4" t="s">
        <v>461</v>
      </c>
      <c r="Y244" s="4" t="s">
        <v>173</v>
      </c>
      <c r="Z244" s="156">
        <v>175000</v>
      </c>
      <c r="AA244" s="166">
        <v>1</v>
      </c>
      <c r="AB244" s="183">
        <v>107.7</v>
      </c>
      <c r="AD244" s="156">
        <v>188.47499999999999</v>
      </c>
      <c r="AG244" s="2" t="s">
        <v>36</v>
      </c>
      <c r="AH244" s="172">
        <v>1.5699999999999999E-4</v>
      </c>
      <c r="AI244" s="172">
        <v>1.20895437927612E-2</v>
      </c>
      <c r="AJ244" s="172">
        <v>2.0564075493794899E-3</v>
      </c>
    </row>
    <row r="245" spans="1:36">
      <c r="A245" s="2">
        <v>161</v>
      </c>
      <c r="B245" s="2">
        <v>9942</v>
      </c>
      <c r="C245" s="2" t="s">
        <v>2250</v>
      </c>
      <c r="D245" s="2" t="s">
        <v>2251</v>
      </c>
      <c r="E245" s="4" t="s">
        <v>1363</v>
      </c>
      <c r="F245" s="2" t="s">
        <v>2258</v>
      </c>
      <c r="G245" s="2" t="s">
        <v>2259</v>
      </c>
      <c r="H245" s="2" t="s">
        <v>223</v>
      </c>
      <c r="I245" s="2" t="s">
        <v>804</v>
      </c>
      <c r="J245" s="2" t="s">
        <v>30</v>
      </c>
      <c r="K245" s="2" t="s">
        <v>30</v>
      </c>
      <c r="L245" s="2" t="s">
        <v>377</v>
      </c>
      <c r="M245" s="2" t="s">
        <v>31</v>
      </c>
      <c r="N245" s="2" t="s">
        <v>490</v>
      </c>
      <c r="O245" s="2" t="s">
        <v>173</v>
      </c>
      <c r="P245" s="2" t="s">
        <v>2061</v>
      </c>
      <c r="Q245" s="2" t="s">
        <v>464</v>
      </c>
      <c r="R245" s="2" t="s">
        <v>456</v>
      </c>
      <c r="S245" s="2" t="s">
        <v>34</v>
      </c>
      <c r="T245" s="156">
        <v>0.66200000000000003</v>
      </c>
      <c r="U245" s="2" t="s">
        <v>2260</v>
      </c>
      <c r="V245" s="170">
        <v>0.01</v>
      </c>
      <c r="W245" s="172">
        <v>2.707E-2</v>
      </c>
      <c r="X245" s="4" t="s">
        <v>461</v>
      </c>
      <c r="Y245" s="4" t="s">
        <v>173</v>
      </c>
      <c r="Z245" s="156">
        <v>174229.21</v>
      </c>
      <c r="AA245" s="166">
        <v>1</v>
      </c>
      <c r="AB245" s="183">
        <v>113.12</v>
      </c>
      <c r="AD245" s="156">
        <v>197.08799999999999</v>
      </c>
      <c r="AG245" s="2" t="s">
        <v>36</v>
      </c>
      <c r="AH245" s="172">
        <v>5.7200000000000003E-4</v>
      </c>
      <c r="AI245" s="172">
        <v>1.2642021502193001E-2</v>
      </c>
      <c r="AJ245" s="172">
        <v>2.1503829178478799E-3</v>
      </c>
    </row>
    <row r="246" spans="1:36">
      <c r="A246" s="2">
        <v>161</v>
      </c>
      <c r="B246" s="2">
        <v>9942</v>
      </c>
      <c r="C246" s="2" t="s">
        <v>1692</v>
      </c>
      <c r="D246" s="2" t="s">
        <v>1693</v>
      </c>
      <c r="E246" s="4" t="s">
        <v>1363</v>
      </c>
      <c r="F246" s="2" t="s">
        <v>2261</v>
      </c>
      <c r="G246" s="2" t="s">
        <v>2262</v>
      </c>
      <c r="H246" s="2" t="s">
        <v>223</v>
      </c>
      <c r="I246" s="2" t="s">
        <v>804</v>
      </c>
      <c r="J246" s="2" t="s">
        <v>30</v>
      </c>
      <c r="K246" s="2" t="s">
        <v>30</v>
      </c>
      <c r="L246" s="2" t="s">
        <v>377</v>
      </c>
      <c r="M246" s="2" t="s">
        <v>31</v>
      </c>
      <c r="N246" s="2" t="s">
        <v>511</v>
      </c>
      <c r="O246" s="2" t="s">
        <v>173</v>
      </c>
      <c r="P246" s="2" t="s">
        <v>2052</v>
      </c>
      <c r="Q246" s="2" t="s">
        <v>462</v>
      </c>
      <c r="R246" s="2" t="s">
        <v>456</v>
      </c>
      <c r="S246" s="2" t="s">
        <v>34</v>
      </c>
      <c r="T246" s="156">
        <v>4.3440000000000003</v>
      </c>
      <c r="U246" s="2" t="s">
        <v>2263</v>
      </c>
      <c r="V246" s="170">
        <v>1.43E-2</v>
      </c>
      <c r="W246" s="172">
        <v>2.938E-2</v>
      </c>
      <c r="X246" s="4" t="s">
        <v>461</v>
      </c>
      <c r="Y246" s="4" t="s">
        <v>173</v>
      </c>
      <c r="Z246" s="156">
        <v>160258.06</v>
      </c>
      <c r="AA246" s="166">
        <v>1</v>
      </c>
      <c r="AB246" s="183">
        <v>108.57</v>
      </c>
      <c r="AD246" s="156">
        <v>173.99199999999999</v>
      </c>
      <c r="AG246" s="2" t="s">
        <v>36</v>
      </c>
      <c r="AH246" s="172">
        <v>1.4300000000000001E-4</v>
      </c>
      <c r="AI246" s="172">
        <v>1.1160557252849E-2</v>
      </c>
      <c r="AJ246" s="172">
        <v>1.89838877160796E-3</v>
      </c>
    </row>
    <row r="247" spans="1:36">
      <c r="A247" s="2">
        <v>161</v>
      </c>
      <c r="B247" s="2">
        <v>9942</v>
      </c>
      <c r="C247" s="2" t="s">
        <v>1692</v>
      </c>
      <c r="D247" s="2" t="s">
        <v>1693</v>
      </c>
      <c r="E247" s="4" t="s">
        <v>1363</v>
      </c>
      <c r="F247" s="2" t="s">
        <v>2267</v>
      </c>
      <c r="G247" s="2" t="s">
        <v>2268</v>
      </c>
      <c r="H247" s="2" t="s">
        <v>223</v>
      </c>
      <c r="I247" s="2" t="s">
        <v>804</v>
      </c>
      <c r="J247" s="2" t="s">
        <v>30</v>
      </c>
      <c r="K247" s="2" t="s">
        <v>30</v>
      </c>
      <c r="L247" s="2" t="s">
        <v>377</v>
      </c>
      <c r="M247" s="2" t="s">
        <v>31</v>
      </c>
      <c r="N247" s="2" t="s">
        <v>511</v>
      </c>
      <c r="O247" s="2" t="s">
        <v>173</v>
      </c>
      <c r="P247" s="2" t="s">
        <v>2052</v>
      </c>
      <c r="Q247" s="2" t="s">
        <v>462</v>
      </c>
      <c r="R247" s="2" t="s">
        <v>456</v>
      </c>
      <c r="S247" s="2" t="s">
        <v>34</v>
      </c>
      <c r="T247" s="156">
        <v>1.5029999999999999</v>
      </c>
      <c r="U247" s="2" t="s">
        <v>2269</v>
      </c>
      <c r="V247" s="170">
        <v>2.1499999999999998E-2</v>
      </c>
      <c r="W247" s="172">
        <v>2.529E-2</v>
      </c>
      <c r="X247" s="4" t="s">
        <v>461</v>
      </c>
      <c r="Y247" s="4" t="s">
        <v>173</v>
      </c>
      <c r="Z247" s="156">
        <v>276153.84999999998</v>
      </c>
      <c r="AA247" s="166">
        <v>1</v>
      </c>
      <c r="AB247" s="183">
        <v>117.88</v>
      </c>
      <c r="AD247" s="156">
        <v>325.52999999999997</v>
      </c>
      <c r="AG247" s="2" t="s">
        <v>36</v>
      </c>
      <c r="AH247" s="172">
        <v>2.31E-4</v>
      </c>
      <c r="AI247" s="172">
        <v>2.08808123390344E-2</v>
      </c>
      <c r="AJ247" s="172">
        <v>3.5517849860370399E-3</v>
      </c>
    </row>
    <row r="248" spans="1:36">
      <c r="A248" s="2">
        <v>161</v>
      </c>
      <c r="B248" s="2">
        <v>9942</v>
      </c>
      <c r="C248" s="2" t="s">
        <v>1692</v>
      </c>
      <c r="D248" s="2" t="s">
        <v>1693</v>
      </c>
      <c r="E248" s="4" t="s">
        <v>1363</v>
      </c>
      <c r="F248" s="2" t="s">
        <v>2270</v>
      </c>
      <c r="G248" s="2" t="s">
        <v>2271</v>
      </c>
      <c r="H248" s="2" t="s">
        <v>223</v>
      </c>
      <c r="I248" s="2" t="s">
        <v>804</v>
      </c>
      <c r="J248" s="2" t="s">
        <v>30</v>
      </c>
      <c r="K248" s="2" t="s">
        <v>30</v>
      </c>
      <c r="L248" s="2" t="s">
        <v>377</v>
      </c>
      <c r="M248" s="2" t="s">
        <v>31</v>
      </c>
      <c r="N248" s="2" t="s">
        <v>511</v>
      </c>
      <c r="O248" s="2" t="s">
        <v>173</v>
      </c>
      <c r="P248" s="2" t="s">
        <v>2052</v>
      </c>
      <c r="Q248" s="2" t="s">
        <v>462</v>
      </c>
      <c r="R248" s="2" t="s">
        <v>456</v>
      </c>
      <c r="S248" s="2" t="s">
        <v>34</v>
      </c>
      <c r="T248" s="156">
        <v>3.8889999999999998</v>
      </c>
      <c r="U248" s="2" t="s">
        <v>2272</v>
      </c>
      <c r="V248" s="170">
        <v>2.2499999999999999E-2</v>
      </c>
      <c r="W248" s="172">
        <v>2.9579999999999999E-2</v>
      </c>
      <c r="X248" s="4" t="s">
        <v>461</v>
      </c>
      <c r="Y248" s="4" t="s">
        <v>173</v>
      </c>
      <c r="Z248" s="156">
        <v>36845.58</v>
      </c>
      <c r="AA248" s="166">
        <v>1</v>
      </c>
      <c r="AB248" s="183">
        <v>114.42</v>
      </c>
      <c r="AD248" s="156">
        <v>42.158999999999999</v>
      </c>
      <c r="AG248" s="2" t="s">
        <v>36</v>
      </c>
      <c r="AH248" s="172">
        <v>3.1000000000000001E-5</v>
      </c>
      <c r="AI248" s="172">
        <v>2.7042292222276602E-3</v>
      </c>
      <c r="AJ248" s="172">
        <v>4.5998405590550801E-4</v>
      </c>
    </row>
    <row r="249" spans="1:36">
      <c r="A249" s="2">
        <v>161</v>
      </c>
      <c r="B249" s="2">
        <v>9942</v>
      </c>
      <c r="C249" s="2" t="s">
        <v>1692</v>
      </c>
      <c r="D249" s="2" t="s">
        <v>1693</v>
      </c>
      <c r="E249" s="4" t="s">
        <v>1363</v>
      </c>
      <c r="F249" s="2" t="s">
        <v>2273</v>
      </c>
      <c r="G249" s="2" t="s">
        <v>2274</v>
      </c>
      <c r="H249" s="2" t="s">
        <v>223</v>
      </c>
      <c r="I249" s="2" t="s">
        <v>804</v>
      </c>
      <c r="J249" s="2" t="s">
        <v>30</v>
      </c>
      <c r="K249" s="2" t="s">
        <v>30</v>
      </c>
      <c r="L249" s="2" t="s">
        <v>377</v>
      </c>
      <c r="M249" s="2" t="s">
        <v>31</v>
      </c>
      <c r="N249" s="2" t="s">
        <v>511</v>
      </c>
      <c r="O249" s="2" t="s">
        <v>173</v>
      </c>
      <c r="P249" s="2" t="s">
        <v>2052</v>
      </c>
      <c r="Q249" s="2" t="s">
        <v>462</v>
      </c>
      <c r="R249" s="2" t="s">
        <v>456</v>
      </c>
      <c r="S249" s="2" t="s">
        <v>34</v>
      </c>
      <c r="T249" s="156">
        <v>5.298</v>
      </c>
      <c r="U249" s="2" t="s">
        <v>2240</v>
      </c>
      <c r="V249" s="170">
        <v>2.5000000000000001E-3</v>
      </c>
      <c r="W249" s="172">
        <v>3.0300000000000001E-2</v>
      </c>
      <c r="X249" s="4" t="s">
        <v>461</v>
      </c>
      <c r="Y249" s="4" t="s">
        <v>173</v>
      </c>
      <c r="Z249" s="156">
        <v>130239.99</v>
      </c>
      <c r="AA249" s="166">
        <v>1</v>
      </c>
      <c r="AB249" s="183">
        <v>97.92</v>
      </c>
      <c r="AD249" s="156">
        <v>127.53100000000001</v>
      </c>
      <c r="AG249" s="2" t="s">
        <v>36</v>
      </c>
      <c r="AH249" s="172">
        <v>1.05E-4</v>
      </c>
      <c r="AI249" s="172">
        <v>8.1803506447548392E-3</v>
      </c>
      <c r="AJ249" s="172">
        <v>1.3914615068037299E-3</v>
      </c>
    </row>
    <row r="250" spans="1:36">
      <c r="A250" s="2">
        <v>161</v>
      </c>
      <c r="B250" s="2">
        <v>9942</v>
      </c>
      <c r="C250" s="2" t="s">
        <v>2275</v>
      </c>
      <c r="D250" s="2" t="s">
        <v>2276</v>
      </c>
      <c r="E250" s="4" t="s">
        <v>1363</v>
      </c>
      <c r="F250" s="2" t="s">
        <v>2277</v>
      </c>
      <c r="G250" s="2" t="s">
        <v>2278</v>
      </c>
      <c r="H250" s="2" t="s">
        <v>223</v>
      </c>
      <c r="I250" s="2" t="s">
        <v>1013</v>
      </c>
      <c r="J250" s="2" t="s">
        <v>30</v>
      </c>
      <c r="K250" s="2" t="s">
        <v>30</v>
      </c>
      <c r="L250" s="2" t="s">
        <v>377</v>
      </c>
      <c r="M250" s="2" t="s">
        <v>31</v>
      </c>
      <c r="N250" s="2" t="s">
        <v>492</v>
      </c>
      <c r="O250" s="2" t="s">
        <v>173</v>
      </c>
      <c r="P250" s="2" t="s">
        <v>1374</v>
      </c>
      <c r="Q250" s="2" t="s">
        <v>464</v>
      </c>
      <c r="R250" s="2" t="s">
        <v>456</v>
      </c>
      <c r="S250" s="2" t="s">
        <v>34</v>
      </c>
      <c r="T250" s="156">
        <v>5.6529999999999996</v>
      </c>
      <c r="U250" s="2" t="s">
        <v>2279</v>
      </c>
      <c r="V250" s="170">
        <v>2.98E-2</v>
      </c>
      <c r="W250" s="172">
        <v>5.7610000000000001E-2</v>
      </c>
      <c r="X250" s="4" t="s">
        <v>461</v>
      </c>
      <c r="Y250" s="4" t="s">
        <v>173</v>
      </c>
      <c r="Z250" s="156">
        <v>200000</v>
      </c>
      <c r="AA250" s="166">
        <v>1</v>
      </c>
      <c r="AB250" s="183">
        <v>86.69</v>
      </c>
      <c r="AD250" s="156">
        <v>173.38</v>
      </c>
      <c r="AG250" s="2" t="s">
        <v>36</v>
      </c>
      <c r="AH250" s="172">
        <v>5.0900000000000001E-4</v>
      </c>
      <c r="AI250" s="172">
        <v>1.1121289841034301E-2</v>
      </c>
      <c r="AJ250" s="172">
        <v>1.89170946232347E-3</v>
      </c>
    </row>
    <row r="251" spans="1:36">
      <c r="A251" s="2">
        <v>161</v>
      </c>
      <c r="B251" s="2">
        <v>9942</v>
      </c>
      <c r="C251" s="2" t="s">
        <v>1379</v>
      </c>
      <c r="D251" s="2" t="s">
        <v>1380</v>
      </c>
      <c r="E251" s="4" t="s">
        <v>1363</v>
      </c>
      <c r="F251" s="2" t="s">
        <v>2409</v>
      </c>
      <c r="G251" s="2" t="s">
        <v>2410</v>
      </c>
      <c r="H251" s="2" t="s">
        <v>223</v>
      </c>
      <c r="I251" s="2" t="s">
        <v>804</v>
      </c>
      <c r="J251" s="2" t="s">
        <v>30</v>
      </c>
      <c r="K251" s="2" t="s">
        <v>30</v>
      </c>
      <c r="L251" s="2" t="s">
        <v>377</v>
      </c>
      <c r="M251" s="2" t="s">
        <v>31</v>
      </c>
      <c r="N251" s="2" t="s">
        <v>488</v>
      </c>
      <c r="O251" s="2" t="s">
        <v>173</v>
      </c>
      <c r="P251" s="2" t="s">
        <v>2041</v>
      </c>
      <c r="Q251" s="2" t="s">
        <v>464</v>
      </c>
      <c r="R251" s="2" t="s">
        <v>456</v>
      </c>
      <c r="S251" s="2" t="s">
        <v>34</v>
      </c>
      <c r="T251" s="156">
        <v>2.3929999999999998</v>
      </c>
      <c r="U251" s="2" t="s">
        <v>2154</v>
      </c>
      <c r="V251" s="170">
        <v>1.4800000000000001E-2</v>
      </c>
      <c r="W251" s="172">
        <v>3.1379999999999998E-2</v>
      </c>
      <c r="X251" s="4" t="s">
        <v>461</v>
      </c>
      <c r="Y251" s="4" t="s">
        <v>173</v>
      </c>
      <c r="Z251" s="156">
        <v>0.98</v>
      </c>
      <c r="AA251" s="166">
        <v>1</v>
      </c>
      <c r="AB251" s="183">
        <v>109.1</v>
      </c>
      <c r="AD251" s="156">
        <v>1E-3</v>
      </c>
      <c r="AG251" s="2" t="s">
        <v>36</v>
      </c>
      <c r="AH251" s="172">
        <v>0</v>
      </c>
      <c r="AI251" s="172">
        <v>6.8581501166438204E-8</v>
      </c>
      <c r="AJ251" s="172">
        <v>1.1665578053564399E-8</v>
      </c>
    </row>
    <row r="252" spans="1:36">
      <c r="A252" s="2">
        <v>161</v>
      </c>
      <c r="B252" s="2">
        <v>9942</v>
      </c>
      <c r="C252" s="2" t="s">
        <v>1911</v>
      </c>
      <c r="D252" s="2" t="s">
        <v>1912</v>
      </c>
      <c r="E252" s="4" t="s">
        <v>1363</v>
      </c>
      <c r="F252" s="2" t="s">
        <v>2390</v>
      </c>
      <c r="G252" s="2" t="s">
        <v>2391</v>
      </c>
      <c r="H252" s="2" t="s">
        <v>223</v>
      </c>
      <c r="I252" s="2" t="s">
        <v>804</v>
      </c>
      <c r="J252" s="2" t="s">
        <v>30</v>
      </c>
      <c r="K252" s="2" t="s">
        <v>30</v>
      </c>
      <c r="L252" s="2" t="s">
        <v>377</v>
      </c>
      <c r="M252" s="2" t="s">
        <v>31</v>
      </c>
      <c r="N252" s="2" t="s">
        <v>511</v>
      </c>
      <c r="O252" s="2" t="s">
        <v>173</v>
      </c>
      <c r="P252" s="2" t="s">
        <v>1374</v>
      </c>
      <c r="Q252" s="2" t="s">
        <v>464</v>
      </c>
      <c r="R252" s="2" t="s">
        <v>456</v>
      </c>
      <c r="S252" s="2" t="s">
        <v>34</v>
      </c>
      <c r="T252" s="156">
        <v>0.28499999999999998</v>
      </c>
      <c r="U252" s="2" t="s">
        <v>2392</v>
      </c>
      <c r="V252" s="170">
        <v>2.75E-2</v>
      </c>
      <c r="W252" s="172">
        <v>4.6550000000000001E-2</v>
      </c>
      <c r="X252" s="4" t="s">
        <v>461</v>
      </c>
      <c r="Y252" s="4" t="s">
        <v>173</v>
      </c>
      <c r="Z252" s="156">
        <v>124831.31</v>
      </c>
      <c r="AA252" s="166">
        <v>1</v>
      </c>
      <c r="AB252" s="183">
        <v>116.74</v>
      </c>
      <c r="AD252" s="156">
        <v>145.72800000000001</v>
      </c>
      <c r="AG252" s="2" t="s">
        <v>36</v>
      </c>
      <c r="AH252" s="172">
        <v>9.0300000000000005E-4</v>
      </c>
      <c r="AI252" s="172">
        <v>9.34758402835093E-3</v>
      </c>
      <c r="AJ252" s="172">
        <v>1.59000560268202E-3</v>
      </c>
    </row>
    <row r="253" spans="1:36">
      <c r="A253" s="2">
        <v>161</v>
      </c>
      <c r="B253" s="2">
        <v>9942</v>
      </c>
      <c r="C253" s="2" t="s">
        <v>2289</v>
      </c>
      <c r="D253" s="2" t="s">
        <v>2290</v>
      </c>
      <c r="E253" s="4" t="s">
        <v>1363</v>
      </c>
      <c r="F253" s="2" t="s">
        <v>2291</v>
      </c>
      <c r="G253" s="2" t="s">
        <v>2292</v>
      </c>
      <c r="H253" s="2" t="s">
        <v>223</v>
      </c>
      <c r="I253" s="2" t="s">
        <v>1013</v>
      </c>
      <c r="J253" s="2" t="s">
        <v>30</v>
      </c>
      <c r="K253" s="2" t="s">
        <v>30</v>
      </c>
      <c r="L253" s="2" t="s">
        <v>377</v>
      </c>
      <c r="M253" s="2" t="s">
        <v>31</v>
      </c>
      <c r="N253" s="2" t="s">
        <v>512</v>
      </c>
      <c r="O253" s="2" t="s">
        <v>173</v>
      </c>
      <c r="P253" s="2" t="s">
        <v>225</v>
      </c>
      <c r="Q253" s="2" t="s">
        <v>226</v>
      </c>
      <c r="R253" s="2" t="s">
        <v>226</v>
      </c>
      <c r="S253" s="2" t="s">
        <v>34</v>
      </c>
      <c r="T253" s="156">
        <v>0.38100000000000001</v>
      </c>
      <c r="U253" s="2" t="s">
        <v>2293</v>
      </c>
      <c r="V253" s="170">
        <v>6.7500000000000004E-2</v>
      </c>
      <c r="W253" s="172">
        <v>0.19284000000000001</v>
      </c>
      <c r="X253" s="4" t="s">
        <v>461</v>
      </c>
      <c r="Y253" s="4" t="s">
        <v>173</v>
      </c>
      <c r="Z253" s="156">
        <v>0.14000000000000001</v>
      </c>
      <c r="AA253" s="166">
        <v>1</v>
      </c>
      <c r="AB253" s="183">
        <v>98.9</v>
      </c>
      <c r="AD253" s="156">
        <v>0</v>
      </c>
      <c r="AG253" s="2" t="s">
        <v>36</v>
      </c>
      <c r="AH253" s="172">
        <v>0</v>
      </c>
      <c r="AI253" s="172">
        <v>8.8813807324351704E-9</v>
      </c>
      <c r="AJ253" s="172">
        <v>1.5107053417539901E-9</v>
      </c>
    </row>
    <row r="254" spans="1:36">
      <c r="A254" s="2">
        <v>161</v>
      </c>
      <c r="B254" s="2">
        <v>9942</v>
      </c>
      <c r="C254" s="2" t="s">
        <v>1711</v>
      </c>
      <c r="D254" s="2" t="s">
        <v>1712</v>
      </c>
      <c r="E254" s="4" t="s">
        <v>1363</v>
      </c>
      <c r="F254" s="2" t="s">
        <v>2294</v>
      </c>
      <c r="G254" s="2" t="s">
        <v>2295</v>
      </c>
      <c r="H254" s="2" t="s">
        <v>223</v>
      </c>
      <c r="I254" s="2" t="s">
        <v>804</v>
      </c>
      <c r="J254" s="2" t="s">
        <v>30</v>
      </c>
      <c r="K254" s="2" t="s">
        <v>30</v>
      </c>
      <c r="L254" s="2" t="s">
        <v>377</v>
      </c>
      <c r="M254" s="2" t="s">
        <v>31</v>
      </c>
      <c r="N254" s="2" t="s">
        <v>511</v>
      </c>
      <c r="O254" s="2" t="s">
        <v>173</v>
      </c>
      <c r="P254" s="2" t="s">
        <v>93</v>
      </c>
      <c r="Q254" s="2" t="s">
        <v>464</v>
      </c>
      <c r="R254" s="2" t="s">
        <v>456</v>
      </c>
      <c r="S254" s="2" t="s">
        <v>34</v>
      </c>
      <c r="T254" s="156">
        <v>2.6890000000000001</v>
      </c>
      <c r="U254" s="2" t="s">
        <v>2296</v>
      </c>
      <c r="V254" s="170">
        <v>1.34E-2</v>
      </c>
      <c r="W254" s="172">
        <v>2.819E-2</v>
      </c>
      <c r="X254" s="4" t="s">
        <v>461</v>
      </c>
      <c r="Y254" s="4" t="s">
        <v>173</v>
      </c>
      <c r="Z254" s="156">
        <v>271094.7</v>
      </c>
      <c r="AA254" s="166">
        <v>1</v>
      </c>
      <c r="AB254" s="183">
        <v>112.38</v>
      </c>
      <c r="AD254" s="156">
        <v>304.65600000000001</v>
      </c>
      <c r="AG254" s="2" t="s">
        <v>36</v>
      </c>
      <c r="AH254" s="172">
        <v>1.02E-4</v>
      </c>
      <c r="AI254" s="172">
        <v>1.9541874307429302E-2</v>
      </c>
      <c r="AJ254" s="172">
        <v>3.3240342682644901E-3</v>
      </c>
    </row>
    <row r="255" spans="1:36">
      <c r="A255" s="2">
        <v>161</v>
      </c>
      <c r="B255" s="2">
        <v>9942</v>
      </c>
      <c r="C255" s="2" t="s">
        <v>1711</v>
      </c>
      <c r="D255" s="2" t="s">
        <v>1712</v>
      </c>
      <c r="E255" s="4" t="s">
        <v>1363</v>
      </c>
      <c r="F255" s="2" t="s">
        <v>2297</v>
      </c>
      <c r="G255" s="2" t="s">
        <v>2298</v>
      </c>
      <c r="H255" s="2" t="s">
        <v>223</v>
      </c>
      <c r="I255" s="2" t="s">
        <v>804</v>
      </c>
      <c r="J255" s="2" t="s">
        <v>30</v>
      </c>
      <c r="K255" s="2" t="s">
        <v>30</v>
      </c>
      <c r="L255" s="2" t="s">
        <v>377</v>
      </c>
      <c r="M255" s="2" t="s">
        <v>31</v>
      </c>
      <c r="N255" s="2" t="s">
        <v>511</v>
      </c>
      <c r="O255" s="2" t="s">
        <v>173</v>
      </c>
      <c r="P255" s="2" t="s">
        <v>93</v>
      </c>
      <c r="Q255" s="2" t="s">
        <v>464</v>
      </c>
      <c r="R255" s="2" t="s">
        <v>456</v>
      </c>
      <c r="S255" s="2" t="s">
        <v>34</v>
      </c>
      <c r="T255" s="156">
        <v>2.456</v>
      </c>
      <c r="U255" s="2" t="s">
        <v>2130</v>
      </c>
      <c r="V255" s="170">
        <v>1.77E-2</v>
      </c>
      <c r="W255" s="172">
        <v>2.7099999999999999E-2</v>
      </c>
      <c r="X255" s="4" t="s">
        <v>461</v>
      </c>
      <c r="Y255" s="4" t="s">
        <v>173</v>
      </c>
      <c r="Z255" s="156">
        <v>224538.84</v>
      </c>
      <c r="AA255" s="166">
        <v>1</v>
      </c>
      <c r="AB255" s="183">
        <v>113.19</v>
      </c>
      <c r="AD255" s="156">
        <v>254.15600000000001</v>
      </c>
      <c r="AG255" s="2" t="s">
        <v>36</v>
      </c>
      <c r="AH255" s="172">
        <v>8.7000000000000001E-5</v>
      </c>
      <c r="AI255" s="172">
        <v>1.63025558006995E-2</v>
      </c>
      <c r="AJ255" s="172">
        <v>2.7730325806679399E-3</v>
      </c>
    </row>
    <row r="256" spans="1:36">
      <c r="A256" s="2">
        <v>161</v>
      </c>
      <c r="B256" s="2">
        <v>9942</v>
      </c>
      <c r="C256" s="2" t="s">
        <v>1711</v>
      </c>
      <c r="D256" s="2" t="s">
        <v>1712</v>
      </c>
      <c r="E256" s="4" t="s">
        <v>1363</v>
      </c>
      <c r="F256" s="2" t="s">
        <v>2299</v>
      </c>
      <c r="G256" s="2" t="s">
        <v>2300</v>
      </c>
      <c r="H256" s="2" t="s">
        <v>223</v>
      </c>
      <c r="I256" s="2" t="s">
        <v>804</v>
      </c>
      <c r="J256" s="2" t="s">
        <v>30</v>
      </c>
      <c r="K256" s="2" t="s">
        <v>30</v>
      </c>
      <c r="L256" s="2" t="s">
        <v>377</v>
      </c>
      <c r="M256" s="2" t="s">
        <v>31</v>
      </c>
      <c r="N256" s="2" t="s">
        <v>511</v>
      </c>
      <c r="O256" s="2" t="s">
        <v>173</v>
      </c>
      <c r="P256" s="2" t="s">
        <v>93</v>
      </c>
      <c r="Q256" s="2" t="s">
        <v>462</v>
      </c>
      <c r="R256" s="2" t="s">
        <v>456</v>
      </c>
      <c r="S256" s="2" t="s">
        <v>34</v>
      </c>
      <c r="T256" s="156">
        <v>6.7329999999999997</v>
      </c>
      <c r="U256" s="2" t="s">
        <v>2301</v>
      </c>
      <c r="V256" s="170">
        <v>8.9999999999999993E-3</v>
      </c>
      <c r="W256" s="172">
        <v>3.3419999999999998E-2</v>
      </c>
      <c r="X256" s="4" t="s">
        <v>461</v>
      </c>
      <c r="Y256" s="4" t="s">
        <v>173</v>
      </c>
      <c r="Z256" s="156">
        <v>86240</v>
      </c>
      <c r="AA256" s="166">
        <v>1</v>
      </c>
      <c r="AB256" s="183">
        <v>96.33</v>
      </c>
      <c r="AD256" s="156">
        <v>83.075000000000003</v>
      </c>
      <c r="AG256" s="2" t="s">
        <v>36</v>
      </c>
      <c r="AH256" s="172">
        <v>3.1000000000000001E-5</v>
      </c>
      <c r="AI256" s="172">
        <v>5.3287637822909502E-3</v>
      </c>
      <c r="AJ256" s="172">
        <v>9.0641220699530598E-4</v>
      </c>
    </row>
    <row r="257" spans="1:36">
      <c r="A257" s="2">
        <v>161</v>
      </c>
      <c r="B257" s="2">
        <v>9942</v>
      </c>
      <c r="C257" s="2" t="s">
        <v>1711</v>
      </c>
      <c r="D257" s="2" t="s">
        <v>1712</v>
      </c>
      <c r="E257" s="4" t="s">
        <v>1363</v>
      </c>
      <c r="F257" s="2" t="s">
        <v>2302</v>
      </c>
      <c r="G257" s="2" t="s">
        <v>2303</v>
      </c>
      <c r="H257" s="2" t="s">
        <v>223</v>
      </c>
      <c r="I257" s="2" t="s">
        <v>804</v>
      </c>
      <c r="J257" s="2" t="s">
        <v>30</v>
      </c>
      <c r="K257" s="2" t="s">
        <v>30</v>
      </c>
      <c r="L257" s="2" t="s">
        <v>377</v>
      </c>
      <c r="M257" s="2" t="s">
        <v>31</v>
      </c>
      <c r="N257" s="2" t="s">
        <v>511</v>
      </c>
      <c r="O257" s="2" t="s">
        <v>173</v>
      </c>
      <c r="P257" s="2" t="s">
        <v>93</v>
      </c>
      <c r="Q257" s="2" t="s">
        <v>462</v>
      </c>
      <c r="R257" s="2" t="s">
        <v>456</v>
      </c>
      <c r="S257" s="2" t="s">
        <v>34</v>
      </c>
      <c r="T257" s="156">
        <v>0.45800000000000002</v>
      </c>
      <c r="U257" s="2" t="s">
        <v>2304</v>
      </c>
      <c r="V257" s="170">
        <v>6.4999999999999997E-3</v>
      </c>
      <c r="W257" s="172">
        <v>2.793E-2</v>
      </c>
      <c r="X257" s="4" t="s">
        <v>461</v>
      </c>
      <c r="Y257" s="4" t="s">
        <v>173</v>
      </c>
      <c r="Z257" s="156">
        <v>76215.34</v>
      </c>
      <c r="AA257" s="166">
        <v>1</v>
      </c>
      <c r="AB257" s="183">
        <v>114.12</v>
      </c>
      <c r="AC257" s="156">
        <v>0.28599999999999998</v>
      </c>
      <c r="AD257" s="156">
        <v>87.263000000000005</v>
      </c>
      <c r="AG257" s="2" t="s">
        <v>36</v>
      </c>
      <c r="AH257" s="172">
        <v>1.3999999999999999E-4</v>
      </c>
      <c r="AI257" s="172">
        <v>5.5973741706018499E-3</v>
      </c>
      <c r="AJ257" s="172">
        <v>9.5210230414314299E-4</v>
      </c>
    </row>
    <row r="258" spans="1:36">
      <c r="A258" s="2">
        <v>161</v>
      </c>
      <c r="B258" s="2">
        <v>9942</v>
      </c>
      <c r="C258" s="2" t="s">
        <v>2411</v>
      </c>
      <c r="D258" s="2" t="s">
        <v>2412</v>
      </c>
      <c r="E258" s="4" t="s">
        <v>1363</v>
      </c>
      <c r="F258" s="2" t="s">
        <v>2413</v>
      </c>
      <c r="G258" s="2" t="s">
        <v>2414</v>
      </c>
      <c r="H258" s="2" t="s">
        <v>223</v>
      </c>
      <c r="I258" s="2" t="s">
        <v>1013</v>
      </c>
      <c r="J258" s="2" t="s">
        <v>30</v>
      </c>
      <c r="K258" s="2" t="s">
        <v>30</v>
      </c>
      <c r="L258" s="2" t="s">
        <v>377</v>
      </c>
      <c r="M258" s="2" t="s">
        <v>31</v>
      </c>
      <c r="N258" s="2" t="s">
        <v>494</v>
      </c>
      <c r="O258" s="2" t="s">
        <v>173</v>
      </c>
      <c r="P258" s="2" t="s">
        <v>225</v>
      </c>
      <c r="Q258" s="2" t="s">
        <v>226</v>
      </c>
      <c r="R258" s="2" t="s">
        <v>226</v>
      </c>
      <c r="S258" s="2" t="s">
        <v>34</v>
      </c>
      <c r="T258" s="156">
        <v>1.585</v>
      </c>
      <c r="U258" s="2" t="s">
        <v>99</v>
      </c>
      <c r="V258" s="170">
        <v>0.06</v>
      </c>
      <c r="W258" s="172">
        <v>6.3109999999999999E-2</v>
      </c>
      <c r="X258" s="4" t="s">
        <v>461</v>
      </c>
      <c r="Y258" s="4" t="s">
        <v>173</v>
      </c>
      <c r="Z258" s="156">
        <v>0.9</v>
      </c>
      <c r="AA258" s="166">
        <v>1</v>
      </c>
      <c r="AB258" s="183">
        <v>101.67</v>
      </c>
      <c r="AD258" s="156">
        <v>1E-3</v>
      </c>
      <c r="AG258" s="2" t="s">
        <v>36</v>
      </c>
      <c r="AH258" s="172">
        <v>0</v>
      </c>
      <c r="AI258" s="172">
        <v>5.8693700791565398E-8</v>
      </c>
      <c r="AJ258" s="172">
        <v>9.9836827160563003E-9</v>
      </c>
    </row>
    <row r="259" spans="1:36">
      <c r="A259" s="2">
        <v>161</v>
      </c>
      <c r="B259" s="2">
        <v>9942</v>
      </c>
      <c r="C259" s="2" t="s">
        <v>1620</v>
      </c>
      <c r="D259" s="2" t="s">
        <v>1621</v>
      </c>
      <c r="E259" s="4" t="s">
        <v>1363</v>
      </c>
      <c r="F259" s="2" t="s">
        <v>2305</v>
      </c>
      <c r="G259" s="2" t="s">
        <v>2306</v>
      </c>
      <c r="H259" s="2" t="s">
        <v>223</v>
      </c>
      <c r="I259" s="2" t="s">
        <v>1013</v>
      </c>
      <c r="J259" s="2" t="s">
        <v>30</v>
      </c>
      <c r="K259" s="2" t="s">
        <v>30</v>
      </c>
      <c r="L259" s="2" t="s">
        <v>377</v>
      </c>
      <c r="M259" s="2" t="s">
        <v>31</v>
      </c>
      <c r="N259" s="2" t="s">
        <v>495</v>
      </c>
      <c r="O259" s="2" t="s">
        <v>173</v>
      </c>
      <c r="P259" s="2" t="s">
        <v>1224</v>
      </c>
      <c r="Q259" s="2" t="s">
        <v>462</v>
      </c>
      <c r="R259" s="2" t="s">
        <v>456</v>
      </c>
      <c r="S259" s="2" t="s">
        <v>34</v>
      </c>
      <c r="T259" s="156">
        <v>3.3130000000000002</v>
      </c>
      <c r="U259" s="2" t="s">
        <v>2307</v>
      </c>
      <c r="V259" s="170">
        <v>2.5000000000000001E-2</v>
      </c>
      <c r="W259" s="172">
        <v>5.117E-2</v>
      </c>
      <c r="X259" s="4" t="s">
        <v>461</v>
      </c>
      <c r="Y259" s="4" t="s">
        <v>173</v>
      </c>
      <c r="Z259" s="156">
        <v>570000</v>
      </c>
      <c r="AA259" s="166">
        <v>1</v>
      </c>
      <c r="AB259" s="183">
        <v>93.69</v>
      </c>
      <c r="AD259" s="156">
        <v>534.03300000000002</v>
      </c>
      <c r="AG259" s="2" t="s">
        <v>36</v>
      </c>
      <c r="AH259" s="172">
        <v>2.4600000000000002E-4</v>
      </c>
      <c r="AI259" s="172">
        <v>3.4255022365192497E-2</v>
      </c>
      <c r="AJ259" s="172">
        <v>5.8267117273790902E-3</v>
      </c>
    </row>
    <row r="260" spans="1:36">
      <c r="A260" s="2">
        <v>161</v>
      </c>
      <c r="B260" s="2">
        <v>9942</v>
      </c>
      <c r="C260" s="2" t="s">
        <v>1620</v>
      </c>
      <c r="D260" s="2" t="s">
        <v>1621</v>
      </c>
      <c r="E260" s="4" t="s">
        <v>1363</v>
      </c>
      <c r="F260" s="2" t="s">
        <v>2308</v>
      </c>
      <c r="G260" s="2" t="s">
        <v>2309</v>
      </c>
      <c r="H260" s="2" t="s">
        <v>223</v>
      </c>
      <c r="I260" s="2" t="s">
        <v>804</v>
      </c>
      <c r="J260" s="2" t="s">
        <v>30</v>
      </c>
      <c r="K260" s="2" t="s">
        <v>30</v>
      </c>
      <c r="L260" s="2" t="s">
        <v>377</v>
      </c>
      <c r="M260" s="2" t="s">
        <v>31</v>
      </c>
      <c r="N260" s="2" t="s">
        <v>495</v>
      </c>
      <c r="O260" s="2" t="s">
        <v>173</v>
      </c>
      <c r="P260" s="2" t="s">
        <v>1224</v>
      </c>
      <c r="Q260" s="2" t="s">
        <v>462</v>
      </c>
      <c r="R260" s="2" t="s">
        <v>456</v>
      </c>
      <c r="S260" s="2" t="s">
        <v>34</v>
      </c>
      <c r="T260" s="156">
        <v>3.5609999999999999</v>
      </c>
      <c r="U260" s="2" t="s">
        <v>2307</v>
      </c>
      <c r="V260" s="170">
        <v>1E-3</v>
      </c>
      <c r="W260" s="172">
        <v>2.3970000000000002E-2</v>
      </c>
      <c r="X260" s="4" t="s">
        <v>461</v>
      </c>
      <c r="Y260" s="4" t="s">
        <v>173</v>
      </c>
      <c r="Z260" s="156">
        <v>454276</v>
      </c>
      <c r="AA260" s="166">
        <v>1</v>
      </c>
      <c r="AB260" s="183">
        <v>103.73</v>
      </c>
      <c r="AD260" s="156">
        <v>471.22</v>
      </c>
      <c r="AG260" s="2" t="s">
        <v>36</v>
      </c>
      <c r="AH260" s="172">
        <v>4.0400000000000001E-4</v>
      </c>
      <c r="AI260" s="172">
        <v>3.02259759009482E-2</v>
      </c>
      <c r="AJ260" s="172">
        <v>5.1413788721531E-3</v>
      </c>
    </row>
    <row r="261" spans="1:36">
      <c r="A261" s="2">
        <v>161</v>
      </c>
      <c r="B261" s="2">
        <v>9942</v>
      </c>
      <c r="C261" s="2" t="s">
        <v>1620</v>
      </c>
      <c r="D261" s="2" t="s">
        <v>1621</v>
      </c>
      <c r="E261" s="4" t="s">
        <v>1363</v>
      </c>
      <c r="F261" s="2" t="s">
        <v>2310</v>
      </c>
      <c r="G261" s="2" t="s">
        <v>2311</v>
      </c>
      <c r="H261" s="2" t="s">
        <v>223</v>
      </c>
      <c r="I261" s="2" t="s">
        <v>804</v>
      </c>
      <c r="J261" s="2" t="s">
        <v>30</v>
      </c>
      <c r="K261" s="2" t="s">
        <v>30</v>
      </c>
      <c r="L261" s="2" t="s">
        <v>377</v>
      </c>
      <c r="M261" s="2" t="s">
        <v>31</v>
      </c>
      <c r="N261" s="2" t="s">
        <v>495</v>
      </c>
      <c r="O261" s="2" t="s">
        <v>173</v>
      </c>
      <c r="P261" s="2" t="s">
        <v>1224</v>
      </c>
      <c r="Q261" s="2" t="s">
        <v>462</v>
      </c>
      <c r="R261" s="2" t="s">
        <v>456</v>
      </c>
      <c r="S261" s="2" t="s">
        <v>34</v>
      </c>
      <c r="T261" s="156">
        <v>3.9140000000000001</v>
      </c>
      <c r="U261" s="2" t="s">
        <v>2312</v>
      </c>
      <c r="V261" s="170">
        <v>1.3899999999999999E-2</v>
      </c>
      <c r="W261" s="172">
        <v>2.4809999999999999E-2</v>
      </c>
      <c r="X261" s="4" t="s">
        <v>461</v>
      </c>
      <c r="Y261" s="4" t="s">
        <v>173</v>
      </c>
      <c r="Z261" s="156">
        <v>741500</v>
      </c>
      <c r="AA261" s="166">
        <v>1</v>
      </c>
      <c r="AB261" s="183">
        <v>103.84</v>
      </c>
      <c r="AD261" s="156">
        <v>769.97400000000005</v>
      </c>
      <c r="AG261" s="2" t="s">
        <v>36</v>
      </c>
      <c r="AH261" s="172">
        <v>4.1199999999999999E-4</v>
      </c>
      <c r="AI261" s="172">
        <v>4.9389200458787703E-2</v>
      </c>
      <c r="AJ261" s="172">
        <v>8.4010055649974807E-3</v>
      </c>
    </row>
    <row r="262" spans="1:36">
      <c r="A262" s="2">
        <v>161</v>
      </c>
      <c r="B262" s="2">
        <v>9942</v>
      </c>
      <c r="C262" s="2" t="s">
        <v>1620</v>
      </c>
      <c r="D262" s="2" t="s">
        <v>1621</v>
      </c>
      <c r="E262" s="4" t="s">
        <v>1363</v>
      </c>
      <c r="F262" s="2" t="s">
        <v>2316</v>
      </c>
      <c r="G262" s="2" t="s">
        <v>2317</v>
      </c>
      <c r="H262" s="2" t="s">
        <v>223</v>
      </c>
      <c r="I262" s="2" t="s">
        <v>804</v>
      </c>
      <c r="J262" s="2" t="s">
        <v>30</v>
      </c>
      <c r="K262" s="2" t="s">
        <v>30</v>
      </c>
      <c r="L262" s="2" t="s">
        <v>377</v>
      </c>
      <c r="M262" s="2" t="s">
        <v>31</v>
      </c>
      <c r="N262" s="2" t="s">
        <v>495</v>
      </c>
      <c r="O262" s="2" t="s">
        <v>173</v>
      </c>
      <c r="P262" s="2" t="s">
        <v>1224</v>
      </c>
      <c r="Q262" s="2" t="s">
        <v>462</v>
      </c>
      <c r="R262" s="2" t="s">
        <v>456</v>
      </c>
      <c r="S262" s="2" t="s">
        <v>34</v>
      </c>
      <c r="T262" s="156">
        <v>2.786</v>
      </c>
      <c r="U262" s="2" t="s">
        <v>2318</v>
      </c>
      <c r="V262" s="170">
        <v>1.7500000000000002E-2</v>
      </c>
      <c r="W262" s="172">
        <v>2.3460000000000002E-2</v>
      </c>
      <c r="X262" s="4" t="s">
        <v>461</v>
      </c>
      <c r="Y262" s="4" t="s">
        <v>173</v>
      </c>
      <c r="Z262" s="156">
        <v>436684.64</v>
      </c>
      <c r="AA262" s="166">
        <v>1</v>
      </c>
      <c r="AB262" s="183">
        <v>114.28</v>
      </c>
      <c r="AD262" s="156">
        <v>499.04300000000001</v>
      </c>
      <c r="AG262" s="2" t="s">
        <v>36</v>
      </c>
      <c r="AH262" s="172">
        <v>1.6799999999999999E-4</v>
      </c>
      <c r="AI262" s="172">
        <v>3.2010636426974201E-2</v>
      </c>
      <c r="AJ262" s="172">
        <v>5.4449461069231197E-3</v>
      </c>
    </row>
    <row r="263" spans="1:36">
      <c r="A263" s="2">
        <v>161</v>
      </c>
      <c r="B263" s="2">
        <v>9942</v>
      </c>
      <c r="C263" s="2" t="s">
        <v>1719</v>
      </c>
      <c r="D263" s="2" t="s">
        <v>1720</v>
      </c>
      <c r="E263" s="4" t="s">
        <v>1363</v>
      </c>
      <c r="F263" s="2" t="s">
        <v>2319</v>
      </c>
      <c r="G263" s="2" t="s">
        <v>2320</v>
      </c>
      <c r="H263" s="2" t="s">
        <v>223</v>
      </c>
      <c r="I263" s="2" t="s">
        <v>1013</v>
      </c>
      <c r="J263" s="2" t="s">
        <v>30</v>
      </c>
      <c r="K263" s="2" t="s">
        <v>30</v>
      </c>
      <c r="L263" s="2" t="s">
        <v>377</v>
      </c>
      <c r="M263" s="2" t="s">
        <v>31</v>
      </c>
      <c r="N263" s="2" t="s">
        <v>524</v>
      </c>
      <c r="O263" s="2" t="s">
        <v>173</v>
      </c>
      <c r="P263" s="2" t="s">
        <v>1374</v>
      </c>
      <c r="Q263" s="2" t="s">
        <v>462</v>
      </c>
      <c r="R263" s="2" t="s">
        <v>456</v>
      </c>
      <c r="S263" s="2" t="s">
        <v>34</v>
      </c>
      <c r="T263" s="156">
        <v>1.327</v>
      </c>
      <c r="U263" s="2" t="s">
        <v>2321</v>
      </c>
      <c r="V263" s="170">
        <v>2.29E-2</v>
      </c>
      <c r="W263" s="172">
        <v>5.219E-2</v>
      </c>
      <c r="X263" s="4" t="s">
        <v>461</v>
      </c>
      <c r="Y263" s="4" t="s">
        <v>173</v>
      </c>
      <c r="Z263" s="156">
        <v>103384.62</v>
      </c>
      <c r="AA263" s="166">
        <v>1</v>
      </c>
      <c r="AB263" s="183">
        <v>97.05</v>
      </c>
      <c r="AD263" s="156">
        <v>100.33499999999999</v>
      </c>
      <c r="AG263" s="2" t="s">
        <v>36</v>
      </c>
      <c r="AH263" s="172">
        <v>2.5099999999999998E-4</v>
      </c>
      <c r="AI263" s="172">
        <v>6.4358755309926099E-3</v>
      </c>
      <c r="AJ263" s="172">
        <v>1.0947297313836099E-3</v>
      </c>
    </row>
    <row r="264" spans="1:36">
      <c r="A264" s="2">
        <v>161</v>
      </c>
      <c r="B264" s="2">
        <v>9942</v>
      </c>
      <c r="C264" s="2" t="s">
        <v>2322</v>
      </c>
      <c r="D264" s="2" t="s">
        <v>2323</v>
      </c>
      <c r="E264" s="4" t="s">
        <v>1363</v>
      </c>
      <c r="F264" s="2" t="s">
        <v>2324</v>
      </c>
      <c r="G264" s="2" t="s">
        <v>2325</v>
      </c>
      <c r="H264" s="2" t="s">
        <v>223</v>
      </c>
      <c r="I264" s="2" t="s">
        <v>804</v>
      </c>
      <c r="J264" s="2" t="s">
        <v>30</v>
      </c>
      <c r="K264" s="2" t="s">
        <v>30</v>
      </c>
      <c r="L264" s="2" t="s">
        <v>377</v>
      </c>
      <c r="M264" s="2" t="s">
        <v>31</v>
      </c>
      <c r="N264" s="2" t="s">
        <v>487</v>
      </c>
      <c r="O264" s="2" t="s">
        <v>173</v>
      </c>
      <c r="P264" s="2" t="s">
        <v>1374</v>
      </c>
      <c r="Q264" s="2" t="s">
        <v>462</v>
      </c>
      <c r="R264" s="2" t="s">
        <v>456</v>
      </c>
      <c r="S264" s="2" t="s">
        <v>34</v>
      </c>
      <c r="T264" s="156">
        <v>1.8979999999999999</v>
      </c>
      <c r="U264" s="2" t="s">
        <v>2326</v>
      </c>
      <c r="V264" s="170">
        <v>1.9400000000000001E-2</v>
      </c>
      <c r="W264" s="172">
        <v>2.4199999999999999E-2</v>
      </c>
      <c r="X264" s="4" t="s">
        <v>461</v>
      </c>
      <c r="Y264" s="4" t="s">
        <v>173</v>
      </c>
      <c r="Z264" s="156">
        <v>160000</v>
      </c>
      <c r="AA264" s="166">
        <v>1</v>
      </c>
      <c r="AB264" s="183">
        <v>115.88</v>
      </c>
      <c r="AD264" s="156">
        <v>185.40799999999999</v>
      </c>
      <c r="AG264" s="2" t="s">
        <v>36</v>
      </c>
      <c r="AH264" s="172">
        <v>5.31E-4</v>
      </c>
      <c r="AI264" s="172">
        <v>1.18928140895518E-2</v>
      </c>
      <c r="AJ264" s="172">
        <v>2.0229442149640601E-3</v>
      </c>
    </row>
    <row r="265" spans="1:36">
      <c r="A265" s="2">
        <v>161</v>
      </c>
      <c r="B265" s="2">
        <v>9942</v>
      </c>
      <c r="C265" s="2" t="s">
        <v>2396</v>
      </c>
      <c r="D265" s="2" t="s">
        <v>2397</v>
      </c>
      <c r="E265" s="4" t="s">
        <v>1363</v>
      </c>
      <c r="F265" s="2" t="s">
        <v>2398</v>
      </c>
      <c r="G265" s="2" t="s">
        <v>2399</v>
      </c>
      <c r="H265" s="2" t="s">
        <v>223</v>
      </c>
      <c r="I265" s="2" t="s">
        <v>804</v>
      </c>
      <c r="J265" s="2" t="s">
        <v>30</v>
      </c>
      <c r="K265" s="2" t="s">
        <v>30</v>
      </c>
      <c r="L265" s="2" t="s">
        <v>377</v>
      </c>
      <c r="M265" s="2" t="s">
        <v>31</v>
      </c>
      <c r="N265" s="2" t="s">
        <v>492</v>
      </c>
      <c r="O265" s="2" t="s">
        <v>173</v>
      </c>
      <c r="P265" s="2" t="s">
        <v>2052</v>
      </c>
      <c r="Q265" s="2" t="s">
        <v>462</v>
      </c>
      <c r="R265" s="2" t="s">
        <v>456</v>
      </c>
      <c r="S265" s="2" t="s">
        <v>34</v>
      </c>
      <c r="T265" s="156">
        <v>2.0299999999999998</v>
      </c>
      <c r="U265" s="2" t="s">
        <v>2400</v>
      </c>
      <c r="V265" s="170">
        <v>2.2499999999999999E-2</v>
      </c>
      <c r="W265" s="172">
        <v>2.2409999999999999E-2</v>
      </c>
      <c r="X265" s="4" t="s">
        <v>461</v>
      </c>
      <c r="Y265" s="4" t="s">
        <v>173</v>
      </c>
      <c r="Z265" s="156">
        <v>100000</v>
      </c>
      <c r="AA265" s="166">
        <v>1</v>
      </c>
      <c r="AB265" s="183">
        <v>117.98</v>
      </c>
      <c r="AD265" s="156">
        <v>117.98</v>
      </c>
      <c r="AG265" s="2" t="s">
        <v>36</v>
      </c>
      <c r="AH265" s="172">
        <v>2.4399999999999999E-4</v>
      </c>
      <c r="AI265" s="172">
        <v>7.5677112437722198E-3</v>
      </c>
      <c r="AJ265" s="172">
        <v>1.28725275328713E-3</v>
      </c>
    </row>
    <row r="266" spans="1:36">
      <c r="A266" s="2">
        <v>161</v>
      </c>
      <c r="B266" s="2">
        <v>9942</v>
      </c>
      <c r="C266" s="2" t="s">
        <v>2327</v>
      </c>
      <c r="D266" s="2" t="s">
        <v>2328</v>
      </c>
      <c r="E266" s="4" t="s">
        <v>1363</v>
      </c>
      <c r="F266" s="2" t="s">
        <v>2329</v>
      </c>
      <c r="G266" s="2" t="s">
        <v>2330</v>
      </c>
      <c r="H266" s="2" t="s">
        <v>223</v>
      </c>
      <c r="I266" s="2" t="s">
        <v>1013</v>
      </c>
      <c r="J266" s="2" t="s">
        <v>30</v>
      </c>
      <c r="K266" s="2" t="s">
        <v>30</v>
      </c>
      <c r="L266" s="2" t="s">
        <v>377</v>
      </c>
      <c r="M266" s="2" t="s">
        <v>31</v>
      </c>
      <c r="N266" s="2" t="s">
        <v>494</v>
      </c>
      <c r="O266" s="2" t="s">
        <v>173</v>
      </c>
      <c r="P266" s="2" t="s">
        <v>2041</v>
      </c>
      <c r="Q266" s="2" t="s">
        <v>464</v>
      </c>
      <c r="R266" s="2" t="s">
        <v>456</v>
      </c>
      <c r="S266" s="2" t="s">
        <v>34</v>
      </c>
      <c r="T266" s="156">
        <v>0.52800000000000002</v>
      </c>
      <c r="U266" s="2" t="s">
        <v>2331</v>
      </c>
      <c r="V266" s="170">
        <v>0.06</v>
      </c>
      <c r="W266" s="172">
        <v>6.6379999999999995E-2</v>
      </c>
      <c r="X266" s="4" t="s">
        <v>461</v>
      </c>
      <c r="Y266" s="4" t="s">
        <v>173</v>
      </c>
      <c r="Z266" s="156">
        <v>0.9</v>
      </c>
      <c r="AA266" s="166">
        <v>1</v>
      </c>
      <c r="AB266" s="183">
        <v>101</v>
      </c>
      <c r="AD266" s="156">
        <v>1E-3</v>
      </c>
      <c r="AG266" s="2" t="s">
        <v>36</v>
      </c>
      <c r="AH266" s="172">
        <v>0</v>
      </c>
      <c r="AI266" s="172">
        <v>5.8306912363018699E-8</v>
      </c>
      <c r="AJ266" s="172">
        <v>9.9178907674012602E-9</v>
      </c>
    </row>
    <row r="267" spans="1:36">
      <c r="A267" s="2">
        <v>161</v>
      </c>
      <c r="B267" s="2">
        <v>9942</v>
      </c>
      <c r="C267" s="2" t="s">
        <v>1939</v>
      </c>
      <c r="D267" s="2" t="s">
        <v>1940</v>
      </c>
      <c r="E267" s="4" t="s">
        <v>1363</v>
      </c>
      <c r="F267" s="2" t="s">
        <v>2332</v>
      </c>
      <c r="G267" s="2" t="s">
        <v>2333</v>
      </c>
      <c r="H267" s="2" t="s">
        <v>223</v>
      </c>
      <c r="I267" s="2" t="s">
        <v>804</v>
      </c>
      <c r="J267" s="2" t="s">
        <v>30</v>
      </c>
      <c r="K267" s="2" t="s">
        <v>30</v>
      </c>
      <c r="L267" s="2" t="s">
        <v>377</v>
      </c>
      <c r="M267" s="2" t="s">
        <v>31</v>
      </c>
      <c r="N267" s="2" t="s">
        <v>511</v>
      </c>
      <c r="O267" s="2" t="s">
        <v>173</v>
      </c>
      <c r="P267" s="2" t="s">
        <v>2052</v>
      </c>
      <c r="Q267" s="2" t="s">
        <v>462</v>
      </c>
      <c r="R267" s="2" t="s">
        <v>456</v>
      </c>
      <c r="S267" s="2" t="s">
        <v>34</v>
      </c>
      <c r="T267" s="156">
        <v>6.6509999999999998</v>
      </c>
      <c r="U267" s="2" t="s">
        <v>2334</v>
      </c>
      <c r="V267" s="170">
        <v>2.5000000000000001E-2</v>
      </c>
      <c r="W267" s="172">
        <v>3.3890000000000003E-2</v>
      </c>
      <c r="X267" s="4" t="s">
        <v>461</v>
      </c>
      <c r="Y267" s="4" t="s">
        <v>173</v>
      </c>
      <c r="Z267" s="156">
        <v>80750</v>
      </c>
      <c r="AA267" s="166">
        <v>1</v>
      </c>
      <c r="AB267" s="183">
        <v>109.06</v>
      </c>
      <c r="AD267" s="156">
        <v>88.066000000000003</v>
      </c>
      <c r="AG267" s="2" t="s">
        <v>36</v>
      </c>
      <c r="AH267" s="172">
        <v>9.5000000000000005E-5</v>
      </c>
      <c r="AI267" s="172">
        <v>5.6489038820857901E-3</v>
      </c>
      <c r="AJ267" s="172">
        <v>9.60867406410804E-4</v>
      </c>
    </row>
    <row r="268" spans="1:36">
      <c r="A268" s="2">
        <v>161</v>
      </c>
      <c r="B268" s="2">
        <v>9942</v>
      </c>
      <c r="C268" s="2" t="s">
        <v>2335</v>
      </c>
      <c r="D268" s="2" t="s">
        <v>2336</v>
      </c>
      <c r="E268" s="4" t="s">
        <v>1363</v>
      </c>
      <c r="F268" s="2" t="s">
        <v>2337</v>
      </c>
      <c r="G268" s="2" t="s">
        <v>2338</v>
      </c>
      <c r="H268" s="2" t="s">
        <v>223</v>
      </c>
      <c r="I268" s="2" t="s">
        <v>1013</v>
      </c>
      <c r="J268" s="2" t="s">
        <v>30</v>
      </c>
      <c r="K268" s="2" t="s">
        <v>30</v>
      </c>
      <c r="L268" s="2" t="s">
        <v>377</v>
      </c>
      <c r="M268" s="2" t="s">
        <v>31</v>
      </c>
      <c r="N268" s="2" t="s">
        <v>490</v>
      </c>
      <c r="O268" s="2" t="s">
        <v>173</v>
      </c>
      <c r="P268" s="2" t="s">
        <v>2339</v>
      </c>
      <c r="Q268" s="2" t="s">
        <v>464</v>
      </c>
      <c r="R268" s="2" t="s">
        <v>456</v>
      </c>
      <c r="S268" s="2" t="s">
        <v>34</v>
      </c>
      <c r="T268" s="156">
        <v>0.73</v>
      </c>
      <c r="U268" s="2" t="s">
        <v>2340</v>
      </c>
      <c r="V268" s="170">
        <v>3.15E-2</v>
      </c>
      <c r="W268" s="172">
        <v>8.2530000000000006E-2</v>
      </c>
      <c r="X268" s="4" t="s">
        <v>461</v>
      </c>
      <c r="Y268" s="4" t="s">
        <v>173</v>
      </c>
      <c r="Z268" s="156">
        <v>0.31</v>
      </c>
      <c r="AA268" s="166">
        <v>1</v>
      </c>
      <c r="AB268" s="183">
        <v>97.3</v>
      </c>
      <c r="AD268" s="156">
        <v>0</v>
      </c>
      <c r="AG268" s="2" t="s">
        <v>36</v>
      </c>
      <c r="AH268" s="172">
        <v>0</v>
      </c>
      <c r="AI268" s="172">
        <v>1.9347760149678E-8</v>
      </c>
      <c r="AJ268" s="172">
        <v>3.2910158329716603E-9</v>
      </c>
    </row>
    <row r="269" spans="1:36">
      <c r="A269" s="2">
        <v>161</v>
      </c>
      <c r="B269" s="2">
        <v>9942</v>
      </c>
      <c r="C269" s="2" t="s">
        <v>2341</v>
      </c>
      <c r="D269" s="2" t="s">
        <v>2342</v>
      </c>
      <c r="E269" s="4" t="s">
        <v>1363</v>
      </c>
      <c r="F269" s="2" t="s">
        <v>2343</v>
      </c>
      <c r="G269" s="2" t="s">
        <v>2344</v>
      </c>
      <c r="H269" s="2" t="s">
        <v>223</v>
      </c>
      <c r="I269" s="2" t="s">
        <v>1013</v>
      </c>
      <c r="J269" s="2" t="s">
        <v>30</v>
      </c>
      <c r="K269" s="2" t="s">
        <v>30</v>
      </c>
      <c r="L269" s="2" t="s">
        <v>377</v>
      </c>
      <c r="M269" s="2" t="s">
        <v>31</v>
      </c>
      <c r="N269" s="2" t="s">
        <v>487</v>
      </c>
      <c r="O269" s="2" t="s">
        <v>173</v>
      </c>
      <c r="P269" s="2" t="s">
        <v>2041</v>
      </c>
      <c r="Q269" s="2" t="s">
        <v>464</v>
      </c>
      <c r="R269" s="2" t="s">
        <v>456</v>
      </c>
      <c r="S269" s="2" t="s">
        <v>34</v>
      </c>
      <c r="T269" s="156">
        <v>4.2539999999999996</v>
      </c>
      <c r="U269" s="2" t="s">
        <v>2345</v>
      </c>
      <c r="V269" s="170">
        <v>6.7699999999999996E-2</v>
      </c>
      <c r="W269" s="172">
        <v>6.6390000000000005E-2</v>
      </c>
      <c r="X269" s="4" t="s">
        <v>461</v>
      </c>
      <c r="Y269" s="4" t="s">
        <v>173</v>
      </c>
      <c r="Z269" s="156">
        <v>170000</v>
      </c>
      <c r="AA269" s="166">
        <v>1</v>
      </c>
      <c r="AB269" s="183">
        <v>102.69</v>
      </c>
      <c r="AD269" s="156">
        <v>174.57300000000001</v>
      </c>
      <c r="AG269" s="2" t="s">
        <v>36</v>
      </c>
      <c r="AH269" s="172">
        <v>2.2699999999999999E-4</v>
      </c>
      <c r="AI269" s="172">
        <v>1.11978136545096E-2</v>
      </c>
      <c r="AJ269" s="172">
        <v>1.9047260120325E-3</v>
      </c>
    </row>
    <row r="270" spans="1:36">
      <c r="A270" s="2">
        <v>161</v>
      </c>
      <c r="B270" s="2">
        <v>9942</v>
      </c>
      <c r="C270" s="2" t="s">
        <v>2346</v>
      </c>
      <c r="D270" s="2" t="s">
        <v>2347</v>
      </c>
      <c r="E270" s="4" t="s">
        <v>1363</v>
      </c>
      <c r="F270" s="2" t="s">
        <v>2348</v>
      </c>
      <c r="G270" s="2" t="s">
        <v>2349</v>
      </c>
      <c r="H270" s="2" t="s">
        <v>223</v>
      </c>
      <c r="I270" s="2" t="s">
        <v>804</v>
      </c>
      <c r="J270" s="2" t="s">
        <v>30</v>
      </c>
      <c r="K270" s="2" t="s">
        <v>30</v>
      </c>
      <c r="L270" s="2" t="s">
        <v>377</v>
      </c>
      <c r="M270" s="2" t="s">
        <v>31</v>
      </c>
      <c r="N270" s="2" t="s">
        <v>525</v>
      </c>
      <c r="O270" s="2" t="s">
        <v>173</v>
      </c>
      <c r="P270" s="2" t="s">
        <v>2052</v>
      </c>
      <c r="Q270" s="2" t="s">
        <v>462</v>
      </c>
      <c r="R270" s="2" t="s">
        <v>456</v>
      </c>
      <c r="S270" s="2" t="s">
        <v>34</v>
      </c>
      <c r="T270" s="156">
        <v>3.5009999999999999</v>
      </c>
      <c r="U270" s="2" t="s">
        <v>2350</v>
      </c>
      <c r="V270" s="170">
        <v>2.1999999999999999E-2</v>
      </c>
      <c r="W270" s="172">
        <v>3.0370000000000001E-2</v>
      </c>
      <c r="X270" s="4" t="s">
        <v>461</v>
      </c>
      <c r="Y270" s="4" t="s">
        <v>173</v>
      </c>
      <c r="Z270" s="156">
        <v>164333.35999999999</v>
      </c>
      <c r="AA270" s="166">
        <v>1</v>
      </c>
      <c r="AB270" s="183">
        <v>103.8</v>
      </c>
      <c r="AD270" s="156">
        <v>170.578</v>
      </c>
      <c r="AG270" s="2" t="s">
        <v>36</v>
      </c>
      <c r="AH270" s="172">
        <v>2.5599999999999999E-4</v>
      </c>
      <c r="AI270" s="172">
        <v>1.0941560078101599E-2</v>
      </c>
      <c r="AJ270" s="172">
        <v>1.86113778421231E-3</v>
      </c>
    </row>
    <row r="271" spans="1:36">
      <c r="A271" s="2">
        <v>161</v>
      </c>
      <c r="B271" s="2">
        <v>9942</v>
      </c>
      <c r="C271" s="2" t="s">
        <v>2401</v>
      </c>
      <c r="D271" s="2" t="s">
        <v>2402</v>
      </c>
      <c r="E271" s="4" t="s">
        <v>1363</v>
      </c>
      <c r="F271" s="2" t="s">
        <v>2403</v>
      </c>
      <c r="G271" s="2" t="s">
        <v>2404</v>
      </c>
      <c r="H271" s="2" t="s">
        <v>223</v>
      </c>
      <c r="I271" s="2" t="s">
        <v>1013</v>
      </c>
      <c r="J271" s="2" t="s">
        <v>30</v>
      </c>
      <c r="K271" s="2" t="s">
        <v>30</v>
      </c>
      <c r="L271" s="2" t="s">
        <v>377</v>
      </c>
      <c r="M271" s="2" t="s">
        <v>31</v>
      </c>
      <c r="N271" s="2" t="s">
        <v>511</v>
      </c>
      <c r="O271" s="2" t="s">
        <v>173</v>
      </c>
      <c r="P271" s="2" t="s">
        <v>2041</v>
      </c>
      <c r="Q271" s="2" t="s">
        <v>464</v>
      </c>
      <c r="R271" s="2" t="s">
        <v>456</v>
      </c>
      <c r="S271" s="2" t="s">
        <v>34</v>
      </c>
      <c r="T271" s="156">
        <v>2.726</v>
      </c>
      <c r="U271" s="2" t="s">
        <v>2405</v>
      </c>
      <c r="V271" s="170">
        <v>4.1000000000000002E-2</v>
      </c>
      <c r="W271" s="172">
        <v>6.3700000000000007E-2</v>
      </c>
      <c r="X271" s="4" t="s">
        <v>461</v>
      </c>
      <c r="Y271" s="4" t="s">
        <v>173</v>
      </c>
      <c r="Z271" s="156">
        <v>0.11</v>
      </c>
      <c r="AA271" s="166">
        <v>1</v>
      </c>
      <c r="AB271" s="183">
        <v>95.92</v>
      </c>
      <c r="AD271" s="156">
        <v>0</v>
      </c>
      <c r="AG271" s="2" t="s">
        <v>36</v>
      </c>
      <c r="AH271" s="172">
        <v>0</v>
      </c>
      <c r="AI271" s="172">
        <v>6.7679636273342402E-9</v>
      </c>
      <c r="AJ271" s="172">
        <v>1.15121726144119E-9</v>
      </c>
    </row>
    <row r="272" spans="1:36">
      <c r="A272" s="2">
        <v>161</v>
      </c>
      <c r="B272" s="2">
        <v>9942</v>
      </c>
      <c r="C272" s="2" t="s">
        <v>2351</v>
      </c>
      <c r="D272" s="2" t="s">
        <v>2352</v>
      </c>
      <c r="E272" s="4" t="s">
        <v>1363</v>
      </c>
      <c r="F272" s="2" t="s">
        <v>2353</v>
      </c>
      <c r="G272" s="2" t="s">
        <v>2354</v>
      </c>
      <c r="H272" s="2" t="s">
        <v>223</v>
      </c>
      <c r="I272" s="2" t="s">
        <v>805</v>
      </c>
      <c r="J272" s="2" t="s">
        <v>30</v>
      </c>
      <c r="K272" s="2" t="s">
        <v>30</v>
      </c>
      <c r="L272" s="2" t="s">
        <v>377</v>
      </c>
      <c r="M272" s="2" t="s">
        <v>31</v>
      </c>
      <c r="N272" s="2" t="s">
        <v>501</v>
      </c>
      <c r="O272" s="2" t="s">
        <v>173</v>
      </c>
      <c r="P272" s="2" t="s">
        <v>2061</v>
      </c>
      <c r="Q272" s="2" t="s">
        <v>464</v>
      </c>
      <c r="R272" s="2" t="s">
        <v>456</v>
      </c>
      <c r="S272" s="2" t="s">
        <v>34</v>
      </c>
      <c r="T272" s="156">
        <v>3.129</v>
      </c>
      <c r="U272" s="2" t="s">
        <v>2355</v>
      </c>
      <c r="V272" s="170">
        <v>4.6899999999999997E-2</v>
      </c>
      <c r="W272" s="172">
        <v>7.5190000000000007E-2</v>
      </c>
      <c r="X272" s="4" t="s">
        <v>461</v>
      </c>
      <c r="Y272" s="4" t="s">
        <v>173</v>
      </c>
      <c r="Z272" s="156">
        <v>259262.15</v>
      </c>
      <c r="AA272" s="166">
        <v>1</v>
      </c>
      <c r="AB272" s="183">
        <v>99.56</v>
      </c>
      <c r="AD272" s="156">
        <v>258.12099999999998</v>
      </c>
      <c r="AG272" s="2" t="s">
        <v>36</v>
      </c>
      <c r="AH272" s="172">
        <v>2.2599999999999999E-4</v>
      </c>
      <c r="AI272" s="172">
        <v>1.65569435061362E-2</v>
      </c>
      <c r="AJ272" s="172">
        <v>2.8163034275168202E-3</v>
      </c>
    </row>
    <row r="273" spans="1:36">
      <c r="A273" s="2">
        <v>161</v>
      </c>
      <c r="B273" s="2">
        <v>9942</v>
      </c>
      <c r="C273" s="2" t="s">
        <v>1222</v>
      </c>
      <c r="D273" s="2" t="s">
        <v>1618</v>
      </c>
      <c r="E273" s="4" t="s">
        <v>1363</v>
      </c>
      <c r="F273" s="2" t="s">
        <v>2356</v>
      </c>
      <c r="G273" s="2" t="s">
        <v>2357</v>
      </c>
      <c r="H273" s="2" t="s">
        <v>223</v>
      </c>
      <c r="I273" s="2" t="s">
        <v>805</v>
      </c>
      <c r="J273" s="2" t="s">
        <v>30</v>
      </c>
      <c r="K273" s="2" t="s">
        <v>30</v>
      </c>
      <c r="L273" s="2" t="s">
        <v>377</v>
      </c>
      <c r="M273" s="2" t="s">
        <v>55</v>
      </c>
      <c r="N273" s="2" t="s">
        <v>584</v>
      </c>
      <c r="O273" s="2" t="s">
        <v>173</v>
      </c>
      <c r="P273" s="2" t="s">
        <v>2358</v>
      </c>
      <c r="Q273" s="2" t="s">
        <v>480</v>
      </c>
      <c r="R273" s="2" t="s">
        <v>456</v>
      </c>
      <c r="S273" s="2" t="s">
        <v>95</v>
      </c>
      <c r="T273" s="156">
        <v>5.4939999999999998</v>
      </c>
      <c r="U273" s="2" t="s">
        <v>2359</v>
      </c>
      <c r="V273" s="170">
        <v>3.2750000000000001E-2</v>
      </c>
      <c r="W273" s="172">
        <v>6.0199999999999997E-2</v>
      </c>
      <c r="X273" s="4" t="s">
        <v>461</v>
      </c>
      <c r="Y273" s="4" t="s">
        <v>173</v>
      </c>
      <c r="Z273" s="156">
        <v>20000</v>
      </c>
      <c r="AA273" s="166">
        <v>3.71</v>
      </c>
      <c r="AB273" s="183">
        <v>95.418000000000006</v>
      </c>
      <c r="AD273" s="156">
        <v>70.8</v>
      </c>
      <c r="AG273" s="2" t="s">
        <v>36</v>
      </c>
      <c r="AH273" s="172">
        <v>2.6999999999999999E-5</v>
      </c>
      <c r="AI273" s="172">
        <v>4.5414222110478301E-3</v>
      </c>
      <c r="AJ273" s="172">
        <v>7.7248695896286004E-4</v>
      </c>
    </row>
    <row r="274" spans="1:36">
      <c r="A274" s="2">
        <v>161</v>
      </c>
      <c r="B274" s="2">
        <v>9942</v>
      </c>
      <c r="C274" s="2" t="s">
        <v>1684</v>
      </c>
      <c r="D274" s="2" t="s">
        <v>1685</v>
      </c>
      <c r="E274" s="4" t="s">
        <v>1363</v>
      </c>
      <c r="F274" s="2" t="s">
        <v>2360</v>
      </c>
      <c r="G274" s="2" t="s">
        <v>2361</v>
      </c>
      <c r="H274" s="2" t="s">
        <v>223</v>
      </c>
      <c r="I274" s="2" t="s">
        <v>805</v>
      </c>
      <c r="J274" s="2" t="s">
        <v>90</v>
      </c>
      <c r="K274" s="2" t="s">
        <v>30</v>
      </c>
      <c r="L274" s="2" t="s">
        <v>377</v>
      </c>
      <c r="M274" s="2" t="s">
        <v>145</v>
      </c>
      <c r="N274" s="2" t="s">
        <v>584</v>
      </c>
      <c r="O274" s="2" t="s">
        <v>173</v>
      </c>
      <c r="P274" s="2" t="s">
        <v>2358</v>
      </c>
      <c r="Q274" s="2" t="s">
        <v>480</v>
      </c>
      <c r="R274" s="2" t="s">
        <v>456</v>
      </c>
      <c r="S274" s="2" t="s">
        <v>95</v>
      </c>
      <c r="T274" s="156">
        <v>5.6210000000000004</v>
      </c>
      <c r="U274" s="2" t="s">
        <v>2362</v>
      </c>
      <c r="V274" s="170">
        <v>3.0769999999999999E-2</v>
      </c>
      <c r="W274" s="172">
        <v>6.5729999999999997E-2</v>
      </c>
      <c r="X274" s="4" t="s">
        <v>461</v>
      </c>
      <c r="Y274" s="4" t="s">
        <v>173</v>
      </c>
      <c r="Z274" s="156">
        <v>20000</v>
      </c>
      <c r="AA274" s="166">
        <v>3.71</v>
      </c>
      <c r="AB274" s="183">
        <v>95.182000000000002</v>
      </c>
      <c r="AD274" s="156">
        <v>70.625</v>
      </c>
      <c r="AG274" s="2" t="s">
        <v>36</v>
      </c>
      <c r="AH274" s="172">
        <v>3.3000000000000003E-5</v>
      </c>
      <c r="AI274" s="172">
        <v>4.5301583635642597E-3</v>
      </c>
      <c r="AJ274" s="172">
        <v>7.7057100072677298E-4</v>
      </c>
    </row>
    <row r="275" spans="1:36">
      <c r="A275" s="2">
        <v>161</v>
      </c>
      <c r="B275" s="2">
        <v>9943</v>
      </c>
      <c r="C275" s="2" t="s">
        <v>2043</v>
      </c>
      <c r="D275" s="2" t="s">
        <v>2044</v>
      </c>
      <c r="E275" s="4" t="s">
        <v>1363</v>
      </c>
      <c r="F275" s="2" t="s">
        <v>2045</v>
      </c>
      <c r="G275" s="2" t="s">
        <v>2046</v>
      </c>
      <c r="H275" s="2" t="s">
        <v>223</v>
      </c>
      <c r="I275" s="2" t="s">
        <v>1013</v>
      </c>
      <c r="J275" s="2" t="s">
        <v>30</v>
      </c>
      <c r="K275" s="2" t="s">
        <v>30</v>
      </c>
      <c r="L275" s="2" t="s">
        <v>379</v>
      </c>
      <c r="M275" s="2" t="s">
        <v>55</v>
      </c>
      <c r="N275" s="2" t="s">
        <v>494</v>
      </c>
      <c r="O275" s="2" t="s">
        <v>173</v>
      </c>
      <c r="P275" s="2" t="s">
        <v>225</v>
      </c>
      <c r="Q275" s="2" t="s">
        <v>226</v>
      </c>
      <c r="R275" s="2" t="s">
        <v>226</v>
      </c>
      <c r="S275" s="2" t="s">
        <v>34</v>
      </c>
      <c r="T275" s="156">
        <v>2.86</v>
      </c>
      <c r="U275" s="2" t="s">
        <v>2047</v>
      </c>
      <c r="V275" s="170">
        <v>0.08</v>
      </c>
      <c r="W275" s="172">
        <v>6.2579999999999997E-2</v>
      </c>
      <c r="X275" s="4" t="s">
        <v>461</v>
      </c>
      <c r="Y275" s="4" t="s">
        <v>173</v>
      </c>
      <c r="Z275" s="156">
        <v>1160000</v>
      </c>
      <c r="AA275" s="166">
        <v>1</v>
      </c>
      <c r="AB275" s="183">
        <v>107.08</v>
      </c>
      <c r="AD275" s="156">
        <v>1242.1279999999999</v>
      </c>
      <c r="AG275" s="2" t="s">
        <v>36</v>
      </c>
      <c r="AH275" s="172">
        <v>0</v>
      </c>
      <c r="AI275" s="172">
        <v>4.5578539570348001E-3</v>
      </c>
      <c r="AJ275" s="172">
        <v>6.8119368300508995E-4</v>
      </c>
    </row>
    <row r="276" spans="1:36">
      <c r="A276" s="2">
        <v>161</v>
      </c>
      <c r="B276" s="2">
        <v>9943</v>
      </c>
      <c r="C276" s="2" t="s">
        <v>2048</v>
      </c>
      <c r="D276" s="2" t="s">
        <v>2049</v>
      </c>
      <c r="E276" s="4" t="s">
        <v>1363</v>
      </c>
      <c r="F276" s="2" t="s">
        <v>2050</v>
      </c>
      <c r="G276" s="2" t="s">
        <v>2051</v>
      </c>
      <c r="H276" s="2" t="s">
        <v>223</v>
      </c>
      <c r="I276" s="2" t="s">
        <v>804</v>
      </c>
      <c r="J276" s="2" t="s">
        <v>30</v>
      </c>
      <c r="K276" s="2" t="s">
        <v>30</v>
      </c>
      <c r="L276" s="2" t="s">
        <v>377</v>
      </c>
      <c r="M276" s="2" t="s">
        <v>31</v>
      </c>
      <c r="N276" s="2" t="s">
        <v>511</v>
      </c>
      <c r="O276" s="2" t="s">
        <v>173</v>
      </c>
      <c r="P276" s="2" t="s">
        <v>2052</v>
      </c>
      <c r="Q276" s="2" t="s">
        <v>462</v>
      </c>
      <c r="R276" s="2" t="s">
        <v>456</v>
      </c>
      <c r="S276" s="2" t="s">
        <v>34</v>
      </c>
      <c r="T276" s="156">
        <v>2.012</v>
      </c>
      <c r="U276" s="2" t="s">
        <v>2053</v>
      </c>
      <c r="V276" s="170">
        <v>2.3400000000000001E-2</v>
      </c>
      <c r="W276" s="172">
        <v>2.664E-2</v>
      </c>
      <c r="X276" s="4" t="s">
        <v>461</v>
      </c>
      <c r="Y276" s="4" t="s">
        <v>173</v>
      </c>
      <c r="Z276" s="156">
        <v>3807789.72</v>
      </c>
      <c r="AA276" s="166">
        <v>1</v>
      </c>
      <c r="AB276" s="183">
        <v>115.87</v>
      </c>
      <c r="AD276" s="156">
        <v>4412.0860000000002</v>
      </c>
      <c r="AG276" s="2" t="s">
        <v>36</v>
      </c>
      <c r="AH276" s="172">
        <v>1.805E-3</v>
      </c>
      <c r="AI276" s="172">
        <v>1.6189670790321201E-2</v>
      </c>
      <c r="AJ276" s="172">
        <v>2.4196258976831001E-3</v>
      </c>
    </row>
    <row r="277" spans="1:36">
      <c r="A277" s="2">
        <v>161</v>
      </c>
      <c r="B277" s="2">
        <v>9943</v>
      </c>
      <c r="C277" s="2" t="s">
        <v>2048</v>
      </c>
      <c r="D277" s="2" t="s">
        <v>2049</v>
      </c>
      <c r="E277" s="4" t="s">
        <v>1363</v>
      </c>
      <c r="F277" s="2" t="s">
        <v>2054</v>
      </c>
      <c r="G277" s="2" t="s">
        <v>2055</v>
      </c>
      <c r="H277" s="2" t="s">
        <v>223</v>
      </c>
      <c r="I277" s="2" t="s">
        <v>1013</v>
      </c>
      <c r="J277" s="2" t="s">
        <v>30</v>
      </c>
      <c r="K277" s="2" t="s">
        <v>30</v>
      </c>
      <c r="L277" s="2" t="s">
        <v>377</v>
      </c>
      <c r="M277" s="2" t="s">
        <v>31</v>
      </c>
      <c r="N277" s="2" t="s">
        <v>511</v>
      </c>
      <c r="O277" s="2" t="s">
        <v>173</v>
      </c>
      <c r="P277" s="2" t="s">
        <v>2052</v>
      </c>
      <c r="Q277" s="2" t="s">
        <v>462</v>
      </c>
      <c r="R277" s="2" t="s">
        <v>456</v>
      </c>
      <c r="S277" s="2" t="s">
        <v>34</v>
      </c>
      <c r="T277" s="156">
        <v>2.681</v>
      </c>
      <c r="U277" s="2" t="s">
        <v>2056</v>
      </c>
      <c r="V277" s="170">
        <v>0.05</v>
      </c>
      <c r="W277" s="172">
        <v>5.5370000000000003E-2</v>
      </c>
      <c r="X277" s="4" t="s">
        <v>461</v>
      </c>
      <c r="Y277" s="4" t="s">
        <v>173</v>
      </c>
      <c r="Z277" s="156">
        <v>1700000</v>
      </c>
      <c r="AA277" s="166">
        <v>1</v>
      </c>
      <c r="AB277" s="183">
        <v>100.87</v>
      </c>
      <c r="AD277" s="156">
        <v>1714.79</v>
      </c>
      <c r="AG277" s="2" t="s">
        <v>36</v>
      </c>
      <c r="AH277" s="172">
        <v>4.2500000000000003E-3</v>
      </c>
      <c r="AI277" s="172">
        <v>6.2922358943552498E-3</v>
      </c>
      <c r="AJ277" s="172">
        <v>9.4040559079281599E-4</v>
      </c>
    </row>
    <row r="278" spans="1:36">
      <c r="A278" s="2">
        <v>161</v>
      </c>
      <c r="B278" s="2">
        <v>9943</v>
      </c>
      <c r="C278" s="2" t="s">
        <v>2057</v>
      </c>
      <c r="D278" s="2" t="s">
        <v>2058</v>
      </c>
      <c r="E278" s="4" t="s">
        <v>1363</v>
      </c>
      <c r="F278" s="2" t="s">
        <v>2063</v>
      </c>
      <c r="G278" s="2" t="s">
        <v>2064</v>
      </c>
      <c r="H278" s="2" t="s">
        <v>223</v>
      </c>
      <c r="I278" s="2" t="s">
        <v>804</v>
      </c>
      <c r="J278" s="2" t="s">
        <v>30</v>
      </c>
      <c r="K278" s="2" t="s">
        <v>30</v>
      </c>
      <c r="L278" s="2" t="s">
        <v>377</v>
      </c>
      <c r="M278" s="2" t="s">
        <v>31</v>
      </c>
      <c r="N278" s="2" t="s">
        <v>525</v>
      </c>
      <c r="O278" s="2" t="s">
        <v>173</v>
      </c>
      <c r="P278" s="2" t="s">
        <v>2061</v>
      </c>
      <c r="Q278" s="2" t="s">
        <v>462</v>
      </c>
      <c r="R278" s="2" t="s">
        <v>456</v>
      </c>
      <c r="S278" s="2" t="s">
        <v>34</v>
      </c>
      <c r="T278" s="156">
        <v>1.802</v>
      </c>
      <c r="U278" s="2" t="s">
        <v>2065</v>
      </c>
      <c r="V278" s="170">
        <v>3.2000000000000001E-2</v>
      </c>
      <c r="W278" s="172">
        <v>3.1350000000000003E-2</v>
      </c>
      <c r="X278" s="4" t="s">
        <v>461</v>
      </c>
      <c r="Y278" s="4" t="s">
        <v>173</v>
      </c>
      <c r="Z278" s="156">
        <v>210744.37</v>
      </c>
      <c r="AA278" s="166">
        <v>1</v>
      </c>
      <c r="AB278" s="183">
        <v>107.71</v>
      </c>
      <c r="AD278" s="156">
        <v>226.99299999999999</v>
      </c>
      <c r="AG278" s="2" t="s">
        <v>36</v>
      </c>
      <c r="AH278" s="172">
        <v>2.5599999999999999E-4</v>
      </c>
      <c r="AI278" s="172">
        <v>8.3292531334080001E-4</v>
      </c>
      <c r="AJ278" s="172">
        <v>1.24484783235993E-4</v>
      </c>
    </row>
    <row r="279" spans="1:36">
      <c r="A279" s="2">
        <v>161</v>
      </c>
      <c r="B279" s="2">
        <v>9943</v>
      </c>
      <c r="C279" s="2" t="s">
        <v>2057</v>
      </c>
      <c r="D279" s="2" t="s">
        <v>2058</v>
      </c>
      <c r="E279" s="4" t="s">
        <v>1363</v>
      </c>
      <c r="F279" s="2" t="s">
        <v>2066</v>
      </c>
      <c r="G279" s="2" t="s">
        <v>2067</v>
      </c>
      <c r="H279" s="2" t="s">
        <v>223</v>
      </c>
      <c r="I279" s="2" t="s">
        <v>1013</v>
      </c>
      <c r="J279" s="2" t="s">
        <v>30</v>
      </c>
      <c r="K279" s="2" t="s">
        <v>30</v>
      </c>
      <c r="L279" s="2" t="s">
        <v>377</v>
      </c>
      <c r="M279" s="2" t="s">
        <v>31</v>
      </c>
      <c r="N279" s="2" t="s">
        <v>525</v>
      </c>
      <c r="O279" s="2" t="s">
        <v>173</v>
      </c>
      <c r="P279" s="2" t="s">
        <v>2061</v>
      </c>
      <c r="Q279" s="2" t="s">
        <v>462</v>
      </c>
      <c r="R279" s="2" t="s">
        <v>456</v>
      </c>
      <c r="S279" s="2" t="s">
        <v>34</v>
      </c>
      <c r="T279" s="156">
        <v>1.84</v>
      </c>
      <c r="U279" s="2" t="s">
        <v>2068</v>
      </c>
      <c r="V279" s="170">
        <v>5.7000000000000002E-2</v>
      </c>
      <c r="W279" s="172">
        <v>6.1760000000000002E-2</v>
      </c>
      <c r="X279" s="4" t="s">
        <v>461</v>
      </c>
      <c r="Y279" s="4" t="s">
        <v>173</v>
      </c>
      <c r="Z279" s="156">
        <v>244513.07</v>
      </c>
      <c r="AA279" s="166">
        <v>1</v>
      </c>
      <c r="AB279" s="183">
        <v>99.56</v>
      </c>
      <c r="AD279" s="156">
        <v>243.43700000000001</v>
      </c>
      <c r="AG279" s="2" t="s">
        <v>36</v>
      </c>
      <c r="AH279" s="172">
        <v>2.4800000000000001E-4</v>
      </c>
      <c r="AI279" s="172">
        <v>8.9326644455819601E-4</v>
      </c>
      <c r="AJ279" s="172">
        <v>1.3350306196939301E-4</v>
      </c>
    </row>
    <row r="280" spans="1:36">
      <c r="A280" s="2">
        <v>161</v>
      </c>
      <c r="B280" s="2">
        <v>9943</v>
      </c>
      <c r="C280" s="2" t="s">
        <v>2069</v>
      </c>
      <c r="D280" s="2" t="s">
        <v>2070</v>
      </c>
      <c r="E280" s="4" t="s">
        <v>1363</v>
      </c>
      <c r="F280" s="2" t="s">
        <v>2071</v>
      </c>
      <c r="G280" s="2" t="s">
        <v>2072</v>
      </c>
      <c r="H280" s="2" t="s">
        <v>223</v>
      </c>
      <c r="I280" s="2" t="s">
        <v>804</v>
      </c>
      <c r="J280" s="2" t="s">
        <v>30</v>
      </c>
      <c r="K280" s="2" t="s">
        <v>30</v>
      </c>
      <c r="L280" s="2" t="s">
        <v>377</v>
      </c>
      <c r="M280" s="2" t="s">
        <v>31</v>
      </c>
      <c r="N280" s="2" t="s">
        <v>525</v>
      </c>
      <c r="O280" s="2" t="s">
        <v>173</v>
      </c>
      <c r="P280" s="2" t="s">
        <v>2061</v>
      </c>
      <c r="Q280" s="2" t="s">
        <v>462</v>
      </c>
      <c r="R280" s="2" t="s">
        <v>456</v>
      </c>
      <c r="S280" s="2" t="s">
        <v>34</v>
      </c>
      <c r="T280" s="156">
        <v>2.8780000000000001</v>
      </c>
      <c r="U280" s="2" t="s">
        <v>2073</v>
      </c>
      <c r="V280" s="170">
        <v>3.2300000000000002E-2</v>
      </c>
      <c r="W280" s="172">
        <v>3.0870000000000002E-2</v>
      </c>
      <c r="X280" s="4" t="s">
        <v>461</v>
      </c>
      <c r="Y280" s="4" t="s">
        <v>173</v>
      </c>
      <c r="Z280" s="156">
        <v>230048.87</v>
      </c>
      <c r="AA280" s="166">
        <v>1</v>
      </c>
      <c r="AB280" s="183">
        <v>107.46</v>
      </c>
      <c r="AD280" s="156">
        <v>247.21100000000001</v>
      </c>
      <c r="AG280" s="2" t="s">
        <v>36</v>
      </c>
      <c r="AH280" s="172">
        <v>3.8999999999999999E-4</v>
      </c>
      <c r="AI280" s="172">
        <v>9.0711217138086703E-4</v>
      </c>
      <c r="AJ280" s="172">
        <v>1.3557237391688501E-4</v>
      </c>
    </row>
    <row r="281" spans="1:36">
      <c r="A281" s="2">
        <v>161</v>
      </c>
      <c r="B281" s="2">
        <v>9943</v>
      </c>
      <c r="C281" s="2" t="s">
        <v>1632</v>
      </c>
      <c r="D281" s="2" t="s">
        <v>1633</v>
      </c>
      <c r="E281" s="4" t="s">
        <v>1363</v>
      </c>
      <c r="F281" s="2" t="s">
        <v>2074</v>
      </c>
      <c r="G281" s="2" t="s">
        <v>2075</v>
      </c>
      <c r="H281" s="2" t="s">
        <v>223</v>
      </c>
      <c r="I281" s="2" t="s">
        <v>804</v>
      </c>
      <c r="J281" s="2" t="s">
        <v>30</v>
      </c>
      <c r="K281" s="2" t="s">
        <v>30</v>
      </c>
      <c r="L281" s="2" t="s">
        <v>377</v>
      </c>
      <c r="M281" s="2" t="s">
        <v>31</v>
      </c>
      <c r="N281" s="2" t="s">
        <v>511</v>
      </c>
      <c r="O281" s="2" t="s">
        <v>173</v>
      </c>
      <c r="P281" s="2" t="s">
        <v>1374</v>
      </c>
      <c r="Q281" s="2" t="s">
        <v>462</v>
      </c>
      <c r="R281" s="2" t="s">
        <v>456</v>
      </c>
      <c r="S281" s="2" t="s">
        <v>34</v>
      </c>
      <c r="T281" s="156">
        <v>6.9109999999999996</v>
      </c>
      <c r="U281" s="2" t="s">
        <v>2076</v>
      </c>
      <c r="V281" s="170">
        <v>2.5600000000000001E-2</v>
      </c>
      <c r="W281" s="172">
        <v>4.2349999999999999E-2</v>
      </c>
      <c r="X281" s="4" t="s">
        <v>461</v>
      </c>
      <c r="Y281" s="4" t="s">
        <v>173</v>
      </c>
      <c r="Z281" s="156">
        <v>1560000</v>
      </c>
      <c r="AA281" s="166">
        <v>1</v>
      </c>
      <c r="AB281" s="183">
        <v>97.49</v>
      </c>
      <c r="AD281" s="156">
        <v>1520.8440000000001</v>
      </c>
      <c r="AG281" s="2" t="s">
        <v>36</v>
      </c>
      <c r="AH281" s="172">
        <v>1.485E-3</v>
      </c>
      <c r="AI281" s="172">
        <v>5.5805720855118196E-3</v>
      </c>
      <c r="AJ281" s="172">
        <v>8.3404393559777495E-4</v>
      </c>
    </row>
    <row r="282" spans="1:36">
      <c r="A282" s="2">
        <v>161</v>
      </c>
      <c r="B282" s="2">
        <v>9943</v>
      </c>
      <c r="C282" s="2" t="s">
        <v>1632</v>
      </c>
      <c r="D282" s="2" t="s">
        <v>1633</v>
      </c>
      <c r="E282" s="4" t="s">
        <v>1363</v>
      </c>
      <c r="F282" s="2" t="s">
        <v>2077</v>
      </c>
      <c r="G282" s="2" t="s">
        <v>2078</v>
      </c>
      <c r="H282" s="2" t="s">
        <v>223</v>
      </c>
      <c r="I282" s="2" t="s">
        <v>1013</v>
      </c>
      <c r="J282" s="2" t="s">
        <v>30</v>
      </c>
      <c r="K282" s="2" t="s">
        <v>30</v>
      </c>
      <c r="L282" s="2" t="s">
        <v>377</v>
      </c>
      <c r="M282" s="2" t="s">
        <v>31</v>
      </c>
      <c r="N282" s="2" t="s">
        <v>511</v>
      </c>
      <c r="O282" s="2" t="s">
        <v>173</v>
      </c>
      <c r="P282" s="2" t="s">
        <v>1374</v>
      </c>
      <c r="Q282" s="2" t="s">
        <v>462</v>
      </c>
      <c r="R282" s="2" t="s">
        <v>456</v>
      </c>
      <c r="S282" s="2" t="s">
        <v>34</v>
      </c>
      <c r="T282" s="156">
        <v>3.9049999999999998</v>
      </c>
      <c r="U282" s="2" t="s">
        <v>2079</v>
      </c>
      <c r="V282" s="170">
        <v>2.41E-2</v>
      </c>
      <c r="W282" s="172">
        <v>6.3320000000000001E-2</v>
      </c>
      <c r="X282" s="4" t="s">
        <v>461</v>
      </c>
      <c r="Y282" s="4" t="s">
        <v>173</v>
      </c>
      <c r="Z282" s="156">
        <v>2833333.35</v>
      </c>
      <c r="AA282" s="166">
        <v>1</v>
      </c>
      <c r="AB282" s="183">
        <v>86.08</v>
      </c>
      <c r="AD282" s="156">
        <v>2438.933</v>
      </c>
      <c r="AG282" s="2" t="s">
        <v>36</v>
      </c>
      <c r="AH282" s="172">
        <v>1.379E-3</v>
      </c>
      <c r="AI282" s="172">
        <v>8.9494013577243407E-3</v>
      </c>
      <c r="AJ282" s="172">
        <v>1.33753203350224E-3</v>
      </c>
    </row>
    <row r="283" spans="1:36">
      <c r="A283" s="2">
        <v>161</v>
      </c>
      <c r="B283" s="2">
        <v>9943</v>
      </c>
      <c r="C283" s="2" t="s">
        <v>2080</v>
      </c>
      <c r="D283" s="2" t="s">
        <v>2081</v>
      </c>
      <c r="E283" s="4" t="s">
        <v>1363</v>
      </c>
      <c r="F283" s="2" t="s">
        <v>2082</v>
      </c>
      <c r="G283" s="2" t="s">
        <v>2083</v>
      </c>
      <c r="H283" s="2" t="s">
        <v>223</v>
      </c>
      <c r="I283" s="2" t="s">
        <v>1013</v>
      </c>
      <c r="J283" s="2" t="s">
        <v>30</v>
      </c>
      <c r="K283" s="2" t="s">
        <v>30</v>
      </c>
      <c r="L283" s="2" t="s">
        <v>377</v>
      </c>
      <c r="M283" s="2" t="s">
        <v>31</v>
      </c>
      <c r="N283" s="2" t="s">
        <v>498</v>
      </c>
      <c r="O283" s="2" t="s">
        <v>173</v>
      </c>
      <c r="P283" s="2" t="s">
        <v>2061</v>
      </c>
      <c r="Q283" s="2" t="s">
        <v>462</v>
      </c>
      <c r="R283" s="2" t="s">
        <v>456</v>
      </c>
      <c r="S283" s="2" t="s">
        <v>34</v>
      </c>
      <c r="T283" s="156">
        <v>2.2240000000000002</v>
      </c>
      <c r="U283" s="2" t="s">
        <v>2084</v>
      </c>
      <c r="V283" s="170">
        <v>0.04</v>
      </c>
      <c r="W283" s="172">
        <v>5.774E-2</v>
      </c>
      <c r="X283" s="4" t="s">
        <v>461</v>
      </c>
      <c r="Y283" s="4" t="s">
        <v>173</v>
      </c>
      <c r="Z283" s="156">
        <v>1152101</v>
      </c>
      <c r="AA283" s="166">
        <v>1</v>
      </c>
      <c r="AB283" s="183">
        <v>96.04</v>
      </c>
      <c r="AD283" s="156">
        <v>1106.4780000000001</v>
      </c>
      <c r="AG283" s="2" t="s">
        <v>36</v>
      </c>
      <c r="AH283" s="172">
        <v>1.701E-3</v>
      </c>
      <c r="AI283" s="172">
        <v>4.0601002641630296E-3</v>
      </c>
      <c r="AJ283" s="172">
        <v>6.0680194635162198E-4</v>
      </c>
    </row>
    <row r="284" spans="1:36">
      <c r="A284" s="2">
        <v>161</v>
      </c>
      <c r="B284" s="2">
        <v>9943</v>
      </c>
      <c r="C284" s="2" t="s">
        <v>1636</v>
      </c>
      <c r="D284" s="2" t="s">
        <v>1637</v>
      </c>
      <c r="E284" s="4" t="s">
        <v>1363</v>
      </c>
      <c r="F284" s="2" t="s">
        <v>2415</v>
      </c>
      <c r="G284" s="2" t="s">
        <v>2416</v>
      </c>
      <c r="H284" s="2" t="s">
        <v>223</v>
      </c>
      <c r="I284" s="2" t="s">
        <v>804</v>
      </c>
      <c r="J284" s="2" t="s">
        <v>30</v>
      </c>
      <c r="K284" s="2" t="s">
        <v>30</v>
      </c>
      <c r="L284" s="2" t="s">
        <v>377</v>
      </c>
      <c r="M284" s="2" t="s">
        <v>31</v>
      </c>
      <c r="N284" s="2" t="s">
        <v>511</v>
      </c>
      <c r="O284" s="2" t="s">
        <v>173</v>
      </c>
      <c r="P284" s="2" t="s">
        <v>2052</v>
      </c>
      <c r="Q284" s="2" t="s">
        <v>462</v>
      </c>
      <c r="R284" s="2" t="s">
        <v>456</v>
      </c>
      <c r="S284" s="2" t="s">
        <v>34</v>
      </c>
      <c r="T284" s="156">
        <v>2.1819999999999999</v>
      </c>
      <c r="U284" s="2" t="s">
        <v>2417</v>
      </c>
      <c r="V284" s="170">
        <v>3.2000000000000001E-2</v>
      </c>
      <c r="W284" s="172">
        <v>2.647E-2</v>
      </c>
      <c r="X284" s="4" t="s">
        <v>461</v>
      </c>
      <c r="Y284" s="4" t="s">
        <v>173</v>
      </c>
      <c r="Z284" s="156">
        <v>1440000</v>
      </c>
      <c r="AA284" s="166">
        <v>1</v>
      </c>
      <c r="AB284" s="183">
        <v>117.37</v>
      </c>
      <c r="AD284" s="156">
        <v>1690.1279999999999</v>
      </c>
      <c r="AG284" s="2" t="s">
        <v>36</v>
      </c>
      <c r="AH284" s="172">
        <v>1.369E-3</v>
      </c>
      <c r="AI284" s="172">
        <v>6.2017413605484403E-3</v>
      </c>
      <c r="AJ284" s="172">
        <v>9.2688073779032996E-4</v>
      </c>
    </row>
    <row r="285" spans="1:36">
      <c r="A285" s="2">
        <v>161</v>
      </c>
      <c r="B285" s="2">
        <v>9943</v>
      </c>
      <c r="C285" s="2" t="s">
        <v>1636</v>
      </c>
      <c r="D285" s="2" t="s">
        <v>1637</v>
      </c>
      <c r="E285" s="4" t="s">
        <v>1363</v>
      </c>
      <c r="F285" s="2" t="s">
        <v>2088</v>
      </c>
      <c r="G285" s="2" t="s">
        <v>2089</v>
      </c>
      <c r="H285" s="2" t="s">
        <v>223</v>
      </c>
      <c r="I285" s="2" t="s">
        <v>1013</v>
      </c>
      <c r="J285" s="2" t="s">
        <v>30</v>
      </c>
      <c r="K285" s="2" t="s">
        <v>30</v>
      </c>
      <c r="L285" s="2" t="s">
        <v>377</v>
      </c>
      <c r="M285" s="2" t="s">
        <v>31</v>
      </c>
      <c r="N285" s="2" t="s">
        <v>511</v>
      </c>
      <c r="O285" s="2" t="s">
        <v>173</v>
      </c>
      <c r="P285" s="2" t="s">
        <v>2052</v>
      </c>
      <c r="Q285" s="2" t="s">
        <v>462</v>
      </c>
      <c r="R285" s="2" t="s">
        <v>456</v>
      </c>
      <c r="S285" s="2" t="s">
        <v>34</v>
      </c>
      <c r="T285" s="156">
        <v>5.2549999999999999</v>
      </c>
      <c r="U285" s="2" t="s">
        <v>2090</v>
      </c>
      <c r="V285" s="170">
        <v>2.4400000000000002E-2</v>
      </c>
      <c r="W285" s="172">
        <v>5.9060000000000001E-2</v>
      </c>
      <c r="X285" s="4" t="s">
        <v>461</v>
      </c>
      <c r="Y285" s="4" t="s">
        <v>173</v>
      </c>
      <c r="Z285" s="156">
        <v>1600000</v>
      </c>
      <c r="AA285" s="166">
        <v>1</v>
      </c>
      <c r="AB285" s="183">
        <v>85.33</v>
      </c>
      <c r="AD285" s="156">
        <v>1365.28</v>
      </c>
      <c r="AG285" s="2" t="s">
        <v>36</v>
      </c>
      <c r="AH285" s="172">
        <v>1.317E-3</v>
      </c>
      <c r="AI285" s="172">
        <v>5.0097468622078102E-3</v>
      </c>
      <c r="AJ285" s="172">
        <v>7.4873129945801805E-4</v>
      </c>
    </row>
    <row r="286" spans="1:36">
      <c r="A286" s="2">
        <v>161</v>
      </c>
      <c r="B286" s="2">
        <v>9943</v>
      </c>
      <c r="C286" s="2" t="s">
        <v>1636</v>
      </c>
      <c r="D286" s="2" t="s">
        <v>1637</v>
      </c>
      <c r="E286" s="4" t="s">
        <v>1363</v>
      </c>
      <c r="F286" s="2" t="s">
        <v>2091</v>
      </c>
      <c r="G286" s="2" t="s">
        <v>2092</v>
      </c>
      <c r="H286" s="2" t="s">
        <v>223</v>
      </c>
      <c r="I286" s="2" t="s">
        <v>804</v>
      </c>
      <c r="J286" s="2" t="s">
        <v>30</v>
      </c>
      <c r="K286" s="2" t="s">
        <v>30</v>
      </c>
      <c r="L286" s="2" t="s">
        <v>377</v>
      </c>
      <c r="M286" s="2" t="s">
        <v>31</v>
      </c>
      <c r="N286" s="2" t="s">
        <v>511</v>
      </c>
      <c r="O286" s="2" t="s">
        <v>173</v>
      </c>
      <c r="P286" s="2" t="s">
        <v>2052</v>
      </c>
      <c r="Q286" s="2" t="s">
        <v>462</v>
      </c>
      <c r="R286" s="2" t="s">
        <v>456</v>
      </c>
      <c r="S286" s="2" t="s">
        <v>34</v>
      </c>
      <c r="T286" s="156">
        <v>5.5579999999999998</v>
      </c>
      <c r="U286" s="2" t="s">
        <v>2090</v>
      </c>
      <c r="V286" s="170">
        <v>9.1999999999999998E-3</v>
      </c>
      <c r="W286" s="172">
        <v>3.3070000000000002E-2</v>
      </c>
      <c r="X286" s="4" t="s">
        <v>461</v>
      </c>
      <c r="Y286" s="4" t="s">
        <v>173</v>
      </c>
      <c r="Z286" s="156">
        <v>1700000</v>
      </c>
      <c r="AA286" s="166">
        <v>1</v>
      </c>
      <c r="AB286" s="183">
        <v>102.12</v>
      </c>
      <c r="AD286" s="156">
        <v>1736.04</v>
      </c>
      <c r="AG286" s="2" t="s">
        <v>36</v>
      </c>
      <c r="AH286" s="172">
        <v>6.5700000000000003E-4</v>
      </c>
      <c r="AI286" s="172">
        <v>6.3702104642763798E-3</v>
      </c>
      <c r="AJ286" s="172">
        <v>9.52059273636982E-4</v>
      </c>
    </row>
    <row r="287" spans="1:36">
      <c r="A287" s="2">
        <v>161</v>
      </c>
      <c r="B287" s="2">
        <v>9943</v>
      </c>
      <c r="C287" s="2" t="s">
        <v>2093</v>
      </c>
      <c r="D287" s="2" t="s">
        <v>2094</v>
      </c>
      <c r="E287" s="4" t="s">
        <v>1363</v>
      </c>
      <c r="F287" s="2" t="s">
        <v>2095</v>
      </c>
      <c r="G287" s="2" t="s">
        <v>2096</v>
      </c>
      <c r="H287" s="2" t="s">
        <v>223</v>
      </c>
      <c r="I287" s="2" t="s">
        <v>1013</v>
      </c>
      <c r="J287" s="2" t="s">
        <v>30</v>
      </c>
      <c r="K287" s="2" t="s">
        <v>30</v>
      </c>
      <c r="L287" s="2" t="s">
        <v>377</v>
      </c>
      <c r="M287" s="2" t="s">
        <v>31</v>
      </c>
      <c r="N287" s="2" t="s">
        <v>511</v>
      </c>
      <c r="O287" s="2" t="s">
        <v>173</v>
      </c>
      <c r="P287" s="2" t="s">
        <v>225</v>
      </c>
      <c r="Q287" s="2" t="s">
        <v>226</v>
      </c>
      <c r="R287" s="2" t="s">
        <v>226</v>
      </c>
      <c r="S287" s="2" t="s">
        <v>34</v>
      </c>
      <c r="T287" s="156">
        <v>0.92200000000000004</v>
      </c>
      <c r="U287" s="2" t="s">
        <v>2097</v>
      </c>
      <c r="V287" s="170">
        <v>6.5000000000000002E-2</v>
      </c>
      <c r="W287" s="172">
        <v>8.6919999999999997E-2</v>
      </c>
      <c r="X287" s="4" t="s">
        <v>461</v>
      </c>
      <c r="Y287" s="4" t="s">
        <v>173</v>
      </c>
      <c r="Z287" s="156">
        <v>740290</v>
      </c>
      <c r="AA287" s="166">
        <v>1</v>
      </c>
      <c r="AB287" s="183">
        <v>100.1</v>
      </c>
      <c r="AD287" s="156">
        <v>741.03</v>
      </c>
      <c r="AG287" s="2" t="s">
        <v>36</v>
      </c>
      <c r="AH287" s="172">
        <v>6.7359999999999998E-3</v>
      </c>
      <c r="AI287" s="172">
        <v>2.7191302664130801E-3</v>
      </c>
      <c r="AJ287" s="172">
        <v>4.0638738718025002E-4</v>
      </c>
    </row>
    <row r="288" spans="1:36">
      <c r="A288" s="2">
        <v>161</v>
      </c>
      <c r="B288" s="2">
        <v>9943</v>
      </c>
      <c r="C288" s="2" t="s">
        <v>1640</v>
      </c>
      <c r="D288" s="2" t="s">
        <v>1641</v>
      </c>
      <c r="E288" s="4" t="s">
        <v>1363</v>
      </c>
      <c r="F288" s="2" t="s">
        <v>2098</v>
      </c>
      <c r="G288" s="2" t="s">
        <v>2099</v>
      </c>
      <c r="H288" s="2" t="s">
        <v>223</v>
      </c>
      <c r="I288" s="2" t="s">
        <v>1013</v>
      </c>
      <c r="J288" s="2" t="s">
        <v>30</v>
      </c>
      <c r="K288" s="2" t="s">
        <v>91</v>
      </c>
      <c r="L288" s="2" t="s">
        <v>377</v>
      </c>
      <c r="M288" s="2" t="s">
        <v>31</v>
      </c>
      <c r="N288" s="2" t="s">
        <v>488</v>
      </c>
      <c r="O288" s="2" t="s">
        <v>173</v>
      </c>
      <c r="P288" s="2" t="s">
        <v>2100</v>
      </c>
      <c r="Q288" s="2" t="s">
        <v>464</v>
      </c>
      <c r="R288" s="2" t="s">
        <v>456</v>
      </c>
      <c r="S288" s="2" t="s">
        <v>34</v>
      </c>
      <c r="T288" s="156">
        <v>1.736</v>
      </c>
      <c r="U288" s="2" t="s">
        <v>2101</v>
      </c>
      <c r="V288" s="170">
        <v>3.4500000000000003E-2</v>
      </c>
      <c r="W288" s="172">
        <v>5.7250000000000002E-2</v>
      </c>
      <c r="X288" s="4" t="s">
        <v>461</v>
      </c>
      <c r="Y288" s="4" t="s">
        <v>173</v>
      </c>
      <c r="Z288" s="156">
        <v>2214233.06</v>
      </c>
      <c r="AA288" s="166">
        <v>1</v>
      </c>
      <c r="AB288" s="183">
        <v>96.61</v>
      </c>
      <c r="AD288" s="156">
        <v>2139.1709999999998</v>
      </c>
      <c r="AG288" s="2" t="s">
        <v>36</v>
      </c>
      <c r="AH288" s="172">
        <v>3.4450000000000001E-3</v>
      </c>
      <c r="AI288" s="172">
        <v>7.8494543221977794E-3</v>
      </c>
      <c r="AJ288" s="172">
        <v>1.1731395410476699E-3</v>
      </c>
    </row>
    <row r="289" spans="1:36">
      <c r="A289" s="2">
        <v>161</v>
      </c>
      <c r="B289" s="2">
        <v>9943</v>
      </c>
      <c r="C289" s="2" t="s">
        <v>1640</v>
      </c>
      <c r="D289" s="2" t="s">
        <v>1641</v>
      </c>
      <c r="E289" s="4" t="s">
        <v>1363</v>
      </c>
      <c r="F289" s="2" t="s">
        <v>2102</v>
      </c>
      <c r="G289" s="2" t="s">
        <v>2103</v>
      </c>
      <c r="H289" s="2" t="s">
        <v>223</v>
      </c>
      <c r="I289" s="2" t="s">
        <v>1013</v>
      </c>
      <c r="J289" s="2" t="s">
        <v>30</v>
      </c>
      <c r="K289" s="2" t="s">
        <v>91</v>
      </c>
      <c r="L289" s="2" t="s">
        <v>377</v>
      </c>
      <c r="M289" s="2" t="s">
        <v>31</v>
      </c>
      <c r="N289" s="2" t="s">
        <v>488</v>
      </c>
      <c r="O289" s="2" t="s">
        <v>173</v>
      </c>
      <c r="P289" s="2" t="s">
        <v>2100</v>
      </c>
      <c r="Q289" s="2" t="s">
        <v>464</v>
      </c>
      <c r="R289" s="2" t="s">
        <v>456</v>
      </c>
      <c r="S289" s="2" t="s">
        <v>34</v>
      </c>
      <c r="T289" s="156">
        <v>3.7589999999999999</v>
      </c>
      <c r="U289" s="2" t="s">
        <v>2104</v>
      </c>
      <c r="V289" s="170">
        <v>1.4999999999999999E-2</v>
      </c>
      <c r="W289" s="172">
        <v>5.9859999999999997E-2</v>
      </c>
      <c r="X289" s="4" t="s">
        <v>461</v>
      </c>
      <c r="Y289" s="4" t="s">
        <v>173</v>
      </c>
      <c r="Z289" s="156">
        <v>344314</v>
      </c>
      <c r="AA289" s="166">
        <v>1</v>
      </c>
      <c r="AB289" s="183">
        <v>85.02</v>
      </c>
      <c r="AD289" s="156">
        <v>292.73599999999999</v>
      </c>
      <c r="AG289" s="2" t="s">
        <v>36</v>
      </c>
      <c r="AH289" s="172">
        <v>8.92E-4</v>
      </c>
      <c r="AI289" s="172">
        <v>1.07416212728767E-3</v>
      </c>
      <c r="AJ289" s="172">
        <v>1.60538811144291E-4</v>
      </c>
    </row>
    <row r="290" spans="1:36">
      <c r="A290" s="2">
        <v>161</v>
      </c>
      <c r="B290" s="2">
        <v>9943</v>
      </c>
      <c r="C290" s="2" t="s">
        <v>2048</v>
      </c>
      <c r="D290" s="2" t="s">
        <v>2049</v>
      </c>
      <c r="E290" s="4" t="s">
        <v>1363</v>
      </c>
      <c r="F290" s="2" t="s">
        <v>2110</v>
      </c>
      <c r="G290" s="2" t="s">
        <v>2111</v>
      </c>
      <c r="H290" s="2" t="s">
        <v>223</v>
      </c>
      <c r="I290" s="2" t="s">
        <v>804</v>
      </c>
      <c r="J290" s="2" t="s">
        <v>30</v>
      </c>
      <c r="K290" s="2" t="s">
        <v>30</v>
      </c>
      <c r="L290" s="2" t="s">
        <v>377</v>
      </c>
      <c r="M290" s="2" t="s">
        <v>31</v>
      </c>
      <c r="N290" s="2" t="s">
        <v>511</v>
      </c>
      <c r="O290" s="2" t="s">
        <v>173</v>
      </c>
      <c r="P290" s="2" t="s">
        <v>2052</v>
      </c>
      <c r="Q290" s="2" t="s">
        <v>462</v>
      </c>
      <c r="R290" s="2" t="s">
        <v>456</v>
      </c>
      <c r="S290" s="2" t="s">
        <v>34</v>
      </c>
      <c r="T290" s="156">
        <v>5.3609999999999998</v>
      </c>
      <c r="U290" s="2" t="s">
        <v>2112</v>
      </c>
      <c r="V290" s="170">
        <v>6.4999999999999997E-3</v>
      </c>
      <c r="W290" s="172">
        <v>3.3059999999999999E-2</v>
      </c>
      <c r="X290" s="4" t="s">
        <v>461</v>
      </c>
      <c r="Y290" s="4" t="s">
        <v>173</v>
      </c>
      <c r="Z290" s="156">
        <v>1279438.3899999999</v>
      </c>
      <c r="AA290" s="166">
        <v>1</v>
      </c>
      <c r="AB290" s="183">
        <v>99.45</v>
      </c>
      <c r="AD290" s="156">
        <v>1272.4010000000001</v>
      </c>
      <c r="AG290" s="2" t="s">
        <v>36</v>
      </c>
      <c r="AH290" s="172">
        <v>5.6599999999999999E-4</v>
      </c>
      <c r="AI290" s="172">
        <v>4.6689392037987899E-3</v>
      </c>
      <c r="AJ290" s="172">
        <v>6.97795919295242E-4</v>
      </c>
    </row>
    <row r="291" spans="1:36">
      <c r="A291" s="2">
        <v>161</v>
      </c>
      <c r="B291" s="2">
        <v>9943</v>
      </c>
      <c r="C291" s="2" t="s">
        <v>2418</v>
      </c>
      <c r="D291" s="2" t="s">
        <v>2419</v>
      </c>
      <c r="E291" s="4" t="s">
        <v>1363</v>
      </c>
      <c r="F291" s="2" t="s">
        <v>2420</v>
      </c>
      <c r="G291" s="2" t="s">
        <v>2421</v>
      </c>
      <c r="H291" s="2" t="s">
        <v>223</v>
      </c>
      <c r="I291" s="2" t="s">
        <v>805</v>
      </c>
      <c r="J291" s="2" t="s">
        <v>30</v>
      </c>
      <c r="K291" s="2" t="s">
        <v>30</v>
      </c>
      <c r="L291" s="2" t="s">
        <v>377</v>
      </c>
      <c r="M291" s="2" t="s">
        <v>31</v>
      </c>
      <c r="N291" s="2" t="s">
        <v>487</v>
      </c>
      <c r="O291" s="2" t="s">
        <v>173</v>
      </c>
      <c r="P291" s="2" t="s">
        <v>2061</v>
      </c>
      <c r="Q291" s="2" t="s">
        <v>462</v>
      </c>
      <c r="R291" s="2" t="s">
        <v>456</v>
      </c>
      <c r="S291" s="2" t="s">
        <v>34</v>
      </c>
      <c r="T291" s="156">
        <v>0.73899999999999999</v>
      </c>
      <c r="U291" s="2" t="s">
        <v>2422</v>
      </c>
      <c r="V291" s="170">
        <v>4.7E-2</v>
      </c>
      <c r="W291" s="172">
        <v>7.492E-2</v>
      </c>
      <c r="X291" s="4" t="s">
        <v>461</v>
      </c>
      <c r="Y291" s="4" t="s">
        <v>173</v>
      </c>
      <c r="Z291" s="156">
        <v>352941.2</v>
      </c>
      <c r="AA291" s="166">
        <v>1</v>
      </c>
      <c r="AB291" s="183">
        <v>100.15</v>
      </c>
      <c r="AD291" s="156">
        <v>353.471</v>
      </c>
      <c r="AG291" s="2" t="s">
        <v>36</v>
      </c>
      <c r="AH291" s="172">
        <v>9.59E-4</v>
      </c>
      <c r="AI291" s="172">
        <v>1.29702206752295E-3</v>
      </c>
      <c r="AJ291" s="172">
        <v>1.9384632492473001E-4</v>
      </c>
    </row>
    <row r="292" spans="1:36">
      <c r="A292" s="2">
        <v>161</v>
      </c>
      <c r="B292" s="2">
        <v>9943</v>
      </c>
      <c r="C292" s="2" t="s">
        <v>1822</v>
      </c>
      <c r="D292" s="2" t="s">
        <v>1823</v>
      </c>
      <c r="E292" s="4" t="s">
        <v>1363</v>
      </c>
      <c r="F292" s="2" t="s">
        <v>2113</v>
      </c>
      <c r="G292" s="2" t="s">
        <v>2114</v>
      </c>
      <c r="H292" s="2" t="s">
        <v>223</v>
      </c>
      <c r="I292" s="2" t="s">
        <v>804</v>
      </c>
      <c r="J292" s="2" t="s">
        <v>30</v>
      </c>
      <c r="K292" s="2" t="s">
        <v>30</v>
      </c>
      <c r="L292" s="2" t="s">
        <v>377</v>
      </c>
      <c r="M292" s="2" t="s">
        <v>31</v>
      </c>
      <c r="N292" s="2" t="s">
        <v>511</v>
      </c>
      <c r="O292" s="2" t="s">
        <v>173</v>
      </c>
      <c r="P292" s="2" t="s">
        <v>2052</v>
      </c>
      <c r="Q292" s="2" t="s">
        <v>462</v>
      </c>
      <c r="R292" s="2" t="s">
        <v>456</v>
      </c>
      <c r="S292" s="2" t="s">
        <v>34</v>
      </c>
      <c r="T292" s="156">
        <v>1.4259999999999999</v>
      </c>
      <c r="U292" s="2" t="s">
        <v>2115</v>
      </c>
      <c r="V292" s="170">
        <v>1.34E-2</v>
      </c>
      <c r="W292" s="172">
        <v>2.58E-2</v>
      </c>
      <c r="X292" s="4" t="s">
        <v>461</v>
      </c>
      <c r="Y292" s="4" t="s">
        <v>173</v>
      </c>
      <c r="Z292" s="156">
        <v>1600000</v>
      </c>
      <c r="AA292" s="166">
        <v>1</v>
      </c>
      <c r="AB292" s="183">
        <v>115.21</v>
      </c>
      <c r="AD292" s="156">
        <v>1843.36</v>
      </c>
      <c r="AG292" s="2" t="s">
        <v>36</v>
      </c>
      <c r="AH292" s="172">
        <v>3.251E-3</v>
      </c>
      <c r="AI292" s="172">
        <v>6.7640095628145099E-3</v>
      </c>
      <c r="AJ292" s="172">
        <v>1.0109144850645501E-3</v>
      </c>
    </row>
    <row r="293" spans="1:36">
      <c r="A293" s="2">
        <v>161</v>
      </c>
      <c r="B293" s="2">
        <v>9943</v>
      </c>
      <c r="C293" s="2" t="s">
        <v>1822</v>
      </c>
      <c r="D293" s="2" t="s">
        <v>1823</v>
      </c>
      <c r="E293" s="4" t="s">
        <v>1363</v>
      </c>
      <c r="F293" s="2" t="s">
        <v>2423</v>
      </c>
      <c r="G293" s="2" t="s">
        <v>2424</v>
      </c>
      <c r="H293" s="2" t="s">
        <v>223</v>
      </c>
      <c r="I293" s="2" t="s">
        <v>804</v>
      </c>
      <c r="J293" s="2" t="s">
        <v>30</v>
      </c>
      <c r="K293" s="2" t="s">
        <v>30</v>
      </c>
      <c r="L293" s="2" t="s">
        <v>377</v>
      </c>
      <c r="M293" s="2" t="s">
        <v>31</v>
      </c>
      <c r="N293" s="2" t="s">
        <v>511</v>
      </c>
      <c r="O293" s="2" t="s">
        <v>173</v>
      </c>
      <c r="P293" s="2" t="s">
        <v>1374</v>
      </c>
      <c r="Q293" s="2" t="s">
        <v>462</v>
      </c>
      <c r="R293" s="2" t="s">
        <v>456</v>
      </c>
      <c r="S293" s="2" t="s">
        <v>34</v>
      </c>
      <c r="T293" s="156">
        <v>0.60199999999999998</v>
      </c>
      <c r="U293" s="2" t="s">
        <v>2425</v>
      </c>
      <c r="V293" s="170">
        <v>2.5000000000000001E-2</v>
      </c>
      <c r="W293" s="172">
        <v>2.8119999999999999E-2</v>
      </c>
      <c r="X293" s="4" t="s">
        <v>461</v>
      </c>
      <c r="Y293" s="4" t="s">
        <v>173</v>
      </c>
      <c r="Z293" s="156">
        <v>1266653.92</v>
      </c>
      <c r="AA293" s="166">
        <v>1</v>
      </c>
      <c r="AB293" s="183">
        <v>116.48</v>
      </c>
      <c r="AD293" s="156">
        <v>1475.3979999999999</v>
      </c>
      <c r="AG293" s="2" t="s">
        <v>36</v>
      </c>
      <c r="AH293" s="172">
        <v>5.3790000000000001E-3</v>
      </c>
      <c r="AI293" s="172">
        <v>5.4138147016178501E-3</v>
      </c>
      <c r="AJ293" s="172">
        <v>8.0912122469614504E-4</v>
      </c>
    </row>
    <row r="294" spans="1:36">
      <c r="A294" s="2">
        <v>161</v>
      </c>
      <c r="B294" s="2">
        <v>9943</v>
      </c>
      <c r="C294" s="2" t="s">
        <v>1822</v>
      </c>
      <c r="D294" s="2" t="s">
        <v>1823</v>
      </c>
      <c r="E294" s="4" t="s">
        <v>1363</v>
      </c>
      <c r="F294" s="2" t="s">
        <v>2116</v>
      </c>
      <c r="G294" s="2" t="s">
        <v>2117</v>
      </c>
      <c r="H294" s="2" t="s">
        <v>223</v>
      </c>
      <c r="I294" s="2" t="s">
        <v>804</v>
      </c>
      <c r="J294" s="2" t="s">
        <v>30</v>
      </c>
      <c r="K294" s="2" t="s">
        <v>30</v>
      </c>
      <c r="L294" s="2" t="s">
        <v>377</v>
      </c>
      <c r="M294" s="2" t="s">
        <v>31</v>
      </c>
      <c r="N294" s="2" t="s">
        <v>511</v>
      </c>
      <c r="O294" s="2" t="s">
        <v>173</v>
      </c>
      <c r="P294" s="2" t="s">
        <v>1374</v>
      </c>
      <c r="Q294" s="2" t="s">
        <v>464</v>
      </c>
      <c r="R294" s="2" t="s">
        <v>456</v>
      </c>
      <c r="S294" s="2" t="s">
        <v>34</v>
      </c>
      <c r="T294" s="156">
        <v>4.4729999999999999</v>
      </c>
      <c r="U294" s="2" t="s">
        <v>2118</v>
      </c>
      <c r="V294" s="170">
        <v>1.17E-2</v>
      </c>
      <c r="W294" s="172">
        <v>3.1579999999999997E-2</v>
      </c>
      <c r="X294" s="4" t="s">
        <v>461</v>
      </c>
      <c r="Y294" s="4" t="s">
        <v>173</v>
      </c>
      <c r="Z294" s="156">
        <v>286564</v>
      </c>
      <c r="AA294" s="166">
        <v>1</v>
      </c>
      <c r="AB294" s="183">
        <v>105.29</v>
      </c>
      <c r="AD294" s="156">
        <v>301.72300000000001</v>
      </c>
      <c r="AG294" s="2" t="s">
        <v>36</v>
      </c>
      <c r="AH294" s="172">
        <v>4.1599999999999997E-4</v>
      </c>
      <c r="AI294" s="172">
        <v>1.1071406838174501E-3</v>
      </c>
      <c r="AJ294" s="172">
        <v>1.6546761855990399E-4</v>
      </c>
    </row>
    <row r="295" spans="1:36">
      <c r="A295" s="2">
        <v>161</v>
      </c>
      <c r="B295" s="2">
        <v>9943</v>
      </c>
      <c r="C295" s="2" t="s">
        <v>1919</v>
      </c>
      <c r="D295" s="2" t="s">
        <v>1920</v>
      </c>
      <c r="E295" s="4" t="s">
        <v>1363</v>
      </c>
      <c r="F295" s="2" t="s">
        <v>2119</v>
      </c>
      <c r="G295" s="2" t="s">
        <v>2120</v>
      </c>
      <c r="H295" s="2" t="s">
        <v>223</v>
      </c>
      <c r="I295" s="2" t="s">
        <v>1013</v>
      </c>
      <c r="J295" s="2" t="s">
        <v>30</v>
      </c>
      <c r="K295" s="2" t="s">
        <v>30</v>
      </c>
      <c r="L295" s="2" t="s">
        <v>377</v>
      </c>
      <c r="M295" s="2" t="s">
        <v>31</v>
      </c>
      <c r="N295" s="2" t="s">
        <v>487</v>
      </c>
      <c r="O295" s="2" t="s">
        <v>173</v>
      </c>
      <c r="P295" s="2" t="s">
        <v>2041</v>
      </c>
      <c r="Q295" s="2" t="s">
        <v>464</v>
      </c>
      <c r="R295" s="2" t="s">
        <v>456</v>
      </c>
      <c r="S295" s="2" t="s">
        <v>34</v>
      </c>
      <c r="T295" s="156">
        <v>3.0009999999999999</v>
      </c>
      <c r="U295" s="2" t="s">
        <v>2056</v>
      </c>
      <c r="V295" s="170">
        <v>7.2499999999999995E-2</v>
      </c>
      <c r="W295" s="172">
        <v>6.3950000000000007E-2</v>
      </c>
      <c r="X295" s="4" t="s">
        <v>461</v>
      </c>
      <c r="Y295" s="4" t="s">
        <v>173</v>
      </c>
      <c r="Z295" s="156">
        <v>1782030.3</v>
      </c>
      <c r="AA295" s="166">
        <v>1</v>
      </c>
      <c r="AB295" s="183">
        <v>105.92</v>
      </c>
      <c r="AD295" s="156">
        <v>1887.5260000000001</v>
      </c>
      <c r="AG295" s="2" t="s">
        <v>36</v>
      </c>
      <c r="AH295" s="172">
        <v>2.4750000000000002E-3</v>
      </c>
      <c r="AI295" s="172">
        <v>6.9260737207373401E-3</v>
      </c>
      <c r="AJ295" s="172">
        <v>1.0351357702701001E-3</v>
      </c>
    </row>
    <row r="296" spans="1:36">
      <c r="A296" s="2">
        <v>161</v>
      </c>
      <c r="B296" s="2">
        <v>9943</v>
      </c>
      <c r="C296" s="2" t="s">
        <v>1830</v>
      </c>
      <c r="D296" s="2" t="s">
        <v>1831</v>
      </c>
      <c r="E296" s="4" t="s">
        <v>1363</v>
      </c>
      <c r="F296" s="2" t="s">
        <v>2366</v>
      </c>
      <c r="G296" s="2" t="s">
        <v>2367</v>
      </c>
      <c r="H296" s="2" t="s">
        <v>223</v>
      </c>
      <c r="I296" s="2" t="s">
        <v>804</v>
      </c>
      <c r="J296" s="2" t="s">
        <v>30</v>
      </c>
      <c r="K296" s="2" t="s">
        <v>30</v>
      </c>
      <c r="L296" s="2" t="s">
        <v>377</v>
      </c>
      <c r="M296" s="2" t="s">
        <v>55</v>
      </c>
      <c r="N296" s="2" t="s">
        <v>511</v>
      </c>
      <c r="O296" s="2" t="s">
        <v>173</v>
      </c>
      <c r="P296" s="2" t="s">
        <v>2052</v>
      </c>
      <c r="Q296" s="2" t="s">
        <v>462</v>
      </c>
      <c r="R296" s="2" t="s">
        <v>456</v>
      </c>
      <c r="S296" s="2" t="s">
        <v>34</v>
      </c>
      <c r="T296" s="156">
        <v>3.6840000000000002</v>
      </c>
      <c r="U296" s="2" t="s">
        <v>85</v>
      </c>
      <c r="V296" s="170">
        <v>3.3399999999999999E-2</v>
      </c>
      <c r="W296" s="172">
        <v>3.0720000000000001E-2</v>
      </c>
      <c r="X296" s="4" t="s">
        <v>461</v>
      </c>
      <c r="Y296" s="4" t="s">
        <v>173</v>
      </c>
      <c r="Z296" s="156">
        <v>949832</v>
      </c>
      <c r="AA296" s="166">
        <v>1</v>
      </c>
      <c r="AB296" s="183">
        <v>103.53</v>
      </c>
      <c r="AD296" s="156">
        <v>983.36099999999999</v>
      </c>
      <c r="AG296" s="2" t="s">
        <v>36</v>
      </c>
      <c r="AH296" s="172">
        <v>1.2780000000000001E-3</v>
      </c>
      <c r="AI296" s="172">
        <v>3.60833677549361E-3</v>
      </c>
      <c r="AJ296" s="172">
        <v>5.3928367183144496E-4</v>
      </c>
    </row>
    <row r="297" spans="1:36">
      <c r="A297" s="2">
        <v>161</v>
      </c>
      <c r="B297" s="2">
        <v>9943</v>
      </c>
      <c r="C297" s="2" t="s">
        <v>2121</v>
      </c>
      <c r="D297" s="2" t="s">
        <v>2122</v>
      </c>
      <c r="E297" s="4" t="s">
        <v>1363</v>
      </c>
      <c r="F297" s="2" t="s">
        <v>2368</v>
      </c>
      <c r="G297" s="2" t="s">
        <v>2369</v>
      </c>
      <c r="H297" s="2" t="s">
        <v>223</v>
      </c>
      <c r="I297" s="2" t="s">
        <v>1013</v>
      </c>
      <c r="J297" s="2" t="s">
        <v>30</v>
      </c>
      <c r="K297" s="2" t="s">
        <v>30</v>
      </c>
      <c r="L297" s="2" t="s">
        <v>377</v>
      </c>
      <c r="M297" s="2" t="s">
        <v>31</v>
      </c>
      <c r="N297" s="2" t="s">
        <v>494</v>
      </c>
      <c r="O297" s="2" t="s">
        <v>173</v>
      </c>
      <c r="P297" s="2" t="s">
        <v>225</v>
      </c>
      <c r="Q297" s="2" t="s">
        <v>226</v>
      </c>
      <c r="R297" s="2" t="s">
        <v>226</v>
      </c>
      <c r="S297" s="2" t="s">
        <v>34</v>
      </c>
      <c r="T297" s="156">
        <v>1.63</v>
      </c>
      <c r="U297" s="2" t="s">
        <v>2370</v>
      </c>
      <c r="V297" s="170">
        <v>6.25E-2</v>
      </c>
      <c r="W297" s="172">
        <v>7.6359999999999997E-2</v>
      </c>
      <c r="X297" s="4" t="s">
        <v>461</v>
      </c>
      <c r="Y297" s="4" t="s">
        <v>173</v>
      </c>
      <c r="Z297" s="156">
        <v>0.8</v>
      </c>
      <c r="AA297" s="166">
        <v>1</v>
      </c>
      <c r="AB297" s="183">
        <v>99.6</v>
      </c>
      <c r="AD297" s="156">
        <v>1E-3</v>
      </c>
      <c r="AG297" s="2" t="s">
        <v>36</v>
      </c>
      <c r="AH297" s="172">
        <v>0</v>
      </c>
      <c r="AI297" s="172">
        <v>2.9237711676778304E-9</v>
      </c>
      <c r="AJ297" s="172">
        <v>4.3697197601089102E-10</v>
      </c>
    </row>
    <row r="298" spans="1:36">
      <c r="A298" s="2">
        <v>161</v>
      </c>
      <c r="B298" s="2">
        <v>9943</v>
      </c>
      <c r="C298" s="2" t="s">
        <v>2126</v>
      </c>
      <c r="D298" s="2" t="s">
        <v>2127</v>
      </c>
      <c r="E298" s="4" t="s">
        <v>1363</v>
      </c>
      <c r="F298" s="2" t="s">
        <v>2426</v>
      </c>
      <c r="G298" s="2" t="s">
        <v>2427</v>
      </c>
      <c r="H298" s="2" t="s">
        <v>223</v>
      </c>
      <c r="I298" s="2" t="s">
        <v>804</v>
      </c>
      <c r="J298" s="2" t="s">
        <v>30</v>
      </c>
      <c r="K298" s="2" t="s">
        <v>350</v>
      </c>
      <c r="L298" s="2" t="s">
        <v>377</v>
      </c>
      <c r="M298" s="2" t="s">
        <v>31</v>
      </c>
      <c r="N298" s="2" t="s">
        <v>512</v>
      </c>
      <c r="O298" s="2" t="s">
        <v>173</v>
      </c>
      <c r="P298" s="2" t="s">
        <v>2041</v>
      </c>
      <c r="Q298" s="2" t="s">
        <v>462</v>
      </c>
      <c r="R298" s="2" t="s">
        <v>456</v>
      </c>
      <c r="S298" s="2" t="s">
        <v>34</v>
      </c>
      <c r="T298" s="156">
        <v>1.863</v>
      </c>
      <c r="U298" s="2" t="s">
        <v>2370</v>
      </c>
      <c r="V298" s="170">
        <v>0.04</v>
      </c>
      <c r="W298" s="172">
        <v>4.0710000000000003E-2</v>
      </c>
      <c r="X298" s="4" t="s">
        <v>461</v>
      </c>
      <c r="Y298" s="4" t="s">
        <v>173</v>
      </c>
      <c r="Z298" s="156">
        <v>1872407.18</v>
      </c>
      <c r="AA298" s="166">
        <v>1</v>
      </c>
      <c r="AB298" s="183">
        <v>116.2</v>
      </c>
      <c r="AD298" s="156">
        <v>2175.7370000000001</v>
      </c>
      <c r="AG298" s="2" t="s">
        <v>36</v>
      </c>
      <c r="AH298" s="172">
        <v>9.0300000000000005E-4</v>
      </c>
      <c r="AI298" s="172">
        <v>7.9836314352622201E-3</v>
      </c>
      <c r="AJ298" s="172">
        <v>1.1931929702897999E-3</v>
      </c>
    </row>
    <row r="299" spans="1:36">
      <c r="A299" s="2">
        <v>161</v>
      </c>
      <c r="B299" s="2">
        <v>9943</v>
      </c>
      <c r="C299" s="2" t="s">
        <v>2126</v>
      </c>
      <c r="D299" s="2" t="s">
        <v>2127</v>
      </c>
      <c r="E299" s="4" t="s">
        <v>1363</v>
      </c>
      <c r="F299" s="2" t="s">
        <v>2428</v>
      </c>
      <c r="G299" s="2" t="s">
        <v>2429</v>
      </c>
      <c r="H299" s="2" t="s">
        <v>223</v>
      </c>
      <c r="I299" s="2" t="s">
        <v>804</v>
      </c>
      <c r="J299" s="2" t="s">
        <v>30</v>
      </c>
      <c r="K299" s="2" t="s">
        <v>350</v>
      </c>
      <c r="L299" s="2" t="s">
        <v>377</v>
      </c>
      <c r="M299" s="2" t="s">
        <v>31</v>
      </c>
      <c r="N299" s="2" t="s">
        <v>512</v>
      </c>
      <c r="O299" s="2" t="s">
        <v>173</v>
      </c>
      <c r="P299" s="2" t="s">
        <v>2041</v>
      </c>
      <c r="Q299" s="2" t="s">
        <v>462</v>
      </c>
      <c r="R299" s="2" t="s">
        <v>456</v>
      </c>
      <c r="S299" s="2" t="s">
        <v>34</v>
      </c>
      <c r="T299" s="156">
        <v>5.5979999999999999</v>
      </c>
      <c r="U299" s="2" t="s">
        <v>2146</v>
      </c>
      <c r="V299" s="170">
        <v>1.7899999999999999E-2</v>
      </c>
      <c r="W299" s="172">
        <v>5.364E-2</v>
      </c>
      <c r="X299" s="4" t="s">
        <v>461</v>
      </c>
      <c r="Y299" s="4" t="s">
        <v>173</v>
      </c>
      <c r="Z299" s="156">
        <v>1057890.76</v>
      </c>
      <c r="AA299" s="166">
        <v>1</v>
      </c>
      <c r="AB299" s="183">
        <v>94.44</v>
      </c>
      <c r="AD299" s="156">
        <v>999.072</v>
      </c>
      <c r="AG299" s="2" t="s">
        <v>36</v>
      </c>
      <c r="AH299" s="172">
        <v>1.2149999999999999E-3</v>
      </c>
      <c r="AI299" s="172">
        <v>3.6659864541841798E-3</v>
      </c>
      <c r="AJ299" s="172">
        <v>5.47899699751927E-4</v>
      </c>
    </row>
    <row r="300" spans="1:36">
      <c r="A300" s="2">
        <v>161</v>
      </c>
      <c r="B300" s="2">
        <v>9943</v>
      </c>
      <c r="C300" s="2" t="s">
        <v>2131</v>
      </c>
      <c r="D300" s="2" t="s">
        <v>2132</v>
      </c>
      <c r="E300" s="4" t="s">
        <v>1363</v>
      </c>
      <c r="F300" s="2" t="s">
        <v>2133</v>
      </c>
      <c r="G300" s="2" t="s">
        <v>2134</v>
      </c>
      <c r="H300" s="2" t="s">
        <v>223</v>
      </c>
      <c r="I300" s="2" t="s">
        <v>804</v>
      </c>
      <c r="J300" s="2" t="s">
        <v>30</v>
      </c>
      <c r="K300" s="2" t="s">
        <v>30</v>
      </c>
      <c r="L300" s="2" t="s">
        <v>377</v>
      </c>
      <c r="M300" s="2" t="s">
        <v>31</v>
      </c>
      <c r="N300" s="2" t="s">
        <v>495</v>
      </c>
      <c r="O300" s="2" t="s">
        <v>173</v>
      </c>
      <c r="P300" s="2" t="s">
        <v>1224</v>
      </c>
      <c r="Q300" s="2" t="s">
        <v>462</v>
      </c>
      <c r="R300" s="2" t="s">
        <v>456</v>
      </c>
      <c r="S300" s="2" t="s">
        <v>34</v>
      </c>
      <c r="T300" s="156">
        <v>3.9830000000000001</v>
      </c>
      <c r="U300" s="2" t="s">
        <v>2135</v>
      </c>
      <c r="V300" s="170">
        <v>2E-3</v>
      </c>
      <c r="W300" s="172">
        <v>2.5190000000000001E-2</v>
      </c>
      <c r="X300" s="4" t="s">
        <v>461</v>
      </c>
      <c r="Y300" s="4" t="s">
        <v>173</v>
      </c>
      <c r="Z300" s="156">
        <v>2734856.32</v>
      </c>
      <c r="AA300" s="166">
        <v>1</v>
      </c>
      <c r="AB300" s="183">
        <v>102.6</v>
      </c>
      <c r="AD300" s="156">
        <v>2805.9630000000002</v>
      </c>
      <c r="AG300" s="2" t="s">
        <v>36</v>
      </c>
      <c r="AH300" s="172">
        <v>7.5199999999999996E-4</v>
      </c>
      <c r="AI300" s="172">
        <v>1.0296175328335299E-2</v>
      </c>
      <c r="AJ300" s="172">
        <v>1.5388140249534799E-3</v>
      </c>
    </row>
    <row r="301" spans="1:36">
      <c r="A301" s="2">
        <v>161</v>
      </c>
      <c r="B301" s="2">
        <v>9943</v>
      </c>
      <c r="C301" s="2" t="s">
        <v>2131</v>
      </c>
      <c r="D301" s="2" t="s">
        <v>2132</v>
      </c>
      <c r="E301" s="4" t="s">
        <v>1363</v>
      </c>
      <c r="F301" s="2" t="s">
        <v>2406</v>
      </c>
      <c r="G301" s="2" t="s">
        <v>2407</v>
      </c>
      <c r="H301" s="2" t="s">
        <v>223</v>
      </c>
      <c r="I301" s="2" t="s">
        <v>804</v>
      </c>
      <c r="J301" s="2" t="s">
        <v>30</v>
      </c>
      <c r="K301" s="2" t="s">
        <v>30</v>
      </c>
      <c r="L301" s="2" t="s">
        <v>377</v>
      </c>
      <c r="M301" s="2" t="s">
        <v>31</v>
      </c>
      <c r="N301" s="2" t="s">
        <v>495</v>
      </c>
      <c r="O301" s="2" t="s">
        <v>173</v>
      </c>
      <c r="P301" s="2" t="s">
        <v>1224</v>
      </c>
      <c r="Q301" s="2" t="s">
        <v>462</v>
      </c>
      <c r="R301" s="2" t="s">
        <v>456</v>
      </c>
      <c r="S301" s="2" t="s">
        <v>34</v>
      </c>
      <c r="T301" s="156">
        <v>4.9290000000000003</v>
      </c>
      <c r="U301" s="2" t="s">
        <v>2408</v>
      </c>
      <c r="V301" s="170">
        <v>2.47E-2</v>
      </c>
      <c r="W301" s="172">
        <v>2.5839999999999998E-2</v>
      </c>
      <c r="X301" s="4" t="s">
        <v>461</v>
      </c>
      <c r="Y301" s="4" t="s">
        <v>173</v>
      </c>
      <c r="Z301" s="156">
        <v>1600000</v>
      </c>
      <c r="AA301" s="166">
        <v>1</v>
      </c>
      <c r="AB301" s="183">
        <v>102.7</v>
      </c>
      <c r="AD301" s="156">
        <v>1643.2</v>
      </c>
      <c r="AG301" s="2" t="s">
        <v>36</v>
      </c>
      <c r="AH301" s="172">
        <v>5.5999999999999995E-4</v>
      </c>
      <c r="AI301" s="172">
        <v>6.0295441550303804E-3</v>
      </c>
      <c r="AJ301" s="172">
        <v>9.0114501880157597E-4</v>
      </c>
    </row>
    <row r="302" spans="1:36">
      <c r="A302" s="2">
        <v>161</v>
      </c>
      <c r="B302" s="2">
        <v>9943</v>
      </c>
      <c r="C302" s="2" t="s">
        <v>2131</v>
      </c>
      <c r="D302" s="2" t="s">
        <v>2132</v>
      </c>
      <c r="E302" s="4" t="s">
        <v>1363</v>
      </c>
      <c r="F302" s="2" t="s">
        <v>2136</v>
      </c>
      <c r="G302" s="2" t="s">
        <v>2137</v>
      </c>
      <c r="H302" s="2" t="s">
        <v>223</v>
      </c>
      <c r="I302" s="2" t="s">
        <v>1013</v>
      </c>
      <c r="J302" s="2" t="s">
        <v>30</v>
      </c>
      <c r="K302" s="2" t="s">
        <v>30</v>
      </c>
      <c r="L302" s="2" t="s">
        <v>377</v>
      </c>
      <c r="M302" s="2" t="s">
        <v>31</v>
      </c>
      <c r="N302" s="2" t="s">
        <v>495</v>
      </c>
      <c r="O302" s="2" t="s">
        <v>173</v>
      </c>
      <c r="P302" s="2" t="s">
        <v>1224</v>
      </c>
      <c r="Q302" s="2" t="s">
        <v>462</v>
      </c>
      <c r="R302" s="2" t="s">
        <v>456</v>
      </c>
      <c r="S302" s="2" t="s">
        <v>34</v>
      </c>
      <c r="T302" s="156">
        <v>2.1349999999999998</v>
      </c>
      <c r="U302" s="2" t="s">
        <v>2138</v>
      </c>
      <c r="V302" s="170">
        <v>2.6800000000000001E-2</v>
      </c>
      <c r="W302" s="172">
        <v>5.1090000000000003E-2</v>
      </c>
      <c r="X302" s="4" t="s">
        <v>461</v>
      </c>
      <c r="Y302" s="4" t="s">
        <v>173</v>
      </c>
      <c r="Z302" s="156">
        <v>2166337</v>
      </c>
      <c r="AA302" s="166">
        <v>1</v>
      </c>
      <c r="AB302" s="183">
        <v>95.42</v>
      </c>
      <c r="AD302" s="156">
        <v>2067.1190000000001</v>
      </c>
      <c r="AG302" s="2" t="s">
        <v>36</v>
      </c>
      <c r="AH302" s="172">
        <v>9.4899999999999997E-4</v>
      </c>
      <c r="AI302" s="172">
        <v>7.5850680803743803E-3</v>
      </c>
      <c r="AJ302" s="172">
        <v>1.1336257173268499E-3</v>
      </c>
    </row>
    <row r="303" spans="1:36">
      <c r="A303" s="2">
        <v>161</v>
      </c>
      <c r="B303" s="2">
        <v>9943</v>
      </c>
      <c r="C303" s="2" t="s">
        <v>2131</v>
      </c>
      <c r="D303" s="2" t="s">
        <v>2132</v>
      </c>
      <c r="E303" s="4" t="s">
        <v>1363</v>
      </c>
      <c r="F303" s="2" t="s">
        <v>2139</v>
      </c>
      <c r="G303" s="2" t="s">
        <v>2140</v>
      </c>
      <c r="H303" s="2" t="s">
        <v>223</v>
      </c>
      <c r="I303" s="2" t="s">
        <v>804</v>
      </c>
      <c r="J303" s="2" t="s">
        <v>30</v>
      </c>
      <c r="K303" s="2" t="s">
        <v>30</v>
      </c>
      <c r="L303" s="2" t="s">
        <v>377</v>
      </c>
      <c r="M303" s="2" t="s">
        <v>55</v>
      </c>
      <c r="N303" s="2" t="s">
        <v>495</v>
      </c>
      <c r="O303" s="2" t="s">
        <v>173</v>
      </c>
      <c r="P303" s="2" t="s">
        <v>1374</v>
      </c>
      <c r="Q303" s="2" t="s">
        <v>462</v>
      </c>
      <c r="R303" s="2" t="s">
        <v>456</v>
      </c>
      <c r="S303" s="2" t="s">
        <v>34</v>
      </c>
      <c r="T303" s="156">
        <v>5.6779999999999999</v>
      </c>
      <c r="U303" s="2" t="s">
        <v>2141</v>
      </c>
      <c r="V303" s="170">
        <v>3.3203000000000003E-2</v>
      </c>
      <c r="W303" s="172">
        <v>3.1600000000000003E-2</v>
      </c>
      <c r="X303" s="4" t="s">
        <v>461</v>
      </c>
      <c r="Y303" s="4" t="s">
        <v>173</v>
      </c>
      <c r="Z303" s="156">
        <v>2700000</v>
      </c>
      <c r="AA303" s="166">
        <v>1</v>
      </c>
      <c r="AB303" s="183">
        <v>101.97</v>
      </c>
      <c r="AD303" s="156">
        <v>2753.19</v>
      </c>
      <c r="AG303" s="2" t="s">
        <v>36</v>
      </c>
      <c r="AH303" s="172">
        <v>8.0560000000000007E-3</v>
      </c>
      <c r="AI303" s="172">
        <v>1.01025320546422E-2</v>
      </c>
      <c r="AJ303" s="172">
        <v>1.5098730856343201E-3</v>
      </c>
    </row>
    <row r="304" spans="1:36">
      <c r="A304" s="2">
        <v>161</v>
      </c>
      <c r="B304" s="2">
        <v>9943</v>
      </c>
      <c r="C304" s="2" t="s">
        <v>2147</v>
      </c>
      <c r="D304" s="2" t="s">
        <v>2148</v>
      </c>
      <c r="E304" s="4" t="s">
        <v>1363</v>
      </c>
      <c r="F304" s="2" t="s">
        <v>2149</v>
      </c>
      <c r="G304" s="2" t="s">
        <v>2150</v>
      </c>
      <c r="H304" s="2" t="s">
        <v>223</v>
      </c>
      <c r="I304" s="2" t="s">
        <v>804</v>
      </c>
      <c r="J304" s="2" t="s">
        <v>30</v>
      </c>
      <c r="K304" s="2" t="s">
        <v>30</v>
      </c>
      <c r="L304" s="2" t="s">
        <v>377</v>
      </c>
      <c r="M304" s="2" t="s">
        <v>31</v>
      </c>
      <c r="N304" s="2" t="s">
        <v>511</v>
      </c>
      <c r="O304" s="2" t="s">
        <v>173</v>
      </c>
      <c r="P304" s="2" t="s">
        <v>2100</v>
      </c>
      <c r="Q304" s="2" t="s">
        <v>462</v>
      </c>
      <c r="R304" s="2" t="s">
        <v>456</v>
      </c>
      <c r="S304" s="2" t="s">
        <v>34</v>
      </c>
      <c r="T304" s="156">
        <v>3.1960000000000002</v>
      </c>
      <c r="U304" s="2" t="s">
        <v>2151</v>
      </c>
      <c r="V304" s="170">
        <v>2.7E-2</v>
      </c>
      <c r="W304" s="172">
        <v>3.3169999999999998E-2</v>
      </c>
      <c r="X304" s="4" t="s">
        <v>461</v>
      </c>
      <c r="Y304" s="4" t="s">
        <v>173</v>
      </c>
      <c r="Z304" s="156">
        <v>193924</v>
      </c>
      <c r="AA304" s="166">
        <v>1</v>
      </c>
      <c r="AB304" s="183">
        <v>105.81</v>
      </c>
      <c r="AD304" s="156">
        <v>205.191</v>
      </c>
      <c r="AG304" s="2" t="s">
        <v>36</v>
      </c>
      <c r="AH304" s="172">
        <v>4.4299999999999998E-4</v>
      </c>
      <c r="AI304" s="172">
        <v>7.5292605930741901E-4</v>
      </c>
      <c r="AJ304" s="172">
        <v>1.1252850139669701E-4</v>
      </c>
    </row>
    <row r="305" spans="1:36">
      <c r="A305" s="2">
        <v>161</v>
      </c>
      <c r="B305" s="2">
        <v>9943</v>
      </c>
      <c r="C305" s="2" t="s">
        <v>2147</v>
      </c>
      <c r="D305" s="2" t="s">
        <v>2148</v>
      </c>
      <c r="E305" s="4" t="s">
        <v>1363</v>
      </c>
      <c r="F305" s="2" t="s">
        <v>2152</v>
      </c>
      <c r="G305" s="2" t="s">
        <v>2153</v>
      </c>
      <c r="H305" s="2" t="s">
        <v>223</v>
      </c>
      <c r="I305" s="2" t="s">
        <v>804</v>
      </c>
      <c r="J305" s="2" t="s">
        <v>30</v>
      </c>
      <c r="K305" s="2" t="s">
        <v>30</v>
      </c>
      <c r="L305" s="2" t="s">
        <v>377</v>
      </c>
      <c r="M305" s="2" t="s">
        <v>31</v>
      </c>
      <c r="N305" s="2" t="s">
        <v>511</v>
      </c>
      <c r="O305" s="2" t="s">
        <v>173</v>
      </c>
      <c r="P305" s="2" t="s">
        <v>2100</v>
      </c>
      <c r="Q305" s="2" t="s">
        <v>462</v>
      </c>
      <c r="R305" s="2" t="s">
        <v>456</v>
      </c>
      <c r="S305" s="2" t="s">
        <v>34</v>
      </c>
      <c r="T305" s="156">
        <v>1.536</v>
      </c>
      <c r="U305" s="2" t="s">
        <v>2154</v>
      </c>
      <c r="V305" s="170">
        <v>1.7999999999999999E-2</v>
      </c>
      <c r="W305" s="172">
        <v>2.742E-2</v>
      </c>
      <c r="X305" s="4" t="s">
        <v>461</v>
      </c>
      <c r="Y305" s="4" t="s">
        <v>173</v>
      </c>
      <c r="Z305" s="156">
        <v>1200000</v>
      </c>
      <c r="AA305" s="166">
        <v>1</v>
      </c>
      <c r="AB305" s="183">
        <v>113.45</v>
      </c>
      <c r="AD305" s="156">
        <v>1361.4</v>
      </c>
      <c r="AG305" s="2" t="s">
        <v>36</v>
      </c>
      <c r="AH305" s="172">
        <v>1.521E-3</v>
      </c>
      <c r="AI305" s="172">
        <v>4.9955096230880998E-3</v>
      </c>
      <c r="AJ305" s="172">
        <v>7.4660347407282503E-4</v>
      </c>
    </row>
    <row r="306" spans="1:36">
      <c r="A306" s="2">
        <v>161</v>
      </c>
      <c r="B306" s="2">
        <v>9943</v>
      </c>
      <c r="C306" s="2" t="s">
        <v>2147</v>
      </c>
      <c r="D306" s="2" t="s">
        <v>2148</v>
      </c>
      <c r="E306" s="4" t="s">
        <v>1363</v>
      </c>
      <c r="F306" s="2" t="s">
        <v>2430</v>
      </c>
      <c r="G306" s="2" t="s">
        <v>2431</v>
      </c>
      <c r="H306" s="2" t="s">
        <v>223</v>
      </c>
      <c r="I306" s="2" t="s">
        <v>804</v>
      </c>
      <c r="J306" s="2" t="s">
        <v>30</v>
      </c>
      <c r="K306" s="2" t="s">
        <v>30</v>
      </c>
      <c r="L306" s="2" t="s">
        <v>377</v>
      </c>
      <c r="M306" s="2" t="s">
        <v>31</v>
      </c>
      <c r="N306" s="2" t="s">
        <v>511</v>
      </c>
      <c r="O306" s="2" t="s">
        <v>173</v>
      </c>
      <c r="P306" s="2" t="s">
        <v>2041</v>
      </c>
      <c r="Q306" s="2" t="s">
        <v>462</v>
      </c>
      <c r="R306" s="2" t="s">
        <v>456</v>
      </c>
      <c r="S306" s="2" t="s">
        <v>34</v>
      </c>
      <c r="T306" s="156">
        <v>1.6160000000000001</v>
      </c>
      <c r="U306" s="2" t="s">
        <v>2370</v>
      </c>
      <c r="V306" s="170">
        <v>2.2499999999999999E-2</v>
      </c>
      <c r="W306" s="172">
        <v>2.656E-2</v>
      </c>
      <c r="X306" s="4" t="s">
        <v>461</v>
      </c>
      <c r="Y306" s="4" t="s">
        <v>173</v>
      </c>
      <c r="Z306" s="156">
        <v>714298.87</v>
      </c>
      <c r="AA306" s="166">
        <v>1</v>
      </c>
      <c r="AB306" s="183">
        <v>115.29</v>
      </c>
      <c r="AD306" s="156">
        <v>823.51499999999999</v>
      </c>
      <c r="AG306" s="2" t="s">
        <v>36</v>
      </c>
      <c r="AH306" s="172">
        <v>1.908E-3</v>
      </c>
      <c r="AI306" s="172">
        <v>3.0217995758935702E-3</v>
      </c>
      <c r="AJ306" s="172">
        <v>4.51622803584806E-4</v>
      </c>
    </row>
    <row r="307" spans="1:36">
      <c r="A307" s="2">
        <v>161</v>
      </c>
      <c r="B307" s="2">
        <v>9943</v>
      </c>
      <c r="C307" s="2" t="s">
        <v>1668</v>
      </c>
      <c r="D307" s="2" t="s">
        <v>1669</v>
      </c>
      <c r="E307" s="4" t="s">
        <v>1363</v>
      </c>
      <c r="F307" s="2" t="s">
        <v>2155</v>
      </c>
      <c r="G307" s="2" t="s">
        <v>2156</v>
      </c>
      <c r="H307" s="2" t="s">
        <v>223</v>
      </c>
      <c r="I307" s="2" t="s">
        <v>804</v>
      </c>
      <c r="J307" s="2" t="s">
        <v>30</v>
      </c>
      <c r="K307" s="2" t="s">
        <v>30</v>
      </c>
      <c r="L307" s="2" t="s">
        <v>377</v>
      </c>
      <c r="M307" s="2" t="s">
        <v>31</v>
      </c>
      <c r="N307" s="2" t="s">
        <v>492</v>
      </c>
      <c r="O307" s="2" t="s">
        <v>173</v>
      </c>
      <c r="P307" s="2" t="s">
        <v>2052</v>
      </c>
      <c r="Q307" s="2" t="s">
        <v>462</v>
      </c>
      <c r="R307" s="2" t="s">
        <v>456</v>
      </c>
      <c r="S307" s="2" t="s">
        <v>34</v>
      </c>
      <c r="T307" s="156">
        <v>4.5369999999999999</v>
      </c>
      <c r="U307" s="2" t="s">
        <v>2157</v>
      </c>
      <c r="V307" s="170">
        <v>4.4000000000000003E-3</v>
      </c>
      <c r="W307" s="172">
        <v>2.7050000000000001E-2</v>
      </c>
      <c r="X307" s="4" t="s">
        <v>461</v>
      </c>
      <c r="Y307" s="4" t="s">
        <v>173</v>
      </c>
      <c r="Z307" s="156">
        <v>1700000</v>
      </c>
      <c r="AA307" s="166">
        <v>1</v>
      </c>
      <c r="AB307" s="183">
        <v>104.2</v>
      </c>
      <c r="AD307" s="156">
        <v>1771.4</v>
      </c>
      <c r="AG307" s="2" t="s">
        <v>36</v>
      </c>
      <c r="AH307" s="172">
        <v>1.993E-3</v>
      </c>
      <c r="AI307" s="172">
        <v>6.4999601486251304E-3</v>
      </c>
      <c r="AJ307" s="172">
        <v>9.7145100188967398E-4</v>
      </c>
    </row>
    <row r="308" spans="1:36">
      <c r="A308" s="2">
        <v>161</v>
      </c>
      <c r="B308" s="2">
        <v>9943</v>
      </c>
      <c r="C308" s="2" t="s">
        <v>2432</v>
      </c>
      <c r="D308" s="2" t="s">
        <v>2433</v>
      </c>
      <c r="E308" s="4" t="s">
        <v>1363</v>
      </c>
      <c r="F308" s="2" t="s">
        <v>2434</v>
      </c>
      <c r="G308" s="2" t="s">
        <v>2435</v>
      </c>
      <c r="H308" s="2" t="s">
        <v>223</v>
      </c>
      <c r="I308" s="2" t="s">
        <v>1013</v>
      </c>
      <c r="J308" s="2" t="s">
        <v>30</v>
      </c>
      <c r="K308" s="2" t="s">
        <v>30</v>
      </c>
      <c r="L308" s="2" t="s">
        <v>377</v>
      </c>
      <c r="M308" s="2" t="s">
        <v>31</v>
      </c>
      <c r="N308" s="2" t="s">
        <v>492</v>
      </c>
      <c r="O308" s="2" t="s">
        <v>173</v>
      </c>
      <c r="P308" s="2" t="s">
        <v>1374</v>
      </c>
      <c r="Q308" s="2" t="s">
        <v>462</v>
      </c>
      <c r="R308" s="2" t="s">
        <v>456</v>
      </c>
      <c r="S308" s="2" t="s">
        <v>34</v>
      </c>
      <c r="T308" s="156">
        <v>1.702</v>
      </c>
      <c r="U308" s="2" t="s">
        <v>2125</v>
      </c>
      <c r="V308" s="170">
        <v>2.9100000000000001E-2</v>
      </c>
      <c r="W308" s="172">
        <v>5.3460000000000001E-2</v>
      </c>
      <c r="X308" s="4" t="s">
        <v>461</v>
      </c>
      <c r="Y308" s="4" t="s">
        <v>173</v>
      </c>
      <c r="Z308" s="156">
        <v>60000</v>
      </c>
      <c r="AA308" s="166">
        <v>1</v>
      </c>
      <c r="AB308" s="183">
        <v>96.84</v>
      </c>
      <c r="AD308" s="156">
        <v>58.103999999999999</v>
      </c>
      <c r="AG308" s="2" t="s">
        <v>36</v>
      </c>
      <c r="AH308" s="172">
        <v>1E-4</v>
      </c>
      <c r="AI308" s="172">
        <v>2.1320632520927801E-4</v>
      </c>
      <c r="AJ308" s="172">
        <v>3.18647335518785E-5</v>
      </c>
    </row>
    <row r="309" spans="1:36">
      <c r="A309" s="2">
        <v>161</v>
      </c>
      <c r="B309" s="2">
        <v>9943</v>
      </c>
      <c r="C309" s="2" t="s">
        <v>1846</v>
      </c>
      <c r="D309" s="2" t="s">
        <v>1847</v>
      </c>
      <c r="E309" s="4" t="s">
        <v>1363</v>
      </c>
      <c r="F309" s="2" t="s">
        <v>2158</v>
      </c>
      <c r="G309" s="2" t="s">
        <v>2159</v>
      </c>
      <c r="H309" s="2" t="s">
        <v>223</v>
      </c>
      <c r="I309" s="2" t="s">
        <v>1013</v>
      </c>
      <c r="J309" s="2" t="s">
        <v>30</v>
      </c>
      <c r="K309" s="2" t="s">
        <v>30</v>
      </c>
      <c r="L309" s="2" t="s">
        <v>377</v>
      </c>
      <c r="M309" s="2" t="s">
        <v>31</v>
      </c>
      <c r="N309" s="2" t="s">
        <v>492</v>
      </c>
      <c r="O309" s="2" t="s">
        <v>173</v>
      </c>
      <c r="P309" s="2" t="s">
        <v>2052</v>
      </c>
      <c r="Q309" s="2" t="s">
        <v>464</v>
      </c>
      <c r="R309" s="2" t="s">
        <v>456</v>
      </c>
      <c r="S309" s="2" t="s">
        <v>34</v>
      </c>
      <c r="T309" s="156">
        <v>4.95</v>
      </c>
      <c r="U309" s="2" t="s">
        <v>2160</v>
      </c>
      <c r="V309" s="170">
        <v>1.95E-2</v>
      </c>
      <c r="W309" s="172">
        <v>5.7970000000000001E-2</v>
      </c>
      <c r="X309" s="4" t="s">
        <v>461</v>
      </c>
      <c r="Y309" s="4" t="s">
        <v>173</v>
      </c>
      <c r="Z309" s="156">
        <v>4340538.41</v>
      </c>
      <c r="AA309" s="166">
        <v>1</v>
      </c>
      <c r="AB309" s="183">
        <v>83.08</v>
      </c>
      <c r="AD309" s="156">
        <v>3606.1190000000001</v>
      </c>
      <c r="AG309" s="2" t="s">
        <v>36</v>
      </c>
      <c r="AH309" s="172">
        <v>4.1380000000000002E-3</v>
      </c>
      <c r="AI309" s="172">
        <v>1.3232263640549601E-2</v>
      </c>
      <c r="AJ309" s="172">
        <v>1.9776268587737701E-3</v>
      </c>
    </row>
    <row r="310" spans="1:36">
      <c r="A310" s="2">
        <v>161</v>
      </c>
      <c r="B310" s="2">
        <v>9943</v>
      </c>
      <c r="C310" s="2" t="s">
        <v>2161</v>
      </c>
      <c r="D310" s="2" t="s">
        <v>2162</v>
      </c>
      <c r="E310" s="4" t="s">
        <v>1363</v>
      </c>
      <c r="F310" s="2" t="s">
        <v>2163</v>
      </c>
      <c r="G310" s="2" t="s">
        <v>2164</v>
      </c>
      <c r="H310" s="2" t="s">
        <v>223</v>
      </c>
      <c r="I310" s="2" t="s">
        <v>1013</v>
      </c>
      <c r="J310" s="2" t="s">
        <v>30</v>
      </c>
      <c r="K310" s="2" t="s">
        <v>30</v>
      </c>
      <c r="L310" s="2" t="s">
        <v>377</v>
      </c>
      <c r="M310" s="2" t="s">
        <v>31</v>
      </c>
      <c r="N310" s="2" t="s">
        <v>498</v>
      </c>
      <c r="O310" s="2" t="s">
        <v>173</v>
      </c>
      <c r="P310" s="2" t="s">
        <v>2061</v>
      </c>
      <c r="Q310" s="2" t="s">
        <v>462</v>
      </c>
      <c r="R310" s="2" t="s">
        <v>456</v>
      </c>
      <c r="S310" s="2" t="s">
        <v>34</v>
      </c>
      <c r="T310" s="156">
        <v>1.859</v>
      </c>
      <c r="U310" s="2" t="s">
        <v>2130</v>
      </c>
      <c r="V310" s="170">
        <v>2.1999999999999999E-2</v>
      </c>
      <c r="W310" s="172">
        <v>5.6399999999999999E-2</v>
      </c>
      <c r="X310" s="4" t="s">
        <v>461</v>
      </c>
      <c r="Y310" s="4" t="s">
        <v>173</v>
      </c>
      <c r="Z310" s="156">
        <v>900000</v>
      </c>
      <c r="AA310" s="166">
        <v>1</v>
      </c>
      <c r="AB310" s="183">
        <v>93.06</v>
      </c>
      <c r="AD310" s="156">
        <v>837.54</v>
      </c>
      <c r="AG310" s="2" t="s">
        <v>36</v>
      </c>
      <c r="AH310" s="172">
        <v>8.3000000000000001E-4</v>
      </c>
      <c r="AI310" s="172">
        <v>3.07326217843485E-3</v>
      </c>
      <c r="AJ310" s="172">
        <v>4.5931414255542401E-4</v>
      </c>
    </row>
    <row r="311" spans="1:36">
      <c r="A311" s="2">
        <v>161</v>
      </c>
      <c r="B311" s="2">
        <v>9943</v>
      </c>
      <c r="C311" s="2" t="s">
        <v>1854</v>
      </c>
      <c r="D311" s="2" t="s">
        <v>1855</v>
      </c>
      <c r="E311" s="4" t="s">
        <v>1363</v>
      </c>
      <c r="F311" s="2" t="s">
        <v>2165</v>
      </c>
      <c r="G311" s="2" t="s">
        <v>2166</v>
      </c>
      <c r="H311" s="2" t="s">
        <v>223</v>
      </c>
      <c r="I311" s="2" t="s">
        <v>1013</v>
      </c>
      <c r="J311" s="2" t="s">
        <v>30</v>
      </c>
      <c r="K311" s="2" t="s">
        <v>30</v>
      </c>
      <c r="L311" s="2" t="s">
        <v>377</v>
      </c>
      <c r="M311" s="2" t="s">
        <v>55</v>
      </c>
      <c r="N311" s="2" t="s">
        <v>494</v>
      </c>
      <c r="O311" s="2" t="s">
        <v>173</v>
      </c>
      <c r="P311" s="2" t="s">
        <v>225</v>
      </c>
      <c r="Q311" s="2" t="s">
        <v>226</v>
      </c>
      <c r="R311" s="2" t="s">
        <v>226</v>
      </c>
      <c r="S311" s="2" t="s">
        <v>34</v>
      </c>
      <c r="T311" s="156">
        <v>2.5249999999999999</v>
      </c>
      <c r="U311" s="2" t="s">
        <v>2167</v>
      </c>
      <c r="V311" s="170">
        <v>6.5000000000000002E-2</v>
      </c>
      <c r="W311" s="172">
        <v>8.0589999999999995E-2</v>
      </c>
      <c r="X311" s="4" t="s">
        <v>461</v>
      </c>
      <c r="Y311" s="4" t="s">
        <v>173</v>
      </c>
      <c r="Z311" s="156">
        <v>277034</v>
      </c>
      <c r="AA311" s="166">
        <v>1</v>
      </c>
      <c r="AB311" s="183">
        <v>98.98</v>
      </c>
      <c r="AD311" s="156">
        <v>274.20800000000003</v>
      </c>
      <c r="AG311" s="2" t="s">
        <v>36</v>
      </c>
      <c r="AH311" s="172">
        <v>2.2330000000000002E-3</v>
      </c>
      <c r="AI311" s="172">
        <v>1.0061774405691001E-3</v>
      </c>
      <c r="AJ311" s="172">
        <v>1.5037816546096701E-4</v>
      </c>
    </row>
    <row r="312" spans="1:36">
      <c r="A312" s="2">
        <v>161</v>
      </c>
      <c r="B312" s="2">
        <v>9943</v>
      </c>
      <c r="C312" s="2" t="s">
        <v>2168</v>
      </c>
      <c r="D312" s="2" t="s">
        <v>2169</v>
      </c>
      <c r="E312" s="4" t="s">
        <v>1363</v>
      </c>
      <c r="F312" s="2" t="s">
        <v>2173</v>
      </c>
      <c r="G312" s="2" t="s">
        <v>2174</v>
      </c>
      <c r="H312" s="2" t="s">
        <v>223</v>
      </c>
      <c r="I312" s="2" t="s">
        <v>804</v>
      </c>
      <c r="J312" s="2" t="s">
        <v>30</v>
      </c>
      <c r="K312" s="2" t="s">
        <v>30</v>
      </c>
      <c r="L312" s="2" t="s">
        <v>377</v>
      </c>
      <c r="M312" s="2" t="s">
        <v>31</v>
      </c>
      <c r="N312" s="2" t="s">
        <v>487</v>
      </c>
      <c r="O312" s="2" t="s">
        <v>173</v>
      </c>
      <c r="P312" s="2" t="s">
        <v>93</v>
      </c>
      <c r="Q312" s="2" t="s">
        <v>462</v>
      </c>
      <c r="R312" s="2" t="s">
        <v>456</v>
      </c>
      <c r="S312" s="2" t="s">
        <v>34</v>
      </c>
      <c r="T312" s="156">
        <v>3.4359999999999999</v>
      </c>
      <c r="U312" s="2" t="s">
        <v>2175</v>
      </c>
      <c r="V312" s="170">
        <v>3.85E-2</v>
      </c>
      <c r="W312" s="172">
        <v>2.5659999999999999E-2</v>
      </c>
      <c r="X312" s="4" t="s">
        <v>461</v>
      </c>
      <c r="Y312" s="4" t="s">
        <v>173</v>
      </c>
      <c r="Z312" s="156">
        <v>1565957.42</v>
      </c>
      <c r="AA312" s="166">
        <v>1</v>
      </c>
      <c r="AB312" s="183">
        <v>121.2</v>
      </c>
      <c r="AC312" s="156">
        <v>34.972999999999999</v>
      </c>
      <c r="AD312" s="156">
        <v>1932.913</v>
      </c>
      <c r="AG312" s="2" t="s">
        <v>36</v>
      </c>
      <c r="AH312" s="172">
        <v>6.1300000000000005E-4</v>
      </c>
      <c r="AI312" s="172">
        <v>7.0926161344149197E-3</v>
      </c>
      <c r="AJ312" s="172">
        <v>1.06002635281597E-3</v>
      </c>
    </row>
    <row r="313" spans="1:36">
      <c r="A313" s="2">
        <v>161</v>
      </c>
      <c r="B313" s="2">
        <v>9943</v>
      </c>
      <c r="C313" s="2" t="s">
        <v>2168</v>
      </c>
      <c r="D313" s="2" t="s">
        <v>2169</v>
      </c>
      <c r="E313" s="4" t="s">
        <v>1363</v>
      </c>
      <c r="F313" s="2" t="s">
        <v>2436</v>
      </c>
      <c r="G313" s="2" t="s">
        <v>2437</v>
      </c>
      <c r="H313" s="2" t="s">
        <v>223</v>
      </c>
      <c r="I313" s="2" t="s">
        <v>804</v>
      </c>
      <c r="J313" s="2" t="s">
        <v>30</v>
      </c>
      <c r="K313" s="2" t="s">
        <v>30</v>
      </c>
      <c r="L313" s="2" t="s">
        <v>377</v>
      </c>
      <c r="M313" s="2" t="s">
        <v>31</v>
      </c>
      <c r="N313" s="2" t="s">
        <v>487</v>
      </c>
      <c r="O313" s="2" t="s">
        <v>173</v>
      </c>
      <c r="P313" s="2" t="s">
        <v>93</v>
      </c>
      <c r="Q313" s="2" t="s">
        <v>462</v>
      </c>
      <c r="R313" s="2" t="s">
        <v>456</v>
      </c>
      <c r="S313" s="2" t="s">
        <v>34</v>
      </c>
      <c r="T313" s="156">
        <v>10.627000000000001</v>
      </c>
      <c r="U313" s="2" t="s">
        <v>132</v>
      </c>
      <c r="V313" s="170">
        <v>1.2500000000000001E-2</v>
      </c>
      <c r="W313" s="172">
        <v>3.4939999999999999E-2</v>
      </c>
      <c r="X313" s="4" t="s">
        <v>461</v>
      </c>
      <c r="Y313" s="4" t="s">
        <v>173</v>
      </c>
      <c r="Z313" s="156">
        <v>2100000</v>
      </c>
      <c r="AA313" s="166">
        <v>1</v>
      </c>
      <c r="AB313" s="183">
        <v>90</v>
      </c>
      <c r="AD313" s="156">
        <v>1890</v>
      </c>
      <c r="AG313" s="2" t="s">
        <v>36</v>
      </c>
      <c r="AH313" s="172">
        <v>4.8899999999999996E-4</v>
      </c>
      <c r="AI313" s="172">
        <v>6.9351499835731602E-3</v>
      </c>
      <c r="AJ313" s="172">
        <v>1.03649226237523E-3</v>
      </c>
    </row>
    <row r="314" spans="1:36">
      <c r="A314" s="2">
        <v>161</v>
      </c>
      <c r="B314" s="2">
        <v>9943</v>
      </c>
      <c r="C314" s="2" t="s">
        <v>2168</v>
      </c>
      <c r="D314" s="2" t="s">
        <v>2169</v>
      </c>
      <c r="E314" s="4" t="s">
        <v>1363</v>
      </c>
      <c r="F314" s="2" t="s">
        <v>2179</v>
      </c>
      <c r="G314" s="2" t="s">
        <v>2180</v>
      </c>
      <c r="H314" s="2" t="s">
        <v>223</v>
      </c>
      <c r="I314" s="2" t="s">
        <v>804</v>
      </c>
      <c r="J314" s="2" t="s">
        <v>30</v>
      </c>
      <c r="K314" s="2" t="s">
        <v>30</v>
      </c>
      <c r="L314" s="2" t="s">
        <v>377</v>
      </c>
      <c r="M314" s="2" t="s">
        <v>31</v>
      </c>
      <c r="N314" s="2" t="s">
        <v>487</v>
      </c>
      <c r="O314" s="2" t="s">
        <v>173</v>
      </c>
      <c r="P314" s="2" t="s">
        <v>93</v>
      </c>
      <c r="Q314" s="2" t="s">
        <v>462</v>
      </c>
      <c r="R314" s="2" t="s">
        <v>456</v>
      </c>
      <c r="S314" s="2" t="s">
        <v>34</v>
      </c>
      <c r="T314" s="156">
        <v>7.5629999999999997</v>
      </c>
      <c r="U314" s="2" t="s">
        <v>2181</v>
      </c>
      <c r="V314" s="170">
        <v>0.03</v>
      </c>
      <c r="W314" s="172">
        <v>3.2599999999999997E-2</v>
      </c>
      <c r="X314" s="4" t="s">
        <v>461</v>
      </c>
      <c r="Y314" s="4" t="s">
        <v>173</v>
      </c>
      <c r="Z314" s="156">
        <v>2401000</v>
      </c>
      <c r="AA314" s="166">
        <v>1</v>
      </c>
      <c r="AB314" s="183">
        <v>103.71</v>
      </c>
      <c r="AD314" s="156">
        <v>2490.0770000000002</v>
      </c>
      <c r="AG314" s="2" t="s">
        <v>36</v>
      </c>
      <c r="AH314" s="172">
        <v>5.8900000000000001E-4</v>
      </c>
      <c r="AI314" s="172">
        <v>9.13706780907984E-3</v>
      </c>
      <c r="AJ314" s="172">
        <v>1.3655797073374399E-3</v>
      </c>
    </row>
    <row r="315" spans="1:36">
      <c r="A315" s="2">
        <v>161</v>
      </c>
      <c r="B315" s="2">
        <v>9943</v>
      </c>
      <c r="C315" s="2" t="s">
        <v>2438</v>
      </c>
      <c r="D315" s="2" t="s">
        <v>2439</v>
      </c>
      <c r="E315" s="4" t="s">
        <v>1363</v>
      </c>
      <c r="F315" s="2" t="s">
        <v>2440</v>
      </c>
      <c r="G315" s="2" t="s">
        <v>2441</v>
      </c>
      <c r="H315" s="2" t="s">
        <v>223</v>
      </c>
      <c r="I315" s="2" t="s">
        <v>1013</v>
      </c>
      <c r="J315" s="2" t="s">
        <v>30</v>
      </c>
      <c r="K315" s="2" t="s">
        <v>30</v>
      </c>
      <c r="L315" s="2" t="s">
        <v>377</v>
      </c>
      <c r="M315" s="2" t="s">
        <v>31</v>
      </c>
      <c r="N315" s="2" t="s">
        <v>506</v>
      </c>
      <c r="O315" s="2" t="s">
        <v>173</v>
      </c>
      <c r="P315" s="2" t="s">
        <v>2061</v>
      </c>
      <c r="Q315" s="2" t="s">
        <v>464</v>
      </c>
      <c r="R315" s="2" t="s">
        <v>456</v>
      </c>
      <c r="S315" s="2" t="s">
        <v>34</v>
      </c>
      <c r="T315" s="156">
        <v>0.249</v>
      </c>
      <c r="U315" s="2" t="s">
        <v>2442</v>
      </c>
      <c r="V315" s="170">
        <v>3.2000000000000001E-2</v>
      </c>
      <c r="W315" s="172">
        <v>5.8930000000000003E-2</v>
      </c>
      <c r="X315" s="4" t="s">
        <v>461</v>
      </c>
      <c r="Y315" s="4" t="s">
        <v>173</v>
      </c>
      <c r="Z315" s="156">
        <v>225192.61</v>
      </c>
      <c r="AA315" s="166">
        <v>1</v>
      </c>
      <c r="AB315" s="183">
        <v>100.16</v>
      </c>
      <c r="AD315" s="156">
        <v>225.553</v>
      </c>
      <c r="AG315" s="2" t="s">
        <v>36</v>
      </c>
      <c r="AH315" s="172">
        <v>1.1534000000000001E-2</v>
      </c>
      <c r="AI315" s="172">
        <v>8.2764196655193999E-4</v>
      </c>
      <c r="AJ315" s="172">
        <v>1.23695161082316E-4</v>
      </c>
    </row>
    <row r="316" spans="1:36">
      <c r="A316" s="2">
        <v>161</v>
      </c>
      <c r="B316" s="2">
        <v>9943</v>
      </c>
      <c r="C316" s="2" t="s">
        <v>1882</v>
      </c>
      <c r="D316" s="2" t="s">
        <v>1883</v>
      </c>
      <c r="E316" s="4" t="s">
        <v>1363</v>
      </c>
      <c r="F316" s="2" t="s">
        <v>2190</v>
      </c>
      <c r="G316" s="2" t="s">
        <v>2191</v>
      </c>
      <c r="H316" s="2" t="s">
        <v>223</v>
      </c>
      <c r="I316" s="2" t="s">
        <v>804</v>
      </c>
      <c r="J316" s="2" t="s">
        <v>30</v>
      </c>
      <c r="K316" s="2" t="s">
        <v>30</v>
      </c>
      <c r="L316" s="2" t="s">
        <v>377</v>
      </c>
      <c r="M316" s="2" t="s">
        <v>31</v>
      </c>
      <c r="N316" s="2" t="s">
        <v>511</v>
      </c>
      <c r="O316" s="2" t="s">
        <v>173</v>
      </c>
      <c r="P316" s="2" t="s">
        <v>2052</v>
      </c>
      <c r="Q316" s="2" t="s">
        <v>462</v>
      </c>
      <c r="R316" s="2" t="s">
        <v>456</v>
      </c>
      <c r="S316" s="2" t="s">
        <v>34</v>
      </c>
      <c r="T316" s="156">
        <v>2.3170000000000002</v>
      </c>
      <c r="U316" s="2" t="s">
        <v>2192</v>
      </c>
      <c r="V316" s="170">
        <v>1.5800000000000002E-2</v>
      </c>
      <c r="W316" s="172">
        <v>2.3970000000000002E-2</v>
      </c>
      <c r="X316" s="4" t="s">
        <v>461</v>
      </c>
      <c r="Y316" s="4" t="s">
        <v>173</v>
      </c>
      <c r="Z316" s="156">
        <v>227517</v>
      </c>
      <c r="AA316" s="166">
        <v>1</v>
      </c>
      <c r="AB316" s="183">
        <v>115.04</v>
      </c>
      <c r="AD316" s="156">
        <v>261.73599999999999</v>
      </c>
      <c r="AG316" s="2" t="s">
        <v>36</v>
      </c>
      <c r="AH316" s="172">
        <v>5.2999999999999998E-4</v>
      </c>
      <c r="AI316" s="172">
        <v>9.6041023409631403E-4</v>
      </c>
      <c r="AJ316" s="172">
        <v>1.43538031434748E-4</v>
      </c>
    </row>
    <row r="317" spans="1:36">
      <c r="A317" s="2">
        <v>161</v>
      </c>
      <c r="B317" s="2">
        <v>9943</v>
      </c>
      <c r="C317" s="2" t="s">
        <v>1882</v>
      </c>
      <c r="D317" s="2" t="s">
        <v>1883</v>
      </c>
      <c r="E317" s="4" t="s">
        <v>1363</v>
      </c>
      <c r="F317" s="2" t="s">
        <v>2193</v>
      </c>
      <c r="G317" s="2" t="s">
        <v>2194</v>
      </c>
      <c r="H317" s="2" t="s">
        <v>223</v>
      </c>
      <c r="I317" s="2" t="s">
        <v>804</v>
      </c>
      <c r="J317" s="2" t="s">
        <v>30</v>
      </c>
      <c r="K317" s="2" t="s">
        <v>30</v>
      </c>
      <c r="L317" s="2" t="s">
        <v>377</v>
      </c>
      <c r="M317" s="2" t="s">
        <v>31</v>
      </c>
      <c r="N317" s="2" t="s">
        <v>511</v>
      </c>
      <c r="O317" s="2" t="s">
        <v>173</v>
      </c>
      <c r="P317" s="2" t="s">
        <v>2052</v>
      </c>
      <c r="Q317" s="2" t="s">
        <v>462</v>
      </c>
      <c r="R317" s="2" t="s">
        <v>456</v>
      </c>
      <c r="S317" s="2" t="s">
        <v>34</v>
      </c>
      <c r="T317" s="156">
        <v>4.7450000000000001</v>
      </c>
      <c r="U317" s="2" t="s">
        <v>2195</v>
      </c>
      <c r="V317" s="170">
        <v>8.3999999999999995E-3</v>
      </c>
      <c r="W317" s="172">
        <v>2.921E-2</v>
      </c>
      <c r="X317" s="4" t="s">
        <v>461</v>
      </c>
      <c r="Y317" s="4" t="s">
        <v>173</v>
      </c>
      <c r="Z317" s="156">
        <v>558766</v>
      </c>
      <c r="AA317" s="166">
        <v>1</v>
      </c>
      <c r="AB317" s="183">
        <v>104.22</v>
      </c>
      <c r="AD317" s="156">
        <v>582.346</v>
      </c>
      <c r="AG317" s="2" t="s">
        <v>36</v>
      </c>
      <c r="AH317" s="172">
        <v>7.0399999999999998E-4</v>
      </c>
      <c r="AI317" s="172">
        <v>2.13685520295486E-3</v>
      </c>
      <c r="AJ317" s="172">
        <v>3.1936351613520898E-4</v>
      </c>
    </row>
    <row r="318" spans="1:36">
      <c r="A318" s="2">
        <v>161</v>
      </c>
      <c r="B318" s="2">
        <v>9943</v>
      </c>
      <c r="C318" s="2" t="s">
        <v>1680</v>
      </c>
      <c r="D318" s="2" t="s">
        <v>1681</v>
      </c>
      <c r="E318" s="4" t="s">
        <v>1363</v>
      </c>
      <c r="F318" s="2" t="s">
        <v>2379</v>
      </c>
      <c r="G318" s="2" t="s">
        <v>2380</v>
      </c>
      <c r="H318" s="2" t="s">
        <v>223</v>
      </c>
      <c r="I318" s="2" t="s">
        <v>1013</v>
      </c>
      <c r="J318" s="2" t="s">
        <v>30</v>
      </c>
      <c r="K318" s="2" t="s">
        <v>30</v>
      </c>
      <c r="L318" s="2" t="s">
        <v>377</v>
      </c>
      <c r="M318" s="2" t="s">
        <v>31</v>
      </c>
      <c r="N318" s="2" t="s">
        <v>492</v>
      </c>
      <c r="O318" s="2" t="s">
        <v>173</v>
      </c>
      <c r="P318" s="2" t="s">
        <v>1374</v>
      </c>
      <c r="Q318" s="2" t="s">
        <v>462</v>
      </c>
      <c r="R318" s="2" t="s">
        <v>456</v>
      </c>
      <c r="S318" s="2" t="s">
        <v>34</v>
      </c>
      <c r="T318" s="156">
        <v>3.105</v>
      </c>
      <c r="U318" s="2" t="s">
        <v>2381</v>
      </c>
      <c r="V318" s="170">
        <v>4.7E-2</v>
      </c>
      <c r="W318" s="172">
        <v>5.4760000000000003E-2</v>
      </c>
      <c r="X318" s="4" t="s">
        <v>461</v>
      </c>
      <c r="Y318" s="4" t="s">
        <v>173</v>
      </c>
      <c r="Z318" s="156">
        <v>1300000</v>
      </c>
      <c r="AA318" s="166">
        <v>1</v>
      </c>
      <c r="AB318" s="183">
        <v>100.38</v>
      </c>
      <c r="AD318" s="156">
        <v>1304.94</v>
      </c>
      <c r="AG318" s="2" t="s">
        <v>36</v>
      </c>
      <c r="AH318" s="172">
        <v>1.446E-3</v>
      </c>
      <c r="AI318" s="172">
        <v>4.7883357775470696E-3</v>
      </c>
      <c r="AJ318" s="172">
        <v>7.1564032426663202E-4</v>
      </c>
    </row>
    <row r="319" spans="1:36">
      <c r="A319" s="2">
        <v>161</v>
      </c>
      <c r="B319" s="2">
        <v>9943</v>
      </c>
      <c r="C319" s="2" t="s">
        <v>2196</v>
      </c>
      <c r="D319" s="2" t="s">
        <v>2197</v>
      </c>
      <c r="E319" s="4" t="s">
        <v>1363</v>
      </c>
      <c r="F319" s="2" t="s">
        <v>2198</v>
      </c>
      <c r="G319" s="2" t="s">
        <v>2199</v>
      </c>
      <c r="H319" s="2" t="s">
        <v>223</v>
      </c>
      <c r="I319" s="2" t="s">
        <v>1013</v>
      </c>
      <c r="J319" s="2" t="s">
        <v>30</v>
      </c>
      <c r="K319" s="2" t="s">
        <v>30</v>
      </c>
      <c r="L319" s="2" t="s">
        <v>377</v>
      </c>
      <c r="M319" s="2" t="s">
        <v>31</v>
      </c>
      <c r="N319" s="2" t="s">
        <v>492</v>
      </c>
      <c r="O319" s="2" t="s">
        <v>173</v>
      </c>
      <c r="P319" s="2" t="s">
        <v>1374</v>
      </c>
      <c r="Q319" s="2" t="s">
        <v>462</v>
      </c>
      <c r="R319" s="2" t="s">
        <v>456</v>
      </c>
      <c r="S319" s="2" t="s">
        <v>34</v>
      </c>
      <c r="T319" s="156">
        <v>9.0619999999999994</v>
      </c>
      <c r="U319" s="2" t="s">
        <v>2200</v>
      </c>
      <c r="V319" s="170">
        <v>2.5000000000000001E-2</v>
      </c>
      <c r="W319" s="172">
        <v>6.0569999999999999E-2</v>
      </c>
      <c r="X319" s="4" t="s">
        <v>461</v>
      </c>
      <c r="Y319" s="4" t="s">
        <v>173</v>
      </c>
      <c r="Z319" s="156">
        <v>356187</v>
      </c>
      <c r="AA319" s="166">
        <v>1</v>
      </c>
      <c r="AB319" s="183">
        <v>79.27</v>
      </c>
      <c r="AD319" s="156">
        <v>282.34899999999999</v>
      </c>
      <c r="AG319" s="2" t="s">
        <v>36</v>
      </c>
      <c r="AH319" s="172">
        <v>2.6699999999999998E-4</v>
      </c>
      <c r="AI319" s="172">
        <v>1.0360506237082701E-3</v>
      </c>
      <c r="AJ319" s="172">
        <v>1.5484285955548601E-4</v>
      </c>
    </row>
    <row r="320" spans="1:36">
      <c r="A320" s="2">
        <v>161</v>
      </c>
      <c r="B320" s="2">
        <v>9943</v>
      </c>
      <c r="C320" s="2" t="s">
        <v>2196</v>
      </c>
      <c r="D320" s="2" t="s">
        <v>2197</v>
      </c>
      <c r="E320" s="4" t="s">
        <v>1363</v>
      </c>
      <c r="F320" s="2" t="s">
        <v>2443</v>
      </c>
      <c r="G320" s="2" t="s">
        <v>2444</v>
      </c>
      <c r="H320" s="2" t="s">
        <v>223</v>
      </c>
      <c r="I320" s="2" t="s">
        <v>804</v>
      </c>
      <c r="J320" s="2" t="s">
        <v>30</v>
      </c>
      <c r="K320" s="2" t="s">
        <v>30</v>
      </c>
      <c r="L320" s="2" t="s">
        <v>377</v>
      </c>
      <c r="M320" s="2" t="s">
        <v>31</v>
      </c>
      <c r="N320" s="2" t="s">
        <v>492</v>
      </c>
      <c r="O320" s="2" t="s">
        <v>173</v>
      </c>
      <c r="P320" s="2" t="s">
        <v>1374</v>
      </c>
      <c r="Q320" s="2" t="s">
        <v>462</v>
      </c>
      <c r="R320" s="2" t="s">
        <v>456</v>
      </c>
      <c r="S320" s="2" t="s">
        <v>34</v>
      </c>
      <c r="T320" s="156">
        <v>3.5760000000000001</v>
      </c>
      <c r="U320" s="2" t="s">
        <v>2445</v>
      </c>
      <c r="V320" s="170">
        <v>2.4799999999999999E-2</v>
      </c>
      <c r="W320" s="172">
        <v>2.5989999999999999E-2</v>
      </c>
      <c r="X320" s="4" t="s">
        <v>461</v>
      </c>
      <c r="Y320" s="4" t="s">
        <v>173</v>
      </c>
      <c r="Z320" s="156">
        <v>1200000</v>
      </c>
      <c r="AA320" s="166">
        <v>1</v>
      </c>
      <c r="AB320" s="183">
        <v>115.94</v>
      </c>
      <c r="AD320" s="156">
        <v>1391.28</v>
      </c>
      <c r="AG320" s="2" t="s">
        <v>36</v>
      </c>
      <c r="AH320" s="172">
        <v>2.8340000000000001E-3</v>
      </c>
      <c r="AI320" s="172">
        <v>5.1051510418760196E-3</v>
      </c>
      <c r="AJ320" s="172">
        <v>7.62989923173233E-4</v>
      </c>
    </row>
    <row r="321" spans="1:36">
      <c r="A321" s="2">
        <v>161</v>
      </c>
      <c r="B321" s="2">
        <v>9943</v>
      </c>
      <c r="C321" s="2" t="s">
        <v>1222</v>
      </c>
      <c r="D321" s="2" t="s">
        <v>1618</v>
      </c>
      <c r="E321" s="4" t="s">
        <v>1363</v>
      </c>
      <c r="F321" s="2" t="s">
        <v>2201</v>
      </c>
      <c r="G321" s="2" t="s">
        <v>2202</v>
      </c>
      <c r="H321" s="2" t="s">
        <v>223</v>
      </c>
      <c r="I321" s="2" t="s">
        <v>804</v>
      </c>
      <c r="J321" s="2" t="s">
        <v>30</v>
      </c>
      <c r="K321" s="2" t="s">
        <v>30</v>
      </c>
      <c r="L321" s="2" t="s">
        <v>377</v>
      </c>
      <c r="M321" s="2" t="s">
        <v>31</v>
      </c>
      <c r="N321" s="2" t="s">
        <v>495</v>
      </c>
      <c r="O321" s="2" t="s">
        <v>173</v>
      </c>
      <c r="P321" s="2" t="s">
        <v>1224</v>
      </c>
      <c r="Q321" s="2" t="s">
        <v>462</v>
      </c>
      <c r="R321" s="2" t="s">
        <v>456</v>
      </c>
      <c r="S321" s="2" t="s">
        <v>34</v>
      </c>
      <c r="T321" s="156">
        <v>1.7370000000000001</v>
      </c>
      <c r="U321" s="2" t="s">
        <v>2125</v>
      </c>
      <c r="V321" s="170">
        <v>8.3000000000000001E-3</v>
      </c>
      <c r="W321" s="172">
        <v>2.0449999999999999E-2</v>
      </c>
      <c r="X321" s="4" t="s">
        <v>461</v>
      </c>
      <c r="Y321" s="4" t="s">
        <v>173</v>
      </c>
      <c r="Z321" s="156">
        <v>917140</v>
      </c>
      <c r="AA321" s="166">
        <v>1</v>
      </c>
      <c r="AB321" s="183">
        <v>113.2</v>
      </c>
      <c r="AD321" s="156">
        <v>1038.202</v>
      </c>
      <c r="AG321" s="2" t="s">
        <v>36</v>
      </c>
      <c r="AH321" s="172">
        <v>6.0300000000000002E-4</v>
      </c>
      <c r="AI321" s="172">
        <v>3.8095713820728099E-3</v>
      </c>
      <c r="AJ321" s="172">
        <v>5.6935917317395496E-4</v>
      </c>
    </row>
    <row r="322" spans="1:36">
      <c r="A322" s="2">
        <v>161</v>
      </c>
      <c r="B322" s="2">
        <v>9943</v>
      </c>
      <c r="C322" s="2" t="s">
        <v>1222</v>
      </c>
      <c r="D322" s="2" t="s">
        <v>1618</v>
      </c>
      <c r="E322" s="4" t="s">
        <v>1363</v>
      </c>
      <c r="F322" s="2" t="s">
        <v>2203</v>
      </c>
      <c r="G322" s="2" t="s">
        <v>2204</v>
      </c>
      <c r="H322" s="2" t="s">
        <v>223</v>
      </c>
      <c r="I322" s="2" t="s">
        <v>804</v>
      </c>
      <c r="J322" s="2" t="s">
        <v>30</v>
      </c>
      <c r="K322" s="2" t="s">
        <v>30</v>
      </c>
      <c r="L322" s="2" t="s">
        <v>377</v>
      </c>
      <c r="M322" s="2" t="s">
        <v>31</v>
      </c>
      <c r="N322" s="2" t="s">
        <v>495</v>
      </c>
      <c r="O322" s="2" t="s">
        <v>173</v>
      </c>
      <c r="P322" s="2" t="s">
        <v>1224</v>
      </c>
      <c r="Q322" s="2" t="s">
        <v>462</v>
      </c>
      <c r="R322" s="2" t="s">
        <v>456</v>
      </c>
      <c r="S322" s="2" t="s">
        <v>34</v>
      </c>
      <c r="T322" s="156">
        <v>2.5819999999999999</v>
      </c>
      <c r="U322" s="2" t="s">
        <v>2205</v>
      </c>
      <c r="V322" s="170">
        <v>1.8599999999999998E-2</v>
      </c>
      <c r="W322" s="172">
        <v>2.257E-2</v>
      </c>
      <c r="X322" s="4" t="s">
        <v>461</v>
      </c>
      <c r="Y322" s="4" t="s">
        <v>173</v>
      </c>
      <c r="Z322" s="156">
        <v>426633</v>
      </c>
      <c r="AA322" s="166">
        <v>1</v>
      </c>
      <c r="AB322" s="183">
        <v>102.67</v>
      </c>
      <c r="AD322" s="156">
        <v>438.024</v>
      </c>
      <c r="AG322" s="2" t="s">
        <v>36</v>
      </c>
      <c r="AH322" s="172">
        <v>2.31E-4</v>
      </c>
      <c r="AI322" s="172">
        <v>1.60728192462874E-3</v>
      </c>
      <c r="AJ322" s="172">
        <v>2.4021618599154299E-4</v>
      </c>
    </row>
    <row r="323" spans="1:36">
      <c r="A323" s="2">
        <v>161</v>
      </c>
      <c r="B323" s="2">
        <v>9943</v>
      </c>
      <c r="C323" s="2" t="s">
        <v>1222</v>
      </c>
      <c r="D323" s="2" t="s">
        <v>1618</v>
      </c>
      <c r="E323" s="4" t="s">
        <v>1363</v>
      </c>
      <c r="F323" s="2" t="s">
        <v>2206</v>
      </c>
      <c r="G323" s="2" t="s">
        <v>2207</v>
      </c>
      <c r="H323" s="2" t="s">
        <v>223</v>
      </c>
      <c r="I323" s="2" t="s">
        <v>804</v>
      </c>
      <c r="J323" s="2" t="s">
        <v>30</v>
      </c>
      <c r="K323" s="2" t="s">
        <v>30</v>
      </c>
      <c r="L323" s="2" t="s">
        <v>377</v>
      </c>
      <c r="M323" s="2" t="s">
        <v>31</v>
      </c>
      <c r="N323" s="2" t="s">
        <v>495</v>
      </c>
      <c r="O323" s="2" t="s">
        <v>173</v>
      </c>
      <c r="P323" s="2" t="s">
        <v>1224</v>
      </c>
      <c r="Q323" s="2" t="s">
        <v>462</v>
      </c>
      <c r="R323" s="2" t="s">
        <v>456</v>
      </c>
      <c r="S323" s="2" t="s">
        <v>34</v>
      </c>
      <c r="T323" s="156">
        <v>3.1440000000000001</v>
      </c>
      <c r="U323" s="2" t="s">
        <v>2208</v>
      </c>
      <c r="V323" s="170">
        <v>1E-3</v>
      </c>
      <c r="W323" s="172">
        <v>2.307E-2</v>
      </c>
      <c r="X323" s="4" t="s">
        <v>461</v>
      </c>
      <c r="Y323" s="4" t="s">
        <v>173</v>
      </c>
      <c r="Z323" s="156">
        <v>2846700</v>
      </c>
      <c r="AA323" s="166">
        <v>1</v>
      </c>
      <c r="AB323" s="183">
        <v>105.15</v>
      </c>
      <c r="AD323" s="156">
        <v>2993.3049999999998</v>
      </c>
      <c r="AG323" s="2" t="s">
        <v>36</v>
      </c>
      <c r="AH323" s="172">
        <v>9.0700000000000004E-4</v>
      </c>
      <c r="AI323" s="172">
        <v>1.0983608184305301E-2</v>
      </c>
      <c r="AJ323" s="172">
        <v>1.6415542451077799E-3</v>
      </c>
    </row>
    <row r="324" spans="1:36">
      <c r="A324" s="2">
        <v>161</v>
      </c>
      <c r="B324" s="2">
        <v>9943</v>
      </c>
      <c r="C324" s="2" t="s">
        <v>1222</v>
      </c>
      <c r="D324" s="2" t="s">
        <v>1618</v>
      </c>
      <c r="E324" s="4" t="s">
        <v>1363</v>
      </c>
      <c r="F324" s="2" t="s">
        <v>2209</v>
      </c>
      <c r="G324" s="2" t="s">
        <v>2210</v>
      </c>
      <c r="H324" s="2" t="s">
        <v>223</v>
      </c>
      <c r="I324" s="2" t="s">
        <v>1013</v>
      </c>
      <c r="J324" s="2" t="s">
        <v>30</v>
      </c>
      <c r="K324" s="2" t="s">
        <v>30</v>
      </c>
      <c r="L324" s="2" t="s">
        <v>377</v>
      </c>
      <c r="M324" s="2" t="s">
        <v>31</v>
      </c>
      <c r="N324" s="2" t="s">
        <v>495</v>
      </c>
      <c r="O324" s="2" t="s">
        <v>173</v>
      </c>
      <c r="P324" s="2" t="s">
        <v>1224</v>
      </c>
      <c r="Q324" s="2" t="s">
        <v>462</v>
      </c>
      <c r="R324" s="2" t="s">
        <v>456</v>
      </c>
      <c r="S324" s="2" t="s">
        <v>34</v>
      </c>
      <c r="T324" s="156">
        <v>3.1080000000000001</v>
      </c>
      <c r="U324" s="2" t="s">
        <v>2211</v>
      </c>
      <c r="V324" s="170">
        <v>2.76E-2</v>
      </c>
      <c r="W324" s="172">
        <v>5.0979999999999998E-2</v>
      </c>
      <c r="X324" s="4" t="s">
        <v>461</v>
      </c>
      <c r="Y324" s="4" t="s">
        <v>173</v>
      </c>
      <c r="Z324" s="156">
        <v>3530000</v>
      </c>
      <c r="AA324" s="166">
        <v>1</v>
      </c>
      <c r="AB324" s="183">
        <v>94.29</v>
      </c>
      <c r="AD324" s="156">
        <v>3328.4369999999999</v>
      </c>
      <c r="AG324" s="2" t="s">
        <v>36</v>
      </c>
      <c r="AH324" s="172">
        <v>2.6419999999999998E-3</v>
      </c>
      <c r="AI324" s="172">
        <v>1.22133385216266E-2</v>
      </c>
      <c r="AJ324" s="172">
        <v>1.8253434901076299E-3</v>
      </c>
    </row>
    <row r="325" spans="1:36">
      <c r="A325" s="2">
        <v>161</v>
      </c>
      <c r="B325" s="2">
        <v>9943</v>
      </c>
      <c r="C325" s="2" t="s">
        <v>1222</v>
      </c>
      <c r="D325" s="2" t="s">
        <v>1618</v>
      </c>
      <c r="E325" s="4" t="s">
        <v>1363</v>
      </c>
      <c r="F325" s="2" t="s">
        <v>2212</v>
      </c>
      <c r="G325" s="2" t="s">
        <v>2213</v>
      </c>
      <c r="H325" s="2" t="s">
        <v>223</v>
      </c>
      <c r="I325" s="2" t="s">
        <v>804</v>
      </c>
      <c r="J325" s="2" t="s">
        <v>30</v>
      </c>
      <c r="K325" s="2" t="s">
        <v>30</v>
      </c>
      <c r="L325" s="2" t="s">
        <v>377</v>
      </c>
      <c r="M325" s="2" t="s">
        <v>31</v>
      </c>
      <c r="N325" s="2" t="s">
        <v>495</v>
      </c>
      <c r="O325" s="2" t="s">
        <v>173</v>
      </c>
      <c r="P325" s="2" t="s">
        <v>1224</v>
      </c>
      <c r="Q325" s="2" t="s">
        <v>462</v>
      </c>
      <c r="R325" s="2" t="s">
        <v>456</v>
      </c>
      <c r="S325" s="2" t="s">
        <v>34</v>
      </c>
      <c r="T325" s="156">
        <v>5.0449999999999999</v>
      </c>
      <c r="U325" s="2" t="s">
        <v>2214</v>
      </c>
      <c r="V325" s="170">
        <v>2.0199999999999999E-2</v>
      </c>
      <c r="W325" s="172">
        <v>2.5940000000000001E-2</v>
      </c>
      <c r="X325" s="4" t="s">
        <v>461</v>
      </c>
      <c r="Y325" s="4" t="s">
        <v>173</v>
      </c>
      <c r="Z325" s="156">
        <v>2326633</v>
      </c>
      <c r="AA325" s="166">
        <v>1</v>
      </c>
      <c r="AB325" s="183">
        <v>101.35</v>
      </c>
      <c r="AD325" s="156">
        <v>2358.0430000000001</v>
      </c>
      <c r="AG325" s="2" t="s">
        <v>36</v>
      </c>
      <c r="AH325" s="172">
        <v>6.5200000000000002E-4</v>
      </c>
      <c r="AI325" s="172">
        <v>8.6525813336979594E-3</v>
      </c>
      <c r="AJ325" s="172">
        <v>1.2931708215673801E-3</v>
      </c>
    </row>
    <row r="326" spans="1:36">
      <c r="A326" s="2">
        <v>161</v>
      </c>
      <c r="B326" s="2">
        <v>9943</v>
      </c>
      <c r="C326" s="2" t="s">
        <v>1222</v>
      </c>
      <c r="D326" s="2" t="s">
        <v>1618</v>
      </c>
      <c r="E326" s="4" t="s">
        <v>1363</v>
      </c>
      <c r="F326" s="2" t="s">
        <v>2215</v>
      </c>
      <c r="G326" s="2" t="s">
        <v>2216</v>
      </c>
      <c r="H326" s="2" t="s">
        <v>223</v>
      </c>
      <c r="I326" s="2" t="s">
        <v>804</v>
      </c>
      <c r="J326" s="2" t="s">
        <v>30</v>
      </c>
      <c r="K326" s="2" t="s">
        <v>30</v>
      </c>
      <c r="L326" s="2" t="s">
        <v>377</v>
      </c>
      <c r="M326" s="2" t="s">
        <v>31</v>
      </c>
      <c r="N326" s="2" t="s">
        <v>495</v>
      </c>
      <c r="O326" s="2" t="s">
        <v>173</v>
      </c>
      <c r="P326" s="2" t="s">
        <v>1224</v>
      </c>
      <c r="Q326" s="2" t="s">
        <v>462</v>
      </c>
      <c r="R326" s="2" t="s">
        <v>456</v>
      </c>
      <c r="S326" s="2" t="s">
        <v>34</v>
      </c>
      <c r="T326" s="156">
        <v>5.1369999999999996</v>
      </c>
      <c r="U326" s="2" t="s">
        <v>2217</v>
      </c>
      <c r="V326" s="170">
        <v>1E-3</v>
      </c>
      <c r="W326" s="172">
        <v>2.622E-2</v>
      </c>
      <c r="X326" s="4" t="s">
        <v>461</v>
      </c>
      <c r="Y326" s="4" t="s">
        <v>173</v>
      </c>
      <c r="Z326" s="156">
        <v>461460</v>
      </c>
      <c r="AA326" s="166">
        <v>1</v>
      </c>
      <c r="AB326" s="183">
        <v>99.1</v>
      </c>
      <c r="AD326" s="156">
        <v>457.30700000000002</v>
      </c>
      <c r="AG326" s="2" t="s">
        <v>36</v>
      </c>
      <c r="AH326" s="172">
        <v>1.8599999999999999E-4</v>
      </c>
      <c r="AI326" s="172">
        <v>1.67803791672852E-3</v>
      </c>
      <c r="AJ326" s="172">
        <v>2.5079101688947798E-4</v>
      </c>
    </row>
    <row r="327" spans="1:36">
      <c r="A327" s="2">
        <v>161</v>
      </c>
      <c r="B327" s="2">
        <v>9943</v>
      </c>
      <c r="C327" s="2" t="s">
        <v>1222</v>
      </c>
      <c r="D327" s="2" t="s">
        <v>1618</v>
      </c>
      <c r="E327" s="4" t="s">
        <v>1363</v>
      </c>
      <c r="F327" s="2" t="s">
        <v>2446</v>
      </c>
      <c r="G327" s="2" t="s">
        <v>2447</v>
      </c>
      <c r="H327" s="2" t="s">
        <v>223</v>
      </c>
      <c r="I327" s="2" t="s">
        <v>804</v>
      </c>
      <c r="J327" s="2" t="s">
        <v>30</v>
      </c>
      <c r="K327" s="2" t="s">
        <v>30</v>
      </c>
      <c r="L327" s="2" t="s">
        <v>377</v>
      </c>
      <c r="M327" s="2" t="s">
        <v>31</v>
      </c>
      <c r="N327" s="2" t="s">
        <v>495</v>
      </c>
      <c r="O327" s="2" t="s">
        <v>173</v>
      </c>
      <c r="P327" s="2" t="s">
        <v>1374</v>
      </c>
      <c r="Q327" s="2" t="s">
        <v>462</v>
      </c>
      <c r="R327" s="2" t="s">
        <v>456</v>
      </c>
      <c r="S327" s="2" t="s">
        <v>34</v>
      </c>
      <c r="T327" s="156">
        <v>0.41099999999999998</v>
      </c>
      <c r="U327" s="2" t="s">
        <v>2448</v>
      </c>
      <c r="V327" s="170">
        <v>2.4199999999999999E-2</v>
      </c>
      <c r="W327" s="172">
        <v>3.585E-2</v>
      </c>
      <c r="X327" s="4" t="s">
        <v>461</v>
      </c>
      <c r="Y327" s="4" t="s">
        <v>173</v>
      </c>
      <c r="Z327" s="156">
        <v>1500000</v>
      </c>
      <c r="AA327" s="166">
        <v>1</v>
      </c>
      <c r="AB327" s="183">
        <v>116.43</v>
      </c>
      <c r="AD327" s="156">
        <v>1746.45</v>
      </c>
      <c r="AG327" s="2" t="s">
        <v>36</v>
      </c>
      <c r="AH327" s="172">
        <v>1.041E-3</v>
      </c>
      <c r="AI327" s="172">
        <v>6.40840883005892E-3</v>
      </c>
      <c r="AJ327" s="172">
        <v>9.5776820720911197E-4</v>
      </c>
    </row>
    <row r="328" spans="1:36">
      <c r="A328" s="2">
        <v>161</v>
      </c>
      <c r="B328" s="2">
        <v>9943</v>
      </c>
      <c r="C328" s="2" t="s">
        <v>1222</v>
      </c>
      <c r="D328" s="2" t="s">
        <v>1618</v>
      </c>
      <c r="E328" s="4" t="s">
        <v>1363</v>
      </c>
      <c r="F328" s="2" t="s">
        <v>2449</v>
      </c>
      <c r="G328" s="2" t="s">
        <v>2450</v>
      </c>
      <c r="H328" s="2" t="s">
        <v>223</v>
      </c>
      <c r="I328" s="2" t="s">
        <v>804</v>
      </c>
      <c r="J328" s="2" t="s">
        <v>30</v>
      </c>
      <c r="K328" s="2" t="s">
        <v>30</v>
      </c>
      <c r="L328" s="2" t="s">
        <v>377</v>
      </c>
      <c r="M328" s="2" t="s">
        <v>31</v>
      </c>
      <c r="N328" s="2" t="s">
        <v>495</v>
      </c>
      <c r="O328" s="2" t="s">
        <v>173</v>
      </c>
      <c r="P328" s="2" t="s">
        <v>1374</v>
      </c>
      <c r="Q328" s="2" t="s">
        <v>462</v>
      </c>
      <c r="R328" s="2" t="s">
        <v>456</v>
      </c>
      <c r="S328" s="2" t="s">
        <v>34</v>
      </c>
      <c r="T328" s="156">
        <v>3.3969999999999998</v>
      </c>
      <c r="U328" s="2" t="s">
        <v>2451</v>
      </c>
      <c r="V328" s="170">
        <v>1.4999999999999999E-2</v>
      </c>
      <c r="W328" s="172">
        <v>3.1109999999999999E-2</v>
      </c>
      <c r="X328" s="4" t="s">
        <v>461</v>
      </c>
      <c r="Y328" s="4" t="s">
        <v>173</v>
      </c>
      <c r="Z328" s="156">
        <v>2100000</v>
      </c>
      <c r="AA328" s="166">
        <v>1</v>
      </c>
      <c r="AB328" s="183">
        <v>106.33</v>
      </c>
      <c r="AD328" s="156">
        <v>2232.9299999999998</v>
      </c>
      <c r="AG328" s="2" t="s">
        <v>36</v>
      </c>
      <c r="AH328" s="172">
        <v>1.4959999999999999E-3</v>
      </c>
      <c r="AI328" s="172">
        <v>8.1934944194814903E-3</v>
      </c>
      <c r="AJ328" s="172">
        <v>1.22455802509287E-3</v>
      </c>
    </row>
    <row r="329" spans="1:36">
      <c r="A329" s="2">
        <v>161</v>
      </c>
      <c r="B329" s="2">
        <v>9943</v>
      </c>
      <c r="C329" s="2" t="s">
        <v>1886</v>
      </c>
      <c r="D329" s="2" t="s">
        <v>1887</v>
      </c>
      <c r="E329" s="4" t="s">
        <v>1363</v>
      </c>
      <c r="F329" s="2" t="s">
        <v>2382</v>
      </c>
      <c r="G329" s="2" t="s">
        <v>2383</v>
      </c>
      <c r="H329" s="2" t="s">
        <v>223</v>
      </c>
      <c r="I329" s="2" t="s">
        <v>804</v>
      </c>
      <c r="J329" s="2" t="s">
        <v>30</v>
      </c>
      <c r="K329" s="2" t="s">
        <v>30</v>
      </c>
      <c r="L329" s="2" t="s">
        <v>377</v>
      </c>
      <c r="M329" s="2" t="s">
        <v>31</v>
      </c>
      <c r="N329" s="2" t="s">
        <v>511</v>
      </c>
      <c r="O329" s="2" t="s">
        <v>173</v>
      </c>
      <c r="P329" s="2" t="s">
        <v>2052</v>
      </c>
      <c r="Q329" s="2" t="s">
        <v>462</v>
      </c>
      <c r="R329" s="2" t="s">
        <v>456</v>
      </c>
      <c r="S329" s="2" t="s">
        <v>34</v>
      </c>
      <c r="T329" s="156">
        <v>5.83</v>
      </c>
      <c r="U329" s="2" t="s">
        <v>2384</v>
      </c>
      <c r="V329" s="170">
        <v>3.5000000000000001E-3</v>
      </c>
      <c r="W329" s="172">
        <v>3.4130000000000001E-2</v>
      </c>
      <c r="X329" s="4" t="s">
        <v>461</v>
      </c>
      <c r="Y329" s="4" t="s">
        <v>173</v>
      </c>
      <c r="Z329" s="156">
        <v>48790</v>
      </c>
      <c r="AA329" s="166">
        <v>1</v>
      </c>
      <c r="AB329" s="183">
        <v>94.3</v>
      </c>
      <c r="AD329" s="156">
        <v>46.009</v>
      </c>
      <c r="AG329" s="2" t="s">
        <v>36</v>
      </c>
      <c r="AH329" s="172">
        <v>1.4E-5</v>
      </c>
      <c r="AI329" s="172">
        <v>1.6882492462418999E-4</v>
      </c>
      <c r="AJ329" s="172">
        <v>2.5231715029023301E-5</v>
      </c>
    </row>
    <row r="330" spans="1:36">
      <c r="A330" s="2">
        <v>161</v>
      </c>
      <c r="B330" s="2">
        <v>9943</v>
      </c>
      <c r="C330" s="2" t="s">
        <v>1886</v>
      </c>
      <c r="D330" s="2" t="s">
        <v>1887</v>
      </c>
      <c r="E330" s="4" t="s">
        <v>1363</v>
      </c>
      <c r="F330" s="2" t="s">
        <v>2452</v>
      </c>
      <c r="G330" s="2" t="s">
        <v>2453</v>
      </c>
      <c r="H330" s="2" t="s">
        <v>223</v>
      </c>
      <c r="I330" s="2" t="s">
        <v>804</v>
      </c>
      <c r="J330" s="2" t="s">
        <v>30</v>
      </c>
      <c r="K330" s="2" t="s">
        <v>30</v>
      </c>
      <c r="L330" s="2" t="s">
        <v>377</v>
      </c>
      <c r="M330" s="2" t="s">
        <v>31</v>
      </c>
      <c r="N330" s="2" t="s">
        <v>511</v>
      </c>
      <c r="O330" s="2" t="s">
        <v>173</v>
      </c>
      <c r="P330" s="2" t="s">
        <v>2052</v>
      </c>
      <c r="Q330" s="2" t="s">
        <v>462</v>
      </c>
      <c r="R330" s="2" t="s">
        <v>456</v>
      </c>
      <c r="S330" s="2" t="s">
        <v>34</v>
      </c>
      <c r="T330" s="156">
        <v>1.89</v>
      </c>
      <c r="U330" s="2" t="s">
        <v>2454</v>
      </c>
      <c r="V330" s="170">
        <v>2.4E-2</v>
      </c>
      <c r="W330" s="172">
        <v>2.487E-2</v>
      </c>
      <c r="X330" s="4" t="s">
        <v>461</v>
      </c>
      <c r="Y330" s="4" t="s">
        <v>173</v>
      </c>
      <c r="Z330" s="156">
        <v>1936493.58</v>
      </c>
      <c r="AA330" s="166">
        <v>1</v>
      </c>
      <c r="AB330" s="183">
        <v>115.87</v>
      </c>
      <c r="AD330" s="156">
        <v>2243.8150000000001</v>
      </c>
      <c r="AG330" s="2" t="s">
        <v>36</v>
      </c>
      <c r="AH330" s="172">
        <v>3.356E-3</v>
      </c>
      <c r="AI330" s="172">
        <v>8.2334361540769303E-3</v>
      </c>
      <c r="AJ330" s="172">
        <v>1.2305275137055301E-3</v>
      </c>
    </row>
    <row r="331" spans="1:36">
      <c r="A331" s="2">
        <v>161</v>
      </c>
      <c r="B331" s="2">
        <v>9943</v>
      </c>
      <c r="C331" s="2" t="s">
        <v>1886</v>
      </c>
      <c r="D331" s="2" t="s">
        <v>1887</v>
      </c>
      <c r="E331" s="4" t="s">
        <v>1363</v>
      </c>
      <c r="F331" s="2" t="s">
        <v>2218</v>
      </c>
      <c r="G331" s="2" t="s">
        <v>2219</v>
      </c>
      <c r="H331" s="2" t="s">
        <v>223</v>
      </c>
      <c r="I331" s="2" t="s">
        <v>804</v>
      </c>
      <c r="J331" s="2" t="s">
        <v>30</v>
      </c>
      <c r="K331" s="2" t="s">
        <v>30</v>
      </c>
      <c r="L331" s="2" t="s">
        <v>377</v>
      </c>
      <c r="M331" s="2" t="s">
        <v>31</v>
      </c>
      <c r="N331" s="2" t="s">
        <v>511</v>
      </c>
      <c r="O331" s="2" t="s">
        <v>173</v>
      </c>
      <c r="P331" s="2" t="s">
        <v>2052</v>
      </c>
      <c r="Q331" s="2" t="s">
        <v>462</v>
      </c>
      <c r="R331" s="2" t="s">
        <v>456</v>
      </c>
      <c r="S331" s="2" t="s">
        <v>34</v>
      </c>
      <c r="T331" s="156">
        <v>3.4409999999999998</v>
      </c>
      <c r="U331" s="2" t="s">
        <v>2151</v>
      </c>
      <c r="V331" s="170">
        <v>2.81E-2</v>
      </c>
      <c r="W331" s="172">
        <v>2.9329999999999998E-2</v>
      </c>
      <c r="X331" s="4" t="s">
        <v>461</v>
      </c>
      <c r="Y331" s="4" t="s">
        <v>173</v>
      </c>
      <c r="Z331" s="156">
        <v>310179</v>
      </c>
      <c r="AA331" s="166">
        <v>1</v>
      </c>
      <c r="AB331" s="183">
        <v>117.13</v>
      </c>
      <c r="AD331" s="156">
        <v>363.31299999999999</v>
      </c>
      <c r="AG331" s="2" t="s">
        <v>36</v>
      </c>
      <c r="AH331" s="172">
        <v>2.2499999999999999E-4</v>
      </c>
      <c r="AI331" s="172">
        <v>1.3331364056909101E-3</v>
      </c>
      <c r="AJ331" s="172">
        <v>1.99243790323541E-4</v>
      </c>
    </row>
    <row r="332" spans="1:36">
      <c r="A332" s="2">
        <v>161</v>
      </c>
      <c r="B332" s="2">
        <v>9943</v>
      </c>
      <c r="C332" s="2" t="s">
        <v>1886</v>
      </c>
      <c r="D332" s="2" t="s">
        <v>1887</v>
      </c>
      <c r="E332" s="4" t="s">
        <v>1363</v>
      </c>
      <c r="F332" s="2" t="s">
        <v>2455</v>
      </c>
      <c r="G332" s="2" t="s">
        <v>2456</v>
      </c>
      <c r="H332" s="2" t="s">
        <v>223</v>
      </c>
      <c r="I332" s="2" t="s">
        <v>1013</v>
      </c>
      <c r="J332" s="2" t="s">
        <v>30</v>
      </c>
      <c r="K332" s="2" t="s">
        <v>30</v>
      </c>
      <c r="L332" s="2" t="s">
        <v>377</v>
      </c>
      <c r="M332" s="2" t="s">
        <v>31</v>
      </c>
      <c r="N332" s="2" t="s">
        <v>511</v>
      </c>
      <c r="O332" s="2" t="s">
        <v>173</v>
      </c>
      <c r="P332" s="2" t="s">
        <v>2052</v>
      </c>
      <c r="Q332" s="2" t="s">
        <v>462</v>
      </c>
      <c r="R332" s="2" t="s">
        <v>456</v>
      </c>
      <c r="S332" s="2" t="s">
        <v>34</v>
      </c>
      <c r="T332" s="156">
        <v>2.0859999999999999</v>
      </c>
      <c r="U332" s="2" t="s">
        <v>2130</v>
      </c>
      <c r="V332" s="170">
        <v>5.6500000000000002E-2</v>
      </c>
      <c r="W332" s="172">
        <v>5.339E-2</v>
      </c>
      <c r="X332" s="4" t="s">
        <v>461</v>
      </c>
      <c r="Y332" s="4" t="s">
        <v>173</v>
      </c>
      <c r="Z332" s="156">
        <v>338223.5</v>
      </c>
      <c r="AA332" s="166">
        <v>1</v>
      </c>
      <c r="AB332" s="183">
        <v>102.21</v>
      </c>
      <c r="AD332" s="156">
        <v>345.69799999999998</v>
      </c>
      <c r="AG332" s="2" t="s">
        <v>36</v>
      </c>
      <c r="AH332" s="172">
        <v>2.1670000000000001E-3</v>
      </c>
      <c r="AI332" s="172">
        <v>1.26850218992033E-3</v>
      </c>
      <c r="AJ332" s="172">
        <v>1.8958388899630401E-4</v>
      </c>
    </row>
    <row r="333" spans="1:36">
      <c r="A333" s="2">
        <v>161</v>
      </c>
      <c r="B333" s="2">
        <v>9943</v>
      </c>
      <c r="C333" s="2" t="s">
        <v>1886</v>
      </c>
      <c r="D333" s="2" t="s">
        <v>1887</v>
      </c>
      <c r="E333" s="4" t="s">
        <v>1363</v>
      </c>
      <c r="F333" s="2" t="s">
        <v>2385</v>
      </c>
      <c r="G333" s="2" t="s">
        <v>2386</v>
      </c>
      <c r="H333" s="2" t="s">
        <v>223</v>
      </c>
      <c r="I333" s="2" t="s">
        <v>804</v>
      </c>
      <c r="J333" s="2" t="s">
        <v>30</v>
      </c>
      <c r="K333" s="2" t="s">
        <v>30</v>
      </c>
      <c r="L333" s="2" t="s">
        <v>377</v>
      </c>
      <c r="M333" s="2" t="s">
        <v>31</v>
      </c>
      <c r="N333" s="2" t="s">
        <v>511</v>
      </c>
      <c r="O333" s="2" t="s">
        <v>173</v>
      </c>
      <c r="P333" s="2" t="s">
        <v>2052</v>
      </c>
      <c r="Q333" s="2" t="s">
        <v>462</v>
      </c>
      <c r="R333" s="2" t="s">
        <v>456</v>
      </c>
      <c r="S333" s="2" t="s">
        <v>34</v>
      </c>
      <c r="T333" s="156">
        <v>2.024</v>
      </c>
      <c r="U333" s="2" t="s">
        <v>2130</v>
      </c>
      <c r="V333" s="170">
        <v>3.6999999999999998E-2</v>
      </c>
      <c r="W333" s="172">
        <v>2.6419999999999999E-2</v>
      </c>
      <c r="X333" s="4" t="s">
        <v>461</v>
      </c>
      <c r="Y333" s="4" t="s">
        <v>173</v>
      </c>
      <c r="Z333" s="156">
        <v>697815.01</v>
      </c>
      <c r="AA333" s="166">
        <v>1</v>
      </c>
      <c r="AB333" s="183">
        <v>119.19</v>
      </c>
      <c r="AD333" s="156">
        <v>831.726</v>
      </c>
      <c r="AG333" s="2" t="s">
        <v>36</v>
      </c>
      <c r="AH333" s="172">
        <v>2.32E-3</v>
      </c>
      <c r="AI333" s="172">
        <v>3.0519272735183602E-3</v>
      </c>
      <c r="AJ333" s="172">
        <v>4.5612553612054801E-4</v>
      </c>
    </row>
    <row r="334" spans="1:36">
      <c r="A334" s="2">
        <v>161</v>
      </c>
      <c r="B334" s="2">
        <v>9943</v>
      </c>
      <c r="C334" s="2" t="s">
        <v>2220</v>
      </c>
      <c r="D334" s="2" t="s">
        <v>2221</v>
      </c>
      <c r="E334" s="4" t="s">
        <v>1363</v>
      </c>
      <c r="F334" s="2" t="s">
        <v>2222</v>
      </c>
      <c r="G334" s="2" t="s">
        <v>2223</v>
      </c>
      <c r="H334" s="2" t="s">
        <v>223</v>
      </c>
      <c r="I334" s="2" t="s">
        <v>1013</v>
      </c>
      <c r="J334" s="2" t="s">
        <v>30</v>
      </c>
      <c r="K334" s="2" t="s">
        <v>30</v>
      </c>
      <c r="L334" s="2" t="s">
        <v>377</v>
      </c>
      <c r="M334" s="2" t="s">
        <v>31</v>
      </c>
      <c r="N334" s="2" t="s">
        <v>492</v>
      </c>
      <c r="O334" s="2" t="s">
        <v>173</v>
      </c>
      <c r="P334" s="2" t="s">
        <v>2061</v>
      </c>
      <c r="Q334" s="2" t="s">
        <v>464</v>
      </c>
      <c r="R334" s="2" t="s">
        <v>456</v>
      </c>
      <c r="S334" s="2" t="s">
        <v>34</v>
      </c>
      <c r="T334" s="156">
        <v>2.13</v>
      </c>
      <c r="U334" s="2" t="s">
        <v>2224</v>
      </c>
      <c r="V334" s="170">
        <v>4.1000000000000002E-2</v>
      </c>
      <c r="W334" s="172">
        <v>5.416E-2</v>
      </c>
      <c r="X334" s="4" t="s">
        <v>461</v>
      </c>
      <c r="Y334" s="4" t="s">
        <v>173</v>
      </c>
      <c r="Z334" s="156">
        <v>1300000</v>
      </c>
      <c r="AA334" s="166">
        <v>1</v>
      </c>
      <c r="AB334" s="183">
        <v>100.34</v>
      </c>
      <c r="AD334" s="156">
        <v>1304.42</v>
      </c>
      <c r="AG334" s="2" t="s">
        <v>36</v>
      </c>
      <c r="AH334" s="172">
        <v>1.823E-3</v>
      </c>
      <c r="AI334" s="172">
        <v>4.7864276939537098E-3</v>
      </c>
      <c r="AJ334" s="172">
        <v>7.1535515179232696E-4</v>
      </c>
    </row>
    <row r="335" spans="1:36">
      <c r="A335" s="2">
        <v>161</v>
      </c>
      <c r="B335" s="2">
        <v>9943</v>
      </c>
      <c r="C335" s="2" t="s">
        <v>2225</v>
      </c>
      <c r="D335" s="2" t="s">
        <v>2226</v>
      </c>
      <c r="E335" s="4" t="s">
        <v>1363</v>
      </c>
      <c r="F335" s="2" t="s">
        <v>2227</v>
      </c>
      <c r="G335" s="2" t="s">
        <v>2228</v>
      </c>
      <c r="H335" s="2" t="s">
        <v>223</v>
      </c>
      <c r="I335" s="2" t="s">
        <v>804</v>
      </c>
      <c r="J335" s="2" t="s">
        <v>30</v>
      </c>
      <c r="K335" s="2" t="s">
        <v>30</v>
      </c>
      <c r="L335" s="2" t="s">
        <v>377</v>
      </c>
      <c r="M335" s="2" t="s">
        <v>31</v>
      </c>
      <c r="N335" s="2" t="s">
        <v>511</v>
      </c>
      <c r="O335" s="2" t="s">
        <v>173</v>
      </c>
      <c r="P335" s="2" t="s">
        <v>2061</v>
      </c>
      <c r="Q335" s="2" t="s">
        <v>462</v>
      </c>
      <c r="R335" s="2" t="s">
        <v>456</v>
      </c>
      <c r="S335" s="2" t="s">
        <v>34</v>
      </c>
      <c r="T335" s="156">
        <v>1.8720000000000001</v>
      </c>
      <c r="U335" s="2" t="s">
        <v>2229</v>
      </c>
      <c r="V335" s="170">
        <v>2.0500000000000001E-2</v>
      </c>
      <c r="W335" s="172">
        <v>2.6960000000000001E-2</v>
      </c>
      <c r="X335" s="4" t="s">
        <v>461</v>
      </c>
      <c r="Y335" s="4" t="s">
        <v>173</v>
      </c>
      <c r="Z335" s="156">
        <v>1230642.92</v>
      </c>
      <c r="AA335" s="166">
        <v>1</v>
      </c>
      <c r="AB335" s="183">
        <v>115.69</v>
      </c>
      <c r="AD335" s="156">
        <v>1423.731</v>
      </c>
      <c r="AG335" s="2" t="s">
        <v>36</v>
      </c>
      <c r="AH335" s="172">
        <v>1.629E-3</v>
      </c>
      <c r="AI335" s="172">
        <v>5.2242257109249299E-3</v>
      </c>
      <c r="AJ335" s="172">
        <v>7.8078621790462599E-4</v>
      </c>
    </row>
    <row r="336" spans="1:36">
      <c r="A336" s="2">
        <v>161</v>
      </c>
      <c r="B336" s="2">
        <v>9943</v>
      </c>
      <c r="C336" s="2" t="s">
        <v>2230</v>
      </c>
      <c r="D336" s="2" t="s">
        <v>2231</v>
      </c>
      <c r="E336" s="4" t="s">
        <v>1363</v>
      </c>
      <c r="F336" s="2" t="s">
        <v>2457</v>
      </c>
      <c r="G336" s="2" t="s">
        <v>2458</v>
      </c>
      <c r="H336" s="2" t="s">
        <v>223</v>
      </c>
      <c r="I336" s="2" t="s">
        <v>804</v>
      </c>
      <c r="J336" s="2" t="s">
        <v>30</v>
      </c>
      <c r="K336" s="2" t="s">
        <v>30</v>
      </c>
      <c r="L336" s="2" t="s">
        <v>377</v>
      </c>
      <c r="M336" s="2" t="s">
        <v>31</v>
      </c>
      <c r="N336" s="2" t="s">
        <v>495</v>
      </c>
      <c r="O336" s="2" t="s">
        <v>173</v>
      </c>
      <c r="P336" s="2" t="s">
        <v>1224</v>
      </c>
      <c r="Q336" s="2" t="s">
        <v>462</v>
      </c>
      <c r="R336" s="2" t="s">
        <v>456</v>
      </c>
      <c r="S336" s="2" t="s">
        <v>34</v>
      </c>
      <c r="T336" s="156">
        <v>2.9550000000000001</v>
      </c>
      <c r="U336" s="2" t="s">
        <v>2459</v>
      </c>
      <c r="V336" s="170">
        <v>1.2200000000000001E-2</v>
      </c>
      <c r="W336" s="172">
        <v>2.2579999999999999E-2</v>
      </c>
      <c r="X336" s="4" t="s">
        <v>461</v>
      </c>
      <c r="Y336" s="4" t="s">
        <v>173</v>
      </c>
      <c r="Z336" s="156">
        <v>6918496</v>
      </c>
      <c r="AA336" s="166">
        <v>1</v>
      </c>
      <c r="AB336" s="183">
        <v>113.04</v>
      </c>
      <c r="AD336" s="156">
        <v>7820.6679999999997</v>
      </c>
      <c r="AG336" s="2" t="s">
        <v>36</v>
      </c>
      <c r="AH336" s="172">
        <v>2.294E-3</v>
      </c>
      <c r="AI336" s="172">
        <v>2.8697092438315801E-2</v>
      </c>
      <c r="AJ336" s="172">
        <v>4.2889215569143404E-3</v>
      </c>
    </row>
    <row r="337" spans="1:36">
      <c r="A337" s="2">
        <v>161</v>
      </c>
      <c r="B337" s="2">
        <v>9943</v>
      </c>
      <c r="C337" s="2" t="s">
        <v>2230</v>
      </c>
      <c r="D337" s="2" t="s">
        <v>2231</v>
      </c>
      <c r="E337" s="4" t="s">
        <v>1363</v>
      </c>
      <c r="F337" s="2" t="s">
        <v>2232</v>
      </c>
      <c r="G337" s="2" t="s">
        <v>2233</v>
      </c>
      <c r="H337" s="2" t="s">
        <v>223</v>
      </c>
      <c r="I337" s="2" t="s">
        <v>804</v>
      </c>
      <c r="J337" s="2" t="s">
        <v>30</v>
      </c>
      <c r="K337" s="2" t="s">
        <v>30</v>
      </c>
      <c r="L337" s="2" t="s">
        <v>377</v>
      </c>
      <c r="M337" s="2" t="s">
        <v>31</v>
      </c>
      <c r="N337" s="2" t="s">
        <v>495</v>
      </c>
      <c r="O337" s="2" t="s">
        <v>173</v>
      </c>
      <c r="P337" s="2" t="s">
        <v>1224</v>
      </c>
      <c r="Q337" s="2" t="s">
        <v>462</v>
      </c>
      <c r="R337" s="2" t="s">
        <v>456</v>
      </c>
      <c r="S337" s="2" t="s">
        <v>34</v>
      </c>
      <c r="T337" s="156">
        <v>4.0069999999999997</v>
      </c>
      <c r="U337" s="2" t="s">
        <v>2234</v>
      </c>
      <c r="V337" s="170">
        <v>1E-3</v>
      </c>
      <c r="W337" s="172">
        <v>2.5020000000000001E-2</v>
      </c>
      <c r="X337" s="4" t="s">
        <v>461</v>
      </c>
      <c r="Y337" s="4" t="s">
        <v>173</v>
      </c>
      <c r="Z337" s="156">
        <v>1712290</v>
      </c>
      <c r="AA337" s="166">
        <v>1</v>
      </c>
      <c r="AB337" s="183">
        <v>102.41</v>
      </c>
      <c r="AD337" s="156">
        <v>1753.556</v>
      </c>
      <c r="AG337" s="2" t="s">
        <v>36</v>
      </c>
      <c r="AH337" s="172">
        <v>5.0699999999999996E-4</v>
      </c>
      <c r="AI337" s="172">
        <v>6.43448421975554E-3</v>
      </c>
      <c r="AJ337" s="172">
        <v>9.6166530240142704E-4</v>
      </c>
    </row>
    <row r="338" spans="1:36">
      <c r="A338" s="2">
        <v>161</v>
      </c>
      <c r="B338" s="2">
        <v>9943</v>
      </c>
      <c r="C338" s="2" t="s">
        <v>2230</v>
      </c>
      <c r="D338" s="2" t="s">
        <v>2231</v>
      </c>
      <c r="E338" s="4" t="s">
        <v>1363</v>
      </c>
      <c r="F338" s="2" t="s">
        <v>2460</v>
      </c>
      <c r="G338" s="2" t="s">
        <v>2461</v>
      </c>
      <c r="H338" s="2" t="s">
        <v>223</v>
      </c>
      <c r="I338" s="2" t="s">
        <v>804</v>
      </c>
      <c r="J338" s="2" t="s">
        <v>30</v>
      </c>
      <c r="K338" s="2" t="s">
        <v>30</v>
      </c>
      <c r="L338" s="2" t="s">
        <v>377</v>
      </c>
      <c r="M338" s="2" t="s">
        <v>31</v>
      </c>
      <c r="N338" s="2" t="s">
        <v>495</v>
      </c>
      <c r="O338" s="2" t="s">
        <v>173</v>
      </c>
      <c r="P338" s="2" t="s">
        <v>1224</v>
      </c>
      <c r="Q338" s="2" t="s">
        <v>462</v>
      </c>
      <c r="R338" s="2" t="s">
        <v>456</v>
      </c>
      <c r="S338" s="2" t="s">
        <v>34</v>
      </c>
      <c r="T338" s="156">
        <v>4.4029999999999996</v>
      </c>
      <c r="U338" s="2" t="s">
        <v>2181</v>
      </c>
      <c r="V338" s="170">
        <v>2.06E-2</v>
      </c>
      <c r="W338" s="172">
        <v>2.6120000000000001E-2</v>
      </c>
      <c r="X338" s="4" t="s">
        <v>461</v>
      </c>
      <c r="Y338" s="4" t="s">
        <v>173</v>
      </c>
      <c r="Z338" s="156">
        <v>1395000</v>
      </c>
      <c r="AA338" s="166">
        <v>1</v>
      </c>
      <c r="AB338" s="183">
        <v>102.78</v>
      </c>
      <c r="AD338" s="156">
        <v>1433.7809999999999</v>
      </c>
      <c r="AG338" s="2" t="s">
        <v>36</v>
      </c>
      <c r="AH338" s="172">
        <v>7.7499999999999997E-4</v>
      </c>
      <c r="AI338" s="172">
        <v>5.2611038511098003E-3</v>
      </c>
      <c r="AJ338" s="172">
        <v>7.8629783727017001E-4</v>
      </c>
    </row>
    <row r="339" spans="1:36">
      <c r="A339" s="2">
        <v>161</v>
      </c>
      <c r="B339" s="2">
        <v>9943</v>
      </c>
      <c r="C339" s="2" t="s">
        <v>2230</v>
      </c>
      <c r="D339" s="2" t="s">
        <v>2231</v>
      </c>
      <c r="E339" s="4" t="s">
        <v>1363</v>
      </c>
      <c r="F339" s="2" t="s">
        <v>2462</v>
      </c>
      <c r="G339" s="2" t="s">
        <v>2463</v>
      </c>
      <c r="H339" s="2" t="s">
        <v>223</v>
      </c>
      <c r="I339" s="2" t="s">
        <v>804</v>
      </c>
      <c r="J339" s="2" t="s">
        <v>30</v>
      </c>
      <c r="K339" s="2" t="s">
        <v>30</v>
      </c>
      <c r="L339" s="2" t="s">
        <v>377</v>
      </c>
      <c r="M339" s="2" t="s">
        <v>31</v>
      </c>
      <c r="N339" s="2" t="s">
        <v>495</v>
      </c>
      <c r="O339" s="2" t="s">
        <v>173</v>
      </c>
      <c r="P339" s="2" t="s">
        <v>1224</v>
      </c>
      <c r="Q339" s="2" t="s">
        <v>462</v>
      </c>
      <c r="R339" s="2" t="s">
        <v>456</v>
      </c>
      <c r="S339" s="2" t="s">
        <v>34</v>
      </c>
      <c r="T339" s="156">
        <v>4.3789999999999996</v>
      </c>
      <c r="U339" s="2" t="s">
        <v>2464</v>
      </c>
      <c r="V339" s="170">
        <v>1.9900000000000001E-2</v>
      </c>
      <c r="W339" s="172">
        <v>2.5700000000000001E-2</v>
      </c>
      <c r="X339" s="4" t="s">
        <v>461</v>
      </c>
      <c r="Y339" s="4" t="s">
        <v>173</v>
      </c>
      <c r="Z339" s="156">
        <v>1900000</v>
      </c>
      <c r="AA339" s="166">
        <v>1</v>
      </c>
      <c r="AB339" s="183">
        <v>102.5</v>
      </c>
      <c r="AD339" s="156">
        <v>1947.5</v>
      </c>
      <c r="AG339" s="2" t="s">
        <v>36</v>
      </c>
      <c r="AH339" s="172">
        <v>7.0399999999999998E-4</v>
      </c>
      <c r="AI339" s="172">
        <v>7.1461399963009204E-3</v>
      </c>
      <c r="AJ339" s="172">
        <v>1.0680257571300299E-3</v>
      </c>
    </row>
    <row r="340" spans="1:36">
      <c r="A340" s="2">
        <v>161</v>
      </c>
      <c r="B340" s="2">
        <v>9943</v>
      </c>
      <c r="C340" s="2" t="s">
        <v>2230</v>
      </c>
      <c r="D340" s="2" t="s">
        <v>2231</v>
      </c>
      <c r="E340" s="4" t="s">
        <v>1363</v>
      </c>
      <c r="F340" s="2" t="s">
        <v>2235</v>
      </c>
      <c r="G340" s="2" t="s">
        <v>2236</v>
      </c>
      <c r="H340" s="2" t="s">
        <v>223</v>
      </c>
      <c r="I340" s="2" t="s">
        <v>804</v>
      </c>
      <c r="J340" s="2" t="s">
        <v>30</v>
      </c>
      <c r="K340" s="2" t="s">
        <v>30</v>
      </c>
      <c r="L340" s="2" t="s">
        <v>377</v>
      </c>
      <c r="M340" s="2" t="s">
        <v>31</v>
      </c>
      <c r="N340" s="2" t="s">
        <v>495</v>
      </c>
      <c r="O340" s="2" t="s">
        <v>173</v>
      </c>
      <c r="P340" s="2" t="s">
        <v>1224</v>
      </c>
      <c r="Q340" s="2" t="s">
        <v>464</v>
      </c>
      <c r="R340" s="2" t="s">
        <v>456</v>
      </c>
      <c r="S340" s="2" t="s">
        <v>34</v>
      </c>
      <c r="T340" s="156">
        <v>2.16</v>
      </c>
      <c r="U340" s="2" t="s">
        <v>2237</v>
      </c>
      <c r="V340" s="170">
        <v>5.0000000000000001E-3</v>
      </c>
      <c r="W340" s="172">
        <v>2.1420000000000002E-2</v>
      </c>
      <c r="X340" s="4" t="s">
        <v>461</v>
      </c>
      <c r="Y340" s="4" t="s">
        <v>173</v>
      </c>
      <c r="Z340" s="156">
        <v>1468553</v>
      </c>
      <c r="AA340" s="166">
        <v>1</v>
      </c>
      <c r="AB340" s="183">
        <v>110.72</v>
      </c>
      <c r="AD340" s="156">
        <v>1625.982</v>
      </c>
      <c r="AG340" s="2" t="s">
        <v>36</v>
      </c>
      <c r="AH340" s="172">
        <v>1.9239999999999999E-3</v>
      </c>
      <c r="AI340" s="172">
        <v>5.9663641372849196E-3</v>
      </c>
      <c r="AJ340" s="172">
        <v>8.9170245451889905E-4</v>
      </c>
    </row>
    <row r="341" spans="1:36">
      <c r="A341" s="2">
        <v>161</v>
      </c>
      <c r="B341" s="2">
        <v>9943</v>
      </c>
      <c r="C341" s="2" t="s">
        <v>2230</v>
      </c>
      <c r="D341" s="2" t="s">
        <v>2231</v>
      </c>
      <c r="E341" s="4" t="s">
        <v>1363</v>
      </c>
      <c r="F341" s="2" t="s">
        <v>2241</v>
      </c>
      <c r="G341" s="2" t="s">
        <v>2242</v>
      </c>
      <c r="H341" s="2" t="s">
        <v>223</v>
      </c>
      <c r="I341" s="2" t="s">
        <v>804</v>
      </c>
      <c r="J341" s="2" t="s">
        <v>30</v>
      </c>
      <c r="K341" s="2" t="s">
        <v>30</v>
      </c>
      <c r="L341" s="2" t="s">
        <v>377</v>
      </c>
      <c r="M341" s="2" t="s">
        <v>31</v>
      </c>
      <c r="N341" s="2" t="s">
        <v>495</v>
      </c>
      <c r="O341" s="2" t="s">
        <v>173</v>
      </c>
      <c r="P341" s="2" t="s">
        <v>1224</v>
      </c>
      <c r="Q341" s="2" t="s">
        <v>464</v>
      </c>
      <c r="R341" s="2" t="s">
        <v>456</v>
      </c>
      <c r="S341" s="2" t="s">
        <v>34</v>
      </c>
      <c r="T341" s="156">
        <v>0.375</v>
      </c>
      <c r="U341" s="2" t="s">
        <v>2243</v>
      </c>
      <c r="V341" s="170">
        <v>9.4999999999999998E-3</v>
      </c>
      <c r="W341" s="172">
        <v>2.657E-2</v>
      </c>
      <c r="X341" s="4" t="s">
        <v>461</v>
      </c>
      <c r="Y341" s="4" t="s">
        <v>173</v>
      </c>
      <c r="Z341" s="156">
        <v>910562.23</v>
      </c>
      <c r="AA341" s="166">
        <v>1</v>
      </c>
      <c r="AB341" s="183">
        <v>116.08</v>
      </c>
      <c r="AD341" s="156">
        <v>1056.981</v>
      </c>
      <c r="AG341" s="2" t="s">
        <v>36</v>
      </c>
      <c r="AH341" s="172">
        <v>5.666E-3</v>
      </c>
      <c r="AI341" s="172">
        <v>3.8784757907104101E-3</v>
      </c>
      <c r="AJ341" s="172">
        <v>5.7965727581998005E-4</v>
      </c>
    </row>
    <row r="342" spans="1:36">
      <c r="A342" s="2">
        <v>161</v>
      </c>
      <c r="B342" s="2">
        <v>9943</v>
      </c>
      <c r="C342" s="2" t="s">
        <v>2230</v>
      </c>
      <c r="D342" s="2" t="s">
        <v>2231</v>
      </c>
      <c r="E342" s="4" t="s">
        <v>1363</v>
      </c>
      <c r="F342" s="2" t="s">
        <v>2387</v>
      </c>
      <c r="G342" s="2" t="s">
        <v>2388</v>
      </c>
      <c r="H342" s="2" t="s">
        <v>223</v>
      </c>
      <c r="I342" s="2" t="s">
        <v>804</v>
      </c>
      <c r="J342" s="2" t="s">
        <v>30</v>
      </c>
      <c r="K342" s="2" t="s">
        <v>30</v>
      </c>
      <c r="L342" s="2" t="s">
        <v>377</v>
      </c>
      <c r="M342" s="2" t="s">
        <v>31</v>
      </c>
      <c r="N342" s="2" t="s">
        <v>495</v>
      </c>
      <c r="O342" s="2" t="s">
        <v>173</v>
      </c>
      <c r="P342" s="2" t="s">
        <v>1374</v>
      </c>
      <c r="Q342" s="2" t="s">
        <v>462</v>
      </c>
      <c r="R342" s="2" t="s">
        <v>456</v>
      </c>
      <c r="S342" s="2" t="s">
        <v>34</v>
      </c>
      <c r="T342" s="156">
        <v>4.4210000000000003</v>
      </c>
      <c r="U342" s="2" t="s">
        <v>2389</v>
      </c>
      <c r="V342" s="170">
        <v>3.3599999999999998E-2</v>
      </c>
      <c r="W342" s="172">
        <v>3.0880000000000001E-2</v>
      </c>
      <c r="X342" s="4" t="s">
        <v>461</v>
      </c>
      <c r="Y342" s="4" t="s">
        <v>173</v>
      </c>
      <c r="Z342" s="156">
        <v>751950</v>
      </c>
      <c r="AA342" s="166">
        <v>1</v>
      </c>
      <c r="AB342" s="183">
        <v>105.66</v>
      </c>
      <c r="AD342" s="156">
        <v>794.51</v>
      </c>
      <c r="AG342" s="2" t="s">
        <v>36</v>
      </c>
      <c r="AH342" s="172">
        <v>6.4400000000000004E-4</v>
      </c>
      <c r="AI342" s="172">
        <v>2.9153696187588399E-3</v>
      </c>
      <c r="AJ342" s="172">
        <v>4.3571632321792698E-4</v>
      </c>
    </row>
    <row r="343" spans="1:36">
      <c r="A343" s="2">
        <v>161</v>
      </c>
      <c r="B343" s="2">
        <v>9943</v>
      </c>
      <c r="C343" s="2" t="s">
        <v>2230</v>
      </c>
      <c r="D343" s="2" t="s">
        <v>2231</v>
      </c>
      <c r="E343" s="4" t="s">
        <v>1363</v>
      </c>
      <c r="F343" s="2" t="s">
        <v>2244</v>
      </c>
      <c r="G343" s="2" t="s">
        <v>2245</v>
      </c>
      <c r="H343" s="2" t="s">
        <v>223</v>
      </c>
      <c r="I343" s="2" t="s">
        <v>804</v>
      </c>
      <c r="J343" s="2" t="s">
        <v>30</v>
      </c>
      <c r="K343" s="2" t="s">
        <v>30</v>
      </c>
      <c r="L343" s="2" t="s">
        <v>377</v>
      </c>
      <c r="M343" s="2" t="s">
        <v>31</v>
      </c>
      <c r="N343" s="2" t="s">
        <v>495</v>
      </c>
      <c r="O343" s="2" t="s">
        <v>173</v>
      </c>
      <c r="P343" s="2" t="s">
        <v>1224</v>
      </c>
      <c r="Q343" s="2" t="s">
        <v>462</v>
      </c>
      <c r="R343" s="2" t="s">
        <v>456</v>
      </c>
      <c r="S343" s="2" t="s">
        <v>34</v>
      </c>
      <c r="T343" s="156">
        <v>1.681</v>
      </c>
      <c r="U343" s="2" t="s">
        <v>2246</v>
      </c>
      <c r="V343" s="170">
        <v>3.8E-3</v>
      </c>
      <c r="W343" s="172">
        <v>2.1440000000000001E-2</v>
      </c>
      <c r="X343" s="4" t="s">
        <v>461</v>
      </c>
      <c r="Y343" s="4" t="s">
        <v>173</v>
      </c>
      <c r="Z343" s="156">
        <v>6846772</v>
      </c>
      <c r="AA343" s="166">
        <v>1</v>
      </c>
      <c r="AB343" s="183">
        <v>110.39</v>
      </c>
      <c r="AD343" s="156">
        <v>7558.152</v>
      </c>
      <c r="AG343" s="2" t="s">
        <v>36</v>
      </c>
      <c r="AH343" s="172">
        <v>2.2820000000000002E-3</v>
      </c>
      <c r="AI343" s="172">
        <v>2.7733817470626001E-2</v>
      </c>
      <c r="AJ343" s="172">
        <v>4.1449553769593002E-3</v>
      </c>
    </row>
    <row r="344" spans="1:36">
      <c r="A344" s="2">
        <v>161</v>
      </c>
      <c r="B344" s="2">
        <v>9943</v>
      </c>
      <c r="C344" s="2" t="s">
        <v>2230</v>
      </c>
      <c r="D344" s="2" t="s">
        <v>2231</v>
      </c>
      <c r="E344" s="4" t="s">
        <v>1363</v>
      </c>
      <c r="F344" s="2" t="s">
        <v>2247</v>
      </c>
      <c r="G344" s="2" t="s">
        <v>2248</v>
      </c>
      <c r="H344" s="2" t="s">
        <v>223</v>
      </c>
      <c r="I344" s="2" t="s">
        <v>804</v>
      </c>
      <c r="J344" s="2" t="s">
        <v>30</v>
      </c>
      <c r="K344" s="2" t="s">
        <v>30</v>
      </c>
      <c r="L344" s="2" t="s">
        <v>377</v>
      </c>
      <c r="M344" s="2" t="s">
        <v>31</v>
      </c>
      <c r="N344" s="2" t="s">
        <v>495</v>
      </c>
      <c r="O344" s="2" t="s">
        <v>173</v>
      </c>
      <c r="P344" s="2" t="s">
        <v>1224</v>
      </c>
      <c r="Q344" s="2" t="s">
        <v>462</v>
      </c>
      <c r="R344" s="2" t="s">
        <v>456</v>
      </c>
      <c r="S344" s="2" t="s">
        <v>34</v>
      </c>
      <c r="T344" s="156">
        <v>3.43</v>
      </c>
      <c r="U344" s="2" t="s">
        <v>2249</v>
      </c>
      <c r="V344" s="170">
        <v>1E-3</v>
      </c>
      <c r="W344" s="172">
        <v>2.4819999999999998E-2</v>
      </c>
      <c r="X344" s="4" t="s">
        <v>461</v>
      </c>
      <c r="Y344" s="4" t="s">
        <v>173</v>
      </c>
      <c r="Z344" s="156">
        <v>892842</v>
      </c>
      <c r="AA344" s="166">
        <v>1</v>
      </c>
      <c r="AB344" s="183">
        <v>102.63</v>
      </c>
      <c r="AD344" s="156">
        <v>916.32399999999996</v>
      </c>
      <c r="AG344" s="2" t="s">
        <v>36</v>
      </c>
      <c r="AH344" s="172">
        <v>3.4299999999999999E-4</v>
      </c>
      <c r="AI344" s="172">
        <v>3.3623505832330101E-3</v>
      </c>
      <c r="AJ344" s="172">
        <v>5.0251982598338498E-4</v>
      </c>
    </row>
    <row r="345" spans="1:36">
      <c r="A345" s="2">
        <v>161</v>
      </c>
      <c r="B345" s="2">
        <v>9943</v>
      </c>
      <c r="C345" s="2" t="s">
        <v>2465</v>
      </c>
      <c r="D345" s="2" t="s">
        <v>2466</v>
      </c>
      <c r="E345" s="4" t="s">
        <v>1363</v>
      </c>
      <c r="F345" s="2" t="s">
        <v>2467</v>
      </c>
      <c r="G345" s="2" t="s">
        <v>2468</v>
      </c>
      <c r="H345" s="2" t="s">
        <v>223</v>
      </c>
      <c r="I345" s="2" t="s">
        <v>804</v>
      </c>
      <c r="J345" s="2" t="s">
        <v>30</v>
      </c>
      <c r="K345" s="2" t="s">
        <v>30</v>
      </c>
      <c r="L345" s="2" t="s">
        <v>377</v>
      </c>
      <c r="M345" s="2" t="s">
        <v>31</v>
      </c>
      <c r="N345" s="2" t="s">
        <v>526</v>
      </c>
      <c r="O345" s="2" t="s">
        <v>173</v>
      </c>
      <c r="P345" s="2" t="s">
        <v>2061</v>
      </c>
      <c r="Q345" s="2" t="s">
        <v>464</v>
      </c>
      <c r="R345" s="2" t="s">
        <v>456</v>
      </c>
      <c r="S345" s="2" t="s">
        <v>34</v>
      </c>
      <c r="T345" s="156">
        <v>0.68200000000000005</v>
      </c>
      <c r="U345" s="2" t="s">
        <v>2469</v>
      </c>
      <c r="V345" s="170">
        <v>3.95E-2</v>
      </c>
      <c r="W345" s="172">
        <v>2.0549999999999999E-2</v>
      </c>
      <c r="X345" s="4" t="s">
        <v>461</v>
      </c>
      <c r="Y345" s="4" t="s">
        <v>173</v>
      </c>
      <c r="Z345" s="156">
        <v>705609.96</v>
      </c>
      <c r="AA345" s="166">
        <v>1</v>
      </c>
      <c r="AB345" s="183">
        <v>125.21</v>
      </c>
      <c r="AD345" s="156">
        <v>883.49400000000003</v>
      </c>
      <c r="AG345" s="2" t="s">
        <v>36</v>
      </c>
      <c r="AH345" s="172">
        <v>4.3299999999999996E-3</v>
      </c>
      <c r="AI345" s="172">
        <v>3.2418862439280902E-3</v>
      </c>
      <c r="AJ345" s="172">
        <v>4.84515838199783E-4</v>
      </c>
    </row>
    <row r="346" spans="1:36">
      <c r="A346" s="2">
        <v>161</v>
      </c>
      <c r="B346" s="2">
        <v>9943</v>
      </c>
      <c r="C346" s="2" t="s">
        <v>2250</v>
      </c>
      <c r="D346" s="2" t="s">
        <v>2251</v>
      </c>
      <c r="E346" s="4" t="s">
        <v>1363</v>
      </c>
      <c r="F346" s="2" t="s">
        <v>2252</v>
      </c>
      <c r="G346" s="2" t="s">
        <v>2253</v>
      </c>
      <c r="H346" s="2" t="s">
        <v>223</v>
      </c>
      <c r="I346" s="2" t="s">
        <v>804</v>
      </c>
      <c r="J346" s="2" t="s">
        <v>30</v>
      </c>
      <c r="K346" s="2" t="s">
        <v>30</v>
      </c>
      <c r="L346" s="2" t="s">
        <v>377</v>
      </c>
      <c r="M346" s="2" t="s">
        <v>31</v>
      </c>
      <c r="N346" s="2" t="s">
        <v>490</v>
      </c>
      <c r="O346" s="2" t="s">
        <v>173</v>
      </c>
      <c r="P346" s="2" t="s">
        <v>2061</v>
      </c>
      <c r="Q346" s="2" t="s">
        <v>464</v>
      </c>
      <c r="R346" s="2" t="s">
        <v>456</v>
      </c>
      <c r="S346" s="2" t="s">
        <v>34</v>
      </c>
      <c r="T346" s="156">
        <v>3.2530000000000001</v>
      </c>
      <c r="U346" s="2" t="s">
        <v>2254</v>
      </c>
      <c r="V346" s="170">
        <v>0.01</v>
      </c>
      <c r="W346" s="172">
        <v>3.3340000000000002E-2</v>
      </c>
      <c r="X346" s="4" t="s">
        <v>461</v>
      </c>
      <c r="Y346" s="4" t="s">
        <v>173</v>
      </c>
      <c r="Z346" s="156">
        <v>513553.4</v>
      </c>
      <c r="AA346" s="166">
        <v>1</v>
      </c>
      <c r="AB346" s="183">
        <v>104.54</v>
      </c>
      <c r="AD346" s="156">
        <v>536.86900000000003</v>
      </c>
      <c r="AG346" s="2" t="s">
        <v>36</v>
      </c>
      <c r="AH346" s="172">
        <v>3.2499999999999999E-4</v>
      </c>
      <c r="AI346" s="172">
        <v>1.96998154758E-3</v>
      </c>
      <c r="AJ346" s="172">
        <v>2.9442342788910098E-4</v>
      </c>
    </row>
    <row r="347" spans="1:36">
      <c r="A347" s="2">
        <v>161</v>
      </c>
      <c r="B347" s="2">
        <v>9943</v>
      </c>
      <c r="C347" s="2" t="s">
        <v>2250</v>
      </c>
      <c r="D347" s="2" t="s">
        <v>2251</v>
      </c>
      <c r="E347" s="4" t="s">
        <v>1363</v>
      </c>
      <c r="F347" s="2" t="s">
        <v>2255</v>
      </c>
      <c r="G347" s="2" t="s">
        <v>2253</v>
      </c>
      <c r="H347" s="2" t="s">
        <v>223</v>
      </c>
      <c r="I347" s="2" t="s">
        <v>804</v>
      </c>
      <c r="J347" s="2" t="s">
        <v>30</v>
      </c>
      <c r="K347" s="2" t="s">
        <v>30</v>
      </c>
      <c r="L347" s="2" t="s">
        <v>379</v>
      </c>
      <c r="M347" s="2" t="s">
        <v>31</v>
      </c>
      <c r="N347" s="2" t="s">
        <v>145</v>
      </c>
      <c r="O347" s="2" t="s">
        <v>173</v>
      </c>
      <c r="P347" s="2" t="s">
        <v>2061</v>
      </c>
      <c r="Q347" s="2" t="s">
        <v>464</v>
      </c>
      <c r="R347" s="2" t="s">
        <v>456</v>
      </c>
      <c r="S347" s="2" t="s">
        <v>34</v>
      </c>
      <c r="T347" s="156">
        <v>3.27</v>
      </c>
      <c r="U347" s="2" t="s">
        <v>2254</v>
      </c>
      <c r="V347" s="170">
        <v>0.01</v>
      </c>
      <c r="W347" s="172">
        <v>3.3739999999999999E-2</v>
      </c>
      <c r="X347" s="4" t="s">
        <v>461</v>
      </c>
      <c r="Y347" s="4" t="s">
        <v>173</v>
      </c>
      <c r="Z347" s="156">
        <v>372000</v>
      </c>
      <c r="AA347" s="166">
        <v>1</v>
      </c>
      <c r="AB347" s="183">
        <v>104.54</v>
      </c>
      <c r="AD347" s="156">
        <v>388.88900000000001</v>
      </c>
      <c r="AG347" s="2" t="s">
        <v>36</v>
      </c>
      <c r="AH347" s="172">
        <v>4.17E-4</v>
      </c>
      <c r="AI347" s="172">
        <v>1.42698526715968E-3</v>
      </c>
      <c r="AJ347" s="172">
        <v>2.1326996408697801E-4</v>
      </c>
    </row>
    <row r="348" spans="1:36">
      <c r="A348" s="2">
        <v>161</v>
      </c>
      <c r="B348" s="2">
        <v>9943</v>
      </c>
      <c r="C348" s="2" t="s">
        <v>2250</v>
      </c>
      <c r="D348" s="2" t="s">
        <v>2251</v>
      </c>
      <c r="E348" s="4" t="s">
        <v>1363</v>
      </c>
      <c r="F348" s="2" t="s">
        <v>2256</v>
      </c>
      <c r="G348" s="2" t="s">
        <v>2257</v>
      </c>
      <c r="H348" s="2" t="s">
        <v>223</v>
      </c>
      <c r="I348" s="2" t="s">
        <v>804</v>
      </c>
      <c r="J348" s="2" t="s">
        <v>30</v>
      </c>
      <c r="K348" s="2" t="s">
        <v>30</v>
      </c>
      <c r="L348" s="2" t="s">
        <v>377</v>
      </c>
      <c r="M348" s="2" t="s">
        <v>31</v>
      </c>
      <c r="N348" s="2" t="s">
        <v>490</v>
      </c>
      <c r="O348" s="2" t="s">
        <v>173</v>
      </c>
      <c r="P348" s="2" t="s">
        <v>2061</v>
      </c>
      <c r="Q348" s="2" t="s">
        <v>464</v>
      </c>
      <c r="R348" s="2" t="s">
        <v>456</v>
      </c>
      <c r="S348" s="2" t="s">
        <v>34</v>
      </c>
      <c r="T348" s="156">
        <v>1.6559999999999999</v>
      </c>
      <c r="U348" s="2" t="s">
        <v>141</v>
      </c>
      <c r="V348" s="170">
        <v>3.5400000000000001E-2</v>
      </c>
      <c r="W348" s="172">
        <v>3.2190000000000003E-2</v>
      </c>
      <c r="X348" s="4" t="s">
        <v>461</v>
      </c>
      <c r="Y348" s="4" t="s">
        <v>173</v>
      </c>
      <c r="Z348" s="156">
        <v>553277</v>
      </c>
      <c r="AA348" s="166">
        <v>1</v>
      </c>
      <c r="AB348" s="183">
        <v>107.7</v>
      </c>
      <c r="AD348" s="156">
        <v>595.87900000000002</v>
      </c>
      <c r="AG348" s="2" t="s">
        <v>36</v>
      </c>
      <c r="AH348" s="172">
        <v>4.95E-4</v>
      </c>
      <c r="AI348" s="172">
        <v>2.1865145601724502E-3</v>
      </c>
      <c r="AJ348" s="172">
        <v>3.2678535122637297E-4</v>
      </c>
    </row>
    <row r="349" spans="1:36">
      <c r="A349" s="2">
        <v>161</v>
      </c>
      <c r="B349" s="2">
        <v>9943</v>
      </c>
      <c r="C349" s="2" t="s">
        <v>2250</v>
      </c>
      <c r="D349" s="2" t="s">
        <v>2251</v>
      </c>
      <c r="E349" s="4" t="s">
        <v>1363</v>
      </c>
      <c r="F349" s="2" t="s">
        <v>2470</v>
      </c>
      <c r="G349" s="2" t="s">
        <v>2257</v>
      </c>
      <c r="H349" s="2" t="s">
        <v>223</v>
      </c>
      <c r="I349" s="2" t="s">
        <v>804</v>
      </c>
      <c r="J349" s="2" t="s">
        <v>30</v>
      </c>
      <c r="K349" s="2" t="s">
        <v>30</v>
      </c>
      <c r="L349" s="2" t="s">
        <v>379</v>
      </c>
      <c r="M349" s="2" t="s">
        <v>31</v>
      </c>
      <c r="N349" s="2" t="s">
        <v>490</v>
      </c>
      <c r="O349" s="2" t="s">
        <v>173</v>
      </c>
      <c r="P349" s="2" t="s">
        <v>2061</v>
      </c>
      <c r="Q349" s="2" t="s">
        <v>464</v>
      </c>
      <c r="R349" s="2" t="s">
        <v>456</v>
      </c>
      <c r="S349" s="2" t="s">
        <v>34</v>
      </c>
      <c r="T349" s="156">
        <v>1.65</v>
      </c>
      <c r="U349" s="2" t="s">
        <v>141</v>
      </c>
      <c r="V349" s="170">
        <v>3.5400000000000001E-2</v>
      </c>
      <c r="W349" s="172">
        <v>3.3700000000000001E-2</v>
      </c>
      <c r="X349" s="4" t="s">
        <v>461</v>
      </c>
      <c r="Y349" s="4" t="s">
        <v>173</v>
      </c>
      <c r="Z349" s="156">
        <v>1240000</v>
      </c>
      <c r="AA349" s="166">
        <v>1</v>
      </c>
      <c r="AB349" s="183">
        <v>107.7</v>
      </c>
      <c r="AD349" s="156">
        <v>1335.48</v>
      </c>
      <c r="AG349" s="2" t="s">
        <v>36</v>
      </c>
      <c r="AH349" s="172">
        <v>0</v>
      </c>
      <c r="AI349" s="172">
        <v>4.9003989947419497E-3</v>
      </c>
      <c r="AJ349" s="172">
        <v>7.3238872304596495E-4</v>
      </c>
    </row>
    <row r="350" spans="1:36">
      <c r="A350" s="2">
        <v>161</v>
      </c>
      <c r="B350" s="2">
        <v>9943</v>
      </c>
      <c r="C350" s="2" t="s">
        <v>2250</v>
      </c>
      <c r="D350" s="2" t="s">
        <v>2251</v>
      </c>
      <c r="E350" s="4" t="s">
        <v>1363</v>
      </c>
      <c r="F350" s="2" t="s">
        <v>2258</v>
      </c>
      <c r="G350" s="2" t="s">
        <v>2259</v>
      </c>
      <c r="H350" s="2" t="s">
        <v>223</v>
      </c>
      <c r="I350" s="2" t="s">
        <v>804</v>
      </c>
      <c r="J350" s="2" t="s">
        <v>30</v>
      </c>
      <c r="K350" s="2" t="s">
        <v>30</v>
      </c>
      <c r="L350" s="2" t="s">
        <v>377</v>
      </c>
      <c r="M350" s="2" t="s">
        <v>31</v>
      </c>
      <c r="N350" s="2" t="s">
        <v>490</v>
      </c>
      <c r="O350" s="2" t="s">
        <v>173</v>
      </c>
      <c r="P350" s="2" t="s">
        <v>2061</v>
      </c>
      <c r="Q350" s="2" t="s">
        <v>464</v>
      </c>
      <c r="R350" s="2" t="s">
        <v>456</v>
      </c>
      <c r="S350" s="2" t="s">
        <v>34</v>
      </c>
      <c r="T350" s="156">
        <v>0.66200000000000003</v>
      </c>
      <c r="U350" s="2" t="s">
        <v>2260</v>
      </c>
      <c r="V350" s="170">
        <v>0.01</v>
      </c>
      <c r="W350" s="172">
        <v>2.707E-2</v>
      </c>
      <c r="X350" s="4" t="s">
        <v>461</v>
      </c>
      <c r="Y350" s="4" t="s">
        <v>173</v>
      </c>
      <c r="Z350" s="156">
        <v>433546</v>
      </c>
      <c r="AA350" s="166">
        <v>1</v>
      </c>
      <c r="AB350" s="183">
        <v>113.12</v>
      </c>
      <c r="AD350" s="156">
        <v>490.42700000000002</v>
      </c>
      <c r="AG350" s="2" t="s">
        <v>36</v>
      </c>
      <c r="AH350" s="172">
        <v>1.4239999999999999E-3</v>
      </c>
      <c r="AI350" s="172">
        <v>1.7995695408154001E-3</v>
      </c>
      <c r="AJ350" s="172">
        <v>2.6895451563115199E-4</v>
      </c>
    </row>
    <row r="351" spans="1:36">
      <c r="A351" s="2">
        <v>161</v>
      </c>
      <c r="B351" s="2">
        <v>9943</v>
      </c>
      <c r="C351" s="2" t="s">
        <v>1692</v>
      </c>
      <c r="D351" s="2" t="s">
        <v>1693</v>
      </c>
      <c r="E351" s="4" t="s">
        <v>1363</v>
      </c>
      <c r="F351" s="2" t="s">
        <v>2471</v>
      </c>
      <c r="G351" s="2" t="s">
        <v>2472</v>
      </c>
      <c r="H351" s="2" t="s">
        <v>223</v>
      </c>
      <c r="I351" s="2" t="s">
        <v>804</v>
      </c>
      <c r="J351" s="2" t="s">
        <v>30</v>
      </c>
      <c r="K351" s="2" t="s">
        <v>30</v>
      </c>
      <c r="L351" s="2" t="s">
        <v>377</v>
      </c>
      <c r="M351" s="2" t="s">
        <v>31</v>
      </c>
      <c r="N351" s="2" t="s">
        <v>511</v>
      </c>
      <c r="O351" s="2" t="s">
        <v>173</v>
      </c>
      <c r="P351" s="2" t="s">
        <v>2052</v>
      </c>
      <c r="Q351" s="2" t="s">
        <v>462</v>
      </c>
      <c r="R351" s="2" t="s">
        <v>456</v>
      </c>
      <c r="S351" s="2" t="s">
        <v>34</v>
      </c>
      <c r="T351" s="156">
        <v>3.548</v>
      </c>
      <c r="U351" s="2" t="s">
        <v>2417</v>
      </c>
      <c r="V351" s="170">
        <v>6.4999999999999997E-3</v>
      </c>
      <c r="W351" s="172">
        <v>2.6179999999999998E-2</v>
      </c>
      <c r="X351" s="4" t="s">
        <v>461</v>
      </c>
      <c r="Y351" s="4" t="s">
        <v>173</v>
      </c>
      <c r="Z351" s="156">
        <v>968085.06</v>
      </c>
      <c r="AA351" s="166">
        <v>1</v>
      </c>
      <c r="AB351" s="183">
        <v>107.63</v>
      </c>
      <c r="AD351" s="156">
        <v>1041.95</v>
      </c>
      <c r="AG351" s="2" t="s">
        <v>36</v>
      </c>
      <c r="AH351" s="172">
        <v>1.9650000000000002E-3</v>
      </c>
      <c r="AI351" s="172">
        <v>3.8233223170198402E-3</v>
      </c>
      <c r="AJ351" s="172">
        <v>5.7141431800957897E-4</v>
      </c>
    </row>
    <row r="352" spans="1:36">
      <c r="A352" s="2">
        <v>161</v>
      </c>
      <c r="B352" s="2">
        <v>9943</v>
      </c>
      <c r="C352" s="2" t="s">
        <v>1692</v>
      </c>
      <c r="D352" s="2" t="s">
        <v>1693</v>
      </c>
      <c r="E352" s="4" t="s">
        <v>1363</v>
      </c>
      <c r="F352" s="2" t="s">
        <v>2261</v>
      </c>
      <c r="G352" s="2" t="s">
        <v>2262</v>
      </c>
      <c r="H352" s="2" t="s">
        <v>223</v>
      </c>
      <c r="I352" s="2" t="s">
        <v>804</v>
      </c>
      <c r="J352" s="2" t="s">
        <v>30</v>
      </c>
      <c r="K352" s="2" t="s">
        <v>30</v>
      </c>
      <c r="L352" s="2" t="s">
        <v>377</v>
      </c>
      <c r="M352" s="2" t="s">
        <v>31</v>
      </c>
      <c r="N352" s="2" t="s">
        <v>511</v>
      </c>
      <c r="O352" s="2" t="s">
        <v>173</v>
      </c>
      <c r="P352" s="2" t="s">
        <v>2052</v>
      </c>
      <c r="Q352" s="2" t="s">
        <v>462</v>
      </c>
      <c r="R352" s="2" t="s">
        <v>456</v>
      </c>
      <c r="S352" s="2" t="s">
        <v>34</v>
      </c>
      <c r="T352" s="156">
        <v>4.3440000000000003</v>
      </c>
      <c r="U352" s="2" t="s">
        <v>2263</v>
      </c>
      <c r="V352" s="170">
        <v>1.43E-2</v>
      </c>
      <c r="W352" s="172">
        <v>2.938E-2</v>
      </c>
      <c r="X352" s="4" t="s">
        <v>461</v>
      </c>
      <c r="Y352" s="4" t="s">
        <v>173</v>
      </c>
      <c r="Z352" s="156">
        <v>548111</v>
      </c>
      <c r="AA352" s="166">
        <v>1</v>
      </c>
      <c r="AB352" s="183">
        <v>108.57</v>
      </c>
      <c r="AD352" s="156">
        <v>595.08399999999995</v>
      </c>
      <c r="AG352" s="2" t="s">
        <v>36</v>
      </c>
      <c r="AH352" s="172">
        <v>4.8799999999999999E-4</v>
      </c>
      <c r="AI352" s="172">
        <v>2.18359660022014E-3</v>
      </c>
      <c r="AJ352" s="172">
        <v>3.2634924776506902E-4</v>
      </c>
    </row>
    <row r="353" spans="1:36">
      <c r="A353" s="2">
        <v>161</v>
      </c>
      <c r="B353" s="2">
        <v>9943</v>
      </c>
      <c r="C353" s="2" t="s">
        <v>1692</v>
      </c>
      <c r="D353" s="2" t="s">
        <v>1693</v>
      </c>
      <c r="E353" s="4" t="s">
        <v>1363</v>
      </c>
      <c r="F353" s="2" t="s">
        <v>2264</v>
      </c>
      <c r="G353" s="2" t="s">
        <v>2265</v>
      </c>
      <c r="H353" s="2" t="s">
        <v>223</v>
      </c>
      <c r="I353" s="2" t="s">
        <v>804</v>
      </c>
      <c r="J353" s="2" t="s">
        <v>30</v>
      </c>
      <c r="K353" s="2" t="s">
        <v>30</v>
      </c>
      <c r="L353" s="2" t="s">
        <v>377</v>
      </c>
      <c r="M353" s="2" t="s">
        <v>31</v>
      </c>
      <c r="N353" s="2" t="s">
        <v>511</v>
      </c>
      <c r="O353" s="2" t="s">
        <v>173</v>
      </c>
      <c r="P353" s="2" t="s">
        <v>2052</v>
      </c>
      <c r="Q353" s="2" t="s">
        <v>462</v>
      </c>
      <c r="R353" s="2" t="s">
        <v>456</v>
      </c>
      <c r="S353" s="2" t="s">
        <v>34</v>
      </c>
      <c r="T353" s="156">
        <v>0.76200000000000001</v>
      </c>
      <c r="U353" s="2" t="s">
        <v>2266</v>
      </c>
      <c r="V353" s="170">
        <v>1.7600000000000001E-2</v>
      </c>
      <c r="W353" s="172">
        <v>2.5239999999999999E-2</v>
      </c>
      <c r="X353" s="4" t="s">
        <v>461</v>
      </c>
      <c r="Y353" s="4" t="s">
        <v>173</v>
      </c>
      <c r="Z353" s="156">
        <v>1869549.66</v>
      </c>
      <c r="AA353" s="166">
        <v>1</v>
      </c>
      <c r="AB353" s="183">
        <v>117</v>
      </c>
      <c r="AD353" s="156">
        <v>2187.373</v>
      </c>
      <c r="AG353" s="2" t="s">
        <v>36</v>
      </c>
      <c r="AH353" s="172">
        <v>2.431E-3</v>
      </c>
      <c r="AI353" s="172">
        <v>8.0263283247569896E-3</v>
      </c>
      <c r="AJ353" s="172">
        <v>1.19957423034815E-3</v>
      </c>
    </row>
    <row r="354" spans="1:36">
      <c r="A354" s="2">
        <v>161</v>
      </c>
      <c r="B354" s="2">
        <v>9943</v>
      </c>
      <c r="C354" s="2" t="s">
        <v>1692</v>
      </c>
      <c r="D354" s="2" t="s">
        <v>1693</v>
      </c>
      <c r="E354" s="4" t="s">
        <v>1363</v>
      </c>
      <c r="F354" s="2" t="s">
        <v>2267</v>
      </c>
      <c r="G354" s="2" t="s">
        <v>2268</v>
      </c>
      <c r="H354" s="2" t="s">
        <v>223</v>
      </c>
      <c r="I354" s="2" t="s">
        <v>804</v>
      </c>
      <c r="J354" s="2" t="s">
        <v>30</v>
      </c>
      <c r="K354" s="2" t="s">
        <v>30</v>
      </c>
      <c r="L354" s="2" t="s">
        <v>377</v>
      </c>
      <c r="M354" s="2" t="s">
        <v>31</v>
      </c>
      <c r="N354" s="2" t="s">
        <v>511</v>
      </c>
      <c r="O354" s="2" t="s">
        <v>173</v>
      </c>
      <c r="P354" s="2" t="s">
        <v>2052</v>
      </c>
      <c r="Q354" s="2" t="s">
        <v>462</v>
      </c>
      <c r="R354" s="2" t="s">
        <v>456</v>
      </c>
      <c r="S354" s="2" t="s">
        <v>34</v>
      </c>
      <c r="T354" s="156">
        <v>1.5029999999999999</v>
      </c>
      <c r="U354" s="2" t="s">
        <v>2269</v>
      </c>
      <c r="V354" s="170">
        <v>2.1499999999999998E-2</v>
      </c>
      <c r="W354" s="172">
        <v>2.529E-2</v>
      </c>
      <c r="X354" s="4" t="s">
        <v>461</v>
      </c>
      <c r="Y354" s="4" t="s">
        <v>173</v>
      </c>
      <c r="Z354" s="156">
        <v>1609596</v>
      </c>
      <c r="AA354" s="166">
        <v>1</v>
      </c>
      <c r="AB354" s="183">
        <v>117.88</v>
      </c>
      <c r="AD354" s="156">
        <v>1897.3920000000001</v>
      </c>
      <c r="AG354" s="2" t="s">
        <v>36</v>
      </c>
      <c r="AH354" s="172">
        <v>1.3489999999999999E-3</v>
      </c>
      <c r="AI354" s="172">
        <v>6.9622732626902504E-3</v>
      </c>
      <c r="AJ354" s="172">
        <v>1.04054596979348E-3</v>
      </c>
    </row>
    <row r="355" spans="1:36">
      <c r="A355" s="2">
        <v>161</v>
      </c>
      <c r="B355" s="2">
        <v>9943</v>
      </c>
      <c r="C355" s="2" t="s">
        <v>1692</v>
      </c>
      <c r="D355" s="2" t="s">
        <v>1693</v>
      </c>
      <c r="E355" s="4" t="s">
        <v>1363</v>
      </c>
      <c r="F355" s="2" t="s">
        <v>2273</v>
      </c>
      <c r="G355" s="2" t="s">
        <v>2274</v>
      </c>
      <c r="H355" s="2" t="s">
        <v>223</v>
      </c>
      <c r="I355" s="2" t="s">
        <v>804</v>
      </c>
      <c r="J355" s="2" t="s">
        <v>30</v>
      </c>
      <c r="K355" s="2" t="s">
        <v>30</v>
      </c>
      <c r="L355" s="2" t="s">
        <v>377</v>
      </c>
      <c r="M355" s="2" t="s">
        <v>31</v>
      </c>
      <c r="N355" s="2" t="s">
        <v>511</v>
      </c>
      <c r="O355" s="2" t="s">
        <v>173</v>
      </c>
      <c r="P355" s="2" t="s">
        <v>2052</v>
      </c>
      <c r="Q355" s="2" t="s">
        <v>462</v>
      </c>
      <c r="R355" s="2" t="s">
        <v>456</v>
      </c>
      <c r="S355" s="2" t="s">
        <v>34</v>
      </c>
      <c r="T355" s="156">
        <v>5.298</v>
      </c>
      <c r="U355" s="2" t="s">
        <v>2240</v>
      </c>
      <c r="V355" s="170">
        <v>2.5000000000000001E-3</v>
      </c>
      <c r="W355" s="172">
        <v>3.0300000000000001E-2</v>
      </c>
      <c r="X355" s="4" t="s">
        <v>461</v>
      </c>
      <c r="Y355" s="4" t="s">
        <v>173</v>
      </c>
      <c r="Z355" s="156">
        <v>491063</v>
      </c>
      <c r="AA355" s="166">
        <v>1</v>
      </c>
      <c r="AB355" s="183">
        <v>97.92</v>
      </c>
      <c r="AD355" s="156">
        <v>480.84899999999999</v>
      </c>
      <c r="AG355" s="2" t="s">
        <v>36</v>
      </c>
      <c r="AH355" s="172">
        <v>3.9599999999999998E-4</v>
      </c>
      <c r="AI355" s="172">
        <v>1.7644228406405399E-3</v>
      </c>
      <c r="AJ355" s="172">
        <v>2.63701668487895E-4</v>
      </c>
    </row>
    <row r="356" spans="1:36">
      <c r="A356" s="2">
        <v>161</v>
      </c>
      <c r="B356" s="2">
        <v>9943</v>
      </c>
      <c r="C356" s="2" t="s">
        <v>1890</v>
      </c>
      <c r="D356" s="2" t="s">
        <v>1891</v>
      </c>
      <c r="E356" s="4" t="s">
        <v>1363</v>
      </c>
      <c r="F356" s="2" t="s">
        <v>2473</v>
      </c>
      <c r="G356" s="2" t="s">
        <v>2474</v>
      </c>
      <c r="H356" s="2" t="s">
        <v>223</v>
      </c>
      <c r="I356" s="2" t="s">
        <v>1013</v>
      </c>
      <c r="J356" s="2" t="s">
        <v>30</v>
      </c>
      <c r="K356" s="2" t="s">
        <v>30</v>
      </c>
      <c r="L356" s="2" t="s">
        <v>377</v>
      </c>
      <c r="M356" s="2" t="s">
        <v>31</v>
      </c>
      <c r="N356" s="2" t="s">
        <v>492</v>
      </c>
      <c r="O356" s="2" t="s">
        <v>173</v>
      </c>
      <c r="P356" s="2" t="s">
        <v>2052</v>
      </c>
      <c r="Q356" s="2" t="s">
        <v>464</v>
      </c>
      <c r="R356" s="2" t="s">
        <v>456</v>
      </c>
      <c r="S356" s="2" t="s">
        <v>34</v>
      </c>
      <c r="T356" s="156">
        <v>1.2</v>
      </c>
      <c r="U356" s="2" t="s">
        <v>2454</v>
      </c>
      <c r="V356" s="170">
        <v>2.9399999999999999E-2</v>
      </c>
      <c r="W356" s="172">
        <v>5.3879999999999997E-2</v>
      </c>
      <c r="X356" s="4" t="s">
        <v>461</v>
      </c>
      <c r="Y356" s="4" t="s">
        <v>173</v>
      </c>
      <c r="Z356" s="156">
        <v>254595.58</v>
      </c>
      <c r="AA356" s="166">
        <v>1</v>
      </c>
      <c r="AB356" s="183">
        <v>96.58</v>
      </c>
      <c r="AD356" s="156">
        <v>245.88800000000001</v>
      </c>
      <c r="AG356" s="2" t="s">
        <v>36</v>
      </c>
      <c r="AH356" s="172">
        <v>1.5870000000000001E-3</v>
      </c>
      <c r="AI356" s="172">
        <v>9.0226085219303998E-4</v>
      </c>
      <c r="AJ356" s="172">
        <v>1.3484732041228799E-4</v>
      </c>
    </row>
    <row r="357" spans="1:36">
      <c r="A357" s="2">
        <v>161</v>
      </c>
      <c r="B357" s="2">
        <v>9943</v>
      </c>
      <c r="C357" s="2" t="s">
        <v>2280</v>
      </c>
      <c r="D357" s="2" t="s">
        <v>2281</v>
      </c>
      <c r="E357" s="4" t="s">
        <v>1363</v>
      </c>
      <c r="F357" s="2" t="s">
        <v>2282</v>
      </c>
      <c r="G357" s="2" t="s">
        <v>2283</v>
      </c>
      <c r="H357" s="2" t="s">
        <v>223</v>
      </c>
      <c r="I357" s="2" t="s">
        <v>804</v>
      </c>
      <c r="J357" s="2" t="s">
        <v>30</v>
      </c>
      <c r="K357" s="2" t="s">
        <v>30</v>
      </c>
      <c r="L357" s="2" t="s">
        <v>377</v>
      </c>
      <c r="M357" s="2" t="s">
        <v>31</v>
      </c>
      <c r="N357" s="2" t="s">
        <v>494</v>
      </c>
      <c r="O357" s="2" t="s">
        <v>173</v>
      </c>
      <c r="P357" s="2" t="s">
        <v>146</v>
      </c>
      <c r="Q357" s="2" t="s">
        <v>464</v>
      </c>
      <c r="R357" s="2" t="s">
        <v>456</v>
      </c>
      <c r="S357" s="2" t="s">
        <v>34</v>
      </c>
      <c r="T357" s="156">
        <v>3.5590000000000002</v>
      </c>
      <c r="U357" s="2" t="s">
        <v>2284</v>
      </c>
      <c r="V357" s="170">
        <v>2.07E-2</v>
      </c>
      <c r="W357" s="172">
        <v>4.965E-2</v>
      </c>
      <c r="X357" s="4" t="s">
        <v>461</v>
      </c>
      <c r="Y357" s="4" t="s">
        <v>173</v>
      </c>
      <c r="Z357" s="156">
        <v>0.1</v>
      </c>
      <c r="AA357" s="166">
        <v>1</v>
      </c>
      <c r="AB357" s="183">
        <v>101.96</v>
      </c>
      <c r="AD357" s="156">
        <v>0</v>
      </c>
      <c r="AG357" s="2" t="s">
        <v>36</v>
      </c>
      <c r="AH357" s="172">
        <v>0</v>
      </c>
      <c r="AI357" s="172">
        <v>3.7413115996038102E-10</v>
      </c>
      <c r="AJ357" s="172">
        <v>5.5915741307819293E-11</v>
      </c>
    </row>
    <row r="358" spans="1:36">
      <c r="A358" s="2">
        <v>161</v>
      </c>
      <c r="B358" s="2">
        <v>9943</v>
      </c>
      <c r="C358" s="2" t="s">
        <v>1911</v>
      </c>
      <c r="D358" s="2" t="s">
        <v>1912</v>
      </c>
      <c r="E358" s="4" t="s">
        <v>1363</v>
      </c>
      <c r="F358" s="2" t="s">
        <v>2390</v>
      </c>
      <c r="G358" s="2" t="s">
        <v>2391</v>
      </c>
      <c r="H358" s="2" t="s">
        <v>223</v>
      </c>
      <c r="I358" s="2" t="s">
        <v>804</v>
      </c>
      <c r="J358" s="2" t="s">
        <v>30</v>
      </c>
      <c r="K358" s="2" t="s">
        <v>30</v>
      </c>
      <c r="L358" s="2" t="s">
        <v>377</v>
      </c>
      <c r="M358" s="2" t="s">
        <v>31</v>
      </c>
      <c r="N358" s="2" t="s">
        <v>511</v>
      </c>
      <c r="O358" s="2" t="s">
        <v>173</v>
      </c>
      <c r="P358" s="2" t="s">
        <v>1374</v>
      </c>
      <c r="Q358" s="2" t="s">
        <v>464</v>
      </c>
      <c r="R358" s="2" t="s">
        <v>456</v>
      </c>
      <c r="S358" s="2" t="s">
        <v>34</v>
      </c>
      <c r="T358" s="156">
        <v>0.28499999999999998</v>
      </c>
      <c r="U358" s="2" t="s">
        <v>2392</v>
      </c>
      <c r="V358" s="170">
        <v>2.75E-2</v>
      </c>
      <c r="W358" s="172">
        <v>4.6550000000000001E-2</v>
      </c>
      <c r="X358" s="4" t="s">
        <v>461</v>
      </c>
      <c r="Y358" s="4" t="s">
        <v>173</v>
      </c>
      <c r="Z358" s="156">
        <v>197882</v>
      </c>
      <c r="AA358" s="166">
        <v>1</v>
      </c>
      <c r="AB358" s="183">
        <v>116.74</v>
      </c>
      <c r="AD358" s="156">
        <v>231.00700000000001</v>
      </c>
      <c r="AG358" s="2" t="s">
        <v>36</v>
      </c>
      <c r="AH358" s="172">
        <v>1.431E-3</v>
      </c>
      <c r="AI358" s="172">
        <v>8.4765676766153397E-4</v>
      </c>
      <c r="AJ358" s="172">
        <v>1.26686471512835E-4</v>
      </c>
    </row>
    <row r="359" spans="1:36">
      <c r="A359" s="2">
        <v>161</v>
      </c>
      <c r="B359" s="2">
        <v>9943</v>
      </c>
      <c r="C359" s="2" t="s">
        <v>1711</v>
      </c>
      <c r="D359" s="2" t="s">
        <v>1712</v>
      </c>
      <c r="E359" s="4" t="s">
        <v>1363</v>
      </c>
      <c r="F359" s="2" t="s">
        <v>2294</v>
      </c>
      <c r="G359" s="2" t="s">
        <v>2295</v>
      </c>
      <c r="H359" s="2" t="s">
        <v>223</v>
      </c>
      <c r="I359" s="2" t="s">
        <v>804</v>
      </c>
      <c r="J359" s="2" t="s">
        <v>30</v>
      </c>
      <c r="K359" s="2" t="s">
        <v>30</v>
      </c>
      <c r="L359" s="2" t="s">
        <v>377</v>
      </c>
      <c r="M359" s="2" t="s">
        <v>31</v>
      </c>
      <c r="N359" s="2" t="s">
        <v>511</v>
      </c>
      <c r="O359" s="2" t="s">
        <v>173</v>
      </c>
      <c r="P359" s="2" t="s">
        <v>93</v>
      </c>
      <c r="Q359" s="2" t="s">
        <v>464</v>
      </c>
      <c r="R359" s="2" t="s">
        <v>456</v>
      </c>
      <c r="S359" s="2" t="s">
        <v>34</v>
      </c>
      <c r="T359" s="156">
        <v>2.6890000000000001</v>
      </c>
      <c r="U359" s="2" t="s">
        <v>2296</v>
      </c>
      <c r="V359" s="170">
        <v>1.34E-2</v>
      </c>
      <c r="W359" s="172">
        <v>2.819E-2</v>
      </c>
      <c r="X359" s="4" t="s">
        <v>461</v>
      </c>
      <c r="Y359" s="4" t="s">
        <v>173</v>
      </c>
      <c r="Z359" s="156">
        <v>869252.32</v>
      </c>
      <c r="AA359" s="166">
        <v>1</v>
      </c>
      <c r="AB359" s="183">
        <v>112.38</v>
      </c>
      <c r="AD359" s="156">
        <v>976.86599999999999</v>
      </c>
      <c r="AG359" s="2" t="s">
        <v>36</v>
      </c>
      <c r="AH359" s="172">
        <v>3.28E-4</v>
      </c>
      <c r="AI359" s="172">
        <v>3.5845029312749901E-3</v>
      </c>
      <c r="AJ359" s="172">
        <v>5.3572158663158995E-4</v>
      </c>
    </row>
    <row r="360" spans="1:36">
      <c r="A360" s="2">
        <v>161</v>
      </c>
      <c r="B360" s="2">
        <v>9943</v>
      </c>
      <c r="C360" s="2" t="s">
        <v>1711</v>
      </c>
      <c r="D360" s="2" t="s">
        <v>1712</v>
      </c>
      <c r="E360" s="4" t="s">
        <v>1363</v>
      </c>
      <c r="F360" s="2" t="s">
        <v>2297</v>
      </c>
      <c r="G360" s="2" t="s">
        <v>2298</v>
      </c>
      <c r="H360" s="2" t="s">
        <v>223</v>
      </c>
      <c r="I360" s="2" t="s">
        <v>804</v>
      </c>
      <c r="J360" s="2" t="s">
        <v>30</v>
      </c>
      <c r="K360" s="2" t="s">
        <v>30</v>
      </c>
      <c r="L360" s="2" t="s">
        <v>377</v>
      </c>
      <c r="M360" s="2" t="s">
        <v>31</v>
      </c>
      <c r="N360" s="2" t="s">
        <v>511</v>
      </c>
      <c r="O360" s="2" t="s">
        <v>173</v>
      </c>
      <c r="P360" s="2" t="s">
        <v>93</v>
      </c>
      <c r="Q360" s="2" t="s">
        <v>464</v>
      </c>
      <c r="R360" s="2" t="s">
        <v>456</v>
      </c>
      <c r="S360" s="2" t="s">
        <v>34</v>
      </c>
      <c r="T360" s="156">
        <v>2.456</v>
      </c>
      <c r="U360" s="2" t="s">
        <v>2130</v>
      </c>
      <c r="V360" s="170">
        <v>1.77E-2</v>
      </c>
      <c r="W360" s="172">
        <v>2.7099999999999999E-2</v>
      </c>
      <c r="X360" s="4" t="s">
        <v>461</v>
      </c>
      <c r="Y360" s="4" t="s">
        <v>173</v>
      </c>
      <c r="Z360" s="156">
        <v>747413</v>
      </c>
      <c r="AA360" s="166">
        <v>1</v>
      </c>
      <c r="AB360" s="183">
        <v>113.19</v>
      </c>
      <c r="AD360" s="156">
        <v>845.99699999999996</v>
      </c>
      <c r="AG360" s="2" t="s">
        <v>36</v>
      </c>
      <c r="AH360" s="172">
        <v>2.8800000000000001E-4</v>
      </c>
      <c r="AI360" s="172">
        <v>3.10429339585378E-3</v>
      </c>
      <c r="AJ360" s="172">
        <v>4.6395191056664101E-4</v>
      </c>
    </row>
    <row r="361" spans="1:36">
      <c r="A361" s="2">
        <v>161</v>
      </c>
      <c r="B361" s="2">
        <v>9943</v>
      </c>
      <c r="C361" s="2" t="s">
        <v>1711</v>
      </c>
      <c r="D361" s="2" t="s">
        <v>1712</v>
      </c>
      <c r="E361" s="4" t="s">
        <v>1363</v>
      </c>
      <c r="F361" s="2" t="s">
        <v>2299</v>
      </c>
      <c r="G361" s="2" t="s">
        <v>2300</v>
      </c>
      <c r="H361" s="2" t="s">
        <v>223</v>
      </c>
      <c r="I361" s="2" t="s">
        <v>804</v>
      </c>
      <c r="J361" s="2" t="s">
        <v>30</v>
      </c>
      <c r="K361" s="2" t="s">
        <v>30</v>
      </c>
      <c r="L361" s="2" t="s">
        <v>377</v>
      </c>
      <c r="M361" s="2" t="s">
        <v>31</v>
      </c>
      <c r="N361" s="2" t="s">
        <v>511</v>
      </c>
      <c r="O361" s="2" t="s">
        <v>173</v>
      </c>
      <c r="P361" s="2" t="s">
        <v>93</v>
      </c>
      <c r="Q361" s="2" t="s">
        <v>462</v>
      </c>
      <c r="R361" s="2" t="s">
        <v>456</v>
      </c>
      <c r="S361" s="2" t="s">
        <v>34</v>
      </c>
      <c r="T361" s="156">
        <v>6.7329999999999997</v>
      </c>
      <c r="U361" s="2" t="s">
        <v>2301</v>
      </c>
      <c r="V361" s="170">
        <v>8.9999999999999993E-3</v>
      </c>
      <c r="W361" s="172">
        <v>3.3419999999999998E-2</v>
      </c>
      <c r="X361" s="4" t="s">
        <v>461</v>
      </c>
      <c r="Y361" s="4" t="s">
        <v>173</v>
      </c>
      <c r="Z361" s="156">
        <v>1567213</v>
      </c>
      <c r="AA361" s="166">
        <v>1</v>
      </c>
      <c r="AB361" s="183">
        <v>96.33</v>
      </c>
      <c r="AD361" s="156">
        <v>1509.6959999999999</v>
      </c>
      <c r="AG361" s="2" t="s">
        <v>36</v>
      </c>
      <c r="AH361" s="172">
        <v>5.6999999999999998E-4</v>
      </c>
      <c r="AI361" s="172">
        <v>5.5396667468541796E-3</v>
      </c>
      <c r="AJ361" s="172">
        <v>8.2793043162036905E-4</v>
      </c>
    </row>
    <row r="362" spans="1:36">
      <c r="A362" s="2">
        <v>161</v>
      </c>
      <c r="B362" s="2">
        <v>9943</v>
      </c>
      <c r="C362" s="2" t="s">
        <v>1711</v>
      </c>
      <c r="D362" s="2" t="s">
        <v>1712</v>
      </c>
      <c r="E362" s="4" t="s">
        <v>1363</v>
      </c>
      <c r="F362" s="2" t="s">
        <v>2302</v>
      </c>
      <c r="G362" s="2" t="s">
        <v>2303</v>
      </c>
      <c r="H362" s="2" t="s">
        <v>223</v>
      </c>
      <c r="I362" s="2" t="s">
        <v>804</v>
      </c>
      <c r="J362" s="2" t="s">
        <v>30</v>
      </c>
      <c r="K362" s="2" t="s">
        <v>30</v>
      </c>
      <c r="L362" s="2" t="s">
        <v>377</v>
      </c>
      <c r="M362" s="2" t="s">
        <v>31</v>
      </c>
      <c r="N362" s="2" t="s">
        <v>511</v>
      </c>
      <c r="O362" s="2" t="s">
        <v>173</v>
      </c>
      <c r="P362" s="2" t="s">
        <v>93</v>
      </c>
      <c r="Q362" s="2" t="s">
        <v>462</v>
      </c>
      <c r="R362" s="2" t="s">
        <v>456</v>
      </c>
      <c r="S362" s="2" t="s">
        <v>34</v>
      </c>
      <c r="T362" s="156">
        <v>0.45800000000000002</v>
      </c>
      <c r="U362" s="2" t="s">
        <v>2304</v>
      </c>
      <c r="V362" s="170">
        <v>6.4999999999999997E-3</v>
      </c>
      <c r="W362" s="172">
        <v>2.793E-2</v>
      </c>
      <c r="X362" s="4" t="s">
        <v>461</v>
      </c>
      <c r="Y362" s="4" t="s">
        <v>173</v>
      </c>
      <c r="Z362" s="156">
        <v>258433</v>
      </c>
      <c r="AA362" s="166">
        <v>1</v>
      </c>
      <c r="AB362" s="183">
        <v>114.12</v>
      </c>
      <c r="AC362" s="156">
        <v>0.96899999999999997</v>
      </c>
      <c r="AD362" s="156">
        <v>295.892</v>
      </c>
      <c r="AG362" s="2" t="s">
        <v>36</v>
      </c>
      <c r="AH362" s="172">
        <v>4.73E-4</v>
      </c>
      <c r="AI362" s="172">
        <v>1.0857448801417299E-3</v>
      </c>
      <c r="AJ362" s="172">
        <v>1.6226991050604601E-4</v>
      </c>
    </row>
    <row r="363" spans="1:36">
      <c r="A363" s="2">
        <v>161</v>
      </c>
      <c r="B363" s="2">
        <v>9943</v>
      </c>
      <c r="C363" s="2" t="s">
        <v>1620</v>
      </c>
      <c r="D363" s="2" t="s">
        <v>1621</v>
      </c>
      <c r="E363" s="4" t="s">
        <v>1363</v>
      </c>
      <c r="F363" s="2" t="s">
        <v>2308</v>
      </c>
      <c r="G363" s="2" t="s">
        <v>2309</v>
      </c>
      <c r="H363" s="2" t="s">
        <v>223</v>
      </c>
      <c r="I363" s="2" t="s">
        <v>804</v>
      </c>
      <c r="J363" s="2" t="s">
        <v>30</v>
      </c>
      <c r="K363" s="2" t="s">
        <v>30</v>
      </c>
      <c r="L363" s="2" t="s">
        <v>377</v>
      </c>
      <c r="M363" s="2" t="s">
        <v>31</v>
      </c>
      <c r="N363" s="2" t="s">
        <v>495</v>
      </c>
      <c r="O363" s="2" t="s">
        <v>173</v>
      </c>
      <c r="P363" s="2" t="s">
        <v>1224</v>
      </c>
      <c r="Q363" s="2" t="s">
        <v>462</v>
      </c>
      <c r="R363" s="2" t="s">
        <v>456</v>
      </c>
      <c r="S363" s="2" t="s">
        <v>34</v>
      </c>
      <c r="T363" s="156">
        <v>3.5609999999999999</v>
      </c>
      <c r="U363" s="2" t="s">
        <v>2307</v>
      </c>
      <c r="V363" s="170">
        <v>1E-3</v>
      </c>
      <c r="W363" s="172">
        <v>2.3970000000000002E-2</v>
      </c>
      <c r="X363" s="4" t="s">
        <v>461</v>
      </c>
      <c r="Y363" s="4" t="s">
        <v>173</v>
      </c>
      <c r="Z363" s="156">
        <v>2970128.9</v>
      </c>
      <c r="AA363" s="166">
        <v>1</v>
      </c>
      <c r="AB363" s="183">
        <v>103.73</v>
      </c>
      <c r="AD363" s="156">
        <v>3080.915</v>
      </c>
      <c r="AG363" s="2" t="s">
        <v>36</v>
      </c>
      <c r="AH363" s="172">
        <v>2.6410000000000001E-3</v>
      </c>
      <c r="AI363" s="172">
        <v>1.13050823208299E-2</v>
      </c>
      <c r="AJ363" s="172">
        <v>1.6896001353698101E-3</v>
      </c>
    </row>
    <row r="364" spans="1:36">
      <c r="A364" s="2">
        <v>161</v>
      </c>
      <c r="B364" s="2">
        <v>9943</v>
      </c>
      <c r="C364" s="2" t="s">
        <v>1620</v>
      </c>
      <c r="D364" s="2" t="s">
        <v>1621</v>
      </c>
      <c r="E364" s="4" t="s">
        <v>1363</v>
      </c>
      <c r="F364" s="2" t="s">
        <v>2310</v>
      </c>
      <c r="G364" s="2" t="s">
        <v>2311</v>
      </c>
      <c r="H364" s="2" t="s">
        <v>223</v>
      </c>
      <c r="I364" s="2" t="s">
        <v>804</v>
      </c>
      <c r="J364" s="2" t="s">
        <v>30</v>
      </c>
      <c r="K364" s="2" t="s">
        <v>30</v>
      </c>
      <c r="L364" s="2" t="s">
        <v>377</v>
      </c>
      <c r="M364" s="2" t="s">
        <v>31</v>
      </c>
      <c r="N364" s="2" t="s">
        <v>495</v>
      </c>
      <c r="O364" s="2" t="s">
        <v>173</v>
      </c>
      <c r="P364" s="2" t="s">
        <v>1224</v>
      </c>
      <c r="Q364" s="2" t="s">
        <v>462</v>
      </c>
      <c r="R364" s="2" t="s">
        <v>456</v>
      </c>
      <c r="S364" s="2" t="s">
        <v>34</v>
      </c>
      <c r="T364" s="156">
        <v>3.9140000000000001</v>
      </c>
      <c r="U364" s="2" t="s">
        <v>2312</v>
      </c>
      <c r="V364" s="170">
        <v>1.3899999999999999E-2</v>
      </c>
      <c r="W364" s="172">
        <v>2.4809999999999999E-2</v>
      </c>
      <c r="X364" s="4" t="s">
        <v>461</v>
      </c>
      <c r="Y364" s="4" t="s">
        <v>173</v>
      </c>
      <c r="Z364" s="156">
        <v>3355666.4</v>
      </c>
      <c r="AA364" s="166">
        <v>1</v>
      </c>
      <c r="AB364" s="183">
        <v>103.84</v>
      </c>
      <c r="AD364" s="156">
        <v>3484.5239999999999</v>
      </c>
      <c r="AG364" s="2" t="s">
        <v>36</v>
      </c>
      <c r="AH364" s="172">
        <v>1.864E-3</v>
      </c>
      <c r="AI364" s="172">
        <v>1.2786082799124E-2</v>
      </c>
      <c r="AJ364" s="172">
        <v>1.9109429383318E-3</v>
      </c>
    </row>
    <row r="365" spans="1:36">
      <c r="A365" s="2">
        <v>161</v>
      </c>
      <c r="B365" s="2">
        <v>9943</v>
      </c>
      <c r="C365" s="2" t="s">
        <v>1620</v>
      </c>
      <c r="D365" s="2" t="s">
        <v>1621</v>
      </c>
      <c r="E365" s="4" t="s">
        <v>1363</v>
      </c>
      <c r="F365" s="2" t="s">
        <v>2313</v>
      </c>
      <c r="G365" s="2" t="s">
        <v>2314</v>
      </c>
      <c r="H365" s="2" t="s">
        <v>223</v>
      </c>
      <c r="I365" s="2" t="s">
        <v>804</v>
      </c>
      <c r="J365" s="2" t="s">
        <v>30</v>
      </c>
      <c r="K365" s="2" t="s">
        <v>30</v>
      </c>
      <c r="L365" s="2" t="s">
        <v>377</v>
      </c>
      <c r="M365" s="2" t="s">
        <v>31</v>
      </c>
      <c r="N365" s="2" t="s">
        <v>495</v>
      </c>
      <c r="O365" s="2" t="s">
        <v>173</v>
      </c>
      <c r="P365" s="2" t="s">
        <v>1224</v>
      </c>
      <c r="Q365" s="2" t="s">
        <v>462</v>
      </c>
      <c r="R365" s="2" t="s">
        <v>456</v>
      </c>
      <c r="S365" s="2" t="s">
        <v>34</v>
      </c>
      <c r="T365" s="156">
        <v>1.905</v>
      </c>
      <c r="U365" s="2" t="s">
        <v>2315</v>
      </c>
      <c r="V365" s="170">
        <v>6.0000000000000001E-3</v>
      </c>
      <c r="W365" s="172">
        <v>2.0719999999999999E-2</v>
      </c>
      <c r="X365" s="4" t="s">
        <v>461</v>
      </c>
      <c r="Y365" s="4" t="s">
        <v>173</v>
      </c>
      <c r="Z365" s="156">
        <v>413027</v>
      </c>
      <c r="AA365" s="166">
        <v>1</v>
      </c>
      <c r="AB365" s="183">
        <v>113.24</v>
      </c>
      <c r="AD365" s="156">
        <v>467.71199999999999</v>
      </c>
      <c r="AG365" s="2" t="s">
        <v>36</v>
      </c>
      <c r="AH365" s="172">
        <v>4.64E-4</v>
      </c>
      <c r="AI365" s="172">
        <v>1.71621762292127E-3</v>
      </c>
      <c r="AJ365" s="172">
        <v>2.5649716169417298E-4</v>
      </c>
    </row>
    <row r="366" spans="1:36">
      <c r="A366" s="2">
        <v>161</v>
      </c>
      <c r="B366" s="2">
        <v>9943</v>
      </c>
      <c r="C366" s="2" t="s">
        <v>1620</v>
      </c>
      <c r="D366" s="2" t="s">
        <v>1621</v>
      </c>
      <c r="E366" s="4" t="s">
        <v>1363</v>
      </c>
      <c r="F366" s="2" t="s">
        <v>2316</v>
      </c>
      <c r="G366" s="2" t="s">
        <v>2317</v>
      </c>
      <c r="H366" s="2" t="s">
        <v>223</v>
      </c>
      <c r="I366" s="2" t="s">
        <v>804</v>
      </c>
      <c r="J366" s="2" t="s">
        <v>30</v>
      </c>
      <c r="K366" s="2" t="s">
        <v>30</v>
      </c>
      <c r="L366" s="2" t="s">
        <v>377</v>
      </c>
      <c r="M366" s="2" t="s">
        <v>31</v>
      </c>
      <c r="N366" s="2" t="s">
        <v>495</v>
      </c>
      <c r="O366" s="2" t="s">
        <v>173</v>
      </c>
      <c r="P366" s="2" t="s">
        <v>1224</v>
      </c>
      <c r="Q366" s="2" t="s">
        <v>462</v>
      </c>
      <c r="R366" s="2" t="s">
        <v>456</v>
      </c>
      <c r="S366" s="2" t="s">
        <v>34</v>
      </c>
      <c r="T366" s="156">
        <v>2.786</v>
      </c>
      <c r="U366" s="2" t="s">
        <v>2318</v>
      </c>
      <c r="V366" s="170">
        <v>1.7500000000000002E-2</v>
      </c>
      <c r="W366" s="172">
        <v>2.3460000000000002E-2</v>
      </c>
      <c r="X366" s="4" t="s">
        <v>461</v>
      </c>
      <c r="Y366" s="4" t="s">
        <v>173</v>
      </c>
      <c r="Z366" s="156">
        <v>3482877.14</v>
      </c>
      <c r="AA366" s="166">
        <v>1</v>
      </c>
      <c r="AB366" s="183">
        <v>114.28</v>
      </c>
      <c r="AD366" s="156">
        <v>3980.232</v>
      </c>
      <c r="AG366" s="2" t="s">
        <v>36</v>
      </c>
      <c r="AH366" s="172">
        <v>1.3389999999999999E-3</v>
      </c>
      <c r="AI366" s="172">
        <v>1.46050295549456E-2</v>
      </c>
      <c r="AJ366" s="172">
        <v>2.18279347401557E-3</v>
      </c>
    </row>
    <row r="367" spans="1:36">
      <c r="A367" s="2">
        <v>161</v>
      </c>
      <c r="B367" s="2">
        <v>9943</v>
      </c>
      <c r="C367" s="2" t="s">
        <v>1719</v>
      </c>
      <c r="D367" s="2" t="s">
        <v>1720</v>
      </c>
      <c r="E367" s="4" t="s">
        <v>1363</v>
      </c>
      <c r="F367" s="2" t="s">
        <v>2319</v>
      </c>
      <c r="G367" s="2" t="s">
        <v>2320</v>
      </c>
      <c r="H367" s="2" t="s">
        <v>223</v>
      </c>
      <c r="I367" s="2" t="s">
        <v>1013</v>
      </c>
      <c r="J367" s="2" t="s">
        <v>30</v>
      </c>
      <c r="K367" s="2" t="s">
        <v>30</v>
      </c>
      <c r="L367" s="2" t="s">
        <v>377</v>
      </c>
      <c r="M367" s="2" t="s">
        <v>31</v>
      </c>
      <c r="N367" s="2" t="s">
        <v>524</v>
      </c>
      <c r="O367" s="2" t="s">
        <v>173</v>
      </c>
      <c r="P367" s="2" t="s">
        <v>1374</v>
      </c>
      <c r="Q367" s="2" t="s">
        <v>462</v>
      </c>
      <c r="R367" s="2" t="s">
        <v>456</v>
      </c>
      <c r="S367" s="2" t="s">
        <v>34</v>
      </c>
      <c r="T367" s="156">
        <v>1.327</v>
      </c>
      <c r="U367" s="2" t="s">
        <v>2321</v>
      </c>
      <c r="V367" s="170">
        <v>2.29E-2</v>
      </c>
      <c r="W367" s="172">
        <v>5.219E-2</v>
      </c>
      <c r="X367" s="4" t="s">
        <v>461</v>
      </c>
      <c r="Y367" s="4" t="s">
        <v>173</v>
      </c>
      <c r="Z367" s="156">
        <v>340965</v>
      </c>
      <c r="AA367" s="166">
        <v>1</v>
      </c>
      <c r="AB367" s="183">
        <v>97.05</v>
      </c>
      <c r="AD367" s="156">
        <v>330.90699999999998</v>
      </c>
      <c r="AG367" s="2" t="s">
        <v>36</v>
      </c>
      <c r="AH367" s="172">
        <v>8.2700000000000004E-4</v>
      </c>
      <c r="AI367" s="172">
        <v>1.2142256261543001E-3</v>
      </c>
      <c r="AJ367" s="172">
        <v>1.81471989685538E-4</v>
      </c>
    </row>
    <row r="368" spans="1:36">
      <c r="A368" s="2">
        <v>161</v>
      </c>
      <c r="B368" s="2">
        <v>9943</v>
      </c>
      <c r="C368" s="2" t="s">
        <v>2396</v>
      </c>
      <c r="D368" s="2" t="s">
        <v>2397</v>
      </c>
      <c r="E368" s="4" t="s">
        <v>1363</v>
      </c>
      <c r="F368" s="2" t="s">
        <v>2475</v>
      </c>
      <c r="G368" s="2" t="s">
        <v>2476</v>
      </c>
      <c r="H368" s="2" t="s">
        <v>223</v>
      </c>
      <c r="I368" s="2" t="s">
        <v>1013</v>
      </c>
      <c r="J368" s="2" t="s">
        <v>30</v>
      </c>
      <c r="K368" s="2" t="s">
        <v>30</v>
      </c>
      <c r="L368" s="2" t="s">
        <v>377</v>
      </c>
      <c r="M368" s="2" t="s">
        <v>31</v>
      </c>
      <c r="N368" s="2" t="s">
        <v>492</v>
      </c>
      <c r="O368" s="2" t="s">
        <v>173</v>
      </c>
      <c r="P368" s="2" t="s">
        <v>2052</v>
      </c>
      <c r="Q368" s="2" t="s">
        <v>462</v>
      </c>
      <c r="R368" s="2" t="s">
        <v>456</v>
      </c>
      <c r="S368" s="2" t="s">
        <v>34</v>
      </c>
      <c r="T368" s="156">
        <v>0.82099999999999995</v>
      </c>
      <c r="U368" s="2" t="s">
        <v>2445</v>
      </c>
      <c r="V368" s="170">
        <v>3.61E-2</v>
      </c>
      <c r="W368" s="172">
        <v>5.1929999999999997E-2</v>
      </c>
      <c r="X368" s="4" t="s">
        <v>461</v>
      </c>
      <c r="Y368" s="4" t="s">
        <v>173</v>
      </c>
      <c r="Z368" s="156">
        <v>1192562</v>
      </c>
      <c r="AA368" s="166">
        <v>1</v>
      </c>
      <c r="AB368" s="183">
        <v>99.39</v>
      </c>
      <c r="AD368" s="156">
        <v>1185.287</v>
      </c>
      <c r="AG368" s="2" t="s">
        <v>36</v>
      </c>
      <c r="AH368" s="172">
        <v>1.554E-3</v>
      </c>
      <c r="AI368" s="172">
        <v>4.3492834376022502E-3</v>
      </c>
      <c r="AJ368" s="172">
        <v>6.5002179341892797E-4</v>
      </c>
    </row>
    <row r="369" spans="1:36">
      <c r="A369" s="2">
        <v>161</v>
      </c>
      <c r="B369" s="2">
        <v>9943</v>
      </c>
      <c r="C369" s="2" t="s">
        <v>2477</v>
      </c>
      <c r="D369" s="2" t="s">
        <v>2478</v>
      </c>
      <c r="E369" s="4" t="s">
        <v>1363</v>
      </c>
      <c r="F369" s="2" t="s">
        <v>2479</v>
      </c>
      <c r="G369" s="2" t="s">
        <v>2480</v>
      </c>
      <c r="H369" s="2" t="s">
        <v>223</v>
      </c>
      <c r="I369" s="2" t="s">
        <v>1013</v>
      </c>
      <c r="J369" s="2" t="s">
        <v>30</v>
      </c>
      <c r="K369" s="2" t="s">
        <v>30</v>
      </c>
      <c r="L369" s="2" t="s">
        <v>377</v>
      </c>
      <c r="M369" s="2" t="s">
        <v>31</v>
      </c>
      <c r="N369" s="2" t="s">
        <v>512</v>
      </c>
      <c r="O369" s="2" t="s">
        <v>173</v>
      </c>
      <c r="P369" s="2" t="s">
        <v>2100</v>
      </c>
      <c r="Q369" s="2" t="s">
        <v>464</v>
      </c>
      <c r="R369" s="2" t="s">
        <v>456</v>
      </c>
      <c r="S369" s="2" t="s">
        <v>34</v>
      </c>
      <c r="T369" s="156">
        <v>0.45700000000000002</v>
      </c>
      <c r="U369" s="2" t="s">
        <v>2481</v>
      </c>
      <c r="V369" s="170">
        <v>3.5000000000000003E-2</v>
      </c>
      <c r="W369" s="172">
        <v>5.8599999999999999E-2</v>
      </c>
      <c r="X369" s="4" t="s">
        <v>461</v>
      </c>
      <c r="Y369" s="4" t="s">
        <v>173</v>
      </c>
      <c r="Z369" s="156">
        <v>133378.60999999999</v>
      </c>
      <c r="AA369" s="166">
        <v>1</v>
      </c>
      <c r="AB369" s="183">
        <v>99.06</v>
      </c>
      <c r="AD369" s="156">
        <v>132.125</v>
      </c>
      <c r="AG369" s="2" t="s">
        <v>36</v>
      </c>
      <c r="AH369" s="172">
        <v>1.3910000000000001E-3</v>
      </c>
      <c r="AI369" s="172">
        <v>4.8481780883596599E-4</v>
      </c>
      <c r="AJ369" s="172">
        <v>7.2458405183803599E-5</v>
      </c>
    </row>
    <row r="370" spans="1:36">
      <c r="A370" s="2">
        <v>161</v>
      </c>
      <c r="B370" s="2">
        <v>9943</v>
      </c>
      <c r="C370" s="2" t="s">
        <v>2482</v>
      </c>
      <c r="D370" s="2" t="s">
        <v>2483</v>
      </c>
      <c r="E370" s="4" t="s">
        <v>1363</v>
      </c>
      <c r="F370" s="2" t="s">
        <v>2484</v>
      </c>
      <c r="G370" s="2" t="s">
        <v>2485</v>
      </c>
      <c r="H370" s="2" t="s">
        <v>223</v>
      </c>
      <c r="I370" s="2" t="s">
        <v>804</v>
      </c>
      <c r="J370" s="2" t="s">
        <v>30</v>
      </c>
      <c r="K370" s="2" t="s">
        <v>30</v>
      </c>
      <c r="L370" s="2" t="s">
        <v>377</v>
      </c>
      <c r="M370" s="2" t="s">
        <v>31</v>
      </c>
      <c r="N370" s="2" t="s">
        <v>511</v>
      </c>
      <c r="O370" s="2" t="s">
        <v>173</v>
      </c>
      <c r="P370" s="2" t="s">
        <v>1374</v>
      </c>
      <c r="Q370" s="2" t="s">
        <v>462</v>
      </c>
      <c r="R370" s="2" t="s">
        <v>456</v>
      </c>
      <c r="S370" s="2" t="s">
        <v>34</v>
      </c>
      <c r="T370" s="156">
        <v>1.2090000000000001</v>
      </c>
      <c r="U370" s="2" t="s">
        <v>2486</v>
      </c>
      <c r="V370" s="170">
        <v>2.1499999999999998E-2</v>
      </c>
      <c r="W370" s="172">
        <v>2.6550000000000001E-2</v>
      </c>
      <c r="X370" s="4" t="s">
        <v>461</v>
      </c>
      <c r="Y370" s="4" t="s">
        <v>173</v>
      </c>
      <c r="Z370" s="156">
        <v>980000</v>
      </c>
      <c r="AA370" s="166">
        <v>1</v>
      </c>
      <c r="AB370" s="183">
        <v>117.11</v>
      </c>
      <c r="AD370" s="156">
        <v>1147.6780000000001</v>
      </c>
      <c r="AG370" s="2" t="s">
        <v>36</v>
      </c>
      <c r="AH370" s="172">
        <v>5.0000000000000001E-4</v>
      </c>
      <c r="AI370" s="172">
        <v>4.21127992743242E-3</v>
      </c>
      <c r="AJ370" s="172">
        <v>6.2939649031655001E-4</v>
      </c>
    </row>
    <row r="371" spans="1:36">
      <c r="A371" s="2">
        <v>161</v>
      </c>
      <c r="B371" s="2">
        <v>9943</v>
      </c>
      <c r="C371" s="2" t="s">
        <v>2482</v>
      </c>
      <c r="D371" s="2" t="s">
        <v>2483</v>
      </c>
      <c r="E371" s="4" t="s">
        <v>1363</v>
      </c>
      <c r="F371" s="2" t="s">
        <v>2487</v>
      </c>
      <c r="G371" s="2" t="s">
        <v>2488</v>
      </c>
      <c r="H371" s="2" t="s">
        <v>223</v>
      </c>
      <c r="I371" s="2" t="s">
        <v>804</v>
      </c>
      <c r="J371" s="2" t="s">
        <v>30</v>
      </c>
      <c r="K371" s="2" t="s">
        <v>30</v>
      </c>
      <c r="L371" s="2" t="s">
        <v>377</v>
      </c>
      <c r="M371" s="2" t="s">
        <v>31</v>
      </c>
      <c r="N371" s="2" t="s">
        <v>511</v>
      </c>
      <c r="O371" s="2" t="s">
        <v>173</v>
      </c>
      <c r="P371" s="2" t="s">
        <v>1374</v>
      </c>
      <c r="Q371" s="2" t="s">
        <v>462</v>
      </c>
      <c r="R371" s="2" t="s">
        <v>456</v>
      </c>
      <c r="S371" s="2" t="s">
        <v>34</v>
      </c>
      <c r="T371" s="156">
        <v>1.0189999999999999</v>
      </c>
      <c r="U371" s="2" t="s">
        <v>2486</v>
      </c>
      <c r="V371" s="170">
        <v>1.6E-2</v>
      </c>
      <c r="W371" s="172">
        <v>2.4479999999999998E-2</v>
      </c>
      <c r="X371" s="4" t="s">
        <v>461</v>
      </c>
      <c r="Y371" s="4" t="s">
        <v>173</v>
      </c>
      <c r="Z371" s="156">
        <v>333147.15999999997</v>
      </c>
      <c r="AA371" s="166">
        <v>1</v>
      </c>
      <c r="AB371" s="183">
        <v>116.46</v>
      </c>
      <c r="AD371" s="156">
        <v>387.983</v>
      </c>
      <c r="AG371" s="2" t="s">
        <v>36</v>
      </c>
      <c r="AH371" s="172">
        <v>7.8899999999999999E-4</v>
      </c>
      <c r="AI371" s="172">
        <v>1.4236622021117501E-3</v>
      </c>
      <c r="AJ371" s="172">
        <v>2.1277331567739699E-4</v>
      </c>
    </row>
    <row r="372" spans="1:36">
      <c r="A372" s="2">
        <v>161</v>
      </c>
      <c r="B372" s="2">
        <v>9943</v>
      </c>
      <c r="C372" s="2" t="s">
        <v>1939</v>
      </c>
      <c r="D372" s="2" t="s">
        <v>1940</v>
      </c>
      <c r="E372" s="4" t="s">
        <v>1363</v>
      </c>
      <c r="F372" s="2" t="s">
        <v>2332</v>
      </c>
      <c r="G372" s="2" t="s">
        <v>2333</v>
      </c>
      <c r="H372" s="2" t="s">
        <v>223</v>
      </c>
      <c r="I372" s="2" t="s">
        <v>804</v>
      </c>
      <c r="J372" s="2" t="s">
        <v>30</v>
      </c>
      <c r="K372" s="2" t="s">
        <v>30</v>
      </c>
      <c r="L372" s="2" t="s">
        <v>377</v>
      </c>
      <c r="M372" s="2" t="s">
        <v>31</v>
      </c>
      <c r="N372" s="2" t="s">
        <v>511</v>
      </c>
      <c r="O372" s="2" t="s">
        <v>173</v>
      </c>
      <c r="P372" s="2" t="s">
        <v>2052</v>
      </c>
      <c r="Q372" s="2" t="s">
        <v>462</v>
      </c>
      <c r="R372" s="2" t="s">
        <v>456</v>
      </c>
      <c r="S372" s="2" t="s">
        <v>34</v>
      </c>
      <c r="T372" s="156">
        <v>6.6509999999999998</v>
      </c>
      <c r="U372" s="2" t="s">
        <v>2334</v>
      </c>
      <c r="V372" s="170">
        <v>2.5000000000000001E-2</v>
      </c>
      <c r="W372" s="172">
        <v>3.3890000000000003E-2</v>
      </c>
      <c r="X372" s="4" t="s">
        <v>461</v>
      </c>
      <c r="Y372" s="4" t="s">
        <v>173</v>
      </c>
      <c r="Z372" s="156">
        <v>280477.05</v>
      </c>
      <c r="AA372" s="166">
        <v>1</v>
      </c>
      <c r="AB372" s="183">
        <v>109.06</v>
      </c>
      <c r="AD372" s="156">
        <v>305.88799999999998</v>
      </c>
      <c r="AG372" s="2" t="s">
        <v>36</v>
      </c>
      <c r="AH372" s="172">
        <v>3.3100000000000002E-4</v>
      </c>
      <c r="AI372" s="172">
        <v>1.1224238284277201E-3</v>
      </c>
      <c r="AJ372" s="172">
        <v>1.6775175966295499E-4</v>
      </c>
    </row>
    <row r="373" spans="1:36">
      <c r="A373" s="2">
        <v>161</v>
      </c>
      <c r="B373" s="2">
        <v>9943</v>
      </c>
      <c r="C373" s="2" t="s">
        <v>1951</v>
      </c>
      <c r="D373" s="2" t="s">
        <v>1952</v>
      </c>
      <c r="E373" s="4" t="s">
        <v>1363</v>
      </c>
      <c r="F373" s="2" t="s">
        <v>2489</v>
      </c>
      <c r="G373" s="2" t="s">
        <v>2490</v>
      </c>
      <c r="H373" s="2" t="s">
        <v>223</v>
      </c>
      <c r="I373" s="2" t="s">
        <v>1013</v>
      </c>
      <c r="J373" s="2" t="s">
        <v>30</v>
      </c>
      <c r="K373" s="2" t="s">
        <v>30</v>
      </c>
      <c r="L373" s="2" t="s">
        <v>377</v>
      </c>
      <c r="M373" s="2" t="s">
        <v>31</v>
      </c>
      <c r="N373" s="2" t="s">
        <v>494</v>
      </c>
      <c r="O373" s="2" t="s">
        <v>173</v>
      </c>
      <c r="P373" s="2" t="s">
        <v>2100</v>
      </c>
      <c r="Q373" s="2" t="s">
        <v>462</v>
      </c>
      <c r="R373" s="2" t="s">
        <v>456</v>
      </c>
      <c r="S373" s="2" t="s">
        <v>34</v>
      </c>
      <c r="T373" s="156">
        <v>0.499</v>
      </c>
      <c r="U373" s="2" t="s">
        <v>2304</v>
      </c>
      <c r="V373" s="170">
        <v>6.2300000000000001E-2</v>
      </c>
      <c r="W373" s="172">
        <v>6.3450000000000006E-2</v>
      </c>
      <c r="X373" s="4" t="s">
        <v>461</v>
      </c>
      <c r="Y373" s="4" t="s">
        <v>173</v>
      </c>
      <c r="Z373" s="156">
        <v>375000.02</v>
      </c>
      <c r="AA373" s="166">
        <v>1</v>
      </c>
      <c r="AB373" s="183">
        <v>100</v>
      </c>
      <c r="AC373" s="156">
        <v>11.680999999999999</v>
      </c>
      <c r="AD373" s="156">
        <v>386.68099999999998</v>
      </c>
      <c r="AG373" s="2" t="s">
        <v>36</v>
      </c>
      <c r="AH373" s="172">
        <v>2.3579999999999999E-3</v>
      </c>
      <c r="AI373" s="172">
        <v>1.4188849752849501E-3</v>
      </c>
      <c r="AJ373" s="172">
        <v>2.1205933564043801E-4</v>
      </c>
    </row>
    <row r="374" spans="1:36">
      <c r="A374" s="2">
        <v>161</v>
      </c>
      <c r="B374" s="2">
        <v>9943</v>
      </c>
      <c r="C374" s="2" t="s">
        <v>1951</v>
      </c>
      <c r="D374" s="2" t="s">
        <v>1952</v>
      </c>
      <c r="E374" s="4" t="s">
        <v>1363</v>
      </c>
      <c r="F374" s="2" t="s">
        <v>2491</v>
      </c>
      <c r="G374" s="2" t="s">
        <v>2492</v>
      </c>
      <c r="H374" s="2" t="s">
        <v>223</v>
      </c>
      <c r="I374" s="2" t="s">
        <v>804</v>
      </c>
      <c r="J374" s="2" t="s">
        <v>30</v>
      </c>
      <c r="K374" s="2" t="s">
        <v>30</v>
      </c>
      <c r="L374" s="2" t="s">
        <v>377</v>
      </c>
      <c r="M374" s="2" t="s">
        <v>31</v>
      </c>
      <c r="N374" s="2" t="s">
        <v>494</v>
      </c>
      <c r="O374" s="2" t="s">
        <v>173</v>
      </c>
      <c r="P374" s="2" t="s">
        <v>2100</v>
      </c>
      <c r="Q374" s="2" t="s">
        <v>462</v>
      </c>
      <c r="R374" s="2" t="s">
        <v>456</v>
      </c>
      <c r="S374" s="2" t="s">
        <v>34</v>
      </c>
      <c r="T374" s="156">
        <v>2.7930000000000001</v>
      </c>
      <c r="U374" s="2" t="s">
        <v>2493</v>
      </c>
      <c r="V374" s="170">
        <v>3.9E-2</v>
      </c>
      <c r="W374" s="172">
        <v>3.9510000000000003E-2</v>
      </c>
      <c r="X374" s="4" t="s">
        <v>461</v>
      </c>
      <c r="Y374" s="4" t="s">
        <v>173</v>
      </c>
      <c r="Z374" s="156">
        <v>695741</v>
      </c>
      <c r="AA374" s="166">
        <v>1</v>
      </c>
      <c r="AB374" s="183">
        <v>117.74</v>
      </c>
      <c r="AD374" s="156">
        <v>819.16499999999996</v>
      </c>
      <c r="AG374" s="2" t="s">
        <v>36</v>
      </c>
      <c r="AH374" s="172">
        <v>4.8799999999999999E-4</v>
      </c>
      <c r="AI374" s="172">
        <v>3.00583877285223E-3</v>
      </c>
      <c r="AJ374" s="172">
        <v>4.4923738309745898E-4</v>
      </c>
    </row>
    <row r="375" spans="1:36">
      <c r="A375" s="2">
        <v>161</v>
      </c>
      <c r="B375" s="2">
        <v>9943</v>
      </c>
      <c r="C375" s="2" t="s">
        <v>2341</v>
      </c>
      <c r="D375" s="2" t="s">
        <v>2342</v>
      </c>
      <c r="E375" s="4" t="s">
        <v>1363</v>
      </c>
      <c r="F375" s="2" t="s">
        <v>2343</v>
      </c>
      <c r="G375" s="2" t="s">
        <v>2344</v>
      </c>
      <c r="H375" s="2" t="s">
        <v>223</v>
      </c>
      <c r="I375" s="2" t="s">
        <v>1013</v>
      </c>
      <c r="J375" s="2" t="s">
        <v>30</v>
      </c>
      <c r="K375" s="2" t="s">
        <v>30</v>
      </c>
      <c r="L375" s="2" t="s">
        <v>377</v>
      </c>
      <c r="M375" s="2" t="s">
        <v>31</v>
      </c>
      <c r="N375" s="2" t="s">
        <v>487</v>
      </c>
      <c r="O375" s="2" t="s">
        <v>173</v>
      </c>
      <c r="P375" s="2" t="s">
        <v>2041</v>
      </c>
      <c r="Q375" s="2" t="s">
        <v>464</v>
      </c>
      <c r="R375" s="2" t="s">
        <v>456</v>
      </c>
      <c r="S375" s="2" t="s">
        <v>34</v>
      </c>
      <c r="T375" s="156">
        <v>4.2539999999999996</v>
      </c>
      <c r="U375" s="2" t="s">
        <v>2345</v>
      </c>
      <c r="V375" s="170">
        <v>6.7699999999999996E-2</v>
      </c>
      <c r="W375" s="172">
        <v>6.6390000000000005E-2</v>
      </c>
      <c r="X375" s="4" t="s">
        <v>461</v>
      </c>
      <c r="Y375" s="4" t="s">
        <v>173</v>
      </c>
      <c r="Z375" s="156">
        <v>1700000</v>
      </c>
      <c r="AA375" s="166">
        <v>1</v>
      </c>
      <c r="AB375" s="183">
        <v>102.69</v>
      </c>
      <c r="AD375" s="156">
        <v>1745.73</v>
      </c>
      <c r="AG375" s="2" t="s">
        <v>36</v>
      </c>
      <c r="AH375" s="172">
        <v>2.2669999999999999E-3</v>
      </c>
      <c r="AI375" s="172">
        <v>6.4057668681604101E-3</v>
      </c>
      <c r="AJ375" s="172">
        <v>9.5737335301392199E-4</v>
      </c>
    </row>
    <row r="376" spans="1:36">
      <c r="A376" s="2">
        <v>161</v>
      </c>
      <c r="B376" s="2">
        <v>9943</v>
      </c>
      <c r="C376" s="2" t="s">
        <v>2351</v>
      </c>
      <c r="D376" s="2" t="s">
        <v>2352</v>
      </c>
      <c r="E376" s="4" t="s">
        <v>1363</v>
      </c>
      <c r="F376" s="2" t="s">
        <v>2353</v>
      </c>
      <c r="G376" s="2" t="s">
        <v>2354</v>
      </c>
      <c r="H376" s="2" t="s">
        <v>223</v>
      </c>
      <c r="I376" s="2" t="s">
        <v>805</v>
      </c>
      <c r="J376" s="2" t="s">
        <v>30</v>
      </c>
      <c r="K376" s="2" t="s">
        <v>30</v>
      </c>
      <c r="L376" s="2" t="s">
        <v>377</v>
      </c>
      <c r="M376" s="2" t="s">
        <v>31</v>
      </c>
      <c r="N376" s="2" t="s">
        <v>501</v>
      </c>
      <c r="O376" s="2" t="s">
        <v>173</v>
      </c>
      <c r="P376" s="2" t="s">
        <v>2061</v>
      </c>
      <c r="Q376" s="2" t="s">
        <v>464</v>
      </c>
      <c r="R376" s="2" t="s">
        <v>456</v>
      </c>
      <c r="S376" s="2" t="s">
        <v>34</v>
      </c>
      <c r="T376" s="156">
        <v>3.129</v>
      </c>
      <c r="U376" s="2" t="s">
        <v>2355</v>
      </c>
      <c r="V376" s="170">
        <v>4.6899999999999997E-2</v>
      </c>
      <c r="W376" s="172">
        <v>7.5190000000000007E-2</v>
      </c>
      <c r="X376" s="4" t="s">
        <v>461</v>
      </c>
      <c r="Y376" s="4" t="s">
        <v>173</v>
      </c>
      <c r="Z376" s="156">
        <v>2553762.4300000002</v>
      </c>
      <c r="AA376" s="166">
        <v>1</v>
      </c>
      <c r="AB376" s="183">
        <v>99.56</v>
      </c>
      <c r="AD376" s="156">
        <v>2542.5259999999998</v>
      </c>
      <c r="AG376" s="2" t="s">
        <v>36</v>
      </c>
      <c r="AH376" s="172">
        <v>2.2230000000000001E-3</v>
      </c>
      <c r="AI376" s="172">
        <v>9.3295229007283702E-3</v>
      </c>
      <c r="AJ376" s="172">
        <v>1.3943430670082301E-3</v>
      </c>
    </row>
    <row r="377" spans="1:36">
      <c r="A377" s="2">
        <v>161</v>
      </c>
      <c r="B377" s="2">
        <v>9943</v>
      </c>
      <c r="C377" s="2" t="s">
        <v>1783</v>
      </c>
      <c r="D377" s="2" t="s">
        <v>1784</v>
      </c>
      <c r="E377" s="4" t="s">
        <v>1363</v>
      </c>
      <c r="F377" s="2" t="s">
        <v>2494</v>
      </c>
      <c r="G377" s="2" t="s">
        <v>2495</v>
      </c>
      <c r="H377" s="2" t="s">
        <v>223</v>
      </c>
      <c r="I377" s="2" t="s">
        <v>1013</v>
      </c>
      <c r="J377" s="2" t="s">
        <v>30</v>
      </c>
      <c r="K377" s="2" t="s">
        <v>30</v>
      </c>
      <c r="L377" s="2" t="s">
        <v>377</v>
      </c>
      <c r="M377" s="2" t="s">
        <v>31</v>
      </c>
      <c r="N377" s="2" t="s">
        <v>494</v>
      </c>
      <c r="O377" s="2" t="s">
        <v>173</v>
      </c>
      <c r="P377" s="2" t="s">
        <v>2041</v>
      </c>
      <c r="Q377" s="2" t="s">
        <v>464</v>
      </c>
      <c r="R377" s="2" t="s">
        <v>456</v>
      </c>
      <c r="S377" s="2" t="s">
        <v>34</v>
      </c>
      <c r="T377" s="156">
        <v>1.6819999999999999</v>
      </c>
      <c r="U377" s="2" t="s">
        <v>2496</v>
      </c>
      <c r="V377" s="170">
        <v>3.5000000000000003E-2</v>
      </c>
      <c r="W377" s="172">
        <v>6.0299999999999999E-2</v>
      </c>
      <c r="X377" s="4" t="s">
        <v>461</v>
      </c>
      <c r="Y377" s="4" t="s">
        <v>173</v>
      </c>
      <c r="Z377" s="156">
        <v>86805.59</v>
      </c>
      <c r="AA377" s="166">
        <v>1</v>
      </c>
      <c r="AB377" s="183">
        <v>96.06</v>
      </c>
      <c r="AD377" s="156">
        <v>83.385000000000005</v>
      </c>
      <c r="AG377" s="2" t="s">
        <v>36</v>
      </c>
      <c r="AH377" s="172">
        <v>4.46E-4</v>
      </c>
      <c r="AI377" s="172">
        <v>3.0597386269401802E-4</v>
      </c>
      <c r="AJ377" s="172">
        <v>4.5729298129470698E-5</v>
      </c>
    </row>
    <row r="378" spans="1:36">
      <c r="A378" s="2">
        <v>161</v>
      </c>
      <c r="B378" s="2">
        <v>9943</v>
      </c>
      <c r="C378" s="2" t="s">
        <v>1783</v>
      </c>
      <c r="D378" s="2" t="s">
        <v>1784</v>
      </c>
      <c r="E378" s="4" t="s">
        <v>1363</v>
      </c>
      <c r="F378" s="2" t="s">
        <v>2497</v>
      </c>
      <c r="G378" s="2" t="s">
        <v>2498</v>
      </c>
      <c r="H378" s="2" t="s">
        <v>223</v>
      </c>
      <c r="I378" s="2" t="s">
        <v>804</v>
      </c>
      <c r="J378" s="2" t="s">
        <v>30</v>
      </c>
      <c r="K378" s="2" t="s">
        <v>30</v>
      </c>
      <c r="L378" s="2" t="s">
        <v>377</v>
      </c>
      <c r="M378" s="2" t="s">
        <v>31</v>
      </c>
      <c r="N378" s="2" t="s">
        <v>494</v>
      </c>
      <c r="O378" s="2" t="s">
        <v>173</v>
      </c>
      <c r="P378" s="2" t="s">
        <v>2041</v>
      </c>
      <c r="Q378" s="2" t="s">
        <v>462</v>
      </c>
      <c r="R378" s="2" t="s">
        <v>456</v>
      </c>
      <c r="S378" s="2" t="s">
        <v>34</v>
      </c>
      <c r="T378" s="156">
        <v>2.82</v>
      </c>
      <c r="U378" s="2" t="s">
        <v>2499</v>
      </c>
      <c r="V378" s="170">
        <v>3.85E-2</v>
      </c>
      <c r="W378" s="172">
        <v>3.2169999999999997E-2</v>
      </c>
      <c r="X378" s="4" t="s">
        <v>461</v>
      </c>
      <c r="Y378" s="4" t="s">
        <v>173</v>
      </c>
      <c r="Z378" s="156">
        <v>125710</v>
      </c>
      <c r="AA378" s="166">
        <v>1</v>
      </c>
      <c r="AB378" s="183">
        <v>108.99</v>
      </c>
      <c r="AD378" s="156">
        <v>137.011</v>
      </c>
      <c r="AG378" s="2" t="s">
        <v>36</v>
      </c>
      <c r="AH378" s="172">
        <v>4.1899999999999999E-4</v>
      </c>
      <c r="AI378" s="172">
        <v>5.0274820955750602E-4</v>
      </c>
      <c r="AJ378" s="172">
        <v>7.5138191728172995E-5</v>
      </c>
    </row>
    <row r="379" spans="1:36">
      <c r="A379" s="2">
        <v>161</v>
      </c>
      <c r="B379" s="2">
        <v>9943</v>
      </c>
      <c r="C379" s="2" t="s">
        <v>2500</v>
      </c>
      <c r="D379" s="2" t="s">
        <v>2501</v>
      </c>
      <c r="E379" s="4" t="s">
        <v>1363</v>
      </c>
      <c r="F379" s="2" t="s">
        <v>2502</v>
      </c>
      <c r="G379" s="2" t="s">
        <v>2503</v>
      </c>
      <c r="H379" s="2" t="s">
        <v>223</v>
      </c>
      <c r="I379" s="2" t="s">
        <v>1013</v>
      </c>
      <c r="J379" s="2" t="s">
        <v>30</v>
      </c>
      <c r="K379" s="2" t="s">
        <v>30</v>
      </c>
      <c r="L379" s="2" t="s">
        <v>377</v>
      </c>
      <c r="M379" s="2" t="s">
        <v>31</v>
      </c>
      <c r="N379" s="2" t="s">
        <v>513</v>
      </c>
      <c r="O379" s="2" t="s">
        <v>173</v>
      </c>
      <c r="P379" s="2" t="s">
        <v>2061</v>
      </c>
      <c r="Q379" s="2" t="s">
        <v>462</v>
      </c>
      <c r="R379" s="2" t="s">
        <v>456</v>
      </c>
      <c r="S379" s="2" t="s">
        <v>34</v>
      </c>
      <c r="T379" s="156">
        <v>0.249</v>
      </c>
      <c r="U379" s="2" t="s">
        <v>2442</v>
      </c>
      <c r="V379" s="170">
        <v>4.7500000000000001E-2</v>
      </c>
      <c r="W379" s="172">
        <v>5.7410000000000003E-2</v>
      </c>
      <c r="X379" s="4" t="s">
        <v>461</v>
      </c>
      <c r="Y379" s="4" t="s">
        <v>173</v>
      </c>
      <c r="Z379" s="156">
        <v>149678.49</v>
      </c>
      <c r="AA379" s="166">
        <v>1</v>
      </c>
      <c r="AB379" s="183">
        <v>100.96</v>
      </c>
      <c r="AD379" s="156">
        <v>151.11500000000001</v>
      </c>
      <c r="AG379" s="2" t="s">
        <v>36</v>
      </c>
      <c r="AH379" s="172">
        <v>1.7849999999999999E-3</v>
      </c>
      <c r="AI379" s="172">
        <v>5.5450158102032701E-4</v>
      </c>
      <c r="AJ379" s="172">
        <v>8.2872987543707307E-5</v>
      </c>
    </row>
    <row r="380" spans="1:36">
      <c r="A380" s="2">
        <v>161</v>
      </c>
      <c r="B380" s="2">
        <v>9943</v>
      </c>
      <c r="C380" s="2" t="s">
        <v>2504</v>
      </c>
      <c r="D380" s="2" t="s">
        <v>2505</v>
      </c>
      <c r="E380" s="4" t="s">
        <v>1363</v>
      </c>
      <c r="F380" s="2" t="s">
        <v>2506</v>
      </c>
      <c r="G380" s="2" t="s">
        <v>2507</v>
      </c>
      <c r="H380" s="2" t="s">
        <v>223</v>
      </c>
      <c r="I380" s="2" t="s">
        <v>804</v>
      </c>
      <c r="J380" s="2" t="s">
        <v>30</v>
      </c>
      <c r="K380" s="2" t="s">
        <v>350</v>
      </c>
      <c r="L380" s="2" t="s">
        <v>377</v>
      </c>
      <c r="M380" s="2" t="s">
        <v>31</v>
      </c>
      <c r="N380" s="2" t="s">
        <v>512</v>
      </c>
      <c r="O380" s="2" t="s">
        <v>173</v>
      </c>
      <c r="P380" s="2" t="s">
        <v>2100</v>
      </c>
      <c r="Q380" s="2" t="s">
        <v>464</v>
      </c>
      <c r="R380" s="2" t="s">
        <v>456</v>
      </c>
      <c r="S380" s="2" t="s">
        <v>34</v>
      </c>
      <c r="T380" s="156">
        <v>1.867</v>
      </c>
      <c r="U380" s="2" t="s">
        <v>2508</v>
      </c>
      <c r="V380" s="170">
        <v>2.8500000000000001E-2</v>
      </c>
      <c r="W380" s="172">
        <v>2.8060000000000002E-2</v>
      </c>
      <c r="X380" s="4" t="s">
        <v>461</v>
      </c>
      <c r="Y380" s="4" t="s">
        <v>173</v>
      </c>
      <c r="Z380" s="156">
        <v>84432</v>
      </c>
      <c r="AA380" s="166">
        <v>1</v>
      </c>
      <c r="AB380" s="183">
        <v>117.13</v>
      </c>
      <c r="AD380" s="156">
        <v>98.894999999999996</v>
      </c>
      <c r="AG380" s="2" t="s">
        <v>36</v>
      </c>
      <c r="AH380" s="172">
        <v>2.0699999999999999E-4</v>
      </c>
      <c r="AI380" s="172">
        <v>3.62885214683442E-4</v>
      </c>
      <c r="AJ380" s="172">
        <v>5.4234979494411899E-5</v>
      </c>
    </row>
    <row r="381" spans="1:36">
      <c r="A381" s="2">
        <v>161</v>
      </c>
      <c r="B381" s="2">
        <v>9943</v>
      </c>
      <c r="C381" s="2" t="s">
        <v>2504</v>
      </c>
      <c r="D381" s="2" t="s">
        <v>2505</v>
      </c>
      <c r="E381" s="4" t="s">
        <v>1363</v>
      </c>
      <c r="F381" s="2" t="s">
        <v>2509</v>
      </c>
      <c r="G381" s="2" t="s">
        <v>2510</v>
      </c>
      <c r="H381" s="2" t="s">
        <v>223</v>
      </c>
      <c r="I381" s="2" t="s">
        <v>804</v>
      </c>
      <c r="J381" s="2" t="s">
        <v>30</v>
      </c>
      <c r="K381" s="2" t="s">
        <v>350</v>
      </c>
      <c r="L381" s="2" t="s">
        <v>377</v>
      </c>
      <c r="M381" s="2" t="s">
        <v>31</v>
      </c>
      <c r="N381" s="2" t="s">
        <v>512</v>
      </c>
      <c r="O381" s="2" t="s">
        <v>173</v>
      </c>
      <c r="P381" s="2" t="s">
        <v>2100</v>
      </c>
      <c r="Q381" s="2" t="s">
        <v>464</v>
      </c>
      <c r="R381" s="2" t="s">
        <v>456</v>
      </c>
      <c r="S381" s="2" t="s">
        <v>34</v>
      </c>
      <c r="T381" s="156">
        <v>4.0510000000000002</v>
      </c>
      <c r="U381" s="2" t="s">
        <v>2511</v>
      </c>
      <c r="V381" s="170">
        <v>4.3E-3</v>
      </c>
      <c r="W381" s="172">
        <v>4.0219999999999999E-2</v>
      </c>
      <c r="X381" s="4" t="s">
        <v>461</v>
      </c>
      <c r="Y381" s="4" t="s">
        <v>173</v>
      </c>
      <c r="Z381" s="156">
        <v>1898849</v>
      </c>
      <c r="AA381" s="166">
        <v>1</v>
      </c>
      <c r="AB381" s="183">
        <v>97.5</v>
      </c>
      <c r="AD381" s="156">
        <v>1851.3779999999999</v>
      </c>
      <c r="AG381" s="2" t="s">
        <v>36</v>
      </c>
      <c r="AH381" s="172">
        <v>3.0379999999999999E-3</v>
      </c>
      <c r="AI381" s="172">
        <v>6.7934299184544801E-3</v>
      </c>
      <c r="AJ381" s="172">
        <v>1.0153115018629499E-3</v>
      </c>
    </row>
    <row r="382" spans="1:36">
      <c r="A382" s="2">
        <v>161</v>
      </c>
      <c r="B382" s="2">
        <v>9943</v>
      </c>
      <c r="C382" s="2" t="s">
        <v>2504</v>
      </c>
      <c r="D382" s="2" t="s">
        <v>2505</v>
      </c>
      <c r="E382" s="4" t="s">
        <v>1363</v>
      </c>
      <c r="F382" s="2" t="s">
        <v>2512</v>
      </c>
      <c r="G382" s="2" t="s">
        <v>2513</v>
      </c>
      <c r="H382" s="2" t="s">
        <v>223</v>
      </c>
      <c r="I382" s="2" t="s">
        <v>804</v>
      </c>
      <c r="J382" s="2" t="s">
        <v>30</v>
      </c>
      <c r="K382" s="2" t="s">
        <v>350</v>
      </c>
      <c r="L382" s="2" t="s">
        <v>377</v>
      </c>
      <c r="M382" s="2" t="s">
        <v>31</v>
      </c>
      <c r="N382" s="2" t="s">
        <v>512</v>
      </c>
      <c r="O382" s="2" t="s">
        <v>173</v>
      </c>
      <c r="P382" s="2" t="s">
        <v>2100</v>
      </c>
      <c r="Q382" s="2" t="s">
        <v>464</v>
      </c>
      <c r="R382" s="2" t="s">
        <v>456</v>
      </c>
      <c r="S382" s="2" t="s">
        <v>34</v>
      </c>
      <c r="T382" s="156">
        <v>3.1949999999999998</v>
      </c>
      <c r="U382" s="2" t="s">
        <v>85</v>
      </c>
      <c r="V382" s="170">
        <v>2.4500000000000001E-2</v>
      </c>
      <c r="W382" s="172">
        <v>3.6069999999999998E-2</v>
      </c>
      <c r="X382" s="4" t="s">
        <v>461</v>
      </c>
      <c r="Y382" s="4" t="s">
        <v>173</v>
      </c>
      <c r="Z382" s="156">
        <v>34896.300000000003</v>
      </c>
      <c r="AA382" s="166">
        <v>1</v>
      </c>
      <c r="AB382" s="183">
        <v>111.09</v>
      </c>
      <c r="AD382" s="156">
        <v>38.765999999999998</v>
      </c>
      <c r="AG382" s="2" t="s">
        <v>36</v>
      </c>
      <c r="AH382" s="172">
        <v>7.1000000000000005E-5</v>
      </c>
      <c r="AI382" s="172">
        <v>1.4224873149184801E-4</v>
      </c>
      <c r="AJ382" s="172">
        <v>2.1259772300991799E-5</v>
      </c>
    </row>
    <row r="383" spans="1:36">
      <c r="A383" s="2">
        <v>161</v>
      </c>
      <c r="B383" s="2">
        <v>9943</v>
      </c>
      <c r="C383" s="2" t="s">
        <v>2514</v>
      </c>
      <c r="D383" s="2" t="s">
        <v>2515</v>
      </c>
      <c r="E383" s="4" t="s">
        <v>1363</v>
      </c>
      <c r="F383" s="2" t="s">
        <v>2516</v>
      </c>
      <c r="G383" s="2" t="s">
        <v>2517</v>
      </c>
      <c r="H383" s="2" t="s">
        <v>223</v>
      </c>
      <c r="I383" s="2" t="s">
        <v>804</v>
      </c>
      <c r="J383" s="2" t="s">
        <v>30</v>
      </c>
      <c r="K383" s="2" t="s">
        <v>30</v>
      </c>
      <c r="L383" s="2" t="s">
        <v>377</v>
      </c>
      <c r="M383" s="2" t="s">
        <v>31</v>
      </c>
      <c r="N383" s="2" t="s">
        <v>503</v>
      </c>
      <c r="O383" s="2" t="s">
        <v>173</v>
      </c>
      <c r="P383" s="2" t="s">
        <v>1374</v>
      </c>
      <c r="Q383" s="2" t="s">
        <v>462</v>
      </c>
      <c r="R383" s="2" t="s">
        <v>456</v>
      </c>
      <c r="S383" s="2" t="s">
        <v>34</v>
      </c>
      <c r="T383" s="156">
        <v>4.1390000000000002</v>
      </c>
      <c r="U383" s="2" t="s">
        <v>2518</v>
      </c>
      <c r="V383" s="170">
        <v>5.1499999999999997E-2</v>
      </c>
      <c r="W383" s="172">
        <v>5.1479999999999998E-2</v>
      </c>
      <c r="X383" s="4" t="s">
        <v>461</v>
      </c>
      <c r="Y383" s="4" t="s">
        <v>173</v>
      </c>
      <c r="Z383" s="156">
        <v>144203.70000000001</v>
      </c>
      <c r="AA383" s="166">
        <v>1</v>
      </c>
      <c r="AB383" s="183">
        <v>141.9</v>
      </c>
      <c r="AD383" s="156">
        <v>204.625</v>
      </c>
      <c r="AG383" s="2" t="s">
        <v>36</v>
      </c>
      <c r="AH383" s="172">
        <v>5.1999999999999997E-5</v>
      </c>
      <c r="AI383" s="172">
        <v>7.5084942551677399E-4</v>
      </c>
      <c r="AJ383" s="172">
        <v>1.12218138266716E-4</v>
      </c>
    </row>
    <row r="384" spans="1:36">
      <c r="A384" s="2">
        <v>161</v>
      </c>
      <c r="B384" s="2">
        <v>9943</v>
      </c>
      <c r="C384" s="2" t="s">
        <v>2037</v>
      </c>
      <c r="D384" s="2" t="s">
        <v>2038</v>
      </c>
      <c r="E384" s="4" t="s">
        <v>1363</v>
      </c>
      <c r="F384" s="2" t="s">
        <v>2039</v>
      </c>
      <c r="G384" s="2" t="s">
        <v>2040</v>
      </c>
      <c r="H384" s="2" t="s">
        <v>223</v>
      </c>
      <c r="I384" s="2" t="s">
        <v>804</v>
      </c>
      <c r="J384" s="2" t="s">
        <v>30</v>
      </c>
      <c r="K384" s="2" t="s">
        <v>30</v>
      </c>
      <c r="L384" s="2" t="s">
        <v>377</v>
      </c>
      <c r="M384" s="2" t="s">
        <v>31</v>
      </c>
      <c r="N384" s="2" t="s">
        <v>487</v>
      </c>
      <c r="O384" s="2" t="s">
        <v>173</v>
      </c>
      <c r="P384" s="2" t="s">
        <v>2041</v>
      </c>
      <c r="Q384" s="2" t="s">
        <v>462</v>
      </c>
      <c r="R384" s="2" t="s">
        <v>456</v>
      </c>
      <c r="S384" s="2" t="s">
        <v>34</v>
      </c>
      <c r="T384" s="156">
        <v>2.9049999999999998</v>
      </c>
      <c r="U384" s="2" t="s">
        <v>2042</v>
      </c>
      <c r="V384" s="170">
        <v>2.75E-2</v>
      </c>
      <c r="W384" s="172">
        <v>3.1E-2</v>
      </c>
      <c r="X384" s="4" t="s">
        <v>461</v>
      </c>
      <c r="Y384" s="4" t="s">
        <v>173</v>
      </c>
      <c r="Z384" s="156">
        <v>54785.75</v>
      </c>
      <c r="AA384" s="166">
        <v>1</v>
      </c>
      <c r="AB384" s="183">
        <v>113.65</v>
      </c>
      <c r="AD384" s="156">
        <v>62.264000000000003</v>
      </c>
      <c r="AG384" s="2" t="s">
        <v>36</v>
      </c>
      <c r="AH384" s="172">
        <v>6.4999999999999994E-5</v>
      </c>
      <c r="AI384" s="172">
        <v>2.28471011844474E-4</v>
      </c>
      <c r="AJ384" s="172">
        <v>3.4146116019804801E-5</v>
      </c>
    </row>
    <row r="385" spans="1:36">
      <c r="A385" s="2">
        <v>161</v>
      </c>
      <c r="B385" s="2">
        <v>9943</v>
      </c>
      <c r="C385" s="2" t="s">
        <v>1791</v>
      </c>
      <c r="D385" s="2" t="s">
        <v>1792</v>
      </c>
      <c r="E385" s="4" t="s">
        <v>1363</v>
      </c>
      <c r="F385" s="2" t="s">
        <v>2519</v>
      </c>
      <c r="G385" s="2" t="s">
        <v>2520</v>
      </c>
      <c r="H385" s="2" t="s">
        <v>223</v>
      </c>
      <c r="I385" s="2" t="s">
        <v>1013</v>
      </c>
      <c r="J385" s="2" t="s">
        <v>30</v>
      </c>
      <c r="K385" s="2" t="s">
        <v>30</v>
      </c>
      <c r="L385" s="2" t="s">
        <v>377</v>
      </c>
      <c r="M385" s="2" t="s">
        <v>31</v>
      </c>
      <c r="N385" s="2" t="s">
        <v>494</v>
      </c>
      <c r="O385" s="2" t="s">
        <v>173</v>
      </c>
      <c r="P385" s="2" t="s">
        <v>2100</v>
      </c>
      <c r="Q385" s="2" t="s">
        <v>464</v>
      </c>
      <c r="R385" s="2" t="s">
        <v>456</v>
      </c>
      <c r="S385" s="2" t="s">
        <v>34</v>
      </c>
      <c r="T385" s="156">
        <v>2.2480000000000002</v>
      </c>
      <c r="U385" s="2" t="s">
        <v>2521</v>
      </c>
      <c r="V385" s="170">
        <v>2.5499999999999998E-2</v>
      </c>
      <c r="W385" s="172">
        <v>6.0019999999999997E-2</v>
      </c>
      <c r="X385" s="4" t="s">
        <v>461</v>
      </c>
      <c r="Y385" s="4" t="s">
        <v>173</v>
      </c>
      <c r="Z385" s="156">
        <v>2767720</v>
      </c>
      <c r="AA385" s="166">
        <v>1</v>
      </c>
      <c r="AB385" s="183">
        <v>93.37</v>
      </c>
      <c r="AD385" s="156">
        <v>2584.2199999999998</v>
      </c>
      <c r="AG385" s="2" t="s">
        <v>36</v>
      </c>
      <c r="AH385" s="172">
        <v>3.5999999999999999E-3</v>
      </c>
      <c r="AI385" s="172">
        <v>9.4825155703248901E-3</v>
      </c>
      <c r="AJ385" s="172">
        <v>1.4172085736825701E-3</v>
      </c>
    </row>
    <row r="386" spans="1:36">
      <c r="A386" s="2">
        <v>161</v>
      </c>
      <c r="B386" s="2">
        <v>9943</v>
      </c>
      <c r="C386" s="2" t="s">
        <v>1795</v>
      </c>
      <c r="D386" s="2" t="s">
        <v>1796</v>
      </c>
      <c r="E386" s="4" t="s">
        <v>1363</v>
      </c>
      <c r="F386" s="2" t="s">
        <v>2522</v>
      </c>
      <c r="G386" s="2" t="s">
        <v>2523</v>
      </c>
      <c r="H386" s="2" t="s">
        <v>223</v>
      </c>
      <c r="I386" s="2" t="s">
        <v>1013</v>
      </c>
      <c r="J386" s="2" t="s">
        <v>30</v>
      </c>
      <c r="K386" s="2" t="s">
        <v>30</v>
      </c>
      <c r="L386" s="2" t="s">
        <v>377</v>
      </c>
      <c r="M386" s="2" t="s">
        <v>31</v>
      </c>
      <c r="N386" s="2" t="s">
        <v>503</v>
      </c>
      <c r="O386" s="2" t="s">
        <v>173</v>
      </c>
      <c r="P386" s="2" t="s">
        <v>2052</v>
      </c>
      <c r="Q386" s="2" t="s">
        <v>462</v>
      </c>
      <c r="R386" s="2" t="s">
        <v>456</v>
      </c>
      <c r="S386" s="2" t="s">
        <v>34</v>
      </c>
      <c r="T386" s="156">
        <v>7.58</v>
      </c>
      <c r="U386" s="2" t="s">
        <v>2524</v>
      </c>
      <c r="V386" s="170">
        <v>2.4E-2</v>
      </c>
      <c r="W386" s="172">
        <v>5.6570000000000002E-2</v>
      </c>
      <c r="X386" s="4" t="s">
        <v>461</v>
      </c>
      <c r="Y386" s="4" t="s">
        <v>173</v>
      </c>
      <c r="Z386" s="156">
        <v>1748049.53</v>
      </c>
      <c r="AA386" s="166">
        <v>1</v>
      </c>
      <c r="AB386" s="183">
        <v>79</v>
      </c>
      <c r="AD386" s="156">
        <v>1380.9590000000001</v>
      </c>
      <c r="AG386" s="2" t="s">
        <v>36</v>
      </c>
      <c r="AH386" s="172">
        <v>2.3760000000000001E-3</v>
      </c>
      <c r="AI386" s="172">
        <v>5.0672797241899598E-3</v>
      </c>
      <c r="AJ386" s="172">
        <v>7.57329868547085E-4</v>
      </c>
    </row>
    <row r="387" spans="1:36">
      <c r="A387" s="2">
        <v>161</v>
      </c>
      <c r="B387" s="2">
        <v>9943</v>
      </c>
      <c r="C387" s="2" t="s">
        <v>2048</v>
      </c>
      <c r="D387" s="2" t="s">
        <v>2049</v>
      </c>
      <c r="E387" s="4" t="s">
        <v>1363</v>
      </c>
      <c r="F387" s="2" t="s">
        <v>2050</v>
      </c>
      <c r="G387" s="2" t="s">
        <v>2051</v>
      </c>
      <c r="H387" s="2" t="s">
        <v>223</v>
      </c>
      <c r="I387" s="2" t="s">
        <v>804</v>
      </c>
      <c r="J387" s="2" t="s">
        <v>30</v>
      </c>
      <c r="K387" s="2" t="s">
        <v>30</v>
      </c>
      <c r="L387" s="2" t="s">
        <v>377</v>
      </c>
      <c r="M387" s="2" t="s">
        <v>31</v>
      </c>
      <c r="N387" s="2" t="s">
        <v>511</v>
      </c>
      <c r="O387" s="2" t="s">
        <v>173</v>
      </c>
      <c r="P387" s="2" t="s">
        <v>2052</v>
      </c>
      <c r="Q387" s="2" t="s">
        <v>462</v>
      </c>
      <c r="R387" s="2" t="s">
        <v>456</v>
      </c>
      <c r="S387" s="2" t="s">
        <v>34</v>
      </c>
      <c r="T387" s="156">
        <v>2.012</v>
      </c>
      <c r="U387" s="2" t="s">
        <v>2053</v>
      </c>
      <c r="V387" s="170">
        <v>2.3400000000000001E-2</v>
      </c>
      <c r="W387" s="172">
        <v>2.664E-2</v>
      </c>
      <c r="X387" s="4" t="s">
        <v>461</v>
      </c>
      <c r="Y387" s="4" t="s">
        <v>173</v>
      </c>
      <c r="Z387" s="156">
        <v>349433.95</v>
      </c>
      <c r="AA387" s="166">
        <v>1</v>
      </c>
      <c r="AB387" s="183">
        <v>115.87</v>
      </c>
      <c r="AD387" s="156">
        <v>404.88900000000001</v>
      </c>
      <c r="AG387" s="2" t="s">
        <v>36</v>
      </c>
      <c r="AH387" s="172">
        <v>1.66E-4</v>
      </c>
      <c r="AI387" s="172">
        <v>1.4856966979420101E-3</v>
      </c>
      <c r="AJ387" s="172">
        <v>2.2204467607778099E-4</v>
      </c>
    </row>
    <row r="388" spans="1:36">
      <c r="A388" s="2">
        <v>161</v>
      </c>
      <c r="B388" s="2">
        <v>9943</v>
      </c>
      <c r="C388" s="2" t="s">
        <v>2057</v>
      </c>
      <c r="D388" s="2" t="s">
        <v>2058</v>
      </c>
      <c r="E388" s="4" t="s">
        <v>1363</v>
      </c>
      <c r="F388" s="2" t="s">
        <v>2063</v>
      </c>
      <c r="G388" s="2" t="s">
        <v>2064</v>
      </c>
      <c r="H388" s="2" t="s">
        <v>223</v>
      </c>
      <c r="I388" s="2" t="s">
        <v>804</v>
      </c>
      <c r="J388" s="2" t="s">
        <v>30</v>
      </c>
      <c r="K388" s="2" t="s">
        <v>30</v>
      </c>
      <c r="L388" s="2" t="s">
        <v>377</v>
      </c>
      <c r="M388" s="2" t="s">
        <v>31</v>
      </c>
      <c r="N388" s="2" t="s">
        <v>525</v>
      </c>
      <c r="O388" s="2" t="s">
        <v>173</v>
      </c>
      <c r="P388" s="2" t="s">
        <v>2061</v>
      </c>
      <c r="Q388" s="2" t="s">
        <v>462</v>
      </c>
      <c r="R388" s="2" t="s">
        <v>456</v>
      </c>
      <c r="S388" s="2" t="s">
        <v>34</v>
      </c>
      <c r="T388" s="156">
        <v>1.802</v>
      </c>
      <c r="U388" s="2" t="s">
        <v>2065</v>
      </c>
      <c r="V388" s="170">
        <v>3.2000000000000001E-2</v>
      </c>
      <c r="W388" s="172">
        <v>3.1350000000000003E-2</v>
      </c>
      <c r="X388" s="4" t="s">
        <v>461</v>
      </c>
      <c r="Y388" s="4" t="s">
        <v>173</v>
      </c>
      <c r="Z388" s="156">
        <v>55505.62</v>
      </c>
      <c r="AA388" s="166">
        <v>1</v>
      </c>
      <c r="AB388" s="183">
        <v>107.71</v>
      </c>
      <c r="AD388" s="156">
        <v>59.784999999999997</v>
      </c>
      <c r="AG388" s="2" t="s">
        <v>36</v>
      </c>
      <c r="AH388" s="172">
        <v>6.7000000000000002E-5</v>
      </c>
      <c r="AI388" s="172">
        <v>2.1937495141946301E-4</v>
      </c>
      <c r="AJ388" s="172">
        <v>3.2786665067633297E-5</v>
      </c>
    </row>
    <row r="389" spans="1:36">
      <c r="A389" s="2">
        <v>161</v>
      </c>
      <c r="B389" s="2">
        <v>9943</v>
      </c>
      <c r="C389" s="2" t="s">
        <v>2057</v>
      </c>
      <c r="D389" s="2" t="s">
        <v>2058</v>
      </c>
      <c r="E389" s="4" t="s">
        <v>1363</v>
      </c>
      <c r="F389" s="2" t="s">
        <v>2066</v>
      </c>
      <c r="G389" s="2" t="s">
        <v>2067</v>
      </c>
      <c r="H389" s="2" t="s">
        <v>223</v>
      </c>
      <c r="I389" s="2" t="s">
        <v>1013</v>
      </c>
      <c r="J389" s="2" t="s">
        <v>30</v>
      </c>
      <c r="K389" s="2" t="s">
        <v>30</v>
      </c>
      <c r="L389" s="2" t="s">
        <v>377</v>
      </c>
      <c r="M389" s="2" t="s">
        <v>31</v>
      </c>
      <c r="N389" s="2" t="s">
        <v>525</v>
      </c>
      <c r="O389" s="2" t="s">
        <v>173</v>
      </c>
      <c r="P389" s="2" t="s">
        <v>2061</v>
      </c>
      <c r="Q389" s="2" t="s">
        <v>462</v>
      </c>
      <c r="R389" s="2" t="s">
        <v>456</v>
      </c>
      <c r="S389" s="2" t="s">
        <v>34</v>
      </c>
      <c r="T389" s="156">
        <v>1.84</v>
      </c>
      <c r="U389" s="2" t="s">
        <v>2068</v>
      </c>
      <c r="V389" s="170">
        <v>5.7000000000000002E-2</v>
      </c>
      <c r="W389" s="172">
        <v>6.1760000000000002E-2</v>
      </c>
      <c r="X389" s="4" t="s">
        <v>461</v>
      </c>
      <c r="Y389" s="4" t="s">
        <v>173</v>
      </c>
      <c r="Z389" s="156">
        <v>888978.53</v>
      </c>
      <c r="AA389" s="166">
        <v>1</v>
      </c>
      <c r="AB389" s="183">
        <v>99.56</v>
      </c>
      <c r="AD389" s="156">
        <v>885.06700000000001</v>
      </c>
      <c r="AG389" s="2" t="s">
        <v>36</v>
      </c>
      <c r="AH389" s="172">
        <v>9.0300000000000005E-4</v>
      </c>
      <c r="AI389" s="172">
        <v>3.2476574392594701E-3</v>
      </c>
      <c r="AJ389" s="172">
        <v>4.8537837171669401E-4</v>
      </c>
    </row>
    <row r="390" spans="1:36">
      <c r="A390" s="2">
        <v>161</v>
      </c>
      <c r="B390" s="2">
        <v>9943</v>
      </c>
      <c r="C390" s="2" t="s">
        <v>2525</v>
      </c>
      <c r="D390" s="2" t="s">
        <v>2526</v>
      </c>
      <c r="E390" s="4" t="s">
        <v>1363</v>
      </c>
      <c r="F390" s="2" t="s">
        <v>2527</v>
      </c>
      <c r="G390" s="2" t="s">
        <v>2528</v>
      </c>
      <c r="H390" s="2" t="s">
        <v>223</v>
      </c>
      <c r="I390" s="2" t="s">
        <v>1013</v>
      </c>
      <c r="J390" s="2" t="s">
        <v>30</v>
      </c>
      <c r="K390" s="2" t="s">
        <v>30</v>
      </c>
      <c r="L390" s="2" t="s">
        <v>377</v>
      </c>
      <c r="M390" s="2" t="s">
        <v>31</v>
      </c>
      <c r="N390" s="2" t="s">
        <v>488</v>
      </c>
      <c r="O390" s="2" t="s">
        <v>173</v>
      </c>
      <c r="P390" s="2" t="s">
        <v>225</v>
      </c>
      <c r="Q390" s="2" t="s">
        <v>226</v>
      </c>
      <c r="R390" s="2" t="s">
        <v>226</v>
      </c>
      <c r="S390" s="2" t="s">
        <v>34</v>
      </c>
      <c r="T390" s="156">
        <v>3.3919999999999999</v>
      </c>
      <c r="U390" s="2" t="s">
        <v>85</v>
      </c>
      <c r="V390" s="170">
        <v>5.5E-2</v>
      </c>
      <c r="W390" s="172">
        <v>7.0499999999999993E-2</v>
      </c>
      <c r="X390" s="4" t="s">
        <v>461</v>
      </c>
      <c r="Y390" s="4" t="s">
        <v>173</v>
      </c>
      <c r="Z390" s="156">
        <v>56728</v>
      </c>
      <c r="AA390" s="166">
        <v>1</v>
      </c>
      <c r="AB390" s="183">
        <v>95.4</v>
      </c>
      <c r="AD390" s="156">
        <v>54.119</v>
      </c>
      <c r="AG390" s="2" t="s">
        <v>36</v>
      </c>
      <c r="AH390" s="172">
        <v>2.1599999999999999E-4</v>
      </c>
      <c r="AI390" s="172">
        <v>1.9858200931629799E-4</v>
      </c>
      <c r="AJ390" s="172">
        <v>2.96790576398207E-5</v>
      </c>
    </row>
    <row r="391" spans="1:36">
      <c r="A391" s="2">
        <v>161</v>
      </c>
      <c r="B391" s="2">
        <v>9943</v>
      </c>
      <c r="C391" s="2" t="s">
        <v>1632</v>
      </c>
      <c r="D391" s="2" t="s">
        <v>1633</v>
      </c>
      <c r="E391" s="4" t="s">
        <v>1363</v>
      </c>
      <c r="F391" s="2" t="s">
        <v>2074</v>
      </c>
      <c r="G391" s="2" t="s">
        <v>2075</v>
      </c>
      <c r="H391" s="2" t="s">
        <v>223</v>
      </c>
      <c r="I391" s="2" t="s">
        <v>804</v>
      </c>
      <c r="J391" s="2" t="s">
        <v>30</v>
      </c>
      <c r="K391" s="2" t="s">
        <v>30</v>
      </c>
      <c r="L391" s="2" t="s">
        <v>377</v>
      </c>
      <c r="M391" s="2" t="s">
        <v>31</v>
      </c>
      <c r="N391" s="2" t="s">
        <v>511</v>
      </c>
      <c r="O391" s="2" t="s">
        <v>173</v>
      </c>
      <c r="P391" s="2" t="s">
        <v>1374</v>
      </c>
      <c r="Q391" s="2" t="s">
        <v>462</v>
      </c>
      <c r="R391" s="2" t="s">
        <v>456</v>
      </c>
      <c r="S391" s="2" t="s">
        <v>34</v>
      </c>
      <c r="T391" s="156">
        <v>6.9109999999999996</v>
      </c>
      <c r="U391" s="2" t="s">
        <v>2076</v>
      </c>
      <c r="V391" s="170">
        <v>2.5600000000000001E-2</v>
      </c>
      <c r="W391" s="172">
        <v>4.2349999999999999E-2</v>
      </c>
      <c r="X391" s="4" t="s">
        <v>461</v>
      </c>
      <c r="Y391" s="4" t="s">
        <v>173</v>
      </c>
      <c r="Z391" s="156">
        <v>1473063</v>
      </c>
      <c r="AA391" s="166">
        <v>1</v>
      </c>
      <c r="AB391" s="183">
        <v>97.49</v>
      </c>
      <c r="AD391" s="156">
        <v>1436.0889999999999</v>
      </c>
      <c r="AG391" s="2" t="s">
        <v>36</v>
      </c>
      <c r="AH391" s="172">
        <v>1.402E-3</v>
      </c>
      <c r="AI391" s="172">
        <v>5.2695732423078904E-3</v>
      </c>
      <c r="AJ391" s="172">
        <v>7.8756362942529804E-4</v>
      </c>
    </row>
    <row r="392" spans="1:36">
      <c r="A392" s="2">
        <v>161</v>
      </c>
      <c r="B392" s="2">
        <v>9943</v>
      </c>
      <c r="C392" s="2" t="s">
        <v>1632</v>
      </c>
      <c r="D392" s="2" t="s">
        <v>1633</v>
      </c>
      <c r="E392" s="4" t="s">
        <v>1363</v>
      </c>
      <c r="F392" s="2" t="s">
        <v>2529</v>
      </c>
      <c r="G392" s="2" t="s">
        <v>2530</v>
      </c>
      <c r="H392" s="2" t="s">
        <v>223</v>
      </c>
      <c r="I392" s="2" t="s">
        <v>1013</v>
      </c>
      <c r="J392" s="2" t="s">
        <v>30</v>
      </c>
      <c r="K392" s="2" t="s">
        <v>30</v>
      </c>
      <c r="L392" s="2" t="s">
        <v>377</v>
      </c>
      <c r="M392" s="2" t="s">
        <v>31</v>
      </c>
      <c r="N392" s="2" t="s">
        <v>511</v>
      </c>
      <c r="O392" s="2" t="s">
        <v>173</v>
      </c>
      <c r="P392" s="2" t="s">
        <v>1374</v>
      </c>
      <c r="Q392" s="2" t="s">
        <v>462</v>
      </c>
      <c r="R392" s="2" t="s">
        <v>456</v>
      </c>
      <c r="S392" s="2" t="s">
        <v>34</v>
      </c>
      <c r="T392" s="156">
        <v>6.2430000000000003</v>
      </c>
      <c r="U392" s="2" t="s">
        <v>2076</v>
      </c>
      <c r="V392" s="170">
        <v>4.9399999999999999E-2</v>
      </c>
      <c r="W392" s="172">
        <v>6.6839999999999997E-2</v>
      </c>
      <c r="X392" s="4" t="s">
        <v>461</v>
      </c>
      <c r="Y392" s="4" t="s">
        <v>173</v>
      </c>
      <c r="Z392" s="156">
        <v>3907828</v>
      </c>
      <c r="AA392" s="166">
        <v>1</v>
      </c>
      <c r="AB392" s="183">
        <v>92.67</v>
      </c>
      <c r="AD392" s="156">
        <v>3621.384</v>
      </c>
      <c r="AG392" s="2" t="s">
        <v>36</v>
      </c>
      <c r="AH392" s="172">
        <v>4.3540000000000002E-3</v>
      </c>
      <c r="AI392" s="172">
        <v>1.32882765226716E-2</v>
      </c>
      <c r="AJ392" s="172">
        <v>1.98599825939961E-3</v>
      </c>
    </row>
    <row r="393" spans="1:36">
      <c r="A393" s="2">
        <v>161</v>
      </c>
      <c r="B393" s="2">
        <v>9943</v>
      </c>
      <c r="C393" s="2" t="s">
        <v>2080</v>
      </c>
      <c r="D393" s="2" t="s">
        <v>2081</v>
      </c>
      <c r="E393" s="4" t="s">
        <v>1363</v>
      </c>
      <c r="F393" s="2" t="s">
        <v>2082</v>
      </c>
      <c r="G393" s="2" t="s">
        <v>2083</v>
      </c>
      <c r="H393" s="2" t="s">
        <v>223</v>
      </c>
      <c r="I393" s="2" t="s">
        <v>1013</v>
      </c>
      <c r="J393" s="2" t="s">
        <v>30</v>
      </c>
      <c r="K393" s="2" t="s">
        <v>30</v>
      </c>
      <c r="L393" s="2" t="s">
        <v>377</v>
      </c>
      <c r="M393" s="2" t="s">
        <v>31</v>
      </c>
      <c r="N393" s="2" t="s">
        <v>498</v>
      </c>
      <c r="O393" s="2" t="s">
        <v>173</v>
      </c>
      <c r="P393" s="2" t="s">
        <v>2061</v>
      </c>
      <c r="Q393" s="2" t="s">
        <v>462</v>
      </c>
      <c r="R393" s="2" t="s">
        <v>456</v>
      </c>
      <c r="S393" s="2" t="s">
        <v>34</v>
      </c>
      <c r="T393" s="156">
        <v>2.2240000000000002</v>
      </c>
      <c r="U393" s="2" t="s">
        <v>2084</v>
      </c>
      <c r="V393" s="170">
        <v>0.04</v>
      </c>
      <c r="W393" s="172">
        <v>5.774E-2</v>
      </c>
      <c r="X393" s="4" t="s">
        <v>461</v>
      </c>
      <c r="Y393" s="4" t="s">
        <v>173</v>
      </c>
      <c r="Z393" s="156">
        <v>66399</v>
      </c>
      <c r="AA393" s="166">
        <v>1</v>
      </c>
      <c r="AB393" s="183">
        <v>96.04</v>
      </c>
      <c r="AD393" s="156">
        <v>63.77</v>
      </c>
      <c r="AG393" s="2" t="s">
        <v>36</v>
      </c>
      <c r="AH393" s="172">
        <v>9.7999999999999997E-5</v>
      </c>
      <c r="AI393" s="172">
        <v>2.3399562836952801E-4</v>
      </c>
      <c r="AJ393" s="172">
        <v>3.4971797121781303E-5</v>
      </c>
    </row>
    <row r="394" spans="1:36">
      <c r="A394" s="2">
        <v>161</v>
      </c>
      <c r="B394" s="2">
        <v>9943</v>
      </c>
      <c r="C394" s="2" t="s">
        <v>1636</v>
      </c>
      <c r="D394" s="2" t="s">
        <v>1637</v>
      </c>
      <c r="E394" s="4" t="s">
        <v>1363</v>
      </c>
      <c r="F394" s="2" t="s">
        <v>2415</v>
      </c>
      <c r="G394" s="2" t="s">
        <v>2416</v>
      </c>
      <c r="H394" s="2" t="s">
        <v>223</v>
      </c>
      <c r="I394" s="2" t="s">
        <v>804</v>
      </c>
      <c r="J394" s="2" t="s">
        <v>30</v>
      </c>
      <c r="K394" s="2" t="s">
        <v>30</v>
      </c>
      <c r="L394" s="2" t="s">
        <v>377</v>
      </c>
      <c r="M394" s="2" t="s">
        <v>31</v>
      </c>
      <c r="N394" s="2" t="s">
        <v>511</v>
      </c>
      <c r="O394" s="2" t="s">
        <v>173</v>
      </c>
      <c r="P394" s="2" t="s">
        <v>2052</v>
      </c>
      <c r="Q394" s="2" t="s">
        <v>462</v>
      </c>
      <c r="R394" s="2" t="s">
        <v>456</v>
      </c>
      <c r="S394" s="2" t="s">
        <v>34</v>
      </c>
      <c r="T394" s="156">
        <v>2.1819999999999999</v>
      </c>
      <c r="U394" s="2" t="s">
        <v>2417</v>
      </c>
      <c r="V394" s="170">
        <v>3.2000000000000001E-2</v>
      </c>
      <c r="W394" s="172">
        <v>2.647E-2</v>
      </c>
      <c r="X394" s="4" t="s">
        <v>461</v>
      </c>
      <c r="Y394" s="4" t="s">
        <v>173</v>
      </c>
      <c r="Z394" s="156">
        <v>1875000</v>
      </c>
      <c r="AA394" s="166">
        <v>1</v>
      </c>
      <c r="AB394" s="183">
        <v>117.37</v>
      </c>
      <c r="AD394" s="156">
        <v>2200.6880000000001</v>
      </c>
      <c r="AG394" s="2" t="s">
        <v>36</v>
      </c>
      <c r="AH394" s="172">
        <v>1.7819999999999999E-3</v>
      </c>
      <c r="AI394" s="172">
        <v>8.0751840632141102E-3</v>
      </c>
      <c r="AJ394" s="172">
        <v>1.2068759606644901E-3</v>
      </c>
    </row>
    <row r="395" spans="1:36">
      <c r="A395" s="2">
        <v>161</v>
      </c>
      <c r="B395" s="2">
        <v>9943</v>
      </c>
      <c r="C395" s="2" t="s">
        <v>1636</v>
      </c>
      <c r="D395" s="2" t="s">
        <v>1637</v>
      </c>
      <c r="E395" s="4" t="s">
        <v>1363</v>
      </c>
      <c r="F395" s="2" t="s">
        <v>2088</v>
      </c>
      <c r="G395" s="2" t="s">
        <v>2089</v>
      </c>
      <c r="H395" s="2" t="s">
        <v>223</v>
      </c>
      <c r="I395" s="2" t="s">
        <v>1013</v>
      </c>
      <c r="J395" s="2" t="s">
        <v>30</v>
      </c>
      <c r="K395" s="2" t="s">
        <v>30</v>
      </c>
      <c r="L395" s="2" t="s">
        <v>377</v>
      </c>
      <c r="M395" s="2" t="s">
        <v>31</v>
      </c>
      <c r="N395" s="2" t="s">
        <v>511</v>
      </c>
      <c r="O395" s="2" t="s">
        <v>173</v>
      </c>
      <c r="P395" s="2" t="s">
        <v>2052</v>
      </c>
      <c r="Q395" s="2" t="s">
        <v>462</v>
      </c>
      <c r="R395" s="2" t="s">
        <v>456</v>
      </c>
      <c r="S395" s="2" t="s">
        <v>34</v>
      </c>
      <c r="T395" s="156">
        <v>5.2549999999999999</v>
      </c>
      <c r="U395" s="2" t="s">
        <v>2090</v>
      </c>
      <c r="V395" s="170">
        <v>2.4400000000000002E-2</v>
      </c>
      <c r="W395" s="172">
        <v>5.9060000000000001E-2</v>
      </c>
      <c r="X395" s="4" t="s">
        <v>461</v>
      </c>
      <c r="Y395" s="4" t="s">
        <v>173</v>
      </c>
      <c r="Z395" s="156">
        <v>1714784</v>
      </c>
      <c r="AA395" s="166">
        <v>1</v>
      </c>
      <c r="AB395" s="183">
        <v>85.33</v>
      </c>
      <c r="AD395" s="156">
        <v>1463.2249999999999</v>
      </c>
      <c r="AG395" s="2" t="s">
        <v>36</v>
      </c>
      <c r="AH395" s="172">
        <v>1.4109999999999999E-3</v>
      </c>
      <c r="AI395" s="172">
        <v>5.3691461021025998E-3</v>
      </c>
      <c r="AJ395" s="172">
        <v>8.0244528288113696E-4</v>
      </c>
    </row>
    <row r="396" spans="1:36">
      <c r="A396" s="2">
        <v>161</v>
      </c>
      <c r="B396" s="2">
        <v>9943</v>
      </c>
      <c r="C396" s="2" t="s">
        <v>1636</v>
      </c>
      <c r="D396" s="2" t="s">
        <v>1637</v>
      </c>
      <c r="E396" s="4" t="s">
        <v>1363</v>
      </c>
      <c r="F396" s="2" t="s">
        <v>2091</v>
      </c>
      <c r="G396" s="2" t="s">
        <v>2092</v>
      </c>
      <c r="H396" s="2" t="s">
        <v>223</v>
      </c>
      <c r="I396" s="2" t="s">
        <v>804</v>
      </c>
      <c r="J396" s="2" t="s">
        <v>30</v>
      </c>
      <c r="K396" s="2" t="s">
        <v>30</v>
      </c>
      <c r="L396" s="2" t="s">
        <v>377</v>
      </c>
      <c r="M396" s="2" t="s">
        <v>31</v>
      </c>
      <c r="N396" s="2" t="s">
        <v>511</v>
      </c>
      <c r="O396" s="2" t="s">
        <v>173</v>
      </c>
      <c r="P396" s="2" t="s">
        <v>2052</v>
      </c>
      <c r="Q396" s="2" t="s">
        <v>462</v>
      </c>
      <c r="R396" s="2" t="s">
        <v>456</v>
      </c>
      <c r="S396" s="2" t="s">
        <v>34</v>
      </c>
      <c r="T396" s="156">
        <v>5.5579999999999998</v>
      </c>
      <c r="U396" s="2" t="s">
        <v>2090</v>
      </c>
      <c r="V396" s="170">
        <v>9.1999999999999998E-3</v>
      </c>
      <c r="W396" s="172">
        <v>3.3070000000000002E-2</v>
      </c>
      <c r="X396" s="4" t="s">
        <v>461</v>
      </c>
      <c r="Y396" s="4" t="s">
        <v>173</v>
      </c>
      <c r="Z396" s="156">
        <v>903251</v>
      </c>
      <c r="AA396" s="166">
        <v>1</v>
      </c>
      <c r="AB396" s="183">
        <v>102.12</v>
      </c>
      <c r="AD396" s="156">
        <v>922.4</v>
      </c>
      <c r="AG396" s="2" t="s">
        <v>36</v>
      </c>
      <c r="AH396" s="172">
        <v>3.4900000000000003E-4</v>
      </c>
      <c r="AI396" s="172">
        <v>3.38464645415771E-3</v>
      </c>
      <c r="AJ396" s="172">
        <v>5.0585205351286904E-4</v>
      </c>
    </row>
    <row r="397" spans="1:36">
      <c r="A397" s="2">
        <v>161</v>
      </c>
      <c r="B397" s="2">
        <v>9943</v>
      </c>
      <c r="C397" s="2" t="s">
        <v>1640</v>
      </c>
      <c r="D397" s="2" t="s">
        <v>1641</v>
      </c>
      <c r="E397" s="4" t="s">
        <v>1363</v>
      </c>
      <c r="F397" s="2" t="s">
        <v>2098</v>
      </c>
      <c r="G397" s="2" t="s">
        <v>2099</v>
      </c>
      <c r="H397" s="2" t="s">
        <v>223</v>
      </c>
      <c r="I397" s="2" t="s">
        <v>1013</v>
      </c>
      <c r="J397" s="2" t="s">
        <v>30</v>
      </c>
      <c r="K397" s="2" t="s">
        <v>91</v>
      </c>
      <c r="L397" s="2" t="s">
        <v>377</v>
      </c>
      <c r="M397" s="2" t="s">
        <v>31</v>
      </c>
      <c r="N397" s="2" t="s">
        <v>488</v>
      </c>
      <c r="O397" s="2" t="s">
        <v>173</v>
      </c>
      <c r="P397" s="2" t="s">
        <v>2100</v>
      </c>
      <c r="Q397" s="2" t="s">
        <v>464</v>
      </c>
      <c r="R397" s="2" t="s">
        <v>456</v>
      </c>
      <c r="S397" s="2" t="s">
        <v>34</v>
      </c>
      <c r="T397" s="156">
        <v>1.736</v>
      </c>
      <c r="U397" s="2" t="s">
        <v>2101</v>
      </c>
      <c r="V397" s="170">
        <v>3.4500000000000003E-2</v>
      </c>
      <c r="W397" s="172">
        <v>5.7250000000000002E-2</v>
      </c>
      <c r="X397" s="4" t="s">
        <v>461</v>
      </c>
      <c r="Y397" s="4" t="s">
        <v>173</v>
      </c>
      <c r="Z397" s="156">
        <v>67876.759999999995</v>
      </c>
      <c r="AA397" s="166">
        <v>1</v>
      </c>
      <c r="AB397" s="183">
        <v>96.61</v>
      </c>
      <c r="AD397" s="156">
        <v>65.575999999999993</v>
      </c>
      <c r="AG397" s="2" t="s">
        <v>36</v>
      </c>
      <c r="AH397" s="172">
        <v>1.06E-4</v>
      </c>
      <c r="AI397" s="172">
        <v>2.4062305670694901E-4</v>
      </c>
      <c r="AJ397" s="172">
        <v>3.5962298871196101E-5</v>
      </c>
    </row>
    <row r="398" spans="1:36">
      <c r="A398" s="2">
        <v>161</v>
      </c>
      <c r="B398" s="2">
        <v>9943</v>
      </c>
      <c r="C398" s="2" t="s">
        <v>1640</v>
      </c>
      <c r="D398" s="2" t="s">
        <v>1641</v>
      </c>
      <c r="E398" s="4" t="s">
        <v>1363</v>
      </c>
      <c r="F398" s="2" t="s">
        <v>2102</v>
      </c>
      <c r="G398" s="2" t="s">
        <v>2103</v>
      </c>
      <c r="H398" s="2" t="s">
        <v>223</v>
      </c>
      <c r="I398" s="2" t="s">
        <v>1013</v>
      </c>
      <c r="J398" s="2" t="s">
        <v>30</v>
      </c>
      <c r="K398" s="2" t="s">
        <v>91</v>
      </c>
      <c r="L398" s="2" t="s">
        <v>377</v>
      </c>
      <c r="M398" s="2" t="s">
        <v>31</v>
      </c>
      <c r="N398" s="2" t="s">
        <v>488</v>
      </c>
      <c r="O398" s="2" t="s">
        <v>173</v>
      </c>
      <c r="P398" s="2" t="s">
        <v>2100</v>
      </c>
      <c r="Q398" s="2" t="s">
        <v>464</v>
      </c>
      <c r="R398" s="2" t="s">
        <v>456</v>
      </c>
      <c r="S398" s="2" t="s">
        <v>34</v>
      </c>
      <c r="T398" s="156">
        <v>3.7589999999999999</v>
      </c>
      <c r="U398" s="2" t="s">
        <v>2104</v>
      </c>
      <c r="V398" s="170">
        <v>1.4999999999999999E-2</v>
      </c>
      <c r="W398" s="172">
        <v>5.9859999999999997E-2</v>
      </c>
      <c r="X398" s="4" t="s">
        <v>461</v>
      </c>
      <c r="Y398" s="4" t="s">
        <v>173</v>
      </c>
      <c r="Z398" s="156">
        <v>90686</v>
      </c>
      <c r="AA398" s="166">
        <v>1</v>
      </c>
      <c r="AB398" s="183">
        <v>85.02</v>
      </c>
      <c r="AD398" s="156">
        <v>77.100999999999999</v>
      </c>
      <c r="AG398" s="2" t="s">
        <v>36</v>
      </c>
      <c r="AH398" s="172">
        <v>2.3499999999999999E-4</v>
      </c>
      <c r="AI398" s="172">
        <v>2.8291462640267202E-4</v>
      </c>
      <c r="AJ398" s="172">
        <v>4.2282981892781599E-5</v>
      </c>
    </row>
    <row r="399" spans="1:36">
      <c r="A399" s="2">
        <v>161</v>
      </c>
      <c r="B399" s="2">
        <v>9943</v>
      </c>
      <c r="C399" s="2" t="s">
        <v>2531</v>
      </c>
      <c r="D399" s="2" t="s">
        <v>2532</v>
      </c>
      <c r="E399" s="4" t="s">
        <v>1363</v>
      </c>
      <c r="F399" s="2" t="s">
        <v>2533</v>
      </c>
      <c r="G399" s="2" t="s">
        <v>2534</v>
      </c>
      <c r="H399" s="2" t="s">
        <v>223</v>
      </c>
      <c r="I399" s="2" t="s">
        <v>804</v>
      </c>
      <c r="J399" s="2" t="s">
        <v>30</v>
      </c>
      <c r="K399" s="2" t="s">
        <v>30</v>
      </c>
      <c r="L399" s="2" t="s">
        <v>377</v>
      </c>
      <c r="M399" s="2" t="s">
        <v>31</v>
      </c>
      <c r="N399" s="2" t="s">
        <v>512</v>
      </c>
      <c r="O399" s="2" t="s">
        <v>173</v>
      </c>
      <c r="P399" s="2" t="s">
        <v>2100</v>
      </c>
      <c r="Q399" s="2" t="s">
        <v>464</v>
      </c>
      <c r="R399" s="2" t="s">
        <v>456</v>
      </c>
      <c r="S399" s="2" t="s">
        <v>34</v>
      </c>
      <c r="T399" s="156">
        <v>1.7330000000000001</v>
      </c>
      <c r="U399" s="2" t="s">
        <v>2535</v>
      </c>
      <c r="V399" s="170">
        <v>2.5700000000000001E-2</v>
      </c>
      <c r="W399" s="172">
        <v>3.109E-2</v>
      </c>
      <c r="X399" s="4" t="s">
        <v>461</v>
      </c>
      <c r="Y399" s="4" t="s">
        <v>173</v>
      </c>
      <c r="Z399" s="156">
        <v>308344</v>
      </c>
      <c r="AA399" s="166">
        <v>1</v>
      </c>
      <c r="AB399" s="183">
        <v>116.88</v>
      </c>
      <c r="AD399" s="156">
        <v>360.392</v>
      </c>
      <c r="AG399" s="2" t="s">
        <v>36</v>
      </c>
      <c r="AH399" s="172">
        <v>2.4000000000000001E-4</v>
      </c>
      <c r="AI399" s="172">
        <v>1.32242106506983E-3</v>
      </c>
      <c r="AJ399" s="172">
        <v>1.9764232998471901E-4</v>
      </c>
    </row>
    <row r="400" spans="1:36">
      <c r="A400" s="2">
        <v>161</v>
      </c>
      <c r="B400" s="2">
        <v>9943</v>
      </c>
      <c r="C400" s="2" t="s">
        <v>2531</v>
      </c>
      <c r="D400" s="2" t="s">
        <v>2532</v>
      </c>
      <c r="E400" s="4" t="s">
        <v>1363</v>
      </c>
      <c r="F400" s="2" t="s">
        <v>2536</v>
      </c>
      <c r="G400" s="2" t="s">
        <v>2537</v>
      </c>
      <c r="H400" s="2" t="s">
        <v>223</v>
      </c>
      <c r="I400" s="2" t="s">
        <v>804</v>
      </c>
      <c r="J400" s="2" t="s">
        <v>30</v>
      </c>
      <c r="K400" s="2" t="s">
        <v>30</v>
      </c>
      <c r="L400" s="2" t="s">
        <v>377</v>
      </c>
      <c r="M400" s="2" t="s">
        <v>31</v>
      </c>
      <c r="N400" s="2" t="s">
        <v>512</v>
      </c>
      <c r="O400" s="2" t="s">
        <v>173</v>
      </c>
      <c r="P400" s="2" t="s">
        <v>2100</v>
      </c>
      <c r="Q400" s="2" t="s">
        <v>464</v>
      </c>
      <c r="R400" s="2" t="s">
        <v>456</v>
      </c>
      <c r="S400" s="2" t="s">
        <v>34</v>
      </c>
      <c r="T400" s="156">
        <v>4.1399999999999997</v>
      </c>
      <c r="U400" s="2" t="s">
        <v>2263</v>
      </c>
      <c r="V400" s="170">
        <v>1.09E-2</v>
      </c>
      <c r="W400" s="172">
        <v>3.3939999999999998E-2</v>
      </c>
      <c r="X400" s="4" t="s">
        <v>461</v>
      </c>
      <c r="Y400" s="4" t="s">
        <v>173</v>
      </c>
      <c r="Z400" s="156">
        <v>77969</v>
      </c>
      <c r="AA400" s="166">
        <v>1</v>
      </c>
      <c r="AB400" s="183">
        <v>103.89</v>
      </c>
      <c r="AD400" s="156">
        <v>81.001999999999995</v>
      </c>
      <c r="AG400" s="2" t="s">
        <v>36</v>
      </c>
      <c r="AH400" s="172">
        <v>1.1E-4</v>
      </c>
      <c r="AI400" s="172">
        <v>2.9722803071534798E-4</v>
      </c>
      <c r="AJ400" s="172">
        <v>4.4422190540536598E-5</v>
      </c>
    </row>
    <row r="401" spans="1:36">
      <c r="A401" s="2">
        <v>161</v>
      </c>
      <c r="B401" s="2">
        <v>9943</v>
      </c>
      <c r="C401" s="2" t="s">
        <v>2538</v>
      </c>
      <c r="D401" s="2" t="s">
        <v>2539</v>
      </c>
      <c r="E401" s="4" t="s">
        <v>1363</v>
      </c>
      <c r="F401" s="2" t="s">
        <v>2540</v>
      </c>
      <c r="G401" s="2" t="s">
        <v>2541</v>
      </c>
      <c r="H401" s="2" t="s">
        <v>223</v>
      </c>
      <c r="I401" s="2" t="s">
        <v>1013</v>
      </c>
      <c r="J401" s="2" t="s">
        <v>30</v>
      </c>
      <c r="K401" s="2" t="s">
        <v>30</v>
      </c>
      <c r="L401" s="2" t="s">
        <v>377</v>
      </c>
      <c r="M401" s="2" t="s">
        <v>31</v>
      </c>
      <c r="N401" s="2" t="s">
        <v>494</v>
      </c>
      <c r="O401" s="2" t="s">
        <v>173</v>
      </c>
      <c r="P401" s="2" t="s">
        <v>225</v>
      </c>
      <c r="Q401" s="2" t="s">
        <v>226</v>
      </c>
      <c r="R401" s="2" t="s">
        <v>226</v>
      </c>
      <c r="S401" s="2" t="s">
        <v>34</v>
      </c>
      <c r="T401" s="156">
        <v>2.052</v>
      </c>
      <c r="U401" s="2" t="s">
        <v>2370</v>
      </c>
      <c r="V401" s="170">
        <v>8.5000000000000006E-2</v>
      </c>
      <c r="W401" s="172">
        <v>7.1099999999999997E-2</v>
      </c>
      <c r="X401" s="4" t="s">
        <v>461</v>
      </c>
      <c r="Y401" s="4" t="s">
        <v>173</v>
      </c>
      <c r="Z401" s="156">
        <v>68588</v>
      </c>
      <c r="AA401" s="166">
        <v>1</v>
      </c>
      <c r="AB401" s="183">
        <v>105.22</v>
      </c>
      <c r="AD401" s="156">
        <v>72.168000000000006</v>
      </c>
      <c r="AG401" s="2" t="s">
        <v>36</v>
      </c>
      <c r="AH401" s="172">
        <v>5.2800000000000004E-4</v>
      </c>
      <c r="AI401" s="172">
        <v>2.6481372496007599E-4</v>
      </c>
      <c r="AJ401" s="172">
        <v>3.9577713177367101E-5</v>
      </c>
    </row>
    <row r="402" spans="1:36">
      <c r="A402" s="2">
        <v>161</v>
      </c>
      <c r="B402" s="2">
        <v>9943</v>
      </c>
      <c r="C402" s="2" t="s">
        <v>2542</v>
      </c>
      <c r="D402" s="2" t="s">
        <v>2543</v>
      </c>
      <c r="E402" s="4" t="s">
        <v>1363</v>
      </c>
      <c r="F402" s="2" t="s">
        <v>2544</v>
      </c>
      <c r="G402" s="2" t="s">
        <v>2545</v>
      </c>
      <c r="H402" s="2" t="s">
        <v>223</v>
      </c>
      <c r="I402" s="2" t="s">
        <v>804</v>
      </c>
      <c r="J402" s="2" t="s">
        <v>30</v>
      </c>
      <c r="K402" s="2" t="s">
        <v>30</v>
      </c>
      <c r="L402" s="2" t="s">
        <v>377</v>
      </c>
      <c r="M402" s="2" t="s">
        <v>31</v>
      </c>
      <c r="N402" s="2" t="s">
        <v>498</v>
      </c>
      <c r="O402" s="2" t="s">
        <v>173</v>
      </c>
      <c r="P402" s="2" t="s">
        <v>2041</v>
      </c>
      <c r="Q402" s="2" t="s">
        <v>462</v>
      </c>
      <c r="R402" s="2" t="s">
        <v>456</v>
      </c>
      <c r="S402" s="2" t="s">
        <v>34</v>
      </c>
      <c r="T402" s="156">
        <v>2.609</v>
      </c>
      <c r="U402" s="2" t="s">
        <v>2546</v>
      </c>
      <c r="V402" s="170">
        <v>2.8799999999999999E-2</v>
      </c>
      <c r="W402" s="172">
        <v>3.2969999999999999E-2</v>
      </c>
      <c r="X402" s="4" t="s">
        <v>461</v>
      </c>
      <c r="Y402" s="4" t="s">
        <v>173</v>
      </c>
      <c r="Z402" s="156">
        <v>124899.1</v>
      </c>
      <c r="AA402" s="166">
        <v>1</v>
      </c>
      <c r="AB402" s="183">
        <v>114.19</v>
      </c>
      <c r="AD402" s="156">
        <v>142.62200000000001</v>
      </c>
      <c r="AG402" s="2" t="s">
        <v>36</v>
      </c>
      <c r="AH402" s="172">
        <v>5.5599999999999996E-4</v>
      </c>
      <c r="AI402" s="172">
        <v>5.2333699401093195E-4</v>
      </c>
      <c r="AJ402" s="172">
        <v>7.8215286791471399E-5</v>
      </c>
    </row>
    <row r="403" spans="1:36">
      <c r="A403" s="2">
        <v>161</v>
      </c>
      <c r="B403" s="2">
        <v>9943</v>
      </c>
      <c r="C403" s="2" t="s">
        <v>2547</v>
      </c>
      <c r="D403" s="2" t="s">
        <v>2548</v>
      </c>
      <c r="E403" s="4" t="s">
        <v>1363</v>
      </c>
      <c r="F403" s="2" t="s">
        <v>2549</v>
      </c>
      <c r="G403" s="2" t="s">
        <v>2550</v>
      </c>
      <c r="H403" s="2" t="s">
        <v>223</v>
      </c>
      <c r="I403" s="2" t="s">
        <v>1013</v>
      </c>
      <c r="J403" s="2" t="s">
        <v>30</v>
      </c>
      <c r="K403" s="2" t="s">
        <v>30</v>
      </c>
      <c r="L403" s="2" t="s">
        <v>377</v>
      </c>
      <c r="M403" s="2" t="s">
        <v>31</v>
      </c>
      <c r="N403" s="2" t="s">
        <v>498</v>
      </c>
      <c r="O403" s="2" t="s">
        <v>173</v>
      </c>
      <c r="P403" s="2" t="s">
        <v>2052</v>
      </c>
      <c r="Q403" s="2" t="s">
        <v>462</v>
      </c>
      <c r="R403" s="2" t="s">
        <v>456</v>
      </c>
      <c r="S403" s="2" t="s">
        <v>34</v>
      </c>
      <c r="T403" s="156">
        <v>2.8660000000000001</v>
      </c>
      <c r="U403" s="2" t="s">
        <v>2551</v>
      </c>
      <c r="V403" s="170">
        <v>1.6400000000000001E-2</v>
      </c>
      <c r="W403" s="172">
        <v>5.4919999999999997E-2</v>
      </c>
      <c r="X403" s="4" t="s">
        <v>461</v>
      </c>
      <c r="Y403" s="4" t="s">
        <v>173</v>
      </c>
      <c r="Z403" s="156">
        <v>1788174</v>
      </c>
      <c r="AA403" s="166">
        <v>1</v>
      </c>
      <c r="AB403" s="183">
        <v>89.72</v>
      </c>
      <c r="AD403" s="156">
        <v>1604.35</v>
      </c>
      <c r="AG403" s="2" t="s">
        <v>36</v>
      </c>
      <c r="AH403" s="172">
        <v>5.7120000000000001E-3</v>
      </c>
      <c r="AI403" s="172">
        <v>5.8869872404076901E-3</v>
      </c>
      <c r="AJ403" s="172">
        <v>8.7983918701646795E-4</v>
      </c>
    </row>
    <row r="404" spans="1:36">
      <c r="A404" s="2">
        <v>161</v>
      </c>
      <c r="B404" s="2">
        <v>9943</v>
      </c>
      <c r="C404" s="2" t="s">
        <v>2048</v>
      </c>
      <c r="D404" s="2" t="s">
        <v>2049</v>
      </c>
      <c r="E404" s="4" t="s">
        <v>1363</v>
      </c>
      <c r="F404" s="2" t="s">
        <v>2110</v>
      </c>
      <c r="G404" s="2" t="s">
        <v>2111</v>
      </c>
      <c r="H404" s="2" t="s">
        <v>223</v>
      </c>
      <c r="I404" s="2" t="s">
        <v>804</v>
      </c>
      <c r="J404" s="2" t="s">
        <v>30</v>
      </c>
      <c r="K404" s="2" t="s">
        <v>30</v>
      </c>
      <c r="L404" s="2" t="s">
        <v>377</v>
      </c>
      <c r="M404" s="2" t="s">
        <v>31</v>
      </c>
      <c r="N404" s="2" t="s">
        <v>511</v>
      </c>
      <c r="O404" s="2" t="s">
        <v>173</v>
      </c>
      <c r="P404" s="2" t="s">
        <v>2052</v>
      </c>
      <c r="Q404" s="2" t="s">
        <v>462</v>
      </c>
      <c r="R404" s="2" t="s">
        <v>456</v>
      </c>
      <c r="S404" s="2" t="s">
        <v>34</v>
      </c>
      <c r="T404" s="156">
        <v>5.3609999999999998</v>
      </c>
      <c r="U404" s="2" t="s">
        <v>2112</v>
      </c>
      <c r="V404" s="170">
        <v>6.4999999999999997E-3</v>
      </c>
      <c r="W404" s="172">
        <v>3.3059999999999999E-2</v>
      </c>
      <c r="X404" s="4" t="s">
        <v>461</v>
      </c>
      <c r="Y404" s="4" t="s">
        <v>173</v>
      </c>
      <c r="Z404" s="156">
        <v>204428.13</v>
      </c>
      <c r="AA404" s="166">
        <v>1</v>
      </c>
      <c r="AB404" s="183">
        <v>99.45</v>
      </c>
      <c r="AD404" s="156">
        <v>203.304</v>
      </c>
      <c r="AG404" s="2" t="s">
        <v>36</v>
      </c>
      <c r="AH404" s="172">
        <v>9.1000000000000003E-5</v>
      </c>
      <c r="AI404" s="172">
        <v>7.4600115017361404E-4</v>
      </c>
      <c r="AJ404" s="172">
        <v>1.1149353967966899E-4</v>
      </c>
    </row>
    <row r="405" spans="1:36">
      <c r="A405" s="2">
        <v>161</v>
      </c>
      <c r="B405" s="2">
        <v>9943</v>
      </c>
      <c r="C405" s="2" t="s">
        <v>2552</v>
      </c>
      <c r="D405" s="2" t="s">
        <v>2553</v>
      </c>
      <c r="E405" s="4" t="s">
        <v>1363</v>
      </c>
      <c r="F405" s="2" t="s">
        <v>2554</v>
      </c>
      <c r="G405" s="2" t="s">
        <v>2555</v>
      </c>
      <c r="H405" s="2" t="s">
        <v>223</v>
      </c>
      <c r="I405" s="2" t="s">
        <v>804</v>
      </c>
      <c r="J405" s="2" t="s">
        <v>30</v>
      </c>
      <c r="K405" s="2" t="s">
        <v>30</v>
      </c>
      <c r="L405" s="2" t="s">
        <v>377</v>
      </c>
      <c r="M405" s="2" t="s">
        <v>31</v>
      </c>
      <c r="N405" s="2" t="s">
        <v>511</v>
      </c>
      <c r="O405" s="2" t="s">
        <v>173</v>
      </c>
      <c r="P405" s="2" t="s">
        <v>2061</v>
      </c>
      <c r="Q405" s="2" t="s">
        <v>462</v>
      </c>
      <c r="R405" s="2" t="s">
        <v>456</v>
      </c>
      <c r="S405" s="2" t="s">
        <v>34</v>
      </c>
      <c r="T405" s="156">
        <v>3.899</v>
      </c>
      <c r="U405" s="2" t="s">
        <v>2263</v>
      </c>
      <c r="V405" s="170">
        <v>1.5299999999999999E-2</v>
      </c>
      <c r="W405" s="172">
        <v>2.8510000000000001E-2</v>
      </c>
      <c r="X405" s="4" t="s">
        <v>461</v>
      </c>
      <c r="Y405" s="4" t="s">
        <v>173</v>
      </c>
      <c r="Z405" s="156">
        <v>1069198.8799999999</v>
      </c>
      <c r="AA405" s="166">
        <v>1</v>
      </c>
      <c r="AB405" s="183">
        <v>110.2</v>
      </c>
      <c r="AD405" s="156">
        <v>1178.2570000000001</v>
      </c>
      <c r="AG405" s="2" t="s">
        <v>36</v>
      </c>
      <c r="AH405" s="172">
        <v>2.862E-3</v>
      </c>
      <c r="AI405" s="172">
        <v>4.3234868591351498E-3</v>
      </c>
      <c r="AJ405" s="172">
        <v>6.4616636793566598E-4</v>
      </c>
    </row>
    <row r="406" spans="1:36">
      <c r="A406" s="2">
        <v>161</v>
      </c>
      <c r="B406" s="2">
        <v>9943</v>
      </c>
      <c r="C406" s="2" t="s">
        <v>1818</v>
      </c>
      <c r="D406" s="2" t="s">
        <v>1819</v>
      </c>
      <c r="E406" s="4" t="s">
        <v>1363</v>
      </c>
      <c r="F406" s="2" t="s">
        <v>2556</v>
      </c>
      <c r="G406" s="2" t="s">
        <v>2557</v>
      </c>
      <c r="H406" s="2" t="s">
        <v>223</v>
      </c>
      <c r="I406" s="2" t="s">
        <v>804</v>
      </c>
      <c r="J406" s="2" t="s">
        <v>30</v>
      </c>
      <c r="K406" s="2" t="s">
        <v>30</v>
      </c>
      <c r="L406" s="2" t="s">
        <v>377</v>
      </c>
      <c r="M406" s="2" t="s">
        <v>31</v>
      </c>
      <c r="N406" s="2" t="s">
        <v>494</v>
      </c>
      <c r="O406" s="2" t="s">
        <v>173</v>
      </c>
      <c r="P406" s="2" t="s">
        <v>2100</v>
      </c>
      <c r="Q406" s="2" t="s">
        <v>462</v>
      </c>
      <c r="R406" s="2" t="s">
        <v>456</v>
      </c>
      <c r="S406" s="2" t="s">
        <v>34</v>
      </c>
      <c r="T406" s="156">
        <v>3.2589999999999999</v>
      </c>
      <c r="U406" s="2" t="s">
        <v>2151</v>
      </c>
      <c r="V406" s="170">
        <v>7.4999999999999997E-3</v>
      </c>
      <c r="W406" s="172">
        <v>3.5130000000000002E-2</v>
      </c>
      <c r="X406" s="4" t="s">
        <v>461</v>
      </c>
      <c r="Y406" s="4" t="s">
        <v>173</v>
      </c>
      <c r="Z406" s="156">
        <v>2580000</v>
      </c>
      <c r="AA406" s="166">
        <v>1</v>
      </c>
      <c r="AB406" s="183">
        <v>103.23</v>
      </c>
      <c r="AD406" s="156">
        <v>2663.3339999999998</v>
      </c>
      <c r="AG406" s="2" t="s">
        <v>36</v>
      </c>
      <c r="AH406" s="172">
        <v>1.676E-3</v>
      </c>
      <c r="AI406" s="172">
        <v>9.7728152097089106E-3</v>
      </c>
      <c r="AJ406" s="172">
        <v>1.46059528207454E-3</v>
      </c>
    </row>
    <row r="407" spans="1:36">
      <c r="A407" s="2">
        <v>161</v>
      </c>
      <c r="B407" s="2">
        <v>9943</v>
      </c>
      <c r="C407" s="2" t="s">
        <v>1818</v>
      </c>
      <c r="D407" s="2" t="s">
        <v>1819</v>
      </c>
      <c r="E407" s="4" t="s">
        <v>1363</v>
      </c>
      <c r="F407" s="2" t="s">
        <v>2558</v>
      </c>
      <c r="G407" s="2" t="s">
        <v>2559</v>
      </c>
      <c r="H407" s="2" t="s">
        <v>223</v>
      </c>
      <c r="I407" s="2" t="s">
        <v>804</v>
      </c>
      <c r="J407" s="2" t="s">
        <v>30</v>
      </c>
      <c r="K407" s="2" t="s">
        <v>30</v>
      </c>
      <c r="L407" s="2" t="s">
        <v>377</v>
      </c>
      <c r="M407" s="2" t="s">
        <v>31</v>
      </c>
      <c r="N407" s="2" t="s">
        <v>494</v>
      </c>
      <c r="O407" s="2" t="s">
        <v>173</v>
      </c>
      <c r="P407" s="2" t="s">
        <v>2100</v>
      </c>
      <c r="Q407" s="2" t="s">
        <v>462</v>
      </c>
      <c r="R407" s="2" t="s">
        <v>456</v>
      </c>
      <c r="S407" s="2" t="s">
        <v>34</v>
      </c>
      <c r="T407" s="156">
        <v>5.4690000000000003</v>
      </c>
      <c r="U407" s="2" t="s">
        <v>2560</v>
      </c>
      <c r="V407" s="170">
        <v>4.0800000000000003E-2</v>
      </c>
      <c r="W407" s="172">
        <v>3.984E-2</v>
      </c>
      <c r="X407" s="4" t="s">
        <v>461</v>
      </c>
      <c r="Y407" s="4" t="s">
        <v>173</v>
      </c>
      <c r="Z407" s="156">
        <v>2942763</v>
      </c>
      <c r="AA407" s="166">
        <v>1</v>
      </c>
      <c r="AB407" s="183">
        <v>105.93</v>
      </c>
      <c r="AD407" s="156">
        <v>3117.2689999999998</v>
      </c>
      <c r="AG407" s="2" t="s">
        <v>36</v>
      </c>
      <c r="AH407" s="172">
        <v>8.4080000000000005E-3</v>
      </c>
      <c r="AI407" s="172">
        <v>1.14384798864744E-2</v>
      </c>
      <c r="AJ407" s="172">
        <v>1.70953705741731E-3</v>
      </c>
    </row>
    <row r="408" spans="1:36">
      <c r="A408" s="2">
        <v>161</v>
      </c>
      <c r="B408" s="2">
        <v>9943</v>
      </c>
      <c r="C408" s="2" t="s">
        <v>1652</v>
      </c>
      <c r="D408" s="2" t="s">
        <v>1653</v>
      </c>
      <c r="E408" s="4" t="s">
        <v>1363</v>
      </c>
      <c r="F408" s="2" t="s">
        <v>2561</v>
      </c>
      <c r="G408" s="2" t="s">
        <v>2562</v>
      </c>
      <c r="H408" s="2" t="s">
        <v>223</v>
      </c>
      <c r="I408" s="2" t="s">
        <v>1013</v>
      </c>
      <c r="J408" s="2" t="s">
        <v>30</v>
      </c>
      <c r="K408" s="2" t="s">
        <v>30</v>
      </c>
      <c r="L408" s="2" t="s">
        <v>377</v>
      </c>
      <c r="M408" s="2" t="s">
        <v>31</v>
      </c>
      <c r="N408" s="2" t="s">
        <v>532</v>
      </c>
      <c r="O408" s="2" t="s">
        <v>173</v>
      </c>
      <c r="P408" s="2" t="s">
        <v>2052</v>
      </c>
      <c r="Q408" s="2" t="s">
        <v>462</v>
      </c>
      <c r="R408" s="2" t="s">
        <v>456</v>
      </c>
      <c r="S408" s="2" t="s">
        <v>34</v>
      </c>
      <c r="T408" s="156">
        <v>7.8520000000000003</v>
      </c>
      <c r="U408" s="2" t="s">
        <v>2563</v>
      </c>
      <c r="V408" s="170">
        <v>2.7900000000000001E-2</v>
      </c>
      <c r="W408" s="172">
        <v>5.7049999999999997E-2</v>
      </c>
      <c r="X408" s="4" t="s">
        <v>461</v>
      </c>
      <c r="Y408" s="4" t="s">
        <v>173</v>
      </c>
      <c r="Z408" s="156">
        <v>1253187</v>
      </c>
      <c r="AA408" s="166">
        <v>1</v>
      </c>
      <c r="AB408" s="183">
        <v>80.900000000000006</v>
      </c>
      <c r="AD408" s="156">
        <v>1013.828</v>
      </c>
      <c r="AG408" s="2" t="s">
        <v>36</v>
      </c>
      <c r="AH408" s="172">
        <v>1.454E-3</v>
      </c>
      <c r="AI408" s="172">
        <v>3.7201329101552699E-3</v>
      </c>
      <c r="AJ408" s="172">
        <v>5.55992153813051E-4</v>
      </c>
    </row>
    <row r="409" spans="1:36">
      <c r="A409" s="2">
        <v>161</v>
      </c>
      <c r="B409" s="2">
        <v>9943</v>
      </c>
      <c r="C409" s="2" t="s">
        <v>1652</v>
      </c>
      <c r="D409" s="2" t="s">
        <v>1653</v>
      </c>
      <c r="E409" s="4" t="s">
        <v>1363</v>
      </c>
      <c r="F409" s="2" t="s">
        <v>2564</v>
      </c>
      <c r="G409" s="2" t="s">
        <v>2565</v>
      </c>
      <c r="H409" s="2" t="s">
        <v>223</v>
      </c>
      <c r="I409" s="2" t="s">
        <v>804</v>
      </c>
      <c r="J409" s="2" t="s">
        <v>30</v>
      </c>
      <c r="K409" s="2" t="s">
        <v>30</v>
      </c>
      <c r="L409" s="2" t="s">
        <v>377</v>
      </c>
      <c r="M409" s="2" t="s">
        <v>31</v>
      </c>
      <c r="N409" s="2" t="s">
        <v>532</v>
      </c>
      <c r="O409" s="2" t="s">
        <v>173</v>
      </c>
      <c r="P409" s="2" t="s">
        <v>2052</v>
      </c>
      <c r="Q409" s="2" t="s">
        <v>462</v>
      </c>
      <c r="R409" s="2" t="s">
        <v>456</v>
      </c>
      <c r="S409" s="2" t="s">
        <v>34</v>
      </c>
      <c r="T409" s="156">
        <v>8.3659999999999997</v>
      </c>
      <c r="U409" s="2" t="s">
        <v>2566</v>
      </c>
      <c r="V409" s="170">
        <v>5.7999999999999996E-3</v>
      </c>
      <c r="W409" s="172">
        <v>3.1609999999999999E-2</v>
      </c>
      <c r="X409" s="4" t="s">
        <v>461</v>
      </c>
      <c r="Y409" s="4" t="s">
        <v>173</v>
      </c>
      <c r="Z409" s="156">
        <v>1450000</v>
      </c>
      <c r="AA409" s="166">
        <v>1</v>
      </c>
      <c r="AB409" s="183">
        <v>91.2</v>
      </c>
      <c r="AD409" s="156">
        <v>1322.4</v>
      </c>
      <c r="AG409" s="2" t="s">
        <v>36</v>
      </c>
      <c r="AH409" s="172">
        <v>3.0309999999999998E-3</v>
      </c>
      <c r="AI409" s="172">
        <v>4.8524033535858003E-3</v>
      </c>
      <c r="AJ409" s="172">
        <v>7.2521553850000303E-4</v>
      </c>
    </row>
    <row r="410" spans="1:36">
      <c r="A410" s="2">
        <v>161</v>
      </c>
      <c r="B410" s="2">
        <v>9943</v>
      </c>
      <c r="C410" s="2" t="s">
        <v>1822</v>
      </c>
      <c r="D410" s="2" t="s">
        <v>1823</v>
      </c>
      <c r="E410" s="4" t="s">
        <v>1363</v>
      </c>
      <c r="F410" s="2" t="s">
        <v>2567</v>
      </c>
      <c r="G410" s="2" t="s">
        <v>2568</v>
      </c>
      <c r="H410" s="2" t="s">
        <v>223</v>
      </c>
      <c r="I410" s="2" t="s">
        <v>804</v>
      </c>
      <c r="J410" s="2" t="s">
        <v>30</v>
      </c>
      <c r="K410" s="2" t="s">
        <v>30</v>
      </c>
      <c r="L410" s="2" t="s">
        <v>377</v>
      </c>
      <c r="M410" s="2" t="s">
        <v>31</v>
      </c>
      <c r="N410" s="2" t="s">
        <v>511</v>
      </c>
      <c r="O410" s="2" t="s">
        <v>173</v>
      </c>
      <c r="P410" s="2" t="s">
        <v>1374</v>
      </c>
      <c r="Q410" s="2" t="s">
        <v>462</v>
      </c>
      <c r="R410" s="2" t="s">
        <v>456</v>
      </c>
      <c r="S410" s="2" t="s">
        <v>34</v>
      </c>
      <c r="T410" s="156">
        <v>1.196</v>
      </c>
      <c r="U410" s="2" t="s">
        <v>2569</v>
      </c>
      <c r="V410" s="170">
        <v>1.95E-2</v>
      </c>
      <c r="W410" s="172">
        <v>2.5569999999999999E-2</v>
      </c>
      <c r="X410" s="4" t="s">
        <v>461</v>
      </c>
      <c r="Y410" s="4" t="s">
        <v>173</v>
      </c>
      <c r="Z410" s="156">
        <v>2400000</v>
      </c>
      <c r="AA410" s="166">
        <v>1</v>
      </c>
      <c r="AB410" s="183">
        <v>116.19</v>
      </c>
      <c r="AD410" s="156">
        <v>2788.56</v>
      </c>
      <c r="AG410" s="2" t="s">
        <v>36</v>
      </c>
      <c r="AH410" s="172">
        <v>4.7520000000000001E-3</v>
      </c>
      <c r="AI410" s="172">
        <v>1.0232318432906199E-2</v>
      </c>
      <c r="AJ410" s="172">
        <v>1.52927029797305E-3</v>
      </c>
    </row>
    <row r="411" spans="1:36">
      <c r="A411" s="2">
        <v>161</v>
      </c>
      <c r="B411" s="2">
        <v>9943</v>
      </c>
      <c r="C411" s="2" t="s">
        <v>1822</v>
      </c>
      <c r="D411" s="2" t="s">
        <v>1823</v>
      </c>
      <c r="E411" s="4" t="s">
        <v>1363</v>
      </c>
      <c r="F411" s="2" t="s">
        <v>2116</v>
      </c>
      <c r="G411" s="2" t="s">
        <v>2117</v>
      </c>
      <c r="H411" s="2" t="s">
        <v>223</v>
      </c>
      <c r="I411" s="2" t="s">
        <v>804</v>
      </c>
      <c r="J411" s="2" t="s">
        <v>30</v>
      </c>
      <c r="K411" s="2" t="s">
        <v>30</v>
      </c>
      <c r="L411" s="2" t="s">
        <v>377</v>
      </c>
      <c r="M411" s="2" t="s">
        <v>31</v>
      </c>
      <c r="N411" s="2" t="s">
        <v>511</v>
      </c>
      <c r="O411" s="2" t="s">
        <v>173</v>
      </c>
      <c r="P411" s="2" t="s">
        <v>1374</v>
      </c>
      <c r="Q411" s="2" t="s">
        <v>464</v>
      </c>
      <c r="R411" s="2" t="s">
        <v>456</v>
      </c>
      <c r="S411" s="2" t="s">
        <v>34</v>
      </c>
      <c r="T411" s="156">
        <v>4.4729999999999999</v>
      </c>
      <c r="U411" s="2" t="s">
        <v>2118</v>
      </c>
      <c r="V411" s="170">
        <v>1.17E-2</v>
      </c>
      <c r="W411" s="172">
        <v>3.1579999999999997E-2</v>
      </c>
      <c r="X411" s="4" t="s">
        <v>461</v>
      </c>
      <c r="Y411" s="4" t="s">
        <v>173</v>
      </c>
      <c r="Z411" s="156">
        <v>883646.7</v>
      </c>
      <c r="AA411" s="166">
        <v>1</v>
      </c>
      <c r="AB411" s="183">
        <v>105.29</v>
      </c>
      <c r="AD411" s="156">
        <v>930.39200000000005</v>
      </c>
      <c r="AG411" s="2" t="s">
        <v>36</v>
      </c>
      <c r="AH411" s="172">
        <v>1.2830000000000001E-3</v>
      </c>
      <c r="AI411" s="172">
        <v>3.4139710908942999E-3</v>
      </c>
      <c r="AJ411" s="172">
        <v>5.1023476465054203E-4</v>
      </c>
    </row>
    <row r="412" spans="1:36">
      <c r="A412" s="2">
        <v>161</v>
      </c>
      <c r="B412" s="2">
        <v>9943</v>
      </c>
      <c r="C412" s="2" t="s">
        <v>1822</v>
      </c>
      <c r="D412" s="2" t="s">
        <v>1823</v>
      </c>
      <c r="E412" s="4" t="s">
        <v>1363</v>
      </c>
      <c r="F412" s="2" t="s">
        <v>2570</v>
      </c>
      <c r="G412" s="2" t="s">
        <v>2571</v>
      </c>
      <c r="H412" s="2" t="s">
        <v>223</v>
      </c>
      <c r="I412" s="2" t="s">
        <v>804</v>
      </c>
      <c r="J412" s="2" t="s">
        <v>30</v>
      </c>
      <c r="K412" s="2" t="s">
        <v>30</v>
      </c>
      <c r="L412" s="2" t="s">
        <v>377</v>
      </c>
      <c r="M412" s="2" t="s">
        <v>31</v>
      </c>
      <c r="N412" s="2" t="s">
        <v>511</v>
      </c>
      <c r="O412" s="2" t="s">
        <v>173</v>
      </c>
      <c r="P412" s="2" t="s">
        <v>1374</v>
      </c>
      <c r="Q412" s="2" t="s">
        <v>464</v>
      </c>
      <c r="R412" s="2" t="s">
        <v>456</v>
      </c>
      <c r="S412" s="2" t="s">
        <v>34</v>
      </c>
      <c r="T412" s="156">
        <v>4.3570000000000002</v>
      </c>
      <c r="U412" s="2" t="s">
        <v>2572</v>
      </c>
      <c r="V412" s="170">
        <v>1.3299999999999999E-2</v>
      </c>
      <c r="W412" s="172">
        <v>3.1530000000000002E-2</v>
      </c>
      <c r="X412" s="4" t="s">
        <v>461</v>
      </c>
      <c r="Y412" s="4" t="s">
        <v>173</v>
      </c>
      <c r="Z412" s="156">
        <v>1577736</v>
      </c>
      <c r="AA412" s="166">
        <v>1</v>
      </c>
      <c r="AB412" s="183">
        <v>106.76</v>
      </c>
      <c r="AD412" s="156">
        <v>1684.3910000000001</v>
      </c>
      <c r="AG412" s="2" t="s">
        <v>36</v>
      </c>
      <c r="AH412" s="172">
        <v>1.3290000000000001E-3</v>
      </c>
      <c r="AI412" s="172">
        <v>6.1806898911057296E-3</v>
      </c>
      <c r="AJ412" s="172">
        <v>9.23734492180548E-4</v>
      </c>
    </row>
    <row r="413" spans="1:36">
      <c r="A413" s="2">
        <v>161</v>
      </c>
      <c r="B413" s="2">
        <v>9943</v>
      </c>
      <c r="C413" s="2" t="s">
        <v>1919</v>
      </c>
      <c r="D413" s="2" t="s">
        <v>1920</v>
      </c>
      <c r="E413" s="4" t="s">
        <v>1363</v>
      </c>
      <c r="F413" s="2" t="s">
        <v>2119</v>
      </c>
      <c r="G413" s="2" t="s">
        <v>2120</v>
      </c>
      <c r="H413" s="2" t="s">
        <v>223</v>
      </c>
      <c r="I413" s="2" t="s">
        <v>1013</v>
      </c>
      <c r="J413" s="2" t="s">
        <v>30</v>
      </c>
      <c r="K413" s="2" t="s">
        <v>30</v>
      </c>
      <c r="L413" s="2" t="s">
        <v>377</v>
      </c>
      <c r="M413" s="2" t="s">
        <v>31</v>
      </c>
      <c r="N413" s="2" t="s">
        <v>487</v>
      </c>
      <c r="O413" s="2" t="s">
        <v>173</v>
      </c>
      <c r="P413" s="2" t="s">
        <v>2041</v>
      </c>
      <c r="Q413" s="2" t="s">
        <v>464</v>
      </c>
      <c r="R413" s="2" t="s">
        <v>456</v>
      </c>
      <c r="S413" s="2" t="s">
        <v>34</v>
      </c>
      <c r="T413" s="156">
        <v>3.0009999999999999</v>
      </c>
      <c r="U413" s="2" t="s">
        <v>2056</v>
      </c>
      <c r="V413" s="170">
        <v>7.2499999999999995E-2</v>
      </c>
      <c r="W413" s="172">
        <v>6.3950000000000007E-2</v>
      </c>
      <c r="X413" s="4" t="s">
        <v>461</v>
      </c>
      <c r="Y413" s="4" t="s">
        <v>173</v>
      </c>
      <c r="Z413" s="156">
        <v>327783</v>
      </c>
      <c r="AA413" s="166">
        <v>1</v>
      </c>
      <c r="AB413" s="183">
        <v>105.92</v>
      </c>
      <c r="AD413" s="156">
        <v>347.18799999999999</v>
      </c>
      <c r="AG413" s="2" t="s">
        <v>36</v>
      </c>
      <c r="AH413" s="172">
        <v>4.55E-4</v>
      </c>
      <c r="AI413" s="172">
        <v>1.2739678008866901E-3</v>
      </c>
      <c r="AJ413" s="172">
        <v>1.90400751427428E-4</v>
      </c>
    </row>
    <row r="414" spans="1:36">
      <c r="A414" s="2">
        <v>161</v>
      </c>
      <c r="B414" s="2">
        <v>9943</v>
      </c>
      <c r="C414" s="2" t="s">
        <v>2418</v>
      </c>
      <c r="D414" s="2" t="s">
        <v>2419</v>
      </c>
      <c r="E414" s="4" t="s">
        <v>1363</v>
      </c>
      <c r="F414" s="2" t="s">
        <v>2573</v>
      </c>
      <c r="G414" s="2" t="s">
        <v>2574</v>
      </c>
      <c r="H414" s="2" t="s">
        <v>223</v>
      </c>
      <c r="I414" s="2" t="s">
        <v>1013</v>
      </c>
      <c r="J414" s="2" t="s">
        <v>30</v>
      </c>
      <c r="K414" s="2" t="s">
        <v>30</v>
      </c>
      <c r="L414" s="2" t="s">
        <v>377</v>
      </c>
      <c r="M414" s="2" t="s">
        <v>31</v>
      </c>
      <c r="N414" s="2" t="s">
        <v>487</v>
      </c>
      <c r="O414" s="2" t="s">
        <v>173</v>
      </c>
      <c r="P414" s="2" t="s">
        <v>2061</v>
      </c>
      <c r="Q414" s="2" t="s">
        <v>462</v>
      </c>
      <c r="R414" s="2" t="s">
        <v>456</v>
      </c>
      <c r="S414" s="2" t="s">
        <v>34</v>
      </c>
      <c r="T414" s="156">
        <v>4.0220000000000002</v>
      </c>
      <c r="U414" s="2" t="s">
        <v>2575</v>
      </c>
      <c r="V414" s="170">
        <v>5.7500000000000002E-2</v>
      </c>
      <c r="W414" s="172">
        <v>6.4329999999999998E-2</v>
      </c>
      <c r="X414" s="4" t="s">
        <v>461</v>
      </c>
      <c r="Y414" s="4" t="s">
        <v>173</v>
      </c>
      <c r="Z414" s="156">
        <v>469937</v>
      </c>
      <c r="AA414" s="166">
        <v>1</v>
      </c>
      <c r="AB414" s="183">
        <v>97.51</v>
      </c>
      <c r="AD414" s="156">
        <v>458.23599999999999</v>
      </c>
      <c r="AG414" s="2" t="s">
        <v>36</v>
      </c>
      <c r="AH414" s="172">
        <v>8.9499999999999996E-4</v>
      </c>
      <c r="AI414" s="172">
        <v>1.6814457125621401E-3</v>
      </c>
      <c r="AJ414" s="172">
        <v>2.5130032873156799E-4</v>
      </c>
    </row>
    <row r="415" spans="1:36">
      <c r="A415" s="2">
        <v>161</v>
      </c>
      <c r="B415" s="2">
        <v>9943</v>
      </c>
      <c r="C415" s="2" t="s">
        <v>1830</v>
      </c>
      <c r="D415" s="2" t="s">
        <v>1831</v>
      </c>
      <c r="E415" s="4" t="s">
        <v>1363</v>
      </c>
      <c r="F415" s="2" t="s">
        <v>2576</v>
      </c>
      <c r="G415" s="2" t="s">
        <v>2577</v>
      </c>
      <c r="H415" s="2" t="s">
        <v>223</v>
      </c>
      <c r="I415" s="2" t="s">
        <v>1013</v>
      </c>
      <c r="J415" s="2" t="s">
        <v>30</v>
      </c>
      <c r="K415" s="2" t="s">
        <v>30</v>
      </c>
      <c r="L415" s="2" t="s">
        <v>377</v>
      </c>
      <c r="M415" s="2" t="s">
        <v>31</v>
      </c>
      <c r="N415" s="2" t="s">
        <v>511</v>
      </c>
      <c r="O415" s="2" t="s">
        <v>173</v>
      </c>
      <c r="P415" s="2" t="s">
        <v>2052</v>
      </c>
      <c r="Q415" s="2" t="s">
        <v>462</v>
      </c>
      <c r="R415" s="2" t="s">
        <v>456</v>
      </c>
      <c r="S415" s="2" t="s">
        <v>34</v>
      </c>
      <c r="T415" s="156">
        <v>5.14</v>
      </c>
      <c r="U415" s="2" t="s">
        <v>2345</v>
      </c>
      <c r="V415" s="170">
        <v>2.5499999999999998E-2</v>
      </c>
      <c r="W415" s="172">
        <v>6.0060000000000002E-2</v>
      </c>
      <c r="X415" s="4" t="s">
        <v>461</v>
      </c>
      <c r="Y415" s="4" t="s">
        <v>173</v>
      </c>
      <c r="Z415" s="156">
        <v>2083781.25</v>
      </c>
      <c r="AA415" s="166">
        <v>1</v>
      </c>
      <c r="AB415" s="183">
        <v>84.61</v>
      </c>
      <c r="AD415" s="156">
        <v>1763.087</v>
      </c>
      <c r="AG415" s="2" t="s">
        <v>36</v>
      </c>
      <c r="AH415" s="172">
        <v>1.2019999999999999E-3</v>
      </c>
      <c r="AI415" s="172">
        <v>6.4694576550236903E-3</v>
      </c>
      <c r="AJ415" s="172">
        <v>9.6689225425250199E-4</v>
      </c>
    </row>
    <row r="416" spans="1:36">
      <c r="A416" s="2">
        <v>161</v>
      </c>
      <c r="B416" s="2">
        <v>9943</v>
      </c>
      <c r="C416" s="2" t="s">
        <v>1830</v>
      </c>
      <c r="D416" s="2" t="s">
        <v>1831</v>
      </c>
      <c r="E416" s="4" t="s">
        <v>1363</v>
      </c>
      <c r="F416" s="2" t="s">
        <v>2578</v>
      </c>
      <c r="G416" s="2" t="s">
        <v>2579</v>
      </c>
      <c r="H416" s="2" t="s">
        <v>223</v>
      </c>
      <c r="I416" s="2" t="s">
        <v>804</v>
      </c>
      <c r="J416" s="2" t="s">
        <v>30</v>
      </c>
      <c r="K416" s="2" t="s">
        <v>30</v>
      </c>
      <c r="L416" s="2" t="s">
        <v>377</v>
      </c>
      <c r="M416" s="2" t="s">
        <v>31</v>
      </c>
      <c r="N416" s="2" t="s">
        <v>511</v>
      </c>
      <c r="O416" s="2" t="s">
        <v>173</v>
      </c>
      <c r="P416" s="2" t="s">
        <v>2052</v>
      </c>
      <c r="Q416" s="2" t="s">
        <v>462</v>
      </c>
      <c r="R416" s="2" t="s">
        <v>456</v>
      </c>
      <c r="S416" s="2" t="s">
        <v>34</v>
      </c>
      <c r="T416" s="156">
        <v>5.1369999999999996</v>
      </c>
      <c r="U416" s="2" t="s">
        <v>2580</v>
      </c>
      <c r="V416" s="170">
        <v>5.8999999999999999E-3</v>
      </c>
      <c r="W416" s="172">
        <v>3.3239999999999999E-2</v>
      </c>
      <c r="X416" s="4" t="s">
        <v>461</v>
      </c>
      <c r="Y416" s="4" t="s">
        <v>173</v>
      </c>
      <c r="Z416" s="156">
        <v>208474</v>
      </c>
      <c r="AA416" s="166">
        <v>1</v>
      </c>
      <c r="AB416" s="183">
        <v>97.54</v>
      </c>
      <c r="AD416" s="156">
        <v>203.346</v>
      </c>
      <c r="AG416" s="2" t="s">
        <v>36</v>
      </c>
      <c r="AH416" s="172">
        <v>1.4899999999999999E-4</v>
      </c>
      <c r="AI416" s="172">
        <v>7.4615439979715205E-4</v>
      </c>
      <c r="AJ416" s="172">
        <v>1.1151644358937399E-4</v>
      </c>
    </row>
    <row r="417" spans="1:36">
      <c r="A417" s="2">
        <v>161</v>
      </c>
      <c r="B417" s="2">
        <v>9943</v>
      </c>
      <c r="C417" s="2" t="s">
        <v>1830</v>
      </c>
      <c r="D417" s="2" t="s">
        <v>1831</v>
      </c>
      <c r="E417" s="4" t="s">
        <v>1363</v>
      </c>
      <c r="F417" s="2" t="s">
        <v>2366</v>
      </c>
      <c r="G417" s="2" t="s">
        <v>2367</v>
      </c>
      <c r="H417" s="2" t="s">
        <v>223</v>
      </c>
      <c r="I417" s="2" t="s">
        <v>804</v>
      </c>
      <c r="J417" s="2" t="s">
        <v>30</v>
      </c>
      <c r="K417" s="2" t="s">
        <v>30</v>
      </c>
      <c r="L417" s="2" t="s">
        <v>377</v>
      </c>
      <c r="M417" s="2" t="s">
        <v>55</v>
      </c>
      <c r="N417" s="2" t="s">
        <v>511</v>
      </c>
      <c r="O417" s="2" t="s">
        <v>173</v>
      </c>
      <c r="P417" s="2" t="s">
        <v>2052</v>
      </c>
      <c r="Q417" s="2" t="s">
        <v>462</v>
      </c>
      <c r="R417" s="2" t="s">
        <v>456</v>
      </c>
      <c r="S417" s="2" t="s">
        <v>34</v>
      </c>
      <c r="T417" s="156">
        <v>3.6840000000000002</v>
      </c>
      <c r="U417" s="2" t="s">
        <v>85</v>
      </c>
      <c r="V417" s="170">
        <v>3.3399999999999999E-2</v>
      </c>
      <c r="W417" s="172">
        <v>3.0720000000000001E-2</v>
      </c>
      <c r="X417" s="4" t="s">
        <v>461</v>
      </c>
      <c r="Y417" s="4" t="s">
        <v>173</v>
      </c>
      <c r="Z417" s="156">
        <v>1500168</v>
      </c>
      <c r="AA417" s="166">
        <v>1</v>
      </c>
      <c r="AB417" s="183">
        <v>103.53</v>
      </c>
      <c r="AD417" s="156">
        <v>1553.124</v>
      </c>
      <c r="AG417" s="2" t="s">
        <v>36</v>
      </c>
      <c r="AH417" s="172">
        <v>2.019E-3</v>
      </c>
      <c r="AI417" s="172">
        <v>5.69901978857177E-3</v>
      </c>
      <c r="AJ417" s="172">
        <v>8.5174652717957995E-4</v>
      </c>
    </row>
    <row r="418" spans="1:36">
      <c r="A418" s="2">
        <v>161</v>
      </c>
      <c r="B418" s="2">
        <v>9943</v>
      </c>
      <c r="C418" s="2" t="s">
        <v>1830</v>
      </c>
      <c r="D418" s="2" t="s">
        <v>1831</v>
      </c>
      <c r="E418" s="4" t="s">
        <v>1363</v>
      </c>
      <c r="F418" s="2" t="s">
        <v>2581</v>
      </c>
      <c r="G418" s="2" t="s">
        <v>2582</v>
      </c>
      <c r="H418" s="2" t="s">
        <v>223</v>
      </c>
      <c r="I418" s="2" t="s">
        <v>804</v>
      </c>
      <c r="J418" s="2" t="s">
        <v>30</v>
      </c>
      <c r="K418" s="2" t="s">
        <v>30</v>
      </c>
      <c r="L418" s="2" t="s">
        <v>377</v>
      </c>
      <c r="M418" s="2" t="s">
        <v>31</v>
      </c>
      <c r="N418" s="2" t="s">
        <v>511</v>
      </c>
      <c r="O418" s="2" t="s">
        <v>173</v>
      </c>
      <c r="P418" s="2" t="s">
        <v>2052</v>
      </c>
      <c r="Q418" s="2" t="s">
        <v>462</v>
      </c>
      <c r="R418" s="2" t="s">
        <v>456</v>
      </c>
      <c r="S418" s="2" t="s">
        <v>34</v>
      </c>
      <c r="T418" s="156">
        <v>0.85199999999999998</v>
      </c>
      <c r="U418" s="2" t="s">
        <v>2109</v>
      </c>
      <c r="V418" s="170">
        <v>4.7500000000000001E-2</v>
      </c>
      <c r="W418" s="172">
        <v>2.555E-2</v>
      </c>
      <c r="X418" s="4" t="s">
        <v>461</v>
      </c>
      <c r="Y418" s="4" t="s">
        <v>173</v>
      </c>
      <c r="Z418" s="156">
        <v>465160.72</v>
      </c>
      <c r="AA418" s="166">
        <v>1</v>
      </c>
      <c r="AB418" s="183">
        <v>142.99</v>
      </c>
      <c r="AD418" s="156">
        <v>665.13300000000004</v>
      </c>
      <c r="AG418" s="2" t="s">
        <v>36</v>
      </c>
      <c r="AH418" s="172">
        <v>4.8700000000000002E-4</v>
      </c>
      <c r="AI418" s="172">
        <v>2.4406345441204602E-3</v>
      </c>
      <c r="AJ418" s="172">
        <v>3.64764832232683E-4</v>
      </c>
    </row>
    <row r="419" spans="1:36">
      <c r="A419" s="2">
        <v>161</v>
      </c>
      <c r="B419" s="2">
        <v>9943</v>
      </c>
      <c r="C419" s="2" t="s">
        <v>2126</v>
      </c>
      <c r="D419" s="2" t="s">
        <v>2127</v>
      </c>
      <c r="E419" s="4" t="s">
        <v>1363</v>
      </c>
      <c r="F419" s="2" t="s">
        <v>2428</v>
      </c>
      <c r="G419" s="2" t="s">
        <v>2429</v>
      </c>
      <c r="H419" s="2" t="s">
        <v>223</v>
      </c>
      <c r="I419" s="2" t="s">
        <v>804</v>
      </c>
      <c r="J419" s="2" t="s">
        <v>30</v>
      </c>
      <c r="K419" s="2" t="s">
        <v>350</v>
      </c>
      <c r="L419" s="2" t="s">
        <v>377</v>
      </c>
      <c r="M419" s="2" t="s">
        <v>31</v>
      </c>
      <c r="N419" s="2" t="s">
        <v>512</v>
      </c>
      <c r="O419" s="2" t="s">
        <v>173</v>
      </c>
      <c r="P419" s="2" t="s">
        <v>2041</v>
      </c>
      <c r="Q419" s="2" t="s">
        <v>462</v>
      </c>
      <c r="R419" s="2" t="s">
        <v>456</v>
      </c>
      <c r="S419" s="2" t="s">
        <v>34</v>
      </c>
      <c r="T419" s="156">
        <v>5.5979999999999999</v>
      </c>
      <c r="U419" s="2" t="s">
        <v>2146</v>
      </c>
      <c r="V419" s="170">
        <v>1.7899999999999999E-2</v>
      </c>
      <c r="W419" s="172">
        <v>5.364E-2</v>
      </c>
      <c r="X419" s="4" t="s">
        <v>461</v>
      </c>
      <c r="Y419" s="4" t="s">
        <v>173</v>
      </c>
      <c r="Z419" s="156">
        <v>741597.68</v>
      </c>
      <c r="AA419" s="166">
        <v>1</v>
      </c>
      <c r="AB419" s="183">
        <v>94.44</v>
      </c>
      <c r="AD419" s="156">
        <v>700.36500000000001</v>
      </c>
      <c r="AG419" s="2" t="s">
        <v>36</v>
      </c>
      <c r="AH419" s="172">
        <v>8.52E-4</v>
      </c>
      <c r="AI419" s="172">
        <v>2.5699128417894699E-3</v>
      </c>
      <c r="AJ419" s="172">
        <v>3.8408610942846798E-4</v>
      </c>
    </row>
    <row r="420" spans="1:36">
      <c r="A420" s="2">
        <v>161</v>
      </c>
      <c r="B420" s="2">
        <v>9943</v>
      </c>
      <c r="C420" s="2" t="s">
        <v>2131</v>
      </c>
      <c r="D420" s="2" t="s">
        <v>2132</v>
      </c>
      <c r="E420" s="4" t="s">
        <v>1363</v>
      </c>
      <c r="F420" s="2" t="s">
        <v>2133</v>
      </c>
      <c r="G420" s="2" t="s">
        <v>2134</v>
      </c>
      <c r="H420" s="2" t="s">
        <v>223</v>
      </c>
      <c r="I420" s="2" t="s">
        <v>804</v>
      </c>
      <c r="J420" s="2" t="s">
        <v>30</v>
      </c>
      <c r="K420" s="2" t="s">
        <v>30</v>
      </c>
      <c r="L420" s="2" t="s">
        <v>377</v>
      </c>
      <c r="M420" s="2" t="s">
        <v>31</v>
      </c>
      <c r="N420" s="2" t="s">
        <v>495</v>
      </c>
      <c r="O420" s="2" t="s">
        <v>173</v>
      </c>
      <c r="P420" s="2" t="s">
        <v>1224</v>
      </c>
      <c r="Q420" s="2" t="s">
        <v>462</v>
      </c>
      <c r="R420" s="2" t="s">
        <v>456</v>
      </c>
      <c r="S420" s="2" t="s">
        <v>34</v>
      </c>
      <c r="T420" s="156">
        <v>3.9830000000000001</v>
      </c>
      <c r="U420" s="2" t="s">
        <v>2135</v>
      </c>
      <c r="V420" s="170">
        <v>2E-3</v>
      </c>
      <c r="W420" s="172">
        <v>2.5190000000000001E-2</v>
      </c>
      <c r="X420" s="4" t="s">
        <v>461</v>
      </c>
      <c r="Y420" s="4" t="s">
        <v>173</v>
      </c>
      <c r="Z420" s="156">
        <v>124203.86</v>
      </c>
      <c r="AA420" s="166">
        <v>1</v>
      </c>
      <c r="AB420" s="183">
        <v>102.6</v>
      </c>
      <c r="AD420" s="156">
        <v>127.43300000000001</v>
      </c>
      <c r="AG420" s="2" t="s">
        <v>36</v>
      </c>
      <c r="AH420" s="172">
        <v>3.4E-5</v>
      </c>
      <c r="AI420" s="172">
        <v>4.67602158718164E-4</v>
      </c>
      <c r="AJ420" s="172">
        <v>6.9885441631302599E-5</v>
      </c>
    </row>
    <row r="421" spans="1:36">
      <c r="A421" s="2">
        <v>161</v>
      </c>
      <c r="B421" s="2">
        <v>9943</v>
      </c>
      <c r="C421" s="2" t="s">
        <v>2131</v>
      </c>
      <c r="D421" s="2" t="s">
        <v>2132</v>
      </c>
      <c r="E421" s="4" t="s">
        <v>1363</v>
      </c>
      <c r="F421" s="2" t="s">
        <v>2136</v>
      </c>
      <c r="G421" s="2" t="s">
        <v>2137</v>
      </c>
      <c r="H421" s="2" t="s">
        <v>223</v>
      </c>
      <c r="I421" s="2" t="s">
        <v>1013</v>
      </c>
      <c r="J421" s="2" t="s">
        <v>30</v>
      </c>
      <c r="K421" s="2" t="s">
        <v>30</v>
      </c>
      <c r="L421" s="2" t="s">
        <v>377</v>
      </c>
      <c r="M421" s="2" t="s">
        <v>31</v>
      </c>
      <c r="N421" s="2" t="s">
        <v>495</v>
      </c>
      <c r="O421" s="2" t="s">
        <v>173</v>
      </c>
      <c r="P421" s="2" t="s">
        <v>1224</v>
      </c>
      <c r="Q421" s="2" t="s">
        <v>462</v>
      </c>
      <c r="R421" s="2" t="s">
        <v>456</v>
      </c>
      <c r="S421" s="2" t="s">
        <v>34</v>
      </c>
      <c r="T421" s="156">
        <v>2.1349999999999998</v>
      </c>
      <c r="U421" s="2" t="s">
        <v>2138</v>
      </c>
      <c r="V421" s="170">
        <v>2.6800000000000001E-2</v>
      </c>
      <c r="W421" s="172">
        <v>5.1090000000000003E-2</v>
      </c>
      <c r="X421" s="4" t="s">
        <v>461</v>
      </c>
      <c r="Y421" s="4" t="s">
        <v>173</v>
      </c>
      <c r="Z421" s="156">
        <v>201839.3</v>
      </c>
      <c r="AA421" s="166">
        <v>1</v>
      </c>
      <c r="AB421" s="183">
        <v>95.42</v>
      </c>
      <c r="AD421" s="156">
        <v>192.595</v>
      </c>
      <c r="AG421" s="2" t="s">
        <v>36</v>
      </c>
      <c r="AH421" s="172">
        <v>8.7999999999999998E-5</v>
      </c>
      <c r="AI421" s="172">
        <v>7.0670668127586296E-4</v>
      </c>
      <c r="AJ421" s="172">
        <v>1.05620788107874E-4</v>
      </c>
    </row>
    <row r="422" spans="1:36">
      <c r="A422" s="2">
        <v>161</v>
      </c>
      <c r="B422" s="2">
        <v>9943</v>
      </c>
      <c r="C422" s="2" t="s">
        <v>2131</v>
      </c>
      <c r="D422" s="2" t="s">
        <v>2132</v>
      </c>
      <c r="E422" s="4" t="s">
        <v>1363</v>
      </c>
      <c r="F422" s="2" t="s">
        <v>2583</v>
      </c>
      <c r="G422" s="2" t="s">
        <v>2584</v>
      </c>
      <c r="H422" s="2" t="s">
        <v>223</v>
      </c>
      <c r="I422" s="2" t="s">
        <v>804</v>
      </c>
      <c r="J422" s="2" t="s">
        <v>30</v>
      </c>
      <c r="K422" s="2" t="s">
        <v>30</v>
      </c>
      <c r="L422" s="2" t="s">
        <v>377</v>
      </c>
      <c r="M422" s="2" t="s">
        <v>31</v>
      </c>
      <c r="N422" s="2" t="s">
        <v>495</v>
      </c>
      <c r="O422" s="2" t="s">
        <v>173</v>
      </c>
      <c r="P422" s="2" t="s">
        <v>93</v>
      </c>
      <c r="Q422" s="2" t="s">
        <v>462</v>
      </c>
      <c r="R422" s="2" t="s">
        <v>456</v>
      </c>
      <c r="S422" s="2" t="s">
        <v>34</v>
      </c>
      <c r="T422" s="156">
        <v>0.01</v>
      </c>
      <c r="U422" s="2" t="s">
        <v>2585</v>
      </c>
      <c r="V422" s="170">
        <v>4.7500000000000001E-2</v>
      </c>
      <c r="W422" s="172">
        <v>-1.7000000000000001E-4</v>
      </c>
      <c r="X422" s="4" t="s">
        <v>461</v>
      </c>
      <c r="Y422" s="4" t="s">
        <v>173</v>
      </c>
      <c r="Z422" s="156">
        <v>0</v>
      </c>
      <c r="AA422" s="166">
        <v>1</v>
      </c>
      <c r="AB422" s="183">
        <v>0</v>
      </c>
      <c r="AC422" s="156">
        <v>0</v>
      </c>
      <c r="AD422" s="156">
        <v>0</v>
      </c>
      <c r="AG422" s="2" t="s">
        <v>36</v>
      </c>
      <c r="AH422" s="172">
        <v>0</v>
      </c>
      <c r="AI422" s="172">
        <v>3.6693915257000903E-10</v>
      </c>
      <c r="AJ422" s="172">
        <v>5.4840860443133896E-11</v>
      </c>
    </row>
    <row r="423" spans="1:36">
      <c r="A423" s="2">
        <v>161</v>
      </c>
      <c r="B423" s="2">
        <v>9943</v>
      </c>
      <c r="C423" s="2" t="s">
        <v>2142</v>
      </c>
      <c r="D423" s="2" t="s">
        <v>2143</v>
      </c>
      <c r="E423" s="4" t="s">
        <v>1363</v>
      </c>
      <c r="F423" s="2" t="s">
        <v>2144</v>
      </c>
      <c r="G423" s="2" t="s">
        <v>2145</v>
      </c>
      <c r="H423" s="2" t="s">
        <v>223</v>
      </c>
      <c r="I423" s="2" t="s">
        <v>804</v>
      </c>
      <c r="J423" s="2" t="s">
        <v>30</v>
      </c>
      <c r="K423" s="2" t="s">
        <v>30</v>
      </c>
      <c r="L423" s="2" t="s">
        <v>377</v>
      </c>
      <c r="M423" s="2" t="s">
        <v>31</v>
      </c>
      <c r="N423" s="2" t="s">
        <v>487</v>
      </c>
      <c r="O423" s="2" t="s">
        <v>173</v>
      </c>
      <c r="P423" s="2" t="s">
        <v>2041</v>
      </c>
      <c r="Q423" s="2" t="s">
        <v>464</v>
      </c>
      <c r="R423" s="2" t="s">
        <v>456</v>
      </c>
      <c r="S423" s="2" t="s">
        <v>34</v>
      </c>
      <c r="T423" s="156">
        <v>3.4649999999999999</v>
      </c>
      <c r="U423" s="2" t="s">
        <v>2146</v>
      </c>
      <c r="V423" s="170">
        <v>1.7999999999999999E-2</v>
      </c>
      <c r="W423" s="172">
        <v>3.6589999999999998E-2</v>
      </c>
      <c r="X423" s="4" t="s">
        <v>461</v>
      </c>
      <c r="Y423" s="4" t="s">
        <v>173</v>
      </c>
      <c r="Z423" s="156">
        <v>100507.31</v>
      </c>
      <c r="AA423" s="166">
        <v>1</v>
      </c>
      <c r="AB423" s="183">
        <v>107.89</v>
      </c>
      <c r="AD423" s="156">
        <v>108.437</v>
      </c>
      <c r="AG423" s="2" t="s">
        <v>36</v>
      </c>
      <c r="AH423" s="172">
        <v>1.01E-4</v>
      </c>
      <c r="AI423" s="172">
        <v>3.97899044572961E-4</v>
      </c>
      <c r="AJ423" s="172">
        <v>5.9467968520254297E-5</v>
      </c>
    </row>
    <row r="424" spans="1:36">
      <c r="A424" s="2">
        <v>161</v>
      </c>
      <c r="B424" s="2">
        <v>9943</v>
      </c>
      <c r="C424" s="2" t="s">
        <v>2142</v>
      </c>
      <c r="D424" s="2" t="s">
        <v>2143</v>
      </c>
      <c r="E424" s="4" t="s">
        <v>1363</v>
      </c>
      <c r="F424" s="2" t="s">
        <v>2586</v>
      </c>
      <c r="G424" s="2" t="s">
        <v>2587</v>
      </c>
      <c r="H424" s="2" t="s">
        <v>223</v>
      </c>
      <c r="I424" s="2" t="s">
        <v>804</v>
      </c>
      <c r="J424" s="2" t="s">
        <v>30</v>
      </c>
      <c r="K424" s="2" t="s">
        <v>30</v>
      </c>
      <c r="L424" s="2" t="s">
        <v>377</v>
      </c>
      <c r="M424" s="2" t="s">
        <v>31</v>
      </c>
      <c r="N424" s="2" t="s">
        <v>487</v>
      </c>
      <c r="O424" s="2" t="s">
        <v>173</v>
      </c>
      <c r="P424" s="2" t="s">
        <v>2041</v>
      </c>
      <c r="Q424" s="2" t="s">
        <v>462</v>
      </c>
      <c r="R424" s="2" t="s">
        <v>456</v>
      </c>
      <c r="S424" s="2" t="s">
        <v>34</v>
      </c>
      <c r="T424" s="156">
        <v>5.843</v>
      </c>
      <c r="U424" s="2" t="s">
        <v>2588</v>
      </c>
      <c r="V424" s="170">
        <v>3.3000000000000002E-2</v>
      </c>
      <c r="W424" s="172">
        <v>4.2569999999999997E-2</v>
      </c>
      <c r="X424" s="4" t="s">
        <v>461</v>
      </c>
      <c r="Y424" s="4" t="s">
        <v>173</v>
      </c>
      <c r="Z424" s="156">
        <v>2762601.89</v>
      </c>
      <c r="AA424" s="166">
        <v>1</v>
      </c>
      <c r="AB424" s="183">
        <v>101.08</v>
      </c>
      <c r="AD424" s="156">
        <v>2792.4380000000001</v>
      </c>
      <c r="AG424" s="2" t="s">
        <v>36</v>
      </c>
      <c r="AH424" s="172">
        <v>2.2060000000000001E-3</v>
      </c>
      <c r="AI424" s="172">
        <v>1.0246548298060799E-2</v>
      </c>
      <c r="AJ424" s="172">
        <v>1.5313970212829E-3</v>
      </c>
    </row>
    <row r="425" spans="1:36">
      <c r="A425" s="2">
        <v>161</v>
      </c>
      <c r="B425" s="2">
        <v>9943</v>
      </c>
      <c r="C425" s="2" t="s">
        <v>2589</v>
      </c>
      <c r="D425" s="2" t="s">
        <v>2590</v>
      </c>
      <c r="E425" s="4" t="s">
        <v>1363</v>
      </c>
      <c r="F425" s="2" t="s">
        <v>2591</v>
      </c>
      <c r="G425" s="2" t="s">
        <v>2592</v>
      </c>
      <c r="H425" s="2" t="s">
        <v>223</v>
      </c>
      <c r="I425" s="2" t="s">
        <v>1013</v>
      </c>
      <c r="J425" s="2" t="s">
        <v>30</v>
      </c>
      <c r="K425" s="2" t="s">
        <v>30</v>
      </c>
      <c r="L425" s="2" t="s">
        <v>377</v>
      </c>
      <c r="M425" s="2" t="s">
        <v>31</v>
      </c>
      <c r="N425" s="2" t="s">
        <v>501</v>
      </c>
      <c r="O425" s="2" t="s">
        <v>173</v>
      </c>
      <c r="P425" s="2" t="s">
        <v>2041</v>
      </c>
      <c r="Q425" s="2" t="s">
        <v>464</v>
      </c>
      <c r="R425" s="2" t="s">
        <v>456</v>
      </c>
      <c r="S425" s="2" t="s">
        <v>34</v>
      </c>
      <c r="T425" s="156">
        <v>2.7189999999999999</v>
      </c>
      <c r="U425" s="2" t="s">
        <v>2499</v>
      </c>
      <c r="V425" s="170">
        <v>6.7500000000000004E-2</v>
      </c>
      <c r="W425" s="172">
        <v>6.4380000000000007E-2</v>
      </c>
      <c r="X425" s="4" t="s">
        <v>461</v>
      </c>
      <c r="Y425" s="4" t="s">
        <v>173</v>
      </c>
      <c r="Z425" s="156">
        <v>2838018</v>
      </c>
      <c r="AA425" s="166">
        <v>1</v>
      </c>
      <c r="AB425" s="183">
        <v>102.2</v>
      </c>
      <c r="AD425" s="156">
        <v>2900.4540000000002</v>
      </c>
      <c r="AG425" s="2" t="s">
        <v>36</v>
      </c>
      <c r="AH425" s="172">
        <v>1.622E-3</v>
      </c>
      <c r="AI425" s="172">
        <v>1.0642902781362E-2</v>
      </c>
      <c r="AJ425" s="172">
        <v>1.5906341475271E-3</v>
      </c>
    </row>
    <row r="426" spans="1:36">
      <c r="A426" s="2">
        <v>161</v>
      </c>
      <c r="B426" s="2">
        <v>9943</v>
      </c>
      <c r="C426" s="2" t="s">
        <v>2593</v>
      </c>
      <c r="D426" s="2" t="s">
        <v>2594</v>
      </c>
      <c r="E426" s="4" t="s">
        <v>1363</v>
      </c>
      <c r="F426" s="2" t="s">
        <v>2595</v>
      </c>
      <c r="G426" s="2" t="s">
        <v>2596</v>
      </c>
      <c r="H426" s="2" t="s">
        <v>223</v>
      </c>
      <c r="I426" s="2" t="s">
        <v>1013</v>
      </c>
      <c r="J426" s="2" t="s">
        <v>30</v>
      </c>
      <c r="K426" s="2" t="s">
        <v>30</v>
      </c>
      <c r="L426" s="2" t="s">
        <v>377</v>
      </c>
      <c r="M426" s="2" t="s">
        <v>31</v>
      </c>
      <c r="N426" s="2" t="s">
        <v>484</v>
      </c>
      <c r="O426" s="2" t="s">
        <v>173</v>
      </c>
      <c r="P426" s="2" t="s">
        <v>1374</v>
      </c>
      <c r="Q426" s="2" t="s">
        <v>462</v>
      </c>
      <c r="R426" s="2" t="s">
        <v>456</v>
      </c>
      <c r="S426" s="2" t="s">
        <v>34</v>
      </c>
      <c r="T426" s="156">
        <v>2.266</v>
      </c>
      <c r="U426" s="2" t="s">
        <v>2597</v>
      </c>
      <c r="V426" s="170">
        <v>0.05</v>
      </c>
      <c r="W426" s="172">
        <v>5.3170000000000002E-2</v>
      </c>
      <c r="X426" s="4" t="s">
        <v>461</v>
      </c>
      <c r="Y426" s="4" t="s">
        <v>173</v>
      </c>
      <c r="Z426" s="156">
        <v>924551</v>
      </c>
      <c r="AA426" s="166">
        <v>1</v>
      </c>
      <c r="AB426" s="183">
        <v>99.87</v>
      </c>
      <c r="AD426" s="156">
        <v>923.34900000000005</v>
      </c>
      <c r="AG426" s="2" t="s">
        <v>36</v>
      </c>
      <c r="AH426" s="172">
        <v>4.143E-3</v>
      </c>
      <c r="AI426" s="172">
        <v>3.38812930299172E-3</v>
      </c>
      <c r="AJ426" s="172">
        <v>5.0637258239487305E-4</v>
      </c>
    </row>
    <row r="427" spans="1:36">
      <c r="A427" s="2">
        <v>161</v>
      </c>
      <c r="B427" s="2">
        <v>9943</v>
      </c>
      <c r="C427" s="2" t="s">
        <v>2593</v>
      </c>
      <c r="D427" s="2" t="s">
        <v>2594</v>
      </c>
      <c r="E427" s="4" t="s">
        <v>1363</v>
      </c>
      <c r="F427" s="2" t="s">
        <v>2598</v>
      </c>
      <c r="G427" s="2" t="s">
        <v>2599</v>
      </c>
      <c r="H427" s="2" t="s">
        <v>223</v>
      </c>
      <c r="I427" s="2" t="s">
        <v>805</v>
      </c>
      <c r="J427" s="2" t="s">
        <v>30</v>
      </c>
      <c r="K427" s="2" t="s">
        <v>30</v>
      </c>
      <c r="L427" s="2" t="s">
        <v>377</v>
      </c>
      <c r="M427" s="2" t="s">
        <v>31</v>
      </c>
      <c r="N427" s="2" t="s">
        <v>484</v>
      </c>
      <c r="O427" s="2" t="s">
        <v>173</v>
      </c>
      <c r="P427" s="2" t="s">
        <v>1374</v>
      </c>
      <c r="Q427" s="2" t="s">
        <v>462</v>
      </c>
      <c r="R427" s="2" t="s">
        <v>456</v>
      </c>
      <c r="S427" s="2" t="s">
        <v>34</v>
      </c>
      <c r="T427" s="156">
        <v>1.19</v>
      </c>
      <c r="U427" s="2" t="s">
        <v>2224</v>
      </c>
      <c r="V427" s="170">
        <v>3.85E-2</v>
      </c>
      <c r="W427" s="172">
        <v>7.0010000000000003E-2</v>
      </c>
      <c r="X427" s="4" t="s">
        <v>461</v>
      </c>
      <c r="Y427" s="4" t="s">
        <v>173</v>
      </c>
      <c r="Z427" s="156">
        <v>377142.09</v>
      </c>
      <c r="AA427" s="166">
        <v>1</v>
      </c>
      <c r="AB427" s="183">
        <v>100.31</v>
      </c>
      <c r="AD427" s="156">
        <v>378.31099999999998</v>
      </c>
      <c r="AG427" s="2" t="s">
        <v>36</v>
      </c>
      <c r="AH427" s="172">
        <v>2.2899999999999999E-3</v>
      </c>
      <c r="AI427" s="172">
        <v>1.3881720231968199E-3</v>
      </c>
      <c r="AJ427" s="172">
        <v>2.0746913394769099E-4</v>
      </c>
    </row>
    <row r="428" spans="1:36">
      <c r="A428" s="2">
        <v>161</v>
      </c>
      <c r="B428" s="2">
        <v>9943</v>
      </c>
      <c r="C428" s="2" t="s">
        <v>1280</v>
      </c>
      <c r="D428" s="2" t="s">
        <v>2600</v>
      </c>
      <c r="E428" s="4" t="s">
        <v>1363</v>
      </c>
      <c r="F428" s="2" t="s">
        <v>2601</v>
      </c>
      <c r="G428" s="2" t="s">
        <v>2602</v>
      </c>
      <c r="H428" s="2" t="s">
        <v>223</v>
      </c>
      <c r="I428" s="2" t="s">
        <v>1013</v>
      </c>
      <c r="J428" s="2" t="s">
        <v>30</v>
      </c>
      <c r="K428" s="2" t="s">
        <v>30</v>
      </c>
      <c r="L428" s="2" t="s">
        <v>377</v>
      </c>
      <c r="M428" s="2" t="s">
        <v>31</v>
      </c>
      <c r="N428" s="2" t="s">
        <v>492</v>
      </c>
      <c r="O428" s="2" t="s">
        <v>173</v>
      </c>
      <c r="P428" s="2" t="s">
        <v>2339</v>
      </c>
      <c r="Q428" s="2" t="s">
        <v>464</v>
      </c>
      <c r="R428" s="2" t="s">
        <v>456</v>
      </c>
      <c r="S428" s="2" t="s">
        <v>34</v>
      </c>
      <c r="T428" s="156">
        <v>2.9079999999999999</v>
      </c>
      <c r="U428" s="2" t="s">
        <v>2603</v>
      </c>
      <c r="V428" s="170">
        <v>5.45E-2</v>
      </c>
      <c r="W428" s="172">
        <v>0.12501000000000001</v>
      </c>
      <c r="X428" s="4" t="s">
        <v>461</v>
      </c>
      <c r="Y428" s="4" t="s">
        <v>173</v>
      </c>
      <c r="Z428" s="156">
        <v>603108</v>
      </c>
      <c r="AA428" s="166">
        <v>1</v>
      </c>
      <c r="AB428" s="183">
        <v>99.72</v>
      </c>
      <c r="AD428" s="156">
        <v>601.41899999999998</v>
      </c>
      <c r="AG428" s="2" t="s">
        <v>36</v>
      </c>
      <c r="AH428" s="172">
        <v>3.565E-3</v>
      </c>
      <c r="AI428" s="172">
        <v>2.2068428740059402E-3</v>
      </c>
      <c r="AJ428" s="172">
        <v>3.2982351767489202E-4</v>
      </c>
    </row>
    <row r="429" spans="1:36">
      <c r="A429" s="2">
        <v>161</v>
      </c>
      <c r="B429" s="2">
        <v>9943</v>
      </c>
      <c r="C429" s="2" t="s">
        <v>2147</v>
      </c>
      <c r="D429" s="2" t="s">
        <v>2148</v>
      </c>
      <c r="E429" s="4" t="s">
        <v>1363</v>
      </c>
      <c r="F429" s="2" t="s">
        <v>2149</v>
      </c>
      <c r="G429" s="2" t="s">
        <v>2150</v>
      </c>
      <c r="H429" s="2" t="s">
        <v>223</v>
      </c>
      <c r="I429" s="2" t="s">
        <v>804</v>
      </c>
      <c r="J429" s="2" t="s">
        <v>30</v>
      </c>
      <c r="K429" s="2" t="s">
        <v>30</v>
      </c>
      <c r="L429" s="2" t="s">
        <v>377</v>
      </c>
      <c r="M429" s="2" t="s">
        <v>31</v>
      </c>
      <c r="N429" s="2" t="s">
        <v>511</v>
      </c>
      <c r="O429" s="2" t="s">
        <v>173</v>
      </c>
      <c r="P429" s="2" t="s">
        <v>2100</v>
      </c>
      <c r="Q429" s="2" t="s">
        <v>462</v>
      </c>
      <c r="R429" s="2" t="s">
        <v>456</v>
      </c>
      <c r="S429" s="2" t="s">
        <v>34</v>
      </c>
      <c r="T429" s="156">
        <v>3.1960000000000002</v>
      </c>
      <c r="U429" s="2" t="s">
        <v>2151</v>
      </c>
      <c r="V429" s="170">
        <v>2.7E-2</v>
      </c>
      <c r="W429" s="172">
        <v>3.3169999999999998E-2</v>
      </c>
      <c r="X429" s="4" t="s">
        <v>461</v>
      </c>
      <c r="Y429" s="4" t="s">
        <v>173</v>
      </c>
      <c r="Z429" s="156">
        <v>51076</v>
      </c>
      <c r="AA429" s="166">
        <v>1</v>
      </c>
      <c r="AB429" s="183">
        <v>105.81</v>
      </c>
      <c r="AD429" s="156">
        <v>54.043999999999997</v>
      </c>
      <c r="AG429" s="2" t="s">
        <v>36</v>
      </c>
      <c r="AH429" s="172">
        <v>1.17E-4</v>
      </c>
      <c r="AI429" s="172">
        <v>1.9830681816167999E-4</v>
      </c>
      <c r="AJ429" s="172">
        <v>2.9637928968759299E-5</v>
      </c>
    </row>
    <row r="430" spans="1:36">
      <c r="A430" s="2">
        <v>161</v>
      </c>
      <c r="B430" s="2">
        <v>9943</v>
      </c>
      <c r="C430" s="2" t="s">
        <v>2147</v>
      </c>
      <c r="D430" s="2" t="s">
        <v>2148</v>
      </c>
      <c r="E430" s="4" t="s">
        <v>1363</v>
      </c>
      <c r="F430" s="2" t="s">
        <v>2152</v>
      </c>
      <c r="G430" s="2" t="s">
        <v>2153</v>
      </c>
      <c r="H430" s="2" t="s">
        <v>223</v>
      </c>
      <c r="I430" s="2" t="s">
        <v>804</v>
      </c>
      <c r="J430" s="2" t="s">
        <v>30</v>
      </c>
      <c r="K430" s="2" t="s">
        <v>30</v>
      </c>
      <c r="L430" s="2" t="s">
        <v>377</v>
      </c>
      <c r="M430" s="2" t="s">
        <v>31</v>
      </c>
      <c r="N430" s="2" t="s">
        <v>511</v>
      </c>
      <c r="O430" s="2" t="s">
        <v>173</v>
      </c>
      <c r="P430" s="2" t="s">
        <v>2100</v>
      </c>
      <c r="Q430" s="2" t="s">
        <v>462</v>
      </c>
      <c r="R430" s="2" t="s">
        <v>456</v>
      </c>
      <c r="S430" s="2" t="s">
        <v>34</v>
      </c>
      <c r="T430" s="156">
        <v>1.536</v>
      </c>
      <c r="U430" s="2" t="s">
        <v>2154</v>
      </c>
      <c r="V430" s="170">
        <v>1.7999999999999999E-2</v>
      </c>
      <c r="W430" s="172">
        <v>2.742E-2</v>
      </c>
      <c r="X430" s="4" t="s">
        <v>461</v>
      </c>
      <c r="Y430" s="4" t="s">
        <v>173</v>
      </c>
      <c r="Z430" s="156">
        <v>648196.77</v>
      </c>
      <c r="AA430" s="166">
        <v>1</v>
      </c>
      <c r="AB430" s="183">
        <v>113.45</v>
      </c>
      <c r="AD430" s="156">
        <v>735.37900000000002</v>
      </c>
      <c r="AG430" s="2" t="s">
        <v>36</v>
      </c>
      <c r="AH430" s="172">
        <v>8.2200000000000003E-4</v>
      </c>
      <c r="AI430" s="172">
        <v>2.6983943351580201E-3</v>
      </c>
      <c r="AJ430" s="172">
        <v>4.0328830030398699E-4</v>
      </c>
    </row>
    <row r="431" spans="1:36">
      <c r="A431" s="2">
        <v>161</v>
      </c>
      <c r="B431" s="2">
        <v>9943</v>
      </c>
      <c r="C431" s="2" t="s">
        <v>2147</v>
      </c>
      <c r="D431" s="2" t="s">
        <v>2148</v>
      </c>
      <c r="E431" s="4" t="s">
        <v>1363</v>
      </c>
      <c r="F431" s="2" t="s">
        <v>2430</v>
      </c>
      <c r="G431" s="2" t="s">
        <v>2431</v>
      </c>
      <c r="H431" s="2" t="s">
        <v>223</v>
      </c>
      <c r="I431" s="2" t="s">
        <v>804</v>
      </c>
      <c r="J431" s="2" t="s">
        <v>30</v>
      </c>
      <c r="K431" s="2" t="s">
        <v>30</v>
      </c>
      <c r="L431" s="2" t="s">
        <v>377</v>
      </c>
      <c r="M431" s="2" t="s">
        <v>31</v>
      </c>
      <c r="N431" s="2" t="s">
        <v>511</v>
      </c>
      <c r="O431" s="2" t="s">
        <v>173</v>
      </c>
      <c r="P431" s="2" t="s">
        <v>2041</v>
      </c>
      <c r="Q431" s="2" t="s">
        <v>462</v>
      </c>
      <c r="R431" s="2" t="s">
        <v>456</v>
      </c>
      <c r="S431" s="2" t="s">
        <v>34</v>
      </c>
      <c r="T431" s="156">
        <v>1.6160000000000001</v>
      </c>
      <c r="U431" s="2" t="s">
        <v>2370</v>
      </c>
      <c r="V431" s="170">
        <v>2.2499999999999999E-2</v>
      </c>
      <c r="W431" s="172">
        <v>2.656E-2</v>
      </c>
      <c r="X431" s="4" t="s">
        <v>461</v>
      </c>
      <c r="Y431" s="4" t="s">
        <v>173</v>
      </c>
      <c r="Z431" s="156">
        <v>308952.55</v>
      </c>
      <c r="AA431" s="166">
        <v>1</v>
      </c>
      <c r="AB431" s="183">
        <v>115.29</v>
      </c>
      <c r="AD431" s="156">
        <v>356.19099999999997</v>
      </c>
      <c r="AG431" s="2" t="s">
        <v>36</v>
      </c>
      <c r="AH431" s="172">
        <v>8.25E-4</v>
      </c>
      <c r="AI431" s="172">
        <v>1.30700568595501E-3</v>
      </c>
      <c r="AJ431" s="172">
        <v>1.95338425784819E-4</v>
      </c>
    </row>
    <row r="432" spans="1:36">
      <c r="A432" s="2">
        <v>161</v>
      </c>
      <c r="B432" s="2">
        <v>9943</v>
      </c>
      <c r="C432" s="2" t="s">
        <v>2432</v>
      </c>
      <c r="D432" s="2" t="s">
        <v>2433</v>
      </c>
      <c r="E432" s="4" t="s">
        <v>1363</v>
      </c>
      <c r="F432" s="2" t="s">
        <v>2604</v>
      </c>
      <c r="G432" s="2" t="s">
        <v>2605</v>
      </c>
      <c r="H432" s="2" t="s">
        <v>223</v>
      </c>
      <c r="I432" s="2" t="s">
        <v>1013</v>
      </c>
      <c r="J432" s="2" t="s">
        <v>30</v>
      </c>
      <c r="K432" s="2" t="s">
        <v>30</v>
      </c>
      <c r="L432" s="2" t="s">
        <v>377</v>
      </c>
      <c r="M432" s="2" t="s">
        <v>31</v>
      </c>
      <c r="N432" s="2" t="s">
        <v>492</v>
      </c>
      <c r="O432" s="2" t="s">
        <v>173</v>
      </c>
      <c r="P432" s="2" t="s">
        <v>1374</v>
      </c>
      <c r="Q432" s="2" t="s">
        <v>462</v>
      </c>
      <c r="R432" s="2" t="s">
        <v>456</v>
      </c>
      <c r="S432" s="2" t="s">
        <v>34</v>
      </c>
      <c r="T432" s="156">
        <v>7.2880000000000003</v>
      </c>
      <c r="U432" s="2" t="s">
        <v>2560</v>
      </c>
      <c r="V432" s="170">
        <v>2.63E-2</v>
      </c>
      <c r="W432" s="172">
        <v>6.003E-2</v>
      </c>
      <c r="X432" s="4" t="s">
        <v>461</v>
      </c>
      <c r="Y432" s="4" t="s">
        <v>173</v>
      </c>
      <c r="Z432" s="156">
        <v>172534</v>
      </c>
      <c r="AA432" s="166">
        <v>1</v>
      </c>
      <c r="AB432" s="183">
        <v>79.430000000000007</v>
      </c>
      <c r="AD432" s="156">
        <v>137.04400000000001</v>
      </c>
      <c r="AG432" s="2" t="s">
        <v>36</v>
      </c>
      <c r="AH432" s="172">
        <v>2.4899999999999998E-4</v>
      </c>
      <c r="AI432" s="172">
        <v>5.0286719765038905E-4</v>
      </c>
      <c r="AJ432" s="172">
        <v>7.5155975083670594E-5</v>
      </c>
    </row>
    <row r="433" spans="1:36">
      <c r="A433" s="2">
        <v>161</v>
      </c>
      <c r="B433" s="2">
        <v>9943</v>
      </c>
      <c r="C433" s="2" t="s">
        <v>2606</v>
      </c>
      <c r="D433" s="2" t="s">
        <v>2607</v>
      </c>
      <c r="E433" s="4" t="s">
        <v>1363</v>
      </c>
      <c r="F433" s="2" t="s">
        <v>2608</v>
      </c>
      <c r="G433" s="2" t="s">
        <v>2609</v>
      </c>
      <c r="H433" s="2" t="s">
        <v>223</v>
      </c>
      <c r="I433" s="2" t="s">
        <v>1013</v>
      </c>
      <c r="J433" s="2" t="s">
        <v>30</v>
      </c>
      <c r="K433" s="2" t="s">
        <v>30</v>
      </c>
      <c r="L433" s="2" t="s">
        <v>377</v>
      </c>
      <c r="M433" s="2" t="s">
        <v>31</v>
      </c>
      <c r="N433" s="2" t="s">
        <v>511</v>
      </c>
      <c r="O433" s="2" t="s">
        <v>173</v>
      </c>
      <c r="P433" s="2" t="s">
        <v>2052</v>
      </c>
      <c r="Q433" s="2" t="s">
        <v>462</v>
      </c>
      <c r="R433" s="2" t="s">
        <v>456</v>
      </c>
      <c r="S433" s="2" t="s">
        <v>34</v>
      </c>
      <c r="T433" s="156">
        <v>0.73099999999999998</v>
      </c>
      <c r="U433" s="2" t="s">
        <v>2610</v>
      </c>
      <c r="V433" s="170">
        <v>2.5499999999999998E-2</v>
      </c>
      <c r="W433" s="172">
        <v>4.8809999999999999E-2</v>
      </c>
      <c r="X433" s="4" t="s">
        <v>461</v>
      </c>
      <c r="Y433" s="4" t="s">
        <v>173</v>
      </c>
      <c r="Z433" s="156">
        <v>428115.18</v>
      </c>
      <c r="AA433" s="166">
        <v>1</v>
      </c>
      <c r="AB433" s="183">
        <v>99.04</v>
      </c>
      <c r="AD433" s="156">
        <v>424.005</v>
      </c>
      <c r="AG433" s="2" t="s">
        <v>36</v>
      </c>
      <c r="AH433" s="172">
        <v>6.3790000000000001E-3</v>
      </c>
      <c r="AI433" s="172">
        <v>1.5558413602658201E-3</v>
      </c>
      <c r="AJ433" s="172">
        <v>2.32528140735035E-4</v>
      </c>
    </row>
    <row r="434" spans="1:36">
      <c r="A434" s="2">
        <v>161</v>
      </c>
      <c r="B434" s="2">
        <v>9943</v>
      </c>
      <c r="C434" s="2" t="s">
        <v>1854</v>
      </c>
      <c r="D434" s="2" t="s">
        <v>1855</v>
      </c>
      <c r="E434" s="4" t="s">
        <v>1363</v>
      </c>
      <c r="F434" s="2" t="s">
        <v>2611</v>
      </c>
      <c r="G434" s="2" t="s">
        <v>2612</v>
      </c>
      <c r="H434" s="2" t="s">
        <v>223</v>
      </c>
      <c r="I434" s="2" t="s">
        <v>804</v>
      </c>
      <c r="J434" s="2" t="s">
        <v>30</v>
      </c>
      <c r="K434" s="2" t="s">
        <v>30</v>
      </c>
      <c r="L434" s="2" t="s">
        <v>377</v>
      </c>
      <c r="M434" s="2" t="s">
        <v>31</v>
      </c>
      <c r="N434" s="2" t="s">
        <v>494</v>
      </c>
      <c r="O434" s="2" t="s">
        <v>173</v>
      </c>
      <c r="P434" s="2" t="s">
        <v>225</v>
      </c>
      <c r="Q434" s="2" t="s">
        <v>226</v>
      </c>
      <c r="R434" s="2" t="s">
        <v>226</v>
      </c>
      <c r="S434" s="2" t="s">
        <v>34</v>
      </c>
      <c r="T434" s="156">
        <v>1.6339999999999999</v>
      </c>
      <c r="U434" s="2" t="s">
        <v>2224</v>
      </c>
      <c r="V434" s="170">
        <v>3.5000000000000003E-2</v>
      </c>
      <c r="W434" s="172">
        <v>4.4760000000000001E-2</v>
      </c>
      <c r="X434" s="4" t="s">
        <v>461</v>
      </c>
      <c r="Y434" s="4" t="s">
        <v>173</v>
      </c>
      <c r="Z434" s="156">
        <v>83494</v>
      </c>
      <c r="AA434" s="166">
        <v>1</v>
      </c>
      <c r="AB434" s="183">
        <v>108.54</v>
      </c>
      <c r="AD434" s="156">
        <v>90.623999999999995</v>
      </c>
      <c r="AG434" s="2" t="s">
        <v>36</v>
      </c>
      <c r="AH434" s="172">
        <v>4.8899999999999996E-4</v>
      </c>
      <c r="AI434" s="172">
        <v>3.3253635988120001E-4</v>
      </c>
      <c r="AJ434" s="172">
        <v>4.9699193931160803E-5</v>
      </c>
    </row>
    <row r="435" spans="1:36">
      <c r="A435" s="2">
        <v>161</v>
      </c>
      <c r="B435" s="2">
        <v>9943</v>
      </c>
      <c r="C435" s="2" t="s">
        <v>1854</v>
      </c>
      <c r="D435" s="2" t="s">
        <v>1855</v>
      </c>
      <c r="E435" s="4" t="s">
        <v>1363</v>
      </c>
      <c r="F435" s="2" t="s">
        <v>2613</v>
      </c>
      <c r="G435" s="2" t="s">
        <v>2614</v>
      </c>
      <c r="H435" s="2" t="s">
        <v>223</v>
      </c>
      <c r="I435" s="2" t="s">
        <v>1013</v>
      </c>
      <c r="J435" s="2" t="s">
        <v>30</v>
      </c>
      <c r="K435" s="2" t="s">
        <v>30</v>
      </c>
      <c r="L435" s="2" t="s">
        <v>377</v>
      </c>
      <c r="M435" s="2" t="s">
        <v>31</v>
      </c>
      <c r="N435" s="2" t="s">
        <v>494</v>
      </c>
      <c r="O435" s="2" t="s">
        <v>173</v>
      </c>
      <c r="P435" s="2" t="s">
        <v>225</v>
      </c>
      <c r="Q435" s="2" t="s">
        <v>226</v>
      </c>
      <c r="R435" s="2" t="s">
        <v>226</v>
      </c>
      <c r="S435" s="2" t="s">
        <v>34</v>
      </c>
      <c r="T435" s="156">
        <v>0.49199999999999999</v>
      </c>
      <c r="U435" s="2" t="s">
        <v>2304</v>
      </c>
      <c r="V435" s="170">
        <v>5.62E-2</v>
      </c>
      <c r="W435" s="172">
        <v>7.2569999999999996E-2</v>
      </c>
      <c r="X435" s="4" t="s">
        <v>461</v>
      </c>
      <c r="Y435" s="4" t="s">
        <v>173</v>
      </c>
      <c r="Z435" s="156">
        <v>101360</v>
      </c>
      <c r="AA435" s="166">
        <v>1</v>
      </c>
      <c r="AB435" s="183">
        <v>100.67</v>
      </c>
      <c r="AD435" s="156">
        <v>102.039</v>
      </c>
      <c r="AG435" s="2" t="s">
        <v>36</v>
      </c>
      <c r="AH435" s="172">
        <v>5.0500000000000002E-4</v>
      </c>
      <c r="AI435" s="172">
        <v>3.7442145286276199E-4</v>
      </c>
      <c r="AJ435" s="172">
        <v>5.5959127009333102E-5</v>
      </c>
    </row>
    <row r="436" spans="1:36">
      <c r="A436" s="2">
        <v>161</v>
      </c>
      <c r="B436" s="2">
        <v>9943</v>
      </c>
      <c r="C436" s="2" t="s">
        <v>1854</v>
      </c>
      <c r="D436" s="2" t="s">
        <v>1855</v>
      </c>
      <c r="E436" s="4" t="s">
        <v>1363</v>
      </c>
      <c r="F436" s="2" t="s">
        <v>2165</v>
      </c>
      <c r="G436" s="2" t="s">
        <v>2166</v>
      </c>
      <c r="H436" s="2" t="s">
        <v>223</v>
      </c>
      <c r="I436" s="2" t="s">
        <v>1013</v>
      </c>
      <c r="J436" s="2" t="s">
        <v>30</v>
      </c>
      <c r="K436" s="2" t="s">
        <v>30</v>
      </c>
      <c r="L436" s="2" t="s">
        <v>377</v>
      </c>
      <c r="M436" s="2" t="s">
        <v>55</v>
      </c>
      <c r="N436" s="2" t="s">
        <v>494</v>
      </c>
      <c r="O436" s="2" t="s">
        <v>173</v>
      </c>
      <c r="P436" s="2" t="s">
        <v>225</v>
      </c>
      <c r="Q436" s="2" t="s">
        <v>226</v>
      </c>
      <c r="R436" s="2" t="s">
        <v>226</v>
      </c>
      <c r="S436" s="2" t="s">
        <v>34</v>
      </c>
      <c r="T436" s="156">
        <v>2.5249999999999999</v>
      </c>
      <c r="U436" s="2" t="s">
        <v>2167</v>
      </c>
      <c r="V436" s="170">
        <v>6.5000000000000002E-2</v>
      </c>
      <c r="W436" s="172">
        <v>8.0589999999999995E-2</v>
      </c>
      <c r="X436" s="4" t="s">
        <v>461</v>
      </c>
      <c r="Y436" s="4" t="s">
        <v>173</v>
      </c>
      <c r="Z436" s="156">
        <v>72966</v>
      </c>
      <c r="AA436" s="166">
        <v>1</v>
      </c>
      <c r="AB436" s="183">
        <v>98.98</v>
      </c>
      <c r="AD436" s="156">
        <v>72.221999999999994</v>
      </c>
      <c r="AG436" s="2" t="s">
        <v>36</v>
      </c>
      <c r="AH436" s="172">
        <v>5.8799999999999998E-4</v>
      </c>
      <c r="AI436" s="172">
        <v>2.6500986567917702E-4</v>
      </c>
      <c r="AJ436" s="172">
        <v>3.9607027372181502E-5</v>
      </c>
    </row>
    <row r="437" spans="1:36">
      <c r="A437" s="2">
        <v>161</v>
      </c>
      <c r="B437" s="2">
        <v>9943</v>
      </c>
      <c r="C437" s="2" t="s">
        <v>2168</v>
      </c>
      <c r="D437" s="2" t="s">
        <v>2169</v>
      </c>
      <c r="E437" s="4" t="s">
        <v>1363</v>
      </c>
      <c r="F437" s="2" t="s">
        <v>2176</v>
      </c>
      <c r="G437" s="2" t="s">
        <v>2177</v>
      </c>
      <c r="H437" s="2" t="s">
        <v>223</v>
      </c>
      <c r="I437" s="2" t="s">
        <v>804</v>
      </c>
      <c r="J437" s="2" t="s">
        <v>30</v>
      </c>
      <c r="K437" s="2" t="s">
        <v>30</v>
      </c>
      <c r="L437" s="2" t="s">
        <v>377</v>
      </c>
      <c r="M437" s="2" t="s">
        <v>31</v>
      </c>
      <c r="N437" s="2" t="s">
        <v>487</v>
      </c>
      <c r="O437" s="2" t="s">
        <v>173</v>
      </c>
      <c r="P437" s="2" t="s">
        <v>93</v>
      </c>
      <c r="Q437" s="2" t="s">
        <v>462</v>
      </c>
      <c r="R437" s="2" t="s">
        <v>456</v>
      </c>
      <c r="S437" s="2" t="s">
        <v>34</v>
      </c>
      <c r="T437" s="156">
        <v>5.798</v>
      </c>
      <c r="U437" s="2" t="s">
        <v>2178</v>
      </c>
      <c r="V437" s="170">
        <v>2.3900000000000001E-2</v>
      </c>
      <c r="W437" s="172">
        <v>2.9239999999999999E-2</v>
      </c>
      <c r="X437" s="4" t="s">
        <v>461</v>
      </c>
      <c r="Y437" s="4" t="s">
        <v>173</v>
      </c>
      <c r="Z437" s="156">
        <v>2938347</v>
      </c>
      <c r="AA437" s="166">
        <v>1</v>
      </c>
      <c r="AB437" s="183">
        <v>111.74</v>
      </c>
      <c r="AD437" s="156">
        <v>3283.3090000000002</v>
      </c>
      <c r="AG437" s="2" t="s">
        <v>36</v>
      </c>
      <c r="AH437" s="172">
        <v>7.5600000000000005E-4</v>
      </c>
      <c r="AI437" s="172">
        <v>1.2047745992618699E-2</v>
      </c>
      <c r="AJ437" s="172">
        <v>1.8005948724958401E-3</v>
      </c>
    </row>
    <row r="438" spans="1:36">
      <c r="A438" s="2">
        <v>161</v>
      </c>
      <c r="B438" s="2">
        <v>9943</v>
      </c>
      <c r="C438" s="2" t="s">
        <v>2168</v>
      </c>
      <c r="D438" s="2" t="s">
        <v>2169</v>
      </c>
      <c r="E438" s="4" t="s">
        <v>1363</v>
      </c>
      <c r="F438" s="2" t="s">
        <v>2436</v>
      </c>
      <c r="G438" s="2" t="s">
        <v>2437</v>
      </c>
      <c r="H438" s="2" t="s">
        <v>223</v>
      </c>
      <c r="I438" s="2" t="s">
        <v>804</v>
      </c>
      <c r="J438" s="2" t="s">
        <v>30</v>
      </c>
      <c r="K438" s="2" t="s">
        <v>30</v>
      </c>
      <c r="L438" s="2" t="s">
        <v>377</v>
      </c>
      <c r="M438" s="2" t="s">
        <v>31</v>
      </c>
      <c r="N438" s="2" t="s">
        <v>487</v>
      </c>
      <c r="O438" s="2" t="s">
        <v>173</v>
      </c>
      <c r="P438" s="2" t="s">
        <v>93</v>
      </c>
      <c r="Q438" s="2" t="s">
        <v>462</v>
      </c>
      <c r="R438" s="2" t="s">
        <v>456</v>
      </c>
      <c r="S438" s="2" t="s">
        <v>34</v>
      </c>
      <c r="T438" s="156">
        <v>10.627000000000001</v>
      </c>
      <c r="U438" s="2" t="s">
        <v>132</v>
      </c>
      <c r="V438" s="170">
        <v>1.2500000000000001E-2</v>
      </c>
      <c r="W438" s="172">
        <v>3.4939999999999999E-2</v>
      </c>
      <c r="X438" s="4" t="s">
        <v>461</v>
      </c>
      <c r="Y438" s="4" t="s">
        <v>173</v>
      </c>
      <c r="Z438" s="156">
        <v>1500000</v>
      </c>
      <c r="AA438" s="166">
        <v>1</v>
      </c>
      <c r="AB438" s="183">
        <v>90</v>
      </c>
      <c r="AD438" s="156">
        <v>1350</v>
      </c>
      <c r="AG438" s="2" t="s">
        <v>36</v>
      </c>
      <c r="AH438" s="172">
        <v>3.4900000000000003E-4</v>
      </c>
      <c r="AI438" s="172">
        <v>4.9536785596951197E-3</v>
      </c>
      <c r="AJ438" s="172">
        <v>7.4035161598230801E-4</v>
      </c>
    </row>
    <row r="439" spans="1:36">
      <c r="A439" s="2">
        <v>161</v>
      </c>
      <c r="B439" s="2">
        <v>9943</v>
      </c>
      <c r="C439" s="2" t="s">
        <v>2168</v>
      </c>
      <c r="D439" s="2" t="s">
        <v>2169</v>
      </c>
      <c r="E439" s="4" t="s">
        <v>1363</v>
      </c>
      <c r="F439" s="2" t="s">
        <v>2615</v>
      </c>
      <c r="G439" s="2" t="s">
        <v>2616</v>
      </c>
      <c r="H439" s="2" t="s">
        <v>223</v>
      </c>
      <c r="I439" s="2" t="s">
        <v>804</v>
      </c>
      <c r="J439" s="2" t="s">
        <v>30</v>
      </c>
      <c r="K439" s="2" t="s">
        <v>30</v>
      </c>
      <c r="L439" s="2" t="s">
        <v>377</v>
      </c>
      <c r="M439" s="2" t="s">
        <v>31</v>
      </c>
      <c r="N439" s="2" t="s">
        <v>487</v>
      </c>
      <c r="O439" s="2" t="s">
        <v>173</v>
      </c>
      <c r="P439" s="2" t="s">
        <v>93</v>
      </c>
      <c r="Q439" s="2" t="s">
        <v>464</v>
      </c>
      <c r="R439" s="2" t="s">
        <v>456</v>
      </c>
      <c r="S439" s="2" t="s">
        <v>34</v>
      </c>
      <c r="T439" s="156">
        <v>10.287000000000001</v>
      </c>
      <c r="U439" s="2" t="s">
        <v>2617</v>
      </c>
      <c r="V439" s="170">
        <v>3.2000000000000001E-2</v>
      </c>
      <c r="W439" s="172">
        <v>3.4759999999999999E-2</v>
      </c>
      <c r="X439" s="4" t="s">
        <v>461</v>
      </c>
      <c r="Y439" s="4" t="s">
        <v>173</v>
      </c>
      <c r="Z439" s="156">
        <v>3000000</v>
      </c>
      <c r="AA439" s="166">
        <v>1</v>
      </c>
      <c r="AB439" s="183">
        <v>102.97</v>
      </c>
      <c r="AD439" s="156">
        <v>3089.1</v>
      </c>
      <c r="AG439" s="2" t="s">
        <v>36</v>
      </c>
      <c r="AH439" s="172">
        <v>6.0899999999999995E-4</v>
      </c>
      <c r="AI439" s="172">
        <v>1.13351173620401E-2</v>
      </c>
      <c r="AJ439" s="172">
        <v>1.69408901994885E-3</v>
      </c>
    </row>
    <row r="440" spans="1:36">
      <c r="A440" s="2">
        <v>161</v>
      </c>
      <c r="B440" s="2">
        <v>9943</v>
      </c>
      <c r="C440" s="2" t="s">
        <v>2438</v>
      </c>
      <c r="D440" s="2" t="s">
        <v>2439</v>
      </c>
      <c r="E440" s="4" t="s">
        <v>1363</v>
      </c>
      <c r="F440" s="2" t="s">
        <v>2440</v>
      </c>
      <c r="G440" s="2" t="s">
        <v>2441</v>
      </c>
      <c r="H440" s="2" t="s">
        <v>223</v>
      </c>
      <c r="I440" s="2" t="s">
        <v>1013</v>
      </c>
      <c r="J440" s="2" t="s">
        <v>30</v>
      </c>
      <c r="K440" s="2" t="s">
        <v>30</v>
      </c>
      <c r="L440" s="2" t="s">
        <v>377</v>
      </c>
      <c r="M440" s="2" t="s">
        <v>31</v>
      </c>
      <c r="N440" s="2" t="s">
        <v>506</v>
      </c>
      <c r="O440" s="2" t="s">
        <v>173</v>
      </c>
      <c r="P440" s="2" t="s">
        <v>2061</v>
      </c>
      <c r="Q440" s="2" t="s">
        <v>464</v>
      </c>
      <c r="R440" s="2" t="s">
        <v>456</v>
      </c>
      <c r="S440" s="2" t="s">
        <v>34</v>
      </c>
      <c r="T440" s="156">
        <v>0.249</v>
      </c>
      <c r="U440" s="2" t="s">
        <v>2442</v>
      </c>
      <c r="V440" s="170">
        <v>3.2000000000000001E-2</v>
      </c>
      <c r="W440" s="172">
        <v>5.8930000000000003E-2</v>
      </c>
      <c r="X440" s="4" t="s">
        <v>461</v>
      </c>
      <c r="Y440" s="4" t="s">
        <v>173</v>
      </c>
      <c r="Z440" s="156">
        <v>157863.20000000001</v>
      </c>
      <c r="AA440" s="166">
        <v>1</v>
      </c>
      <c r="AB440" s="183">
        <v>100.16</v>
      </c>
      <c r="AD440" s="156">
        <v>158.11600000000001</v>
      </c>
      <c r="AG440" s="2" t="s">
        <v>36</v>
      </c>
      <c r="AH440" s="172">
        <v>8.0859999999999994E-3</v>
      </c>
      <c r="AI440" s="172">
        <v>5.8018870732117801E-4</v>
      </c>
      <c r="AJ440" s="172">
        <v>8.6712054862590293E-5</v>
      </c>
    </row>
    <row r="441" spans="1:36">
      <c r="A441" s="2">
        <v>161</v>
      </c>
      <c r="B441" s="2">
        <v>9943</v>
      </c>
      <c r="C441" s="2" t="s">
        <v>2618</v>
      </c>
      <c r="D441" s="2" t="s">
        <v>2619</v>
      </c>
      <c r="E441" s="4" t="s">
        <v>1363</v>
      </c>
      <c r="F441" s="2" t="s">
        <v>2620</v>
      </c>
      <c r="G441" s="2" t="s">
        <v>2621</v>
      </c>
      <c r="H441" s="2" t="s">
        <v>223</v>
      </c>
      <c r="I441" s="2" t="s">
        <v>804</v>
      </c>
      <c r="J441" s="2" t="s">
        <v>30</v>
      </c>
      <c r="K441" s="2" t="s">
        <v>30</v>
      </c>
      <c r="L441" s="2" t="s">
        <v>377</v>
      </c>
      <c r="M441" s="2" t="s">
        <v>31</v>
      </c>
      <c r="N441" s="2" t="s">
        <v>495</v>
      </c>
      <c r="O441" s="2" t="s">
        <v>173</v>
      </c>
      <c r="P441" s="2" t="s">
        <v>1374</v>
      </c>
      <c r="Q441" s="2" t="s">
        <v>462</v>
      </c>
      <c r="R441" s="2" t="s">
        <v>456</v>
      </c>
      <c r="S441" s="2" t="s">
        <v>34</v>
      </c>
      <c r="T441" s="156">
        <v>1.2350000000000001</v>
      </c>
      <c r="U441" s="2" t="s">
        <v>2224</v>
      </c>
      <c r="V441" s="170">
        <v>2E-3</v>
      </c>
      <c r="W441" s="172">
        <v>2.0129999999999999E-2</v>
      </c>
      <c r="X441" s="4" t="s">
        <v>461</v>
      </c>
      <c r="Y441" s="4" t="s">
        <v>173</v>
      </c>
      <c r="Z441" s="156">
        <v>23588.25</v>
      </c>
      <c r="AA441" s="166">
        <v>1</v>
      </c>
      <c r="AB441" s="183">
        <v>111.85</v>
      </c>
      <c r="AD441" s="156">
        <v>26.382999999999999</v>
      </c>
      <c r="AG441" s="2" t="s">
        <v>36</v>
      </c>
      <c r="AH441" s="172">
        <v>5.5999999999999999E-5</v>
      </c>
      <c r="AI441" s="172">
        <v>9.6811235827842299E-5</v>
      </c>
      <c r="AJ441" s="172">
        <v>1.44689151761996E-5</v>
      </c>
    </row>
    <row r="442" spans="1:36">
      <c r="A442" s="2">
        <v>161</v>
      </c>
      <c r="B442" s="2">
        <v>9943</v>
      </c>
      <c r="C442" s="2" t="s">
        <v>2618</v>
      </c>
      <c r="D442" s="2" t="s">
        <v>2619</v>
      </c>
      <c r="E442" s="4" t="s">
        <v>1363</v>
      </c>
      <c r="F442" s="2" t="s">
        <v>2622</v>
      </c>
      <c r="G442" s="2" t="s">
        <v>2623</v>
      </c>
      <c r="H442" s="2" t="s">
        <v>223</v>
      </c>
      <c r="I442" s="2" t="s">
        <v>804</v>
      </c>
      <c r="J442" s="2" t="s">
        <v>30</v>
      </c>
      <c r="K442" s="2" t="s">
        <v>30</v>
      </c>
      <c r="L442" s="2" t="s">
        <v>377</v>
      </c>
      <c r="M442" s="2" t="s">
        <v>31</v>
      </c>
      <c r="N442" s="2" t="s">
        <v>495</v>
      </c>
      <c r="O442" s="2" t="s">
        <v>173</v>
      </c>
      <c r="P442" s="2" t="s">
        <v>1374</v>
      </c>
      <c r="Q442" s="2" t="s">
        <v>462</v>
      </c>
      <c r="R442" s="2" t="s">
        <v>456</v>
      </c>
      <c r="S442" s="2" t="s">
        <v>34</v>
      </c>
      <c r="T442" s="156">
        <v>4.5019999999999998</v>
      </c>
      <c r="U442" s="2" t="s">
        <v>2624</v>
      </c>
      <c r="V442" s="170">
        <v>2.5899999999999999E-2</v>
      </c>
      <c r="W442" s="172">
        <v>2.647E-2</v>
      </c>
      <c r="X442" s="4" t="s">
        <v>461</v>
      </c>
      <c r="Y442" s="4" t="s">
        <v>173</v>
      </c>
      <c r="Z442" s="156">
        <v>69213</v>
      </c>
      <c r="AA442" s="166">
        <v>1</v>
      </c>
      <c r="AB442" s="183">
        <v>105.13</v>
      </c>
      <c r="AD442" s="156">
        <v>72.763999999999996</v>
      </c>
      <c r="AG442" s="2" t="s">
        <v>36</v>
      </c>
      <c r="AH442" s="172">
        <v>1.54E-4</v>
      </c>
      <c r="AI442" s="172">
        <v>2.6699823592606298E-4</v>
      </c>
      <c r="AJ442" s="172">
        <v>3.9904199081591601E-5</v>
      </c>
    </row>
    <row r="443" spans="1:36">
      <c r="A443" s="2">
        <v>161</v>
      </c>
      <c r="B443" s="2">
        <v>9943</v>
      </c>
      <c r="C443" s="2" t="s">
        <v>1676</v>
      </c>
      <c r="D443" s="2" t="s">
        <v>1677</v>
      </c>
      <c r="E443" s="4" t="s">
        <v>1363</v>
      </c>
      <c r="F443" s="2" t="s">
        <v>2625</v>
      </c>
      <c r="G443" s="2" t="s">
        <v>2626</v>
      </c>
      <c r="H443" s="2" t="s">
        <v>223</v>
      </c>
      <c r="I443" s="2" t="s">
        <v>1013</v>
      </c>
      <c r="J443" s="2" t="s">
        <v>30</v>
      </c>
      <c r="K443" s="2" t="s">
        <v>30</v>
      </c>
      <c r="L443" s="2" t="s">
        <v>377</v>
      </c>
      <c r="M443" s="2" t="s">
        <v>31</v>
      </c>
      <c r="N443" s="2" t="s">
        <v>494</v>
      </c>
      <c r="O443" s="2" t="s">
        <v>173</v>
      </c>
      <c r="P443" s="2" t="s">
        <v>2041</v>
      </c>
      <c r="Q443" s="2" t="s">
        <v>462</v>
      </c>
      <c r="R443" s="2" t="s">
        <v>456</v>
      </c>
      <c r="S443" s="2" t="s">
        <v>34</v>
      </c>
      <c r="T443" s="156">
        <v>1.708</v>
      </c>
      <c r="U443" s="2" t="s">
        <v>2370</v>
      </c>
      <c r="V443" s="170">
        <v>3.95E-2</v>
      </c>
      <c r="W443" s="172">
        <v>6.2899999999999998E-2</v>
      </c>
      <c r="X443" s="4" t="s">
        <v>461</v>
      </c>
      <c r="Y443" s="4" t="s">
        <v>173</v>
      </c>
      <c r="Z443" s="156">
        <v>161150</v>
      </c>
      <c r="AA443" s="166">
        <v>1</v>
      </c>
      <c r="AB443" s="183">
        <v>97.28</v>
      </c>
      <c r="AD443" s="156">
        <v>156.767</v>
      </c>
      <c r="AG443" s="2" t="s">
        <v>36</v>
      </c>
      <c r="AH443" s="172">
        <v>1.92E-4</v>
      </c>
      <c r="AI443" s="172">
        <v>5.7523847387979798E-4</v>
      </c>
      <c r="AJ443" s="172">
        <v>8.5972218136478495E-5</v>
      </c>
    </row>
    <row r="444" spans="1:36">
      <c r="A444" s="2">
        <v>161</v>
      </c>
      <c r="B444" s="2">
        <v>9943</v>
      </c>
      <c r="C444" s="2" t="s">
        <v>1882</v>
      </c>
      <c r="D444" s="2" t="s">
        <v>1883</v>
      </c>
      <c r="E444" s="4" t="s">
        <v>1363</v>
      </c>
      <c r="F444" s="2" t="s">
        <v>2190</v>
      </c>
      <c r="G444" s="2" t="s">
        <v>2191</v>
      </c>
      <c r="H444" s="2" t="s">
        <v>223</v>
      </c>
      <c r="I444" s="2" t="s">
        <v>804</v>
      </c>
      <c r="J444" s="2" t="s">
        <v>30</v>
      </c>
      <c r="K444" s="2" t="s">
        <v>30</v>
      </c>
      <c r="L444" s="2" t="s">
        <v>377</v>
      </c>
      <c r="M444" s="2" t="s">
        <v>31</v>
      </c>
      <c r="N444" s="2" t="s">
        <v>511</v>
      </c>
      <c r="O444" s="2" t="s">
        <v>173</v>
      </c>
      <c r="P444" s="2" t="s">
        <v>2052</v>
      </c>
      <c r="Q444" s="2" t="s">
        <v>462</v>
      </c>
      <c r="R444" s="2" t="s">
        <v>456</v>
      </c>
      <c r="S444" s="2" t="s">
        <v>34</v>
      </c>
      <c r="T444" s="156">
        <v>2.3170000000000002</v>
      </c>
      <c r="U444" s="2" t="s">
        <v>2192</v>
      </c>
      <c r="V444" s="170">
        <v>1.5800000000000002E-2</v>
      </c>
      <c r="W444" s="172">
        <v>2.3970000000000002E-2</v>
      </c>
      <c r="X444" s="4" t="s">
        <v>461</v>
      </c>
      <c r="Y444" s="4" t="s">
        <v>173</v>
      </c>
      <c r="Z444" s="156">
        <v>2169924.1</v>
      </c>
      <c r="AA444" s="166">
        <v>1</v>
      </c>
      <c r="AB444" s="183">
        <v>115.04</v>
      </c>
      <c r="AD444" s="156">
        <v>2496.2809999999999</v>
      </c>
      <c r="AG444" s="2" t="s">
        <v>36</v>
      </c>
      <c r="AH444" s="172">
        <v>5.0540000000000003E-3</v>
      </c>
      <c r="AI444" s="172">
        <v>9.1598311899868303E-3</v>
      </c>
      <c r="AJ444" s="172">
        <v>1.3689818065323301E-3</v>
      </c>
    </row>
    <row r="445" spans="1:36">
      <c r="A445" s="2">
        <v>161</v>
      </c>
      <c r="B445" s="2">
        <v>9943</v>
      </c>
      <c r="C445" s="2" t="s">
        <v>1882</v>
      </c>
      <c r="D445" s="2" t="s">
        <v>1883</v>
      </c>
      <c r="E445" s="4" t="s">
        <v>1363</v>
      </c>
      <c r="F445" s="2" t="s">
        <v>2193</v>
      </c>
      <c r="G445" s="2" t="s">
        <v>2194</v>
      </c>
      <c r="H445" s="2" t="s">
        <v>223</v>
      </c>
      <c r="I445" s="2" t="s">
        <v>804</v>
      </c>
      <c r="J445" s="2" t="s">
        <v>30</v>
      </c>
      <c r="K445" s="2" t="s">
        <v>30</v>
      </c>
      <c r="L445" s="2" t="s">
        <v>377</v>
      </c>
      <c r="M445" s="2" t="s">
        <v>31</v>
      </c>
      <c r="N445" s="2" t="s">
        <v>511</v>
      </c>
      <c r="O445" s="2" t="s">
        <v>173</v>
      </c>
      <c r="P445" s="2" t="s">
        <v>2052</v>
      </c>
      <c r="Q445" s="2" t="s">
        <v>462</v>
      </c>
      <c r="R445" s="2" t="s">
        <v>456</v>
      </c>
      <c r="S445" s="2" t="s">
        <v>34</v>
      </c>
      <c r="T445" s="156">
        <v>4.7450000000000001</v>
      </c>
      <c r="U445" s="2" t="s">
        <v>2195</v>
      </c>
      <c r="V445" s="170">
        <v>8.3999999999999995E-3</v>
      </c>
      <c r="W445" s="172">
        <v>2.921E-2</v>
      </c>
      <c r="X445" s="4" t="s">
        <v>461</v>
      </c>
      <c r="Y445" s="4" t="s">
        <v>173</v>
      </c>
      <c r="Z445" s="156">
        <v>147168.1</v>
      </c>
      <c r="AA445" s="166">
        <v>1</v>
      </c>
      <c r="AB445" s="183">
        <v>104.22</v>
      </c>
      <c r="AD445" s="156">
        <v>153.37899999999999</v>
      </c>
      <c r="AG445" s="2" t="s">
        <v>36</v>
      </c>
      <c r="AH445" s="172">
        <v>1.85E-4</v>
      </c>
      <c r="AI445" s="172">
        <v>5.6280611238690404E-4</v>
      </c>
      <c r="AJ445" s="172">
        <v>8.4114140586467396E-5</v>
      </c>
    </row>
    <row r="446" spans="1:36">
      <c r="A446" s="2">
        <v>161</v>
      </c>
      <c r="B446" s="2">
        <v>9943</v>
      </c>
      <c r="C446" s="2" t="s">
        <v>2196</v>
      </c>
      <c r="D446" s="2" t="s">
        <v>2197</v>
      </c>
      <c r="E446" s="4" t="s">
        <v>1363</v>
      </c>
      <c r="F446" s="2" t="s">
        <v>2198</v>
      </c>
      <c r="G446" s="2" t="s">
        <v>2199</v>
      </c>
      <c r="H446" s="2" t="s">
        <v>223</v>
      </c>
      <c r="I446" s="2" t="s">
        <v>1013</v>
      </c>
      <c r="J446" s="2" t="s">
        <v>30</v>
      </c>
      <c r="K446" s="2" t="s">
        <v>30</v>
      </c>
      <c r="L446" s="2" t="s">
        <v>377</v>
      </c>
      <c r="M446" s="2" t="s">
        <v>31</v>
      </c>
      <c r="N446" s="2" t="s">
        <v>492</v>
      </c>
      <c r="O446" s="2" t="s">
        <v>173</v>
      </c>
      <c r="P446" s="2" t="s">
        <v>1374</v>
      </c>
      <c r="Q446" s="2" t="s">
        <v>462</v>
      </c>
      <c r="R446" s="2" t="s">
        <v>456</v>
      </c>
      <c r="S446" s="2" t="s">
        <v>34</v>
      </c>
      <c r="T446" s="156">
        <v>9.0619999999999994</v>
      </c>
      <c r="U446" s="2" t="s">
        <v>2200</v>
      </c>
      <c r="V446" s="170">
        <v>2.5000000000000001E-2</v>
      </c>
      <c r="W446" s="172">
        <v>6.0569999999999999E-2</v>
      </c>
      <c r="X446" s="4" t="s">
        <v>461</v>
      </c>
      <c r="Y446" s="4" t="s">
        <v>173</v>
      </c>
      <c r="Z446" s="156">
        <v>93813</v>
      </c>
      <c r="AA446" s="166">
        <v>1</v>
      </c>
      <c r="AB446" s="183">
        <v>79.27</v>
      </c>
      <c r="AD446" s="156">
        <v>74.366</v>
      </c>
      <c r="AG446" s="2" t="s">
        <v>36</v>
      </c>
      <c r="AH446" s="172">
        <v>6.9999999999999994E-5</v>
      </c>
      <c r="AI446" s="172">
        <v>2.72876374381838E-4</v>
      </c>
      <c r="AJ446" s="172">
        <v>4.0782715774238901E-5</v>
      </c>
    </row>
    <row r="447" spans="1:36">
      <c r="A447" s="2">
        <v>161</v>
      </c>
      <c r="B447" s="2">
        <v>9943</v>
      </c>
      <c r="C447" s="2" t="s">
        <v>2196</v>
      </c>
      <c r="D447" s="2" t="s">
        <v>2197</v>
      </c>
      <c r="E447" s="4" t="s">
        <v>1363</v>
      </c>
      <c r="F447" s="2" t="s">
        <v>2443</v>
      </c>
      <c r="G447" s="2" t="s">
        <v>2444</v>
      </c>
      <c r="H447" s="2" t="s">
        <v>223</v>
      </c>
      <c r="I447" s="2" t="s">
        <v>804</v>
      </c>
      <c r="J447" s="2" t="s">
        <v>30</v>
      </c>
      <c r="K447" s="2" t="s">
        <v>30</v>
      </c>
      <c r="L447" s="2" t="s">
        <v>377</v>
      </c>
      <c r="M447" s="2" t="s">
        <v>31</v>
      </c>
      <c r="N447" s="2" t="s">
        <v>492</v>
      </c>
      <c r="O447" s="2" t="s">
        <v>173</v>
      </c>
      <c r="P447" s="2" t="s">
        <v>1374</v>
      </c>
      <c r="Q447" s="2" t="s">
        <v>462</v>
      </c>
      <c r="R447" s="2" t="s">
        <v>456</v>
      </c>
      <c r="S447" s="2" t="s">
        <v>34</v>
      </c>
      <c r="T447" s="156">
        <v>3.5760000000000001</v>
      </c>
      <c r="U447" s="2" t="s">
        <v>2445</v>
      </c>
      <c r="V447" s="170">
        <v>2.4799999999999999E-2</v>
      </c>
      <c r="W447" s="172">
        <v>2.5989999999999999E-2</v>
      </c>
      <c r="X447" s="4" t="s">
        <v>461</v>
      </c>
      <c r="Y447" s="4" t="s">
        <v>173</v>
      </c>
      <c r="Z447" s="156">
        <v>1873700.82</v>
      </c>
      <c r="AA447" s="166">
        <v>1</v>
      </c>
      <c r="AB447" s="183">
        <v>115.94</v>
      </c>
      <c r="AD447" s="156">
        <v>2172.3690000000001</v>
      </c>
      <c r="AG447" s="2" t="s">
        <v>36</v>
      </c>
      <c r="AH447" s="172">
        <v>4.424E-3</v>
      </c>
      <c r="AI447" s="172">
        <v>7.9712714111557902E-3</v>
      </c>
      <c r="AJ447" s="172">
        <v>1.1913457039178499E-3</v>
      </c>
    </row>
    <row r="448" spans="1:36">
      <c r="A448" s="2">
        <v>161</v>
      </c>
      <c r="B448" s="2">
        <v>9943</v>
      </c>
      <c r="C448" s="2" t="s">
        <v>1222</v>
      </c>
      <c r="D448" s="2" t="s">
        <v>1618</v>
      </c>
      <c r="E448" s="4" t="s">
        <v>1363</v>
      </c>
      <c r="F448" s="2" t="s">
        <v>2201</v>
      </c>
      <c r="G448" s="2" t="s">
        <v>2202</v>
      </c>
      <c r="H448" s="2" t="s">
        <v>223</v>
      </c>
      <c r="I448" s="2" t="s">
        <v>804</v>
      </c>
      <c r="J448" s="2" t="s">
        <v>30</v>
      </c>
      <c r="K448" s="2" t="s">
        <v>30</v>
      </c>
      <c r="L448" s="2" t="s">
        <v>377</v>
      </c>
      <c r="M448" s="2" t="s">
        <v>31</v>
      </c>
      <c r="N448" s="2" t="s">
        <v>495</v>
      </c>
      <c r="O448" s="2" t="s">
        <v>173</v>
      </c>
      <c r="P448" s="2" t="s">
        <v>1224</v>
      </c>
      <c r="Q448" s="2" t="s">
        <v>462</v>
      </c>
      <c r="R448" s="2" t="s">
        <v>456</v>
      </c>
      <c r="S448" s="2" t="s">
        <v>34</v>
      </c>
      <c r="T448" s="156">
        <v>1.7370000000000001</v>
      </c>
      <c r="U448" s="2" t="s">
        <v>2125</v>
      </c>
      <c r="V448" s="170">
        <v>8.3000000000000001E-3</v>
      </c>
      <c r="W448" s="172">
        <v>2.0449999999999999E-2</v>
      </c>
      <c r="X448" s="4" t="s">
        <v>461</v>
      </c>
      <c r="Y448" s="4" t="s">
        <v>173</v>
      </c>
      <c r="Z448" s="156">
        <v>70360</v>
      </c>
      <c r="AA448" s="166">
        <v>1</v>
      </c>
      <c r="AB448" s="183">
        <v>113.2</v>
      </c>
      <c r="AD448" s="156">
        <v>79.647999999999996</v>
      </c>
      <c r="AG448" s="2" t="s">
        <v>36</v>
      </c>
      <c r="AH448" s="172">
        <v>4.6E-5</v>
      </c>
      <c r="AI448" s="172">
        <v>2.9225793493102803E-4</v>
      </c>
      <c r="AJ448" s="172">
        <v>4.36793852896172E-5</v>
      </c>
    </row>
    <row r="449" spans="1:36">
      <c r="A449" s="2">
        <v>161</v>
      </c>
      <c r="B449" s="2">
        <v>9943</v>
      </c>
      <c r="C449" s="2" t="s">
        <v>1222</v>
      </c>
      <c r="D449" s="2" t="s">
        <v>1618</v>
      </c>
      <c r="E449" s="4" t="s">
        <v>1363</v>
      </c>
      <c r="F449" s="2" t="s">
        <v>2203</v>
      </c>
      <c r="G449" s="2" t="s">
        <v>2204</v>
      </c>
      <c r="H449" s="2" t="s">
        <v>223</v>
      </c>
      <c r="I449" s="2" t="s">
        <v>804</v>
      </c>
      <c r="J449" s="2" t="s">
        <v>30</v>
      </c>
      <c r="K449" s="2" t="s">
        <v>30</v>
      </c>
      <c r="L449" s="2" t="s">
        <v>377</v>
      </c>
      <c r="M449" s="2" t="s">
        <v>31</v>
      </c>
      <c r="N449" s="2" t="s">
        <v>495</v>
      </c>
      <c r="O449" s="2" t="s">
        <v>173</v>
      </c>
      <c r="P449" s="2" t="s">
        <v>1224</v>
      </c>
      <c r="Q449" s="2" t="s">
        <v>462</v>
      </c>
      <c r="R449" s="2" t="s">
        <v>456</v>
      </c>
      <c r="S449" s="2" t="s">
        <v>34</v>
      </c>
      <c r="T449" s="156">
        <v>2.5819999999999999</v>
      </c>
      <c r="U449" s="2" t="s">
        <v>2205</v>
      </c>
      <c r="V449" s="170">
        <v>1.8599999999999998E-2</v>
      </c>
      <c r="W449" s="172">
        <v>2.257E-2</v>
      </c>
      <c r="X449" s="4" t="s">
        <v>461</v>
      </c>
      <c r="Y449" s="4" t="s">
        <v>173</v>
      </c>
      <c r="Z449" s="156">
        <v>112367</v>
      </c>
      <c r="AA449" s="166">
        <v>1</v>
      </c>
      <c r="AB449" s="183">
        <v>102.67</v>
      </c>
      <c r="AD449" s="156">
        <v>115.367</v>
      </c>
      <c r="AG449" s="2" t="s">
        <v>36</v>
      </c>
      <c r="AH449" s="172">
        <v>6.0999999999999999E-5</v>
      </c>
      <c r="AI449" s="172">
        <v>4.2332742198741602E-4</v>
      </c>
      <c r="AJ449" s="172">
        <v>6.3268364545901703E-5</v>
      </c>
    </row>
    <row r="450" spans="1:36">
      <c r="A450" s="2">
        <v>161</v>
      </c>
      <c r="B450" s="2">
        <v>9943</v>
      </c>
      <c r="C450" s="2" t="s">
        <v>1222</v>
      </c>
      <c r="D450" s="2" t="s">
        <v>1618</v>
      </c>
      <c r="E450" s="4" t="s">
        <v>1363</v>
      </c>
      <c r="F450" s="2" t="s">
        <v>2206</v>
      </c>
      <c r="G450" s="2" t="s">
        <v>2207</v>
      </c>
      <c r="H450" s="2" t="s">
        <v>223</v>
      </c>
      <c r="I450" s="2" t="s">
        <v>804</v>
      </c>
      <c r="J450" s="2" t="s">
        <v>30</v>
      </c>
      <c r="K450" s="2" t="s">
        <v>30</v>
      </c>
      <c r="L450" s="2" t="s">
        <v>377</v>
      </c>
      <c r="M450" s="2" t="s">
        <v>31</v>
      </c>
      <c r="N450" s="2" t="s">
        <v>495</v>
      </c>
      <c r="O450" s="2" t="s">
        <v>173</v>
      </c>
      <c r="P450" s="2" t="s">
        <v>1224</v>
      </c>
      <c r="Q450" s="2" t="s">
        <v>462</v>
      </c>
      <c r="R450" s="2" t="s">
        <v>456</v>
      </c>
      <c r="S450" s="2" t="s">
        <v>34</v>
      </c>
      <c r="T450" s="156">
        <v>3.1440000000000001</v>
      </c>
      <c r="U450" s="2" t="s">
        <v>2208</v>
      </c>
      <c r="V450" s="170">
        <v>1E-3</v>
      </c>
      <c r="W450" s="172">
        <v>2.307E-2</v>
      </c>
      <c r="X450" s="4" t="s">
        <v>461</v>
      </c>
      <c r="Y450" s="4" t="s">
        <v>173</v>
      </c>
      <c r="Z450" s="156">
        <v>12300</v>
      </c>
      <c r="AA450" s="166">
        <v>1</v>
      </c>
      <c r="AB450" s="183">
        <v>105.15</v>
      </c>
      <c r="AD450" s="156">
        <v>12.933</v>
      </c>
      <c r="AG450" s="2" t="s">
        <v>36</v>
      </c>
      <c r="AH450" s="172">
        <v>3.9999999999999998E-6</v>
      </c>
      <c r="AI450" s="172">
        <v>4.74578918280658E-5</v>
      </c>
      <c r="AJ450" s="172">
        <v>7.0928152649825002E-6</v>
      </c>
    </row>
    <row r="451" spans="1:36">
      <c r="A451" s="2">
        <v>161</v>
      </c>
      <c r="B451" s="2">
        <v>9943</v>
      </c>
      <c r="C451" s="2" t="s">
        <v>1222</v>
      </c>
      <c r="D451" s="2" t="s">
        <v>1618</v>
      </c>
      <c r="E451" s="4" t="s">
        <v>1363</v>
      </c>
      <c r="F451" s="2" t="s">
        <v>2212</v>
      </c>
      <c r="G451" s="2" t="s">
        <v>2213</v>
      </c>
      <c r="H451" s="2" t="s">
        <v>223</v>
      </c>
      <c r="I451" s="2" t="s">
        <v>804</v>
      </c>
      <c r="J451" s="2" t="s">
        <v>30</v>
      </c>
      <c r="K451" s="2" t="s">
        <v>30</v>
      </c>
      <c r="L451" s="2" t="s">
        <v>377</v>
      </c>
      <c r="M451" s="2" t="s">
        <v>31</v>
      </c>
      <c r="N451" s="2" t="s">
        <v>495</v>
      </c>
      <c r="O451" s="2" t="s">
        <v>173</v>
      </c>
      <c r="P451" s="2" t="s">
        <v>1224</v>
      </c>
      <c r="Q451" s="2" t="s">
        <v>462</v>
      </c>
      <c r="R451" s="2" t="s">
        <v>456</v>
      </c>
      <c r="S451" s="2" t="s">
        <v>34</v>
      </c>
      <c r="T451" s="156">
        <v>5.0449999999999999</v>
      </c>
      <c r="U451" s="2" t="s">
        <v>2214</v>
      </c>
      <c r="V451" s="170">
        <v>2.0199999999999999E-2</v>
      </c>
      <c r="W451" s="172">
        <v>2.5940000000000001E-2</v>
      </c>
      <c r="X451" s="4" t="s">
        <v>461</v>
      </c>
      <c r="Y451" s="4" t="s">
        <v>173</v>
      </c>
      <c r="Z451" s="156">
        <v>112367</v>
      </c>
      <c r="AA451" s="166">
        <v>1</v>
      </c>
      <c r="AB451" s="183">
        <v>101.35</v>
      </c>
      <c r="AD451" s="156">
        <v>113.884</v>
      </c>
      <c r="AG451" s="2" t="s">
        <v>36</v>
      </c>
      <c r="AH451" s="172">
        <v>3.1000000000000001E-5</v>
      </c>
      <c r="AI451" s="172">
        <v>4.17884817555514E-4</v>
      </c>
      <c r="AJ451" s="172">
        <v>6.2454940554467096E-5</v>
      </c>
    </row>
    <row r="452" spans="1:36">
      <c r="A452" s="2">
        <v>161</v>
      </c>
      <c r="B452" s="2">
        <v>9943</v>
      </c>
      <c r="C452" s="2" t="s">
        <v>1222</v>
      </c>
      <c r="D452" s="2" t="s">
        <v>1618</v>
      </c>
      <c r="E452" s="4" t="s">
        <v>1363</v>
      </c>
      <c r="F452" s="2" t="s">
        <v>2215</v>
      </c>
      <c r="G452" s="2" t="s">
        <v>2216</v>
      </c>
      <c r="H452" s="2" t="s">
        <v>223</v>
      </c>
      <c r="I452" s="2" t="s">
        <v>804</v>
      </c>
      <c r="J452" s="2" t="s">
        <v>30</v>
      </c>
      <c r="K452" s="2" t="s">
        <v>30</v>
      </c>
      <c r="L452" s="2" t="s">
        <v>377</v>
      </c>
      <c r="M452" s="2" t="s">
        <v>31</v>
      </c>
      <c r="N452" s="2" t="s">
        <v>495</v>
      </c>
      <c r="O452" s="2" t="s">
        <v>173</v>
      </c>
      <c r="P452" s="2" t="s">
        <v>1224</v>
      </c>
      <c r="Q452" s="2" t="s">
        <v>462</v>
      </c>
      <c r="R452" s="2" t="s">
        <v>456</v>
      </c>
      <c r="S452" s="2" t="s">
        <v>34</v>
      </c>
      <c r="T452" s="156">
        <v>5.1369999999999996</v>
      </c>
      <c r="U452" s="2" t="s">
        <v>2217</v>
      </c>
      <c r="V452" s="170">
        <v>1E-3</v>
      </c>
      <c r="W452" s="172">
        <v>2.622E-2</v>
      </c>
      <c r="X452" s="4" t="s">
        <v>461</v>
      </c>
      <c r="Y452" s="4" t="s">
        <v>173</v>
      </c>
      <c r="Z452" s="156">
        <v>121540</v>
      </c>
      <c r="AA452" s="166">
        <v>1</v>
      </c>
      <c r="AB452" s="183">
        <v>99.1</v>
      </c>
      <c r="AD452" s="156">
        <v>120.446</v>
      </c>
      <c r="AG452" s="2" t="s">
        <v>36</v>
      </c>
      <c r="AH452" s="172">
        <v>4.8999999999999998E-5</v>
      </c>
      <c r="AI452" s="172">
        <v>4.4196404541928599E-4</v>
      </c>
      <c r="AJ452" s="172">
        <v>6.6053699546541705E-5</v>
      </c>
    </row>
    <row r="453" spans="1:36">
      <c r="A453" s="2">
        <v>161</v>
      </c>
      <c r="B453" s="2">
        <v>9943</v>
      </c>
      <c r="C453" s="2" t="s">
        <v>2627</v>
      </c>
      <c r="D453" s="2" t="s">
        <v>2628</v>
      </c>
      <c r="E453" s="4" t="s">
        <v>1363</v>
      </c>
      <c r="F453" s="2" t="s">
        <v>2629</v>
      </c>
      <c r="G453" s="2" t="s">
        <v>2630</v>
      </c>
      <c r="H453" s="2" t="s">
        <v>223</v>
      </c>
      <c r="I453" s="2" t="s">
        <v>1013</v>
      </c>
      <c r="J453" s="2" t="s">
        <v>30</v>
      </c>
      <c r="K453" s="2" t="s">
        <v>30</v>
      </c>
      <c r="L453" s="2" t="s">
        <v>377</v>
      </c>
      <c r="M453" s="2" t="s">
        <v>31</v>
      </c>
      <c r="N453" s="2" t="s">
        <v>494</v>
      </c>
      <c r="O453" s="2" t="s">
        <v>173</v>
      </c>
      <c r="P453" s="2" t="s">
        <v>225</v>
      </c>
      <c r="Q453" s="2" t="s">
        <v>226</v>
      </c>
      <c r="R453" s="2" t="s">
        <v>226</v>
      </c>
      <c r="S453" s="2" t="s">
        <v>34</v>
      </c>
      <c r="T453" s="156">
        <v>3.4529999999999998</v>
      </c>
      <c r="U453" s="2" t="s">
        <v>2631</v>
      </c>
      <c r="V453" s="170">
        <v>8.1500000000000003E-2</v>
      </c>
      <c r="W453" s="172">
        <v>6.794E-2</v>
      </c>
      <c r="X453" s="4" t="s">
        <v>461</v>
      </c>
      <c r="Y453" s="4" t="s">
        <v>173</v>
      </c>
      <c r="Z453" s="156">
        <v>27222</v>
      </c>
      <c r="AA453" s="166">
        <v>1</v>
      </c>
      <c r="AB453" s="183">
        <v>105.11</v>
      </c>
      <c r="AD453" s="156">
        <v>28.613</v>
      </c>
      <c r="AG453" s="2" t="s">
        <v>36</v>
      </c>
      <c r="AH453" s="172">
        <v>1.3200000000000001E-4</v>
      </c>
      <c r="AI453" s="172">
        <v>1.0499246191196199E-4</v>
      </c>
      <c r="AJ453" s="172">
        <v>1.56916396382542E-5</v>
      </c>
    </row>
    <row r="454" spans="1:36">
      <c r="A454" s="2">
        <v>161</v>
      </c>
      <c r="B454" s="2">
        <v>9943</v>
      </c>
      <c r="C454" s="2" t="s">
        <v>1886</v>
      </c>
      <c r="D454" s="2" t="s">
        <v>1887</v>
      </c>
      <c r="E454" s="4" t="s">
        <v>1363</v>
      </c>
      <c r="F454" s="2" t="s">
        <v>2382</v>
      </c>
      <c r="G454" s="2" t="s">
        <v>2383</v>
      </c>
      <c r="H454" s="2" t="s">
        <v>223</v>
      </c>
      <c r="I454" s="2" t="s">
        <v>804</v>
      </c>
      <c r="J454" s="2" t="s">
        <v>30</v>
      </c>
      <c r="K454" s="2" t="s">
        <v>30</v>
      </c>
      <c r="L454" s="2" t="s">
        <v>377</v>
      </c>
      <c r="M454" s="2" t="s">
        <v>31</v>
      </c>
      <c r="N454" s="2" t="s">
        <v>511</v>
      </c>
      <c r="O454" s="2" t="s">
        <v>173</v>
      </c>
      <c r="P454" s="2" t="s">
        <v>2052</v>
      </c>
      <c r="Q454" s="2" t="s">
        <v>462</v>
      </c>
      <c r="R454" s="2" t="s">
        <v>456</v>
      </c>
      <c r="S454" s="2" t="s">
        <v>34</v>
      </c>
      <c r="T454" s="156">
        <v>5.83</v>
      </c>
      <c r="U454" s="2" t="s">
        <v>2384</v>
      </c>
      <c r="V454" s="170">
        <v>3.5000000000000001E-3</v>
      </c>
      <c r="W454" s="172">
        <v>3.4130000000000001E-2</v>
      </c>
      <c r="X454" s="4" t="s">
        <v>461</v>
      </c>
      <c r="Y454" s="4" t="s">
        <v>173</v>
      </c>
      <c r="Z454" s="156">
        <v>4012850</v>
      </c>
      <c r="AA454" s="166">
        <v>1</v>
      </c>
      <c r="AB454" s="183">
        <v>94.3</v>
      </c>
      <c r="AD454" s="156">
        <v>3784.1179999999999</v>
      </c>
      <c r="AG454" s="2" t="s">
        <v>36</v>
      </c>
      <c r="AH454" s="172">
        <v>1.152E-3</v>
      </c>
      <c r="AI454" s="172">
        <v>1.3885408870223E-2</v>
      </c>
      <c r="AJ454" s="172">
        <v>2.0752426245996399E-3</v>
      </c>
    </row>
    <row r="455" spans="1:36">
      <c r="A455" s="2">
        <v>161</v>
      </c>
      <c r="B455" s="2">
        <v>9943</v>
      </c>
      <c r="C455" s="2" t="s">
        <v>1886</v>
      </c>
      <c r="D455" s="2" t="s">
        <v>1887</v>
      </c>
      <c r="E455" s="4" t="s">
        <v>1363</v>
      </c>
      <c r="F455" s="2" t="s">
        <v>2452</v>
      </c>
      <c r="G455" s="2" t="s">
        <v>2453</v>
      </c>
      <c r="H455" s="2" t="s">
        <v>223</v>
      </c>
      <c r="I455" s="2" t="s">
        <v>804</v>
      </c>
      <c r="J455" s="2" t="s">
        <v>30</v>
      </c>
      <c r="K455" s="2" t="s">
        <v>30</v>
      </c>
      <c r="L455" s="2" t="s">
        <v>377</v>
      </c>
      <c r="M455" s="2" t="s">
        <v>31</v>
      </c>
      <c r="N455" s="2" t="s">
        <v>511</v>
      </c>
      <c r="O455" s="2" t="s">
        <v>173</v>
      </c>
      <c r="P455" s="2" t="s">
        <v>2052</v>
      </c>
      <c r="Q455" s="2" t="s">
        <v>462</v>
      </c>
      <c r="R455" s="2" t="s">
        <v>456</v>
      </c>
      <c r="S455" s="2" t="s">
        <v>34</v>
      </c>
      <c r="T455" s="156">
        <v>1.89</v>
      </c>
      <c r="U455" s="2" t="s">
        <v>2454</v>
      </c>
      <c r="V455" s="170">
        <v>2.4E-2</v>
      </c>
      <c r="W455" s="172">
        <v>2.487E-2</v>
      </c>
      <c r="X455" s="4" t="s">
        <v>461</v>
      </c>
      <c r="Y455" s="4" t="s">
        <v>173</v>
      </c>
      <c r="Z455" s="156">
        <v>392845.02</v>
      </c>
      <c r="AA455" s="166">
        <v>1</v>
      </c>
      <c r="AB455" s="183">
        <v>115.87</v>
      </c>
      <c r="AD455" s="156">
        <v>455.19</v>
      </c>
      <c r="AG455" s="2" t="s">
        <v>36</v>
      </c>
      <c r="AH455" s="172">
        <v>6.8099999999999996E-4</v>
      </c>
      <c r="AI455" s="172">
        <v>1.67026858442623E-3</v>
      </c>
      <c r="AJ455" s="172">
        <v>2.4962985197823299E-4</v>
      </c>
    </row>
    <row r="456" spans="1:36">
      <c r="A456" s="2">
        <v>161</v>
      </c>
      <c r="B456" s="2">
        <v>9943</v>
      </c>
      <c r="C456" s="2" t="s">
        <v>1886</v>
      </c>
      <c r="D456" s="2" t="s">
        <v>1887</v>
      </c>
      <c r="E456" s="4" t="s">
        <v>1363</v>
      </c>
      <c r="F456" s="2" t="s">
        <v>2218</v>
      </c>
      <c r="G456" s="2" t="s">
        <v>2219</v>
      </c>
      <c r="H456" s="2" t="s">
        <v>223</v>
      </c>
      <c r="I456" s="2" t="s">
        <v>804</v>
      </c>
      <c r="J456" s="2" t="s">
        <v>30</v>
      </c>
      <c r="K456" s="2" t="s">
        <v>30</v>
      </c>
      <c r="L456" s="2" t="s">
        <v>377</v>
      </c>
      <c r="M456" s="2" t="s">
        <v>31</v>
      </c>
      <c r="N456" s="2" t="s">
        <v>511</v>
      </c>
      <c r="O456" s="2" t="s">
        <v>173</v>
      </c>
      <c r="P456" s="2" t="s">
        <v>2052</v>
      </c>
      <c r="Q456" s="2" t="s">
        <v>462</v>
      </c>
      <c r="R456" s="2" t="s">
        <v>456</v>
      </c>
      <c r="S456" s="2" t="s">
        <v>34</v>
      </c>
      <c r="T456" s="156">
        <v>3.4409999999999998</v>
      </c>
      <c r="U456" s="2" t="s">
        <v>2151</v>
      </c>
      <c r="V456" s="170">
        <v>2.81E-2</v>
      </c>
      <c r="W456" s="172">
        <v>2.9329999999999998E-2</v>
      </c>
      <c r="X456" s="4" t="s">
        <v>461</v>
      </c>
      <c r="Y456" s="4" t="s">
        <v>173</v>
      </c>
      <c r="Z456" s="156">
        <v>81696</v>
      </c>
      <c r="AA456" s="166">
        <v>1</v>
      </c>
      <c r="AB456" s="183">
        <v>117.13</v>
      </c>
      <c r="AD456" s="156">
        <v>95.691000000000003</v>
      </c>
      <c r="AG456" s="2" t="s">
        <v>36</v>
      </c>
      <c r="AH456" s="172">
        <v>5.8999999999999998E-5</v>
      </c>
      <c r="AI456" s="172">
        <v>3.5112600079091399E-4</v>
      </c>
      <c r="AJ456" s="172">
        <v>5.2477507162870402E-5</v>
      </c>
    </row>
    <row r="457" spans="1:36">
      <c r="A457" s="2">
        <v>161</v>
      </c>
      <c r="B457" s="2">
        <v>9943</v>
      </c>
      <c r="C457" s="2" t="s">
        <v>1886</v>
      </c>
      <c r="D457" s="2" t="s">
        <v>1887</v>
      </c>
      <c r="E457" s="4" t="s">
        <v>1363</v>
      </c>
      <c r="F457" s="2" t="s">
        <v>2455</v>
      </c>
      <c r="G457" s="2" t="s">
        <v>2456</v>
      </c>
      <c r="H457" s="2" t="s">
        <v>223</v>
      </c>
      <c r="I457" s="2" t="s">
        <v>1013</v>
      </c>
      <c r="J457" s="2" t="s">
        <v>30</v>
      </c>
      <c r="K457" s="2" t="s">
        <v>30</v>
      </c>
      <c r="L457" s="2" t="s">
        <v>377</v>
      </c>
      <c r="M457" s="2" t="s">
        <v>31</v>
      </c>
      <c r="N457" s="2" t="s">
        <v>511</v>
      </c>
      <c r="O457" s="2" t="s">
        <v>173</v>
      </c>
      <c r="P457" s="2" t="s">
        <v>2052</v>
      </c>
      <c r="Q457" s="2" t="s">
        <v>462</v>
      </c>
      <c r="R457" s="2" t="s">
        <v>456</v>
      </c>
      <c r="S457" s="2" t="s">
        <v>34</v>
      </c>
      <c r="T457" s="156">
        <v>2.0859999999999999</v>
      </c>
      <c r="U457" s="2" t="s">
        <v>2130</v>
      </c>
      <c r="V457" s="170">
        <v>5.6500000000000002E-2</v>
      </c>
      <c r="W457" s="172">
        <v>5.339E-2</v>
      </c>
      <c r="X457" s="4" t="s">
        <v>461</v>
      </c>
      <c r="Y457" s="4" t="s">
        <v>173</v>
      </c>
      <c r="Z457" s="156">
        <v>237100.11</v>
      </c>
      <c r="AA457" s="166">
        <v>1</v>
      </c>
      <c r="AB457" s="183">
        <v>102.21</v>
      </c>
      <c r="AD457" s="156">
        <v>242.34</v>
      </c>
      <c r="AG457" s="2" t="s">
        <v>36</v>
      </c>
      <c r="AH457" s="172">
        <v>1.519E-3</v>
      </c>
      <c r="AI457" s="172">
        <v>8.8924042464627996E-4</v>
      </c>
      <c r="AJ457" s="172">
        <v>1.32901353499244E-4</v>
      </c>
    </row>
    <row r="458" spans="1:36">
      <c r="A458" s="2">
        <v>161</v>
      </c>
      <c r="B458" s="2">
        <v>9943</v>
      </c>
      <c r="C458" s="2" t="s">
        <v>1886</v>
      </c>
      <c r="D458" s="2" t="s">
        <v>1887</v>
      </c>
      <c r="E458" s="4" t="s">
        <v>1363</v>
      </c>
      <c r="F458" s="2" t="s">
        <v>2385</v>
      </c>
      <c r="G458" s="2" t="s">
        <v>2386</v>
      </c>
      <c r="H458" s="2" t="s">
        <v>223</v>
      </c>
      <c r="I458" s="2" t="s">
        <v>804</v>
      </c>
      <c r="J458" s="2" t="s">
        <v>30</v>
      </c>
      <c r="K458" s="2" t="s">
        <v>30</v>
      </c>
      <c r="L458" s="2" t="s">
        <v>377</v>
      </c>
      <c r="M458" s="2" t="s">
        <v>31</v>
      </c>
      <c r="N458" s="2" t="s">
        <v>511</v>
      </c>
      <c r="O458" s="2" t="s">
        <v>173</v>
      </c>
      <c r="P458" s="2" t="s">
        <v>2052</v>
      </c>
      <c r="Q458" s="2" t="s">
        <v>462</v>
      </c>
      <c r="R458" s="2" t="s">
        <v>456</v>
      </c>
      <c r="S458" s="2" t="s">
        <v>34</v>
      </c>
      <c r="T458" s="156">
        <v>2.024</v>
      </c>
      <c r="U458" s="2" t="s">
        <v>2130</v>
      </c>
      <c r="V458" s="170">
        <v>3.6999999999999998E-2</v>
      </c>
      <c r="W458" s="172">
        <v>2.6419999999999999E-2</v>
      </c>
      <c r="X458" s="4" t="s">
        <v>461</v>
      </c>
      <c r="Y458" s="4" t="s">
        <v>173</v>
      </c>
      <c r="Z458" s="156">
        <v>408605.82</v>
      </c>
      <c r="AA458" s="166">
        <v>1</v>
      </c>
      <c r="AB458" s="183">
        <v>119.19</v>
      </c>
      <c r="AD458" s="156">
        <v>487.017</v>
      </c>
      <c r="AG458" s="2" t="s">
        <v>36</v>
      </c>
      <c r="AH458" s="172">
        <v>1.359E-3</v>
      </c>
      <c r="AI458" s="172">
        <v>1.7870570685722799E-3</v>
      </c>
      <c r="AJ458" s="172">
        <v>2.6708446513564702E-4</v>
      </c>
    </row>
    <row r="459" spans="1:36">
      <c r="A459" s="2">
        <v>161</v>
      </c>
      <c r="B459" s="2">
        <v>9943</v>
      </c>
      <c r="C459" s="2" t="s">
        <v>2220</v>
      </c>
      <c r="D459" s="2" t="s">
        <v>2221</v>
      </c>
      <c r="E459" s="4" t="s">
        <v>1363</v>
      </c>
      <c r="F459" s="2" t="s">
        <v>2632</v>
      </c>
      <c r="G459" s="2" t="s">
        <v>2633</v>
      </c>
      <c r="H459" s="2" t="s">
        <v>223</v>
      </c>
      <c r="I459" s="2" t="s">
        <v>1013</v>
      </c>
      <c r="J459" s="2" t="s">
        <v>30</v>
      </c>
      <c r="K459" s="2" t="s">
        <v>30</v>
      </c>
      <c r="L459" s="2" t="s">
        <v>377</v>
      </c>
      <c r="M459" s="2" t="s">
        <v>31</v>
      </c>
      <c r="N459" s="2" t="s">
        <v>492</v>
      </c>
      <c r="O459" s="2" t="s">
        <v>173</v>
      </c>
      <c r="P459" s="2" t="s">
        <v>2061</v>
      </c>
      <c r="Q459" s="2" t="s">
        <v>464</v>
      </c>
      <c r="R459" s="2" t="s">
        <v>456</v>
      </c>
      <c r="S459" s="2" t="s">
        <v>34</v>
      </c>
      <c r="T459" s="156">
        <v>1.2230000000000001</v>
      </c>
      <c r="U459" s="2" t="s">
        <v>2340</v>
      </c>
      <c r="V459" s="170">
        <v>2.63E-2</v>
      </c>
      <c r="W459" s="172">
        <v>5.5390000000000002E-2</v>
      </c>
      <c r="X459" s="4" t="s">
        <v>461</v>
      </c>
      <c r="Y459" s="4" t="s">
        <v>173</v>
      </c>
      <c r="Z459" s="156">
        <v>2553036</v>
      </c>
      <c r="AA459" s="166">
        <v>1</v>
      </c>
      <c r="AB459" s="183">
        <v>98.54</v>
      </c>
      <c r="AD459" s="156">
        <v>2515.7620000000002</v>
      </c>
      <c r="AG459" s="2" t="s">
        <v>36</v>
      </c>
      <c r="AH459" s="172">
        <v>1.851E-3</v>
      </c>
      <c r="AI459" s="172">
        <v>9.2313145687244191E-3</v>
      </c>
      <c r="AJ459" s="172">
        <v>1.37966534893955E-3</v>
      </c>
    </row>
    <row r="460" spans="1:36">
      <c r="A460" s="2">
        <v>161</v>
      </c>
      <c r="B460" s="2">
        <v>9943</v>
      </c>
      <c r="C460" s="2" t="s">
        <v>2220</v>
      </c>
      <c r="D460" s="2" t="s">
        <v>2221</v>
      </c>
      <c r="E460" s="4" t="s">
        <v>1363</v>
      </c>
      <c r="F460" s="2" t="s">
        <v>2634</v>
      </c>
      <c r="G460" s="2" t="s">
        <v>2635</v>
      </c>
      <c r="H460" s="2" t="s">
        <v>223</v>
      </c>
      <c r="I460" s="2" t="s">
        <v>1013</v>
      </c>
      <c r="J460" s="2" t="s">
        <v>30</v>
      </c>
      <c r="K460" s="2" t="s">
        <v>30</v>
      </c>
      <c r="L460" s="2" t="s">
        <v>377</v>
      </c>
      <c r="M460" s="2" t="s">
        <v>31</v>
      </c>
      <c r="N460" s="2" t="s">
        <v>492</v>
      </c>
      <c r="O460" s="2" t="s">
        <v>173</v>
      </c>
      <c r="P460" s="2" t="s">
        <v>2061</v>
      </c>
      <c r="Q460" s="2" t="s">
        <v>464</v>
      </c>
      <c r="R460" s="2" t="s">
        <v>456</v>
      </c>
      <c r="S460" s="2" t="s">
        <v>34</v>
      </c>
      <c r="T460" s="156">
        <v>5.99</v>
      </c>
      <c r="U460" s="2" t="s">
        <v>2636</v>
      </c>
      <c r="V460" s="170">
        <v>5.3999999999999999E-2</v>
      </c>
      <c r="W460" s="172">
        <v>6.0539999999999997E-2</v>
      </c>
      <c r="X460" s="4" t="s">
        <v>461</v>
      </c>
      <c r="Y460" s="4" t="s">
        <v>173</v>
      </c>
      <c r="Z460" s="156">
        <v>9</v>
      </c>
      <c r="AA460" s="166">
        <v>1</v>
      </c>
      <c r="AB460" s="183">
        <v>98.05</v>
      </c>
      <c r="AD460" s="156">
        <v>8.9999999999999993E-3</v>
      </c>
      <c r="AG460" s="2" t="s">
        <v>36</v>
      </c>
      <c r="AH460" s="172">
        <v>0</v>
      </c>
      <c r="AI460" s="172">
        <v>3.2380545518540403E-8</v>
      </c>
      <c r="AJ460" s="172">
        <v>4.8394317298043504E-9</v>
      </c>
    </row>
    <row r="461" spans="1:36">
      <c r="A461" s="2">
        <v>161</v>
      </c>
      <c r="B461" s="2">
        <v>9943</v>
      </c>
      <c r="C461" s="2" t="s">
        <v>2225</v>
      </c>
      <c r="D461" s="2" t="s">
        <v>2226</v>
      </c>
      <c r="E461" s="4" t="s">
        <v>1363</v>
      </c>
      <c r="F461" s="2" t="s">
        <v>2227</v>
      </c>
      <c r="G461" s="2" t="s">
        <v>2228</v>
      </c>
      <c r="H461" s="2" t="s">
        <v>223</v>
      </c>
      <c r="I461" s="2" t="s">
        <v>804</v>
      </c>
      <c r="J461" s="2" t="s">
        <v>30</v>
      </c>
      <c r="K461" s="2" t="s">
        <v>30</v>
      </c>
      <c r="L461" s="2" t="s">
        <v>377</v>
      </c>
      <c r="M461" s="2" t="s">
        <v>31</v>
      </c>
      <c r="N461" s="2" t="s">
        <v>511</v>
      </c>
      <c r="O461" s="2" t="s">
        <v>173</v>
      </c>
      <c r="P461" s="2" t="s">
        <v>2061</v>
      </c>
      <c r="Q461" s="2" t="s">
        <v>462</v>
      </c>
      <c r="R461" s="2" t="s">
        <v>456</v>
      </c>
      <c r="S461" s="2" t="s">
        <v>34</v>
      </c>
      <c r="T461" s="156">
        <v>1.8720000000000001</v>
      </c>
      <c r="U461" s="2" t="s">
        <v>2229</v>
      </c>
      <c r="V461" s="170">
        <v>2.0500000000000001E-2</v>
      </c>
      <c r="W461" s="172">
        <v>2.6960000000000001E-2</v>
      </c>
      <c r="X461" s="4" t="s">
        <v>461</v>
      </c>
      <c r="Y461" s="4" t="s">
        <v>173</v>
      </c>
      <c r="Z461" s="156">
        <v>127044.18</v>
      </c>
      <c r="AA461" s="166">
        <v>1</v>
      </c>
      <c r="AB461" s="183">
        <v>115.69</v>
      </c>
      <c r="AD461" s="156">
        <v>146.977</v>
      </c>
      <c r="AG461" s="2" t="s">
        <v>36</v>
      </c>
      <c r="AH461" s="172">
        <v>1.6799999999999999E-4</v>
      </c>
      <c r="AI461" s="172">
        <v>5.3931766948236602E-4</v>
      </c>
      <c r="AJ461" s="172">
        <v>8.0603677311201402E-5</v>
      </c>
    </row>
    <row r="462" spans="1:36">
      <c r="A462" s="2">
        <v>161</v>
      </c>
      <c r="B462" s="2">
        <v>9943</v>
      </c>
      <c r="C462" s="2" t="s">
        <v>2225</v>
      </c>
      <c r="D462" s="2" t="s">
        <v>2226</v>
      </c>
      <c r="E462" s="4" t="s">
        <v>1363</v>
      </c>
      <c r="F462" s="2" t="s">
        <v>2637</v>
      </c>
      <c r="G462" s="2" t="s">
        <v>2638</v>
      </c>
      <c r="H462" s="2" t="s">
        <v>223</v>
      </c>
      <c r="I462" s="2" t="s">
        <v>804</v>
      </c>
      <c r="J462" s="2" t="s">
        <v>30</v>
      </c>
      <c r="K462" s="2" t="s">
        <v>30</v>
      </c>
      <c r="L462" s="2" t="s">
        <v>377</v>
      </c>
      <c r="M462" s="2" t="s">
        <v>31</v>
      </c>
      <c r="N462" s="2" t="s">
        <v>511</v>
      </c>
      <c r="O462" s="2" t="s">
        <v>173</v>
      </c>
      <c r="P462" s="2" t="s">
        <v>2061</v>
      </c>
      <c r="Q462" s="2" t="s">
        <v>462</v>
      </c>
      <c r="R462" s="2" t="s">
        <v>456</v>
      </c>
      <c r="S462" s="2" t="s">
        <v>34</v>
      </c>
      <c r="T462" s="156">
        <v>5.6989999999999998</v>
      </c>
      <c r="U462" s="2" t="s">
        <v>2200</v>
      </c>
      <c r="V462" s="170">
        <v>5.0000000000000001E-3</v>
      </c>
      <c r="W462" s="172">
        <v>3.551E-2</v>
      </c>
      <c r="X462" s="4" t="s">
        <v>461</v>
      </c>
      <c r="Y462" s="4" t="s">
        <v>173</v>
      </c>
      <c r="Z462" s="156">
        <v>1163157.93</v>
      </c>
      <c r="AA462" s="166">
        <v>1</v>
      </c>
      <c r="AB462" s="183">
        <v>95.68</v>
      </c>
      <c r="AD462" s="156">
        <v>1112.9100000000001</v>
      </c>
      <c r="AG462" s="2" t="s">
        <v>36</v>
      </c>
      <c r="AH462" s="172">
        <v>1.0214000000000001E-2</v>
      </c>
      <c r="AI462" s="172">
        <v>4.0837007154126796E-3</v>
      </c>
      <c r="AJ462" s="172">
        <v>6.1032914982476496E-4</v>
      </c>
    </row>
    <row r="463" spans="1:36">
      <c r="A463" s="2">
        <v>161</v>
      </c>
      <c r="B463" s="2">
        <v>9943</v>
      </c>
      <c r="C463" s="2" t="s">
        <v>2225</v>
      </c>
      <c r="D463" s="2" t="s">
        <v>2226</v>
      </c>
      <c r="E463" s="4" t="s">
        <v>1363</v>
      </c>
      <c r="F463" s="2" t="s">
        <v>2639</v>
      </c>
      <c r="G463" s="2" t="s">
        <v>2640</v>
      </c>
      <c r="H463" s="2" t="s">
        <v>223</v>
      </c>
      <c r="I463" s="2" t="s">
        <v>804</v>
      </c>
      <c r="J463" s="2" t="s">
        <v>30</v>
      </c>
      <c r="K463" s="2" t="s">
        <v>30</v>
      </c>
      <c r="L463" s="2" t="s">
        <v>377</v>
      </c>
      <c r="M463" s="2" t="s">
        <v>31</v>
      </c>
      <c r="N463" s="2" t="s">
        <v>511</v>
      </c>
      <c r="O463" s="2" t="s">
        <v>173</v>
      </c>
      <c r="P463" s="2" t="s">
        <v>2061</v>
      </c>
      <c r="Q463" s="2" t="s">
        <v>462</v>
      </c>
      <c r="R463" s="2" t="s">
        <v>456</v>
      </c>
      <c r="S463" s="2" t="s">
        <v>34</v>
      </c>
      <c r="T463" s="156">
        <v>5.6280000000000001</v>
      </c>
      <c r="U463" s="2" t="s">
        <v>2200</v>
      </c>
      <c r="V463" s="170">
        <v>9.7000000000000003E-3</v>
      </c>
      <c r="W463" s="172">
        <v>3.7069999999999999E-2</v>
      </c>
      <c r="X463" s="4" t="s">
        <v>461</v>
      </c>
      <c r="Y463" s="4" t="s">
        <v>173</v>
      </c>
      <c r="Z463" s="156">
        <v>2485140.5499999998</v>
      </c>
      <c r="AA463" s="166">
        <v>1</v>
      </c>
      <c r="AB463" s="183">
        <v>97.66</v>
      </c>
      <c r="AD463" s="156">
        <v>2426.9879999999998</v>
      </c>
      <c r="AG463" s="2" t="s">
        <v>36</v>
      </c>
      <c r="AH463" s="172">
        <v>6.2989999999999999E-3</v>
      </c>
      <c r="AI463" s="172">
        <v>8.9055701583640092E-3</v>
      </c>
      <c r="AJ463" s="172">
        <v>1.3309812452575499E-3</v>
      </c>
    </row>
    <row r="464" spans="1:36">
      <c r="A464" s="2">
        <v>161</v>
      </c>
      <c r="B464" s="2">
        <v>9943</v>
      </c>
      <c r="C464" s="2" t="s">
        <v>2230</v>
      </c>
      <c r="D464" s="2" t="s">
        <v>2231</v>
      </c>
      <c r="E464" s="4" t="s">
        <v>1363</v>
      </c>
      <c r="F464" s="2" t="s">
        <v>2457</v>
      </c>
      <c r="G464" s="2" t="s">
        <v>2458</v>
      </c>
      <c r="H464" s="2" t="s">
        <v>223</v>
      </c>
      <c r="I464" s="2" t="s">
        <v>804</v>
      </c>
      <c r="J464" s="2" t="s">
        <v>30</v>
      </c>
      <c r="K464" s="2" t="s">
        <v>30</v>
      </c>
      <c r="L464" s="2" t="s">
        <v>377</v>
      </c>
      <c r="M464" s="2" t="s">
        <v>31</v>
      </c>
      <c r="N464" s="2" t="s">
        <v>495</v>
      </c>
      <c r="O464" s="2" t="s">
        <v>173</v>
      </c>
      <c r="P464" s="2" t="s">
        <v>1224</v>
      </c>
      <c r="Q464" s="2" t="s">
        <v>462</v>
      </c>
      <c r="R464" s="2" t="s">
        <v>456</v>
      </c>
      <c r="S464" s="2" t="s">
        <v>34</v>
      </c>
      <c r="T464" s="156">
        <v>2.9550000000000001</v>
      </c>
      <c r="U464" s="2" t="s">
        <v>2459</v>
      </c>
      <c r="V464" s="170">
        <v>1.2200000000000001E-2</v>
      </c>
      <c r="W464" s="172">
        <v>2.2579999999999999E-2</v>
      </c>
      <c r="X464" s="4" t="s">
        <v>461</v>
      </c>
      <c r="Y464" s="4" t="s">
        <v>173</v>
      </c>
      <c r="Z464" s="156">
        <v>600000</v>
      </c>
      <c r="AA464" s="166">
        <v>1</v>
      </c>
      <c r="AB464" s="183">
        <v>113.04</v>
      </c>
      <c r="AD464" s="156">
        <v>678.24</v>
      </c>
      <c r="AG464" s="2" t="s">
        <v>36</v>
      </c>
      <c r="AH464" s="172">
        <v>1.9900000000000001E-4</v>
      </c>
      <c r="AI464" s="172">
        <v>2.4887281083908301E-3</v>
      </c>
      <c r="AJ464" s="172">
        <v>3.71952651869511E-4</v>
      </c>
    </row>
    <row r="465" spans="1:36">
      <c r="A465" s="2">
        <v>161</v>
      </c>
      <c r="B465" s="2">
        <v>9943</v>
      </c>
      <c r="C465" s="2" t="s">
        <v>2230</v>
      </c>
      <c r="D465" s="2" t="s">
        <v>2231</v>
      </c>
      <c r="E465" s="4" t="s">
        <v>1363</v>
      </c>
      <c r="F465" s="2" t="s">
        <v>2232</v>
      </c>
      <c r="G465" s="2" t="s">
        <v>2233</v>
      </c>
      <c r="H465" s="2" t="s">
        <v>223</v>
      </c>
      <c r="I465" s="2" t="s">
        <v>804</v>
      </c>
      <c r="J465" s="2" t="s">
        <v>30</v>
      </c>
      <c r="K465" s="2" t="s">
        <v>30</v>
      </c>
      <c r="L465" s="2" t="s">
        <v>377</v>
      </c>
      <c r="M465" s="2" t="s">
        <v>31</v>
      </c>
      <c r="N465" s="2" t="s">
        <v>495</v>
      </c>
      <c r="O465" s="2" t="s">
        <v>173</v>
      </c>
      <c r="P465" s="2" t="s">
        <v>1224</v>
      </c>
      <c r="Q465" s="2" t="s">
        <v>462</v>
      </c>
      <c r="R465" s="2" t="s">
        <v>456</v>
      </c>
      <c r="S465" s="2" t="s">
        <v>34</v>
      </c>
      <c r="T465" s="156">
        <v>4.0069999999999997</v>
      </c>
      <c r="U465" s="2" t="s">
        <v>2234</v>
      </c>
      <c r="V465" s="170">
        <v>1E-3</v>
      </c>
      <c r="W465" s="172">
        <v>2.5020000000000001E-2</v>
      </c>
      <c r="X465" s="4" t="s">
        <v>461</v>
      </c>
      <c r="Y465" s="4" t="s">
        <v>173</v>
      </c>
      <c r="Z465" s="156">
        <v>34580</v>
      </c>
      <c r="AA465" s="166">
        <v>1</v>
      </c>
      <c r="AB465" s="183">
        <v>102.41</v>
      </c>
      <c r="AD465" s="156">
        <v>35.412999999999997</v>
      </c>
      <c r="AG465" s="2" t="s">
        <v>36</v>
      </c>
      <c r="AH465" s="172">
        <v>1.0000000000000001E-5</v>
      </c>
      <c r="AI465" s="172">
        <v>1.29945549129614E-4</v>
      </c>
      <c r="AJ465" s="172">
        <v>1.9421001207179501E-5</v>
      </c>
    </row>
    <row r="466" spans="1:36">
      <c r="A466" s="2">
        <v>161</v>
      </c>
      <c r="B466" s="2">
        <v>9943</v>
      </c>
      <c r="C466" s="2" t="s">
        <v>2230</v>
      </c>
      <c r="D466" s="2" t="s">
        <v>2231</v>
      </c>
      <c r="E466" s="4" t="s">
        <v>1363</v>
      </c>
      <c r="F466" s="2" t="s">
        <v>2235</v>
      </c>
      <c r="G466" s="2" t="s">
        <v>2236</v>
      </c>
      <c r="H466" s="2" t="s">
        <v>223</v>
      </c>
      <c r="I466" s="2" t="s">
        <v>804</v>
      </c>
      <c r="J466" s="2" t="s">
        <v>30</v>
      </c>
      <c r="K466" s="2" t="s">
        <v>30</v>
      </c>
      <c r="L466" s="2" t="s">
        <v>377</v>
      </c>
      <c r="M466" s="2" t="s">
        <v>31</v>
      </c>
      <c r="N466" s="2" t="s">
        <v>495</v>
      </c>
      <c r="O466" s="2" t="s">
        <v>173</v>
      </c>
      <c r="P466" s="2" t="s">
        <v>1224</v>
      </c>
      <c r="Q466" s="2" t="s">
        <v>464</v>
      </c>
      <c r="R466" s="2" t="s">
        <v>456</v>
      </c>
      <c r="S466" s="2" t="s">
        <v>34</v>
      </c>
      <c r="T466" s="156">
        <v>2.16</v>
      </c>
      <c r="U466" s="2" t="s">
        <v>2237</v>
      </c>
      <c r="V466" s="170">
        <v>5.0000000000000001E-3</v>
      </c>
      <c r="W466" s="172">
        <v>2.1420000000000002E-2</v>
      </c>
      <c r="X466" s="4" t="s">
        <v>461</v>
      </c>
      <c r="Y466" s="4" t="s">
        <v>173</v>
      </c>
      <c r="Z466" s="156">
        <v>950845</v>
      </c>
      <c r="AA466" s="166">
        <v>1</v>
      </c>
      <c r="AB466" s="183">
        <v>110.72</v>
      </c>
      <c r="AD466" s="156">
        <v>1052.7760000000001</v>
      </c>
      <c r="AG466" s="2" t="s">
        <v>36</v>
      </c>
      <c r="AH466" s="172">
        <v>1.2459999999999999E-3</v>
      </c>
      <c r="AI466" s="172">
        <v>3.8630458063935598E-3</v>
      </c>
      <c r="AJ466" s="172">
        <v>5.7735118880082798E-4</v>
      </c>
    </row>
    <row r="467" spans="1:36">
      <c r="A467" s="2">
        <v>161</v>
      </c>
      <c r="B467" s="2">
        <v>9943</v>
      </c>
      <c r="C467" s="2" t="s">
        <v>2230</v>
      </c>
      <c r="D467" s="2" t="s">
        <v>2231</v>
      </c>
      <c r="E467" s="4" t="s">
        <v>1363</v>
      </c>
      <c r="F467" s="2" t="s">
        <v>2241</v>
      </c>
      <c r="G467" s="2" t="s">
        <v>2242</v>
      </c>
      <c r="H467" s="2" t="s">
        <v>223</v>
      </c>
      <c r="I467" s="2" t="s">
        <v>804</v>
      </c>
      <c r="J467" s="2" t="s">
        <v>30</v>
      </c>
      <c r="K467" s="2" t="s">
        <v>30</v>
      </c>
      <c r="L467" s="2" t="s">
        <v>377</v>
      </c>
      <c r="M467" s="2" t="s">
        <v>31</v>
      </c>
      <c r="N467" s="2" t="s">
        <v>495</v>
      </c>
      <c r="O467" s="2" t="s">
        <v>173</v>
      </c>
      <c r="P467" s="2" t="s">
        <v>1224</v>
      </c>
      <c r="Q467" s="2" t="s">
        <v>464</v>
      </c>
      <c r="R467" s="2" t="s">
        <v>456</v>
      </c>
      <c r="S467" s="2" t="s">
        <v>34</v>
      </c>
      <c r="T467" s="156">
        <v>0.375</v>
      </c>
      <c r="U467" s="2" t="s">
        <v>2243</v>
      </c>
      <c r="V467" s="170">
        <v>9.4999999999999998E-3</v>
      </c>
      <c r="W467" s="172">
        <v>2.657E-2</v>
      </c>
      <c r="X467" s="4" t="s">
        <v>461</v>
      </c>
      <c r="Y467" s="4" t="s">
        <v>173</v>
      </c>
      <c r="Z467" s="156">
        <v>533178.75</v>
      </c>
      <c r="AA467" s="166">
        <v>1</v>
      </c>
      <c r="AB467" s="183">
        <v>116.08</v>
      </c>
      <c r="AD467" s="156">
        <v>618.91399999999999</v>
      </c>
      <c r="AG467" s="2" t="s">
        <v>36</v>
      </c>
      <c r="AH467" s="172">
        <v>3.3170000000000001E-3</v>
      </c>
      <c r="AI467" s="172">
        <v>2.2710373941122498E-3</v>
      </c>
      <c r="AJ467" s="172">
        <v>3.3941770432329701E-4</v>
      </c>
    </row>
    <row r="468" spans="1:36">
      <c r="A468" s="2">
        <v>161</v>
      </c>
      <c r="B468" s="2">
        <v>9943</v>
      </c>
      <c r="C468" s="2" t="s">
        <v>2230</v>
      </c>
      <c r="D468" s="2" t="s">
        <v>2231</v>
      </c>
      <c r="E468" s="4" t="s">
        <v>1363</v>
      </c>
      <c r="F468" s="2" t="s">
        <v>2641</v>
      </c>
      <c r="G468" s="2" t="s">
        <v>2642</v>
      </c>
      <c r="H468" s="2" t="s">
        <v>223</v>
      </c>
      <c r="I468" s="2" t="s">
        <v>1013</v>
      </c>
      <c r="J468" s="2" t="s">
        <v>30</v>
      </c>
      <c r="K468" s="2" t="s">
        <v>30</v>
      </c>
      <c r="L468" s="2" t="s">
        <v>377</v>
      </c>
      <c r="M468" s="2" t="s">
        <v>31</v>
      </c>
      <c r="N468" s="2" t="s">
        <v>495</v>
      </c>
      <c r="O468" s="2" t="s">
        <v>173</v>
      </c>
      <c r="P468" s="2" t="s">
        <v>1224</v>
      </c>
      <c r="Q468" s="2" t="s">
        <v>462</v>
      </c>
      <c r="R468" s="2" t="s">
        <v>456</v>
      </c>
      <c r="S468" s="2" t="s">
        <v>34</v>
      </c>
      <c r="T468" s="156">
        <v>0.68200000000000005</v>
      </c>
      <c r="U468" s="2" t="s">
        <v>1390</v>
      </c>
      <c r="V468" s="170">
        <v>2.98E-2</v>
      </c>
      <c r="W468" s="172">
        <v>4.4600000000000001E-2</v>
      </c>
      <c r="X468" s="4" t="s">
        <v>461</v>
      </c>
      <c r="Y468" s="4" t="s">
        <v>173</v>
      </c>
      <c r="Z468" s="156">
        <v>2482996</v>
      </c>
      <c r="AA468" s="166">
        <v>1</v>
      </c>
      <c r="AB468" s="183">
        <v>99.95</v>
      </c>
      <c r="AD468" s="156">
        <v>2481.7550000000001</v>
      </c>
      <c r="AG468" s="2" t="s">
        <v>36</v>
      </c>
      <c r="AH468" s="172">
        <v>9.77E-4</v>
      </c>
      <c r="AI468" s="172">
        <v>9.1065289385068408E-3</v>
      </c>
      <c r="AJ468" s="172">
        <v>1.3610155229830099E-3</v>
      </c>
    </row>
    <row r="469" spans="1:36">
      <c r="A469" s="2">
        <v>161</v>
      </c>
      <c r="B469" s="2">
        <v>9943</v>
      </c>
      <c r="C469" s="2" t="s">
        <v>2230</v>
      </c>
      <c r="D469" s="2" t="s">
        <v>2231</v>
      </c>
      <c r="E469" s="4" t="s">
        <v>1363</v>
      </c>
      <c r="F469" s="2" t="s">
        <v>2387</v>
      </c>
      <c r="G469" s="2" t="s">
        <v>2388</v>
      </c>
      <c r="H469" s="2" t="s">
        <v>223</v>
      </c>
      <c r="I469" s="2" t="s">
        <v>804</v>
      </c>
      <c r="J469" s="2" t="s">
        <v>30</v>
      </c>
      <c r="K469" s="2" t="s">
        <v>30</v>
      </c>
      <c r="L469" s="2" t="s">
        <v>377</v>
      </c>
      <c r="M469" s="2" t="s">
        <v>31</v>
      </c>
      <c r="N469" s="2" t="s">
        <v>495</v>
      </c>
      <c r="O469" s="2" t="s">
        <v>173</v>
      </c>
      <c r="P469" s="2" t="s">
        <v>1374</v>
      </c>
      <c r="Q469" s="2" t="s">
        <v>462</v>
      </c>
      <c r="R469" s="2" t="s">
        <v>456</v>
      </c>
      <c r="S469" s="2" t="s">
        <v>34</v>
      </c>
      <c r="T469" s="156">
        <v>4.4210000000000003</v>
      </c>
      <c r="U469" s="2" t="s">
        <v>2389</v>
      </c>
      <c r="V469" s="170">
        <v>3.3599999999999998E-2</v>
      </c>
      <c r="W469" s="172">
        <v>3.0880000000000001E-2</v>
      </c>
      <c r="X469" s="4" t="s">
        <v>461</v>
      </c>
      <c r="Y469" s="4" t="s">
        <v>173</v>
      </c>
      <c r="Z469" s="156">
        <v>198050</v>
      </c>
      <c r="AA469" s="166">
        <v>1</v>
      </c>
      <c r="AB469" s="183">
        <v>105.66</v>
      </c>
      <c r="AD469" s="156">
        <v>209.26</v>
      </c>
      <c r="AG469" s="2" t="s">
        <v>36</v>
      </c>
      <c r="AH469" s="172">
        <v>1.7000000000000001E-4</v>
      </c>
      <c r="AI469" s="172">
        <v>7.6785551299313605E-4</v>
      </c>
      <c r="AJ469" s="172">
        <v>1.1475978165211799E-4</v>
      </c>
    </row>
    <row r="470" spans="1:36">
      <c r="A470" s="2">
        <v>161</v>
      </c>
      <c r="B470" s="2">
        <v>9943</v>
      </c>
      <c r="C470" s="2" t="s">
        <v>2230</v>
      </c>
      <c r="D470" s="2" t="s">
        <v>2231</v>
      </c>
      <c r="E470" s="4" t="s">
        <v>1363</v>
      </c>
      <c r="F470" s="2" t="s">
        <v>2244</v>
      </c>
      <c r="G470" s="2" t="s">
        <v>2245</v>
      </c>
      <c r="H470" s="2" t="s">
        <v>223</v>
      </c>
      <c r="I470" s="2" t="s">
        <v>804</v>
      </c>
      <c r="J470" s="2" t="s">
        <v>30</v>
      </c>
      <c r="K470" s="2" t="s">
        <v>30</v>
      </c>
      <c r="L470" s="2" t="s">
        <v>377</v>
      </c>
      <c r="M470" s="2" t="s">
        <v>31</v>
      </c>
      <c r="N470" s="2" t="s">
        <v>495</v>
      </c>
      <c r="O470" s="2" t="s">
        <v>173</v>
      </c>
      <c r="P470" s="2" t="s">
        <v>1224</v>
      </c>
      <c r="Q470" s="2" t="s">
        <v>462</v>
      </c>
      <c r="R470" s="2" t="s">
        <v>456</v>
      </c>
      <c r="S470" s="2" t="s">
        <v>34</v>
      </c>
      <c r="T470" s="156">
        <v>1.681</v>
      </c>
      <c r="U470" s="2" t="s">
        <v>2246</v>
      </c>
      <c r="V470" s="170">
        <v>3.8E-3</v>
      </c>
      <c r="W470" s="172">
        <v>2.1440000000000001E-2</v>
      </c>
      <c r="X470" s="4" t="s">
        <v>461</v>
      </c>
      <c r="Y470" s="4" t="s">
        <v>173</v>
      </c>
      <c r="Z470" s="156">
        <v>1792076</v>
      </c>
      <c r="AA470" s="166">
        <v>1</v>
      </c>
      <c r="AB470" s="183">
        <v>110.39</v>
      </c>
      <c r="AD470" s="156">
        <v>1978.2729999999999</v>
      </c>
      <c r="AG470" s="2" t="s">
        <v>36</v>
      </c>
      <c r="AH470" s="172">
        <v>5.9699999999999998E-4</v>
      </c>
      <c r="AI470" s="172">
        <v>7.2590570676940198E-3</v>
      </c>
      <c r="AJ470" s="172">
        <v>1.08490176861735E-3</v>
      </c>
    </row>
    <row r="471" spans="1:36">
      <c r="A471" s="2">
        <v>161</v>
      </c>
      <c r="B471" s="2">
        <v>9943</v>
      </c>
      <c r="C471" s="2" t="s">
        <v>2230</v>
      </c>
      <c r="D471" s="2" t="s">
        <v>2231</v>
      </c>
      <c r="E471" s="4" t="s">
        <v>1363</v>
      </c>
      <c r="F471" s="2" t="s">
        <v>2247</v>
      </c>
      <c r="G471" s="2" t="s">
        <v>2248</v>
      </c>
      <c r="H471" s="2" t="s">
        <v>223</v>
      </c>
      <c r="I471" s="2" t="s">
        <v>804</v>
      </c>
      <c r="J471" s="2" t="s">
        <v>30</v>
      </c>
      <c r="K471" s="2" t="s">
        <v>30</v>
      </c>
      <c r="L471" s="2" t="s">
        <v>377</v>
      </c>
      <c r="M471" s="2" t="s">
        <v>31</v>
      </c>
      <c r="N471" s="2" t="s">
        <v>495</v>
      </c>
      <c r="O471" s="2" t="s">
        <v>173</v>
      </c>
      <c r="P471" s="2" t="s">
        <v>1224</v>
      </c>
      <c r="Q471" s="2" t="s">
        <v>462</v>
      </c>
      <c r="R471" s="2" t="s">
        <v>456</v>
      </c>
      <c r="S471" s="2" t="s">
        <v>34</v>
      </c>
      <c r="T471" s="156">
        <v>3.43</v>
      </c>
      <c r="U471" s="2" t="s">
        <v>2249</v>
      </c>
      <c r="V471" s="170">
        <v>1E-3</v>
      </c>
      <c r="W471" s="172">
        <v>2.4819999999999998E-2</v>
      </c>
      <c r="X471" s="4" t="s">
        <v>461</v>
      </c>
      <c r="Y471" s="4" t="s">
        <v>173</v>
      </c>
      <c r="Z471" s="156">
        <v>235158</v>
      </c>
      <c r="AA471" s="166">
        <v>1</v>
      </c>
      <c r="AB471" s="183">
        <v>102.63</v>
      </c>
      <c r="AD471" s="156">
        <v>241.34299999999999</v>
      </c>
      <c r="AG471" s="2" t="s">
        <v>36</v>
      </c>
      <c r="AH471" s="172">
        <v>9.0000000000000006E-5</v>
      </c>
      <c r="AI471" s="172">
        <v>8.8558069451471599E-4</v>
      </c>
      <c r="AJ471" s="172">
        <v>1.3235438883766801E-4</v>
      </c>
    </row>
    <row r="472" spans="1:36">
      <c r="A472" s="2">
        <v>161</v>
      </c>
      <c r="B472" s="2">
        <v>9943</v>
      </c>
      <c r="C472" s="2" t="s">
        <v>2465</v>
      </c>
      <c r="D472" s="2" t="s">
        <v>2466</v>
      </c>
      <c r="E472" s="4" t="s">
        <v>1363</v>
      </c>
      <c r="F472" s="2" t="s">
        <v>2467</v>
      </c>
      <c r="G472" s="2" t="s">
        <v>2468</v>
      </c>
      <c r="H472" s="2" t="s">
        <v>223</v>
      </c>
      <c r="I472" s="2" t="s">
        <v>804</v>
      </c>
      <c r="J472" s="2" t="s">
        <v>30</v>
      </c>
      <c r="K472" s="2" t="s">
        <v>30</v>
      </c>
      <c r="L472" s="2" t="s">
        <v>377</v>
      </c>
      <c r="M472" s="2" t="s">
        <v>31</v>
      </c>
      <c r="N472" s="2" t="s">
        <v>526</v>
      </c>
      <c r="O472" s="2" t="s">
        <v>173</v>
      </c>
      <c r="P472" s="2" t="s">
        <v>2061</v>
      </c>
      <c r="Q472" s="2" t="s">
        <v>464</v>
      </c>
      <c r="R472" s="2" t="s">
        <v>456</v>
      </c>
      <c r="S472" s="2" t="s">
        <v>34</v>
      </c>
      <c r="T472" s="156">
        <v>0.68200000000000005</v>
      </c>
      <c r="U472" s="2" t="s">
        <v>2469</v>
      </c>
      <c r="V472" s="170">
        <v>3.95E-2</v>
      </c>
      <c r="W472" s="172">
        <v>2.0549999999999999E-2</v>
      </c>
      <c r="X472" s="4" t="s">
        <v>461</v>
      </c>
      <c r="Y472" s="4" t="s">
        <v>173</v>
      </c>
      <c r="Z472" s="156">
        <v>494643.39</v>
      </c>
      <c r="AA472" s="166">
        <v>1</v>
      </c>
      <c r="AB472" s="183">
        <v>125.21</v>
      </c>
      <c r="AD472" s="156">
        <v>619.34299999999996</v>
      </c>
      <c r="AG472" s="2" t="s">
        <v>36</v>
      </c>
      <c r="AH472" s="172">
        <v>3.0360000000000001E-3</v>
      </c>
      <c r="AI472" s="172">
        <v>2.27261191394032E-3</v>
      </c>
      <c r="AJ472" s="172">
        <v>3.3965302405288E-4</v>
      </c>
    </row>
    <row r="473" spans="1:36">
      <c r="A473" s="2">
        <v>161</v>
      </c>
      <c r="B473" s="2">
        <v>9943</v>
      </c>
      <c r="C473" s="2" t="s">
        <v>2250</v>
      </c>
      <c r="D473" s="2" t="s">
        <v>2251</v>
      </c>
      <c r="E473" s="4" t="s">
        <v>1363</v>
      </c>
      <c r="F473" s="2" t="s">
        <v>2256</v>
      </c>
      <c r="G473" s="2" t="s">
        <v>2257</v>
      </c>
      <c r="H473" s="2" t="s">
        <v>223</v>
      </c>
      <c r="I473" s="2" t="s">
        <v>804</v>
      </c>
      <c r="J473" s="2" t="s">
        <v>30</v>
      </c>
      <c r="K473" s="2" t="s">
        <v>30</v>
      </c>
      <c r="L473" s="2" t="s">
        <v>377</v>
      </c>
      <c r="M473" s="2" t="s">
        <v>31</v>
      </c>
      <c r="N473" s="2" t="s">
        <v>490</v>
      </c>
      <c r="O473" s="2" t="s">
        <v>173</v>
      </c>
      <c r="P473" s="2" t="s">
        <v>2061</v>
      </c>
      <c r="Q473" s="2" t="s">
        <v>464</v>
      </c>
      <c r="R473" s="2" t="s">
        <v>456</v>
      </c>
      <c r="S473" s="2" t="s">
        <v>34</v>
      </c>
      <c r="T473" s="156">
        <v>1.6559999999999999</v>
      </c>
      <c r="U473" s="2" t="s">
        <v>141</v>
      </c>
      <c r="V473" s="170">
        <v>3.5400000000000001E-2</v>
      </c>
      <c r="W473" s="172">
        <v>3.2190000000000003E-2</v>
      </c>
      <c r="X473" s="4" t="s">
        <v>461</v>
      </c>
      <c r="Y473" s="4" t="s">
        <v>173</v>
      </c>
      <c r="Z473" s="156">
        <v>145723</v>
      </c>
      <c r="AA473" s="166">
        <v>1</v>
      </c>
      <c r="AB473" s="183">
        <v>107.7</v>
      </c>
      <c r="AD473" s="156">
        <v>156.94399999999999</v>
      </c>
      <c r="AG473" s="2" t="s">
        <v>36</v>
      </c>
      <c r="AH473" s="172">
        <v>1.2999999999999999E-4</v>
      </c>
      <c r="AI473" s="172">
        <v>5.7588777637966203E-4</v>
      </c>
      <c r="AJ473" s="172">
        <v>8.6069259587441202E-5</v>
      </c>
    </row>
    <row r="474" spans="1:36">
      <c r="A474" s="2">
        <v>161</v>
      </c>
      <c r="B474" s="2">
        <v>9943</v>
      </c>
      <c r="C474" s="2" t="s">
        <v>2250</v>
      </c>
      <c r="D474" s="2" t="s">
        <v>2251</v>
      </c>
      <c r="E474" s="4" t="s">
        <v>1363</v>
      </c>
      <c r="F474" s="2" t="s">
        <v>2258</v>
      </c>
      <c r="G474" s="2" t="s">
        <v>2259</v>
      </c>
      <c r="H474" s="2" t="s">
        <v>223</v>
      </c>
      <c r="I474" s="2" t="s">
        <v>804</v>
      </c>
      <c r="J474" s="2" t="s">
        <v>30</v>
      </c>
      <c r="K474" s="2" t="s">
        <v>30</v>
      </c>
      <c r="L474" s="2" t="s">
        <v>377</v>
      </c>
      <c r="M474" s="2" t="s">
        <v>31</v>
      </c>
      <c r="N474" s="2" t="s">
        <v>490</v>
      </c>
      <c r="O474" s="2" t="s">
        <v>173</v>
      </c>
      <c r="P474" s="2" t="s">
        <v>2061</v>
      </c>
      <c r="Q474" s="2" t="s">
        <v>464</v>
      </c>
      <c r="R474" s="2" t="s">
        <v>456</v>
      </c>
      <c r="S474" s="2" t="s">
        <v>34</v>
      </c>
      <c r="T474" s="156">
        <v>0.66200000000000003</v>
      </c>
      <c r="U474" s="2" t="s">
        <v>2260</v>
      </c>
      <c r="V474" s="170">
        <v>0.01</v>
      </c>
      <c r="W474" s="172">
        <v>2.707E-2</v>
      </c>
      <c r="X474" s="4" t="s">
        <v>461</v>
      </c>
      <c r="Y474" s="4" t="s">
        <v>173</v>
      </c>
      <c r="Z474" s="156">
        <v>114188.6</v>
      </c>
      <c r="AA474" s="166">
        <v>1</v>
      </c>
      <c r="AB474" s="183">
        <v>113.12</v>
      </c>
      <c r="AD474" s="156">
        <v>129.16999999999999</v>
      </c>
      <c r="AG474" s="2" t="s">
        <v>36</v>
      </c>
      <c r="AH474" s="172">
        <v>3.7500000000000001E-4</v>
      </c>
      <c r="AI474" s="172">
        <v>4.7397583294126502E-4</v>
      </c>
      <c r="AJ474" s="172">
        <v>7.0838018580725895E-5</v>
      </c>
    </row>
    <row r="475" spans="1:36">
      <c r="A475" s="2">
        <v>161</v>
      </c>
      <c r="B475" s="2">
        <v>9943</v>
      </c>
      <c r="C475" s="2" t="s">
        <v>2643</v>
      </c>
      <c r="D475" s="2" t="s">
        <v>2644</v>
      </c>
      <c r="E475" s="4" t="s">
        <v>1363</v>
      </c>
      <c r="F475" s="2" t="s">
        <v>2645</v>
      </c>
      <c r="G475" s="2" t="s">
        <v>2646</v>
      </c>
      <c r="H475" s="2" t="s">
        <v>223</v>
      </c>
      <c r="I475" s="2" t="s">
        <v>804</v>
      </c>
      <c r="J475" s="2" t="s">
        <v>30</v>
      </c>
      <c r="K475" s="2" t="s">
        <v>30</v>
      </c>
      <c r="L475" s="2" t="s">
        <v>377</v>
      </c>
      <c r="M475" s="2" t="s">
        <v>31</v>
      </c>
      <c r="N475" s="2" t="s">
        <v>512</v>
      </c>
      <c r="O475" s="2" t="s">
        <v>173</v>
      </c>
      <c r="P475" s="2" t="s">
        <v>146</v>
      </c>
      <c r="Q475" s="2" t="s">
        <v>464</v>
      </c>
      <c r="R475" s="2" t="s">
        <v>456</v>
      </c>
      <c r="S475" s="2" t="s">
        <v>34</v>
      </c>
      <c r="T475" s="156">
        <v>2.996</v>
      </c>
      <c r="U475" s="2" t="s">
        <v>2521</v>
      </c>
      <c r="V475" s="170">
        <v>3.3700000000000001E-2</v>
      </c>
      <c r="W475" s="172">
        <v>4.6670000000000003E-2</v>
      </c>
      <c r="X475" s="4" t="s">
        <v>461</v>
      </c>
      <c r="Y475" s="4" t="s">
        <v>173</v>
      </c>
      <c r="Z475" s="156">
        <v>155693.35999999999</v>
      </c>
      <c r="AA475" s="166">
        <v>1</v>
      </c>
      <c r="AB475" s="183">
        <v>110.46</v>
      </c>
      <c r="AD475" s="156">
        <v>171.97900000000001</v>
      </c>
      <c r="AG475" s="2" t="s">
        <v>36</v>
      </c>
      <c r="AH475" s="172">
        <v>7.2800000000000002E-4</v>
      </c>
      <c r="AI475" s="172">
        <v>6.3105786489159202E-4</v>
      </c>
      <c r="AJ475" s="172">
        <v>9.43147005645821E-5</v>
      </c>
    </row>
    <row r="476" spans="1:36">
      <c r="A476" s="2">
        <v>161</v>
      </c>
      <c r="B476" s="2">
        <v>9943</v>
      </c>
      <c r="C476" s="2" t="s">
        <v>1692</v>
      </c>
      <c r="D476" s="2" t="s">
        <v>1693</v>
      </c>
      <c r="E476" s="4" t="s">
        <v>1363</v>
      </c>
      <c r="F476" s="2" t="s">
        <v>2261</v>
      </c>
      <c r="G476" s="2" t="s">
        <v>2262</v>
      </c>
      <c r="H476" s="2" t="s">
        <v>223</v>
      </c>
      <c r="I476" s="2" t="s">
        <v>804</v>
      </c>
      <c r="J476" s="2" t="s">
        <v>30</v>
      </c>
      <c r="K476" s="2" t="s">
        <v>30</v>
      </c>
      <c r="L476" s="2" t="s">
        <v>377</v>
      </c>
      <c r="M476" s="2" t="s">
        <v>31</v>
      </c>
      <c r="N476" s="2" t="s">
        <v>511</v>
      </c>
      <c r="O476" s="2" t="s">
        <v>173</v>
      </c>
      <c r="P476" s="2" t="s">
        <v>2052</v>
      </c>
      <c r="Q476" s="2" t="s">
        <v>462</v>
      </c>
      <c r="R476" s="2" t="s">
        <v>456</v>
      </c>
      <c r="S476" s="2" t="s">
        <v>34</v>
      </c>
      <c r="T476" s="156">
        <v>4.3440000000000003</v>
      </c>
      <c r="U476" s="2" t="s">
        <v>2263</v>
      </c>
      <c r="V476" s="170">
        <v>1.43E-2</v>
      </c>
      <c r="W476" s="172">
        <v>2.938E-2</v>
      </c>
      <c r="X476" s="4" t="s">
        <v>461</v>
      </c>
      <c r="Y476" s="4" t="s">
        <v>173</v>
      </c>
      <c r="Z476" s="156">
        <v>144362.1</v>
      </c>
      <c r="AA476" s="166">
        <v>1</v>
      </c>
      <c r="AB476" s="183">
        <v>108.57</v>
      </c>
      <c r="AD476" s="156">
        <v>156.73400000000001</v>
      </c>
      <c r="AG476" s="2" t="s">
        <v>36</v>
      </c>
      <c r="AH476" s="172">
        <v>1.2799999999999999E-4</v>
      </c>
      <c r="AI476" s="172">
        <v>5.7511816176037203E-4</v>
      </c>
      <c r="AJ476" s="172">
        <v>8.5954236898704101E-5</v>
      </c>
    </row>
    <row r="477" spans="1:36">
      <c r="A477" s="2">
        <v>161</v>
      </c>
      <c r="B477" s="2">
        <v>9943</v>
      </c>
      <c r="C477" s="2" t="s">
        <v>1692</v>
      </c>
      <c r="D477" s="2" t="s">
        <v>1693</v>
      </c>
      <c r="E477" s="4" t="s">
        <v>1363</v>
      </c>
      <c r="F477" s="2" t="s">
        <v>2647</v>
      </c>
      <c r="G477" s="2" t="s">
        <v>2648</v>
      </c>
      <c r="H477" s="2" t="s">
        <v>223</v>
      </c>
      <c r="I477" s="2" t="s">
        <v>804</v>
      </c>
      <c r="J477" s="2" t="s">
        <v>30</v>
      </c>
      <c r="K477" s="2" t="s">
        <v>30</v>
      </c>
      <c r="L477" s="2" t="s">
        <v>377</v>
      </c>
      <c r="M477" s="2" t="s">
        <v>31</v>
      </c>
      <c r="N477" s="2" t="s">
        <v>511</v>
      </c>
      <c r="O477" s="2" t="s">
        <v>173</v>
      </c>
      <c r="P477" s="2" t="s">
        <v>2052</v>
      </c>
      <c r="Q477" s="2" t="s">
        <v>462</v>
      </c>
      <c r="R477" s="2" t="s">
        <v>456</v>
      </c>
      <c r="S477" s="2" t="s">
        <v>34</v>
      </c>
      <c r="T477" s="156">
        <v>5.92</v>
      </c>
      <c r="U477" s="2" t="s">
        <v>2649</v>
      </c>
      <c r="V477" s="170">
        <v>3.61E-2</v>
      </c>
      <c r="W477" s="172">
        <v>3.4549999999999997E-2</v>
      </c>
      <c r="X477" s="4" t="s">
        <v>461</v>
      </c>
      <c r="Y477" s="4" t="s">
        <v>173</v>
      </c>
      <c r="Z477" s="156">
        <v>2300000</v>
      </c>
      <c r="AA477" s="166">
        <v>1</v>
      </c>
      <c r="AB477" s="183">
        <v>107.95</v>
      </c>
      <c r="AD477" s="156">
        <v>2482.85</v>
      </c>
      <c r="AG477" s="2" t="s">
        <v>36</v>
      </c>
      <c r="AH477" s="172">
        <v>2.153E-3</v>
      </c>
      <c r="AI477" s="172">
        <v>9.11054874958446E-3</v>
      </c>
      <c r="AJ477" s="172">
        <v>1.36161630351235E-3</v>
      </c>
    </row>
    <row r="478" spans="1:36">
      <c r="A478" s="2">
        <v>161</v>
      </c>
      <c r="B478" s="2">
        <v>9943</v>
      </c>
      <c r="C478" s="2" t="s">
        <v>1692</v>
      </c>
      <c r="D478" s="2" t="s">
        <v>1693</v>
      </c>
      <c r="E478" s="4" t="s">
        <v>1363</v>
      </c>
      <c r="F478" s="2" t="s">
        <v>2264</v>
      </c>
      <c r="G478" s="2" t="s">
        <v>2265</v>
      </c>
      <c r="H478" s="2" t="s">
        <v>223</v>
      </c>
      <c r="I478" s="2" t="s">
        <v>804</v>
      </c>
      <c r="J478" s="2" t="s">
        <v>30</v>
      </c>
      <c r="K478" s="2" t="s">
        <v>30</v>
      </c>
      <c r="L478" s="2" t="s">
        <v>377</v>
      </c>
      <c r="M478" s="2" t="s">
        <v>31</v>
      </c>
      <c r="N478" s="2" t="s">
        <v>511</v>
      </c>
      <c r="O478" s="2" t="s">
        <v>173</v>
      </c>
      <c r="P478" s="2" t="s">
        <v>2052</v>
      </c>
      <c r="Q478" s="2" t="s">
        <v>462</v>
      </c>
      <c r="R478" s="2" t="s">
        <v>456</v>
      </c>
      <c r="S478" s="2" t="s">
        <v>34</v>
      </c>
      <c r="T478" s="156">
        <v>0.76200000000000001</v>
      </c>
      <c r="U478" s="2" t="s">
        <v>2266</v>
      </c>
      <c r="V478" s="170">
        <v>1.7600000000000001E-2</v>
      </c>
      <c r="W478" s="172">
        <v>2.5239999999999999E-2</v>
      </c>
      <c r="X478" s="4" t="s">
        <v>461</v>
      </c>
      <c r="Y478" s="4" t="s">
        <v>173</v>
      </c>
      <c r="Z478" s="156">
        <v>48057.2</v>
      </c>
      <c r="AA478" s="166">
        <v>1</v>
      </c>
      <c r="AB478" s="183">
        <v>117</v>
      </c>
      <c r="AD478" s="156">
        <v>56.226999999999997</v>
      </c>
      <c r="AG478" s="2" t="s">
        <v>36</v>
      </c>
      <c r="AH478" s="172">
        <v>6.2000000000000003E-5</v>
      </c>
      <c r="AI478" s="172">
        <v>2.0631859844178301E-4</v>
      </c>
      <c r="AJ478" s="172">
        <v>3.0835328922306999E-5</v>
      </c>
    </row>
    <row r="479" spans="1:36">
      <c r="A479" s="2">
        <v>161</v>
      </c>
      <c r="B479" s="2">
        <v>9943</v>
      </c>
      <c r="C479" s="2" t="s">
        <v>1692</v>
      </c>
      <c r="D479" s="2" t="s">
        <v>1693</v>
      </c>
      <c r="E479" s="4" t="s">
        <v>1363</v>
      </c>
      <c r="F479" s="2" t="s">
        <v>2267</v>
      </c>
      <c r="G479" s="2" t="s">
        <v>2268</v>
      </c>
      <c r="H479" s="2" t="s">
        <v>223</v>
      </c>
      <c r="I479" s="2" t="s">
        <v>804</v>
      </c>
      <c r="J479" s="2" t="s">
        <v>30</v>
      </c>
      <c r="K479" s="2" t="s">
        <v>30</v>
      </c>
      <c r="L479" s="2" t="s">
        <v>377</v>
      </c>
      <c r="M479" s="2" t="s">
        <v>31</v>
      </c>
      <c r="N479" s="2" t="s">
        <v>511</v>
      </c>
      <c r="O479" s="2" t="s">
        <v>173</v>
      </c>
      <c r="P479" s="2" t="s">
        <v>2052</v>
      </c>
      <c r="Q479" s="2" t="s">
        <v>462</v>
      </c>
      <c r="R479" s="2" t="s">
        <v>456</v>
      </c>
      <c r="S479" s="2" t="s">
        <v>34</v>
      </c>
      <c r="T479" s="156">
        <v>1.5029999999999999</v>
      </c>
      <c r="U479" s="2" t="s">
        <v>2269</v>
      </c>
      <c r="V479" s="170">
        <v>2.1499999999999998E-2</v>
      </c>
      <c r="W479" s="172">
        <v>2.529E-2</v>
      </c>
      <c r="X479" s="4" t="s">
        <v>461</v>
      </c>
      <c r="Y479" s="4" t="s">
        <v>173</v>
      </c>
      <c r="Z479" s="156">
        <v>28865.5</v>
      </c>
      <c r="AA479" s="166">
        <v>1</v>
      </c>
      <c r="AB479" s="183">
        <v>117.88</v>
      </c>
      <c r="AD479" s="156">
        <v>34.027000000000001</v>
      </c>
      <c r="AG479" s="2" t="s">
        <v>36</v>
      </c>
      <c r="AH479" s="172">
        <v>2.4000000000000001E-5</v>
      </c>
      <c r="AI479" s="172">
        <v>1.2485710629511101E-4</v>
      </c>
      <c r="AJ479" s="172">
        <v>1.86605084077457E-5</v>
      </c>
    </row>
    <row r="480" spans="1:36">
      <c r="A480" s="2">
        <v>161</v>
      </c>
      <c r="B480" s="2">
        <v>9943</v>
      </c>
      <c r="C480" s="2" t="s">
        <v>1692</v>
      </c>
      <c r="D480" s="2" t="s">
        <v>1693</v>
      </c>
      <c r="E480" s="4" t="s">
        <v>1363</v>
      </c>
      <c r="F480" s="2" t="s">
        <v>2273</v>
      </c>
      <c r="G480" s="2" t="s">
        <v>2274</v>
      </c>
      <c r="H480" s="2" t="s">
        <v>223</v>
      </c>
      <c r="I480" s="2" t="s">
        <v>804</v>
      </c>
      <c r="J480" s="2" t="s">
        <v>30</v>
      </c>
      <c r="K480" s="2" t="s">
        <v>30</v>
      </c>
      <c r="L480" s="2" t="s">
        <v>377</v>
      </c>
      <c r="M480" s="2" t="s">
        <v>31</v>
      </c>
      <c r="N480" s="2" t="s">
        <v>511</v>
      </c>
      <c r="O480" s="2" t="s">
        <v>173</v>
      </c>
      <c r="P480" s="2" t="s">
        <v>2052</v>
      </c>
      <c r="Q480" s="2" t="s">
        <v>462</v>
      </c>
      <c r="R480" s="2" t="s">
        <v>456</v>
      </c>
      <c r="S480" s="2" t="s">
        <v>34</v>
      </c>
      <c r="T480" s="156">
        <v>5.298</v>
      </c>
      <c r="U480" s="2" t="s">
        <v>2240</v>
      </c>
      <c r="V480" s="170">
        <v>2.5000000000000001E-3</v>
      </c>
      <c r="W480" s="172">
        <v>3.0300000000000001E-2</v>
      </c>
      <c r="X480" s="4" t="s">
        <v>461</v>
      </c>
      <c r="Y480" s="4" t="s">
        <v>173</v>
      </c>
      <c r="Z480" s="156">
        <v>129337</v>
      </c>
      <c r="AA480" s="166">
        <v>1</v>
      </c>
      <c r="AB480" s="183">
        <v>97.92</v>
      </c>
      <c r="AD480" s="156">
        <v>126.64700000000001</v>
      </c>
      <c r="AG480" s="2" t="s">
        <v>36</v>
      </c>
      <c r="AH480" s="172">
        <v>1.0399999999999999E-4</v>
      </c>
      <c r="AI480" s="172">
        <v>4.6471665945087498E-4</v>
      </c>
      <c r="AJ480" s="172">
        <v>6.9454189578972301E-5</v>
      </c>
    </row>
    <row r="481" spans="1:36">
      <c r="A481" s="2">
        <v>161</v>
      </c>
      <c r="B481" s="2">
        <v>9943</v>
      </c>
      <c r="C481" s="2" t="s">
        <v>2650</v>
      </c>
      <c r="D481" s="2" t="s">
        <v>2651</v>
      </c>
      <c r="E481" s="4" t="s">
        <v>1363</v>
      </c>
      <c r="F481" s="2" t="s">
        <v>2652</v>
      </c>
      <c r="G481" s="2" t="s">
        <v>2653</v>
      </c>
      <c r="H481" s="2" t="s">
        <v>223</v>
      </c>
      <c r="I481" s="2" t="s">
        <v>1013</v>
      </c>
      <c r="J481" s="2" t="s">
        <v>30</v>
      </c>
      <c r="K481" s="2" t="s">
        <v>30</v>
      </c>
      <c r="L481" s="2" t="s">
        <v>377</v>
      </c>
      <c r="M481" s="2" t="s">
        <v>31</v>
      </c>
      <c r="N481" s="2" t="s">
        <v>525</v>
      </c>
      <c r="O481" s="2" t="s">
        <v>173</v>
      </c>
      <c r="P481" s="2" t="s">
        <v>2061</v>
      </c>
      <c r="Q481" s="2" t="s">
        <v>462</v>
      </c>
      <c r="R481" s="2" t="s">
        <v>456</v>
      </c>
      <c r="S481" s="2" t="s">
        <v>34</v>
      </c>
      <c r="T481" s="156">
        <v>0.249</v>
      </c>
      <c r="U481" s="2" t="s">
        <v>2442</v>
      </c>
      <c r="V481" s="170">
        <v>2.9499999999999998E-2</v>
      </c>
      <c r="W481" s="172">
        <v>5.8369999999999998E-2</v>
      </c>
      <c r="X481" s="4" t="s">
        <v>461</v>
      </c>
      <c r="Y481" s="4" t="s">
        <v>173</v>
      </c>
      <c r="Z481" s="156">
        <v>236772.52</v>
      </c>
      <c r="AA481" s="166">
        <v>1</v>
      </c>
      <c r="AB481" s="183">
        <v>100.05</v>
      </c>
      <c r="AD481" s="156">
        <v>236.89099999999999</v>
      </c>
      <c r="AG481" s="2" t="s">
        <v>36</v>
      </c>
      <c r="AH481" s="172">
        <v>1.3242E-2</v>
      </c>
      <c r="AI481" s="172">
        <v>8.6924548394585804E-4</v>
      </c>
      <c r="AJ481" s="172">
        <v>1.2991301130452199E-4</v>
      </c>
    </row>
    <row r="482" spans="1:36">
      <c r="A482" s="2">
        <v>161</v>
      </c>
      <c r="B482" s="2">
        <v>9943</v>
      </c>
      <c r="C482" s="2" t="s">
        <v>2275</v>
      </c>
      <c r="D482" s="2" t="s">
        <v>2276</v>
      </c>
      <c r="E482" s="4" t="s">
        <v>1363</v>
      </c>
      <c r="F482" s="2" t="s">
        <v>2654</v>
      </c>
      <c r="G482" s="2" t="s">
        <v>2655</v>
      </c>
      <c r="H482" s="2" t="s">
        <v>223</v>
      </c>
      <c r="I482" s="2" t="s">
        <v>1013</v>
      </c>
      <c r="J482" s="2" t="s">
        <v>30</v>
      </c>
      <c r="K482" s="2" t="s">
        <v>30</v>
      </c>
      <c r="L482" s="2" t="s">
        <v>377</v>
      </c>
      <c r="M482" s="2" t="s">
        <v>31</v>
      </c>
      <c r="N482" s="2" t="s">
        <v>492</v>
      </c>
      <c r="O482" s="2" t="s">
        <v>173</v>
      </c>
      <c r="P482" s="2" t="s">
        <v>1374</v>
      </c>
      <c r="Q482" s="2" t="s">
        <v>464</v>
      </c>
      <c r="R482" s="2" t="s">
        <v>456</v>
      </c>
      <c r="S482" s="2" t="s">
        <v>34</v>
      </c>
      <c r="T482" s="156">
        <v>1.9690000000000001</v>
      </c>
      <c r="U482" s="2" t="s">
        <v>2454</v>
      </c>
      <c r="V482" s="170">
        <v>1.84E-2</v>
      </c>
      <c r="W482" s="172">
        <v>5.2949999999999997E-2</v>
      </c>
      <c r="X482" s="4" t="s">
        <v>461</v>
      </c>
      <c r="Y482" s="4" t="s">
        <v>173</v>
      </c>
      <c r="Z482" s="156">
        <v>608315</v>
      </c>
      <c r="AA482" s="166">
        <v>1</v>
      </c>
      <c r="AB482" s="183">
        <v>93.66</v>
      </c>
      <c r="AD482" s="156">
        <v>569.74800000000005</v>
      </c>
      <c r="AG482" s="2" t="s">
        <v>36</v>
      </c>
      <c r="AH482" s="172">
        <v>2.0279999999999999E-3</v>
      </c>
      <c r="AI482" s="172">
        <v>2.0906278555186202E-3</v>
      </c>
      <c r="AJ482" s="172">
        <v>3.1245461177967497E-4</v>
      </c>
    </row>
    <row r="483" spans="1:36">
      <c r="A483" s="2">
        <v>161</v>
      </c>
      <c r="B483" s="2">
        <v>9943</v>
      </c>
      <c r="C483" s="2" t="s">
        <v>1890</v>
      </c>
      <c r="D483" s="2" t="s">
        <v>1891</v>
      </c>
      <c r="E483" s="4" t="s">
        <v>1363</v>
      </c>
      <c r="F483" s="2" t="s">
        <v>2473</v>
      </c>
      <c r="G483" s="2" t="s">
        <v>2474</v>
      </c>
      <c r="H483" s="2" t="s">
        <v>223</v>
      </c>
      <c r="I483" s="2" t="s">
        <v>1013</v>
      </c>
      <c r="J483" s="2" t="s">
        <v>30</v>
      </c>
      <c r="K483" s="2" t="s">
        <v>30</v>
      </c>
      <c r="L483" s="2" t="s">
        <v>377</v>
      </c>
      <c r="M483" s="2" t="s">
        <v>31</v>
      </c>
      <c r="N483" s="2" t="s">
        <v>492</v>
      </c>
      <c r="O483" s="2" t="s">
        <v>173</v>
      </c>
      <c r="P483" s="2" t="s">
        <v>2052</v>
      </c>
      <c r="Q483" s="2" t="s">
        <v>464</v>
      </c>
      <c r="R483" s="2" t="s">
        <v>456</v>
      </c>
      <c r="S483" s="2" t="s">
        <v>34</v>
      </c>
      <c r="T483" s="156">
        <v>1.2</v>
      </c>
      <c r="U483" s="2" t="s">
        <v>2454</v>
      </c>
      <c r="V483" s="170">
        <v>2.9399999999999999E-2</v>
      </c>
      <c r="W483" s="172">
        <v>5.3879999999999997E-2</v>
      </c>
      <c r="X483" s="4" t="s">
        <v>461</v>
      </c>
      <c r="Y483" s="4" t="s">
        <v>173</v>
      </c>
      <c r="Z483" s="156">
        <v>178475.13</v>
      </c>
      <c r="AA483" s="166">
        <v>1</v>
      </c>
      <c r="AB483" s="183">
        <v>96.58</v>
      </c>
      <c r="AD483" s="156">
        <v>172.37100000000001</v>
      </c>
      <c r="AG483" s="2" t="s">
        <v>36</v>
      </c>
      <c r="AH483" s="172">
        <v>1.1130000000000001E-3</v>
      </c>
      <c r="AI483" s="172">
        <v>6.3249771613891996E-4</v>
      </c>
      <c r="AJ483" s="172">
        <v>9.4529893412661901E-5</v>
      </c>
    </row>
    <row r="484" spans="1:36">
      <c r="A484" s="2">
        <v>161</v>
      </c>
      <c r="B484" s="2">
        <v>9943</v>
      </c>
      <c r="C484" s="2" t="s">
        <v>2656</v>
      </c>
      <c r="D484" s="2" t="s">
        <v>2657</v>
      </c>
      <c r="E484" s="4" t="s">
        <v>1363</v>
      </c>
      <c r="F484" s="2" t="s">
        <v>2658</v>
      </c>
      <c r="G484" s="2" t="s">
        <v>2659</v>
      </c>
      <c r="H484" s="2" t="s">
        <v>223</v>
      </c>
      <c r="I484" s="2" t="s">
        <v>1013</v>
      </c>
      <c r="J484" s="2" t="s">
        <v>30</v>
      </c>
      <c r="K484" s="2" t="s">
        <v>30</v>
      </c>
      <c r="L484" s="2" t="s">
        <v>377</v>
      </c>
      <c r="M484" s="2" t="s">
        <v>31</v>
      </c>
      <c r="N484" s="2" t="s">
        <v>490</v>
      </c>
      <c r="O484" s="2" t="s">
        <v>173</v>
      </c>
      <c r="P484" s="2" t="s">
        <v>2041</v>
      </c>
      <c r="Q484" s="2" t="s">
        <v>464</v>
      </c>
      <c r="R484" s="2" t="s">
        <v>456</v>
      </c>
      <c r="S484" s="2" t="s">
        <v>34</v>
      </c>
      <c r="T484" s="156">
        <v>1.448</v>
      </c>
      <c r="U484" s="2" t="s">
        <v>2454</v>
      </c>
      <c r="V484" s="170">
        <v>0.114</v>
      </c>
      <c r="W484" s="172">
        <v>6.5989999999999993E-2</v>
      </c>
      <c r="X484" s="4" t="s">
        <v>461</v>
      </c>
      <c r="Y484" s="4" t="s">
        <v>173</v>
      </c>
      <c r="Z484" s="156">
        <v>100847.06</v>
      </c>
      <c r="AA484" s="166">
        <v>1</v>
      </c>
      <c r="AB484" s="183">
        <v>100.59</v>
      </c>
      <c r="AD484" s="156">
        <v>101.44199999999999</v>
      </c>
      <c r="AG484" s="2" t="s">
        <v>36</v>
      </c>
      <c r="AH484" s="172">
        <v>2.7999999999999998E-4</v>
      </c>
      <c r="AI484" s="172">
        <v>3.7223062670516702E-4</v>
      </c>
      <c r="AJ484" s="172">
        <v>5.5631697268673602E-5</v>
      </c>
    </row>
    <row r="485" spans="1:36">
      <c r="A485" s="2">
        <v>161</v>
      </c>
      <c r="B485" s="2">
        <v>9943</v>
      </c>
      <c r="C485" s="2" t="s">
        <v>2280</v>
      </c>
      <c r="D485" s="2" t="s">
        <v>2281</v>
      </c>
      <c r="E485" s="4" t="s">
        <v>1363</v>
      </c>
      <c r="F485" s="2" t="s">
        <v>2282</v>
      </c>
      <c r="G485" s="2" t="s">
        <v>2283</v>
      </c>
      <c r="H485" s="2" t="s">
        <v>223</v>
      </c>
      <c r="I485" s="2" t="s">
        <v>804</v>
      </c>
      <c r="J485" s="2" t="s">
        <v>30</v>
      </c>
      <c r="K485" s="2" t="s">
        <v>30</v>
      </c>
      <c r="L485" s="2" t="s">
        <v>377</v>
      </c>
      <c r="M485" s="2" t="s">
        <v>31</v>
      </c>
      <c r="N485" s="2" t="s">
        <v>494</v>
      </c>
      <c r="O485" s="2" t="s">
        <v>173</v>
      </c>
      <c r="P485" s="2" t="s">
        <v>146</v>
      </c>
      <c r="Q485" s="2" t="s">
        <v>464</v>
      </c>
      <c r="R485" s="2" t="s">
        <v>456</v>
      </c>
      <c r="S485" s="2" t="s">
        <v>34</v>
      </c>
      <c r="T485" s="156">
        <v>3.5590000000000002</v>
      </c>
      <c r="U485" s="2" t="s">
        <v>2284</v>
      </c>
      <c r="V485" s="170">
        <v>2.07E-2</v>
      </c>
      <c r="W485" s="172">
        <v>4.965E-2</v>
      </c>
      <c r="X485" s="4" t="s">
        <v>461</v>
      </c>
      <c r="Y485" s="4" t="s">
        <v>173</v>
      </c>
      <c r="Z485" s="156">
        <v>1528778.6</v>
      </c>
      <c r="AA485" s="166">
        <v>1</v>
      </c>
      <c r="AB485" s="183">
        <v>101.96</v>
      </c>
      <c r="AD485" s="156">
        <v>1558.7429999999999</v>
      </c>
      <c r="AG485" s="2" t="s">
        <v>36</v>
      </c>
      <c r="AH485" s="172">
        <v>3.2049999999999999E-3</v>
      </c>
      <c r="AI485" s="172">
        <v>5.7196371094060698E-3</v>
      </c>
      <c r="AJ485" s="172">
        <v>8.5482788714530205E-4</v>
      </c>
    </row>
    <row r="486" spans="1:36">
      <c r="A486" s="2">
        <v>161</v>
      </c>
      <c r="B486" s="2">
        <v>9943</v>
      </c>
      <c r="C486" s="2" t="s">
        <v>2660</v>
      </c>
      <c r="D486" s="2" t="s">
        <v>2661</v>
      </c>
      <c r="E486" s="4" t="s">
        <v>1363</v>
      </c>
      <c r="F486" s="2" t="s">
        <v>2662</v>
      </c>
      <c r="G486" s="2" t="s">
        <v>2663</v>
      </c>
      <c r="H486" s="2" t="s">
        <v>223</v>
      </c>
      <c r="I486" s="2" t="s">
        <v>804</v>
      </c>
      <c r="J486" s="2" t="s">
        <v>30</v>
      </c>
      <c r="K486" s="2" t="s">
        <v>30</v>
      </c>
      <c r="L486" s="2" t="s">
        <v>377</v>
      </c>
      <c r="M486" s="2" t="s">
        <v>31</v>
      </c>
      <c r="N486" s="2" t="s">
        <v>525</v>
      </c>
      <c r="O486" s="2" t="s">
        <v>173</v>
      </c>
      <c r="P486" s="2" t="s">
        <v>1224</v>
      </c>
      <c r="Q486" s="2" t="s">
        <v>462</v>
      </c>
      <c r="R486" s="2" t="s">
        <v>456</v>
      </c>
      <c r="S486" s="2" t="s">
        <v>34</v>
      </c>
      <c r="T486" s="156">
        <v>12.19</v>
      </c>
      <c r="U486" s="2" t="s">
        <v>2664</v>
      </c>
      <c r="V486" s="170">
        <v>2.07E-2</v>
      </c>
      <c r="W486" s="172">
        <v>3.286E-2</v>
      </c>
      <c r="X486" s="4" t="s">
        <v>461</v>
      </c>
      <c r="Y486" s="4" t="s">
        <v>173</v>
      </c>
      <c r="Z486" s="156">
        <v>3150000</v>
      </c>
      <c r="AA486" s="166">
        <v>1</v>
      </c>
      <c r="AB486" s="183">
        <v>99.37</v>
      </c>
      <c r="AD486" s="156">
        <v>3130.1550000000002</v>
      </c>
      <c r="AG486" s="2" t="s">
        <v>36</v>
      </c>
      <c r="AH486" s="172">
        <v>6.9200000000000002E-4</v>
      </c>
      <c r="AI486" s="172">
        <v>1.14857642311278E-2</v>
      </c>
      <c r="AJ486" s="172">
        <v>1.71660393520378E-3</v>
      </c>
    </row>
    <row r="487" spans="1:36">
      <c r="A487" s="2">
        <v>161</v>
      </c>
      <c r="B487" s="2">
        <v>9943</v>
      </c>
      <c r="C487" s="2" t="s">
        <v>1898</v>
      </c>
      <c r="D487" s="2" t="s">
        <v>1899</v>
      </c>
      <c r="E487" s="4" t="s">
        <v>364</v>
      </c>
      <c r="F487" s="2" t="s">
        <v>2665</v>
      </c>
      <c r="G487" s="2" t="s">
        <v>2666</v>
      </c>
      <c r="H487" s="2" t="s">
        <v>223</v>
      </c>
      <c r="I487" s="2" t="s">
        <v>1013</v>
      </c>
      <c r="J487" s="2" t="s">
        <v>30</v>
      </c>
      <c r="K487" s="2" t="s">
        <v>30</v>
      </c>
      <c r="L487" s="2" t="s">
        <v>377</v>
      </c>
      <c r="M487" s="2" t="s">
        <v>31</v>
      </c>
      <c r="N487" s="2" t="s">
        <v>501</v>
      </c>
      <c r="O487" s="2" t="s">
        <v>173</v>
      </c>
      <c r="P487" s="2" t="s">
        <v>2041</v>
      </c>
      <c r="Q487" s="2" t="s">
        <v>462</v>
      </c>
      <c r="R487" s="2" t="s">
        <v>456</v>
      </c>
      <c r="S487" s="2" t="s">
        <v>34</v>
      </c>
      <c r="T487" s="156">
        <v>2.3929999999999998</v>
      </c>
      <c r="U487" s="2" t="s">
        <v>2667</v>
      </c>
      <c r="V487" s="170">
        <v>5.2499999999999998E-2</v>
      </c>
      <c r="W487" s="172">
        <v>6.4240000000000005E-2</v>
      </c>
      <c r="X487" s="4" t="s">
        <v>461</v>
      </c>
      <c r="Y487" s="4" t="s">
        <v>173</v>
      </c>
      <c r="Z487" s="156">
        <v>205972</v>
      </c>
      <c r="AA487" s="166">
        <v>1</v>
      </c>
      <c r="AB487" s="183">
        <v>98.6</v>
      </c>
      <c r="AD487" s="156">
        <v>203.08799999999999</v>
      </c>
      <c r="AG487" s="2" t="s">
        <v>36</v>
      </c>
      <c r="AH487" s="172">
        <v>6.2399999999999999E-4</v>
      </c>
      <c r="AI487" s="172">
        <v>7.4521082457285699E-4</v>
      </c>
      <c r="AJ487" s="172">
        <v>1.11375421632925E-4</v>
      </c>
    </row>
    <row r="488" spans="1:36">
      <c r="A488" s="2">
        <v>161</v>
      </c>
      <c r="B488" s="2">
        <v>9943</v>
      </c>
      <c r="C488" s="2" t="s">
        <v>1898</v>
      </c>
      <c r="D488" s="2" t="s">
        <v>1899</v>
      </c>
      <c r="E488" s="4" t="s">
        <v>364</v>
      </c>
      <c r="F488" s="2" t="s">
        <v>2668</v>
      </c>
      <c r="G488" s="2" t="s">
        <v>2669</v>
      </c>
      <c r="H488" s="2" t="s">
        <v>223</v>
      </c>
      <c r="I488" s="2" t="s">
        <v>1013</v>
      </c>
      <c r="J488" s="2" t="s">
        <v>30</v>
      </c>
      <c r="K488" s="2" t="s">
        <v>91</v>
      </c>
      <c r="L488" s="2" t="s">
        <v>377</v>
      </c>
      <c r="M488" s="2" t="s">
        <v>31</v>
      </c>
      <c r="N488" s="2" t="s">
        <v>501</v>
      </c>
      <c r="O488" s="2" t="s">
        <v>173</v>
      </c>
      <c r="P488" s="2" t="s">
        <v>2041</v>
      </c>
      <c r="Q488" s="2" t="s">
        <v>462</v>
      </c>
      <c r="R488" s="2" t="s">
        <v>456</v>
      </c>
      <c r="S488" s="2" t="s">
        <v>34</v>
      </c>
      <c r="T488" s="156">
        <v>3.1179999999999999</v>
      </c>
      <c r="U488" s="2" t="s">
        <v>2521</v>
      </c>
      <c r="V488" s="170">
        <v>6.5000000000000002E-2</v>
      </c>
      <c r="W488" s="172">
        <v>6.7379999999999995E-2</v>
      </c>
      <c r="X488" s="4" t="s">
        <v>461</v>
      </c>
      <c r="Y488" s="4" t="s">
        <v>173</v>
      </c>
      <c r="Z488" s="156">
        <v>151143</v>
      </c>
      <c r="AA488" s="166">
        <v>1</v>
      </c>
      <c r="AB488" s="183">
        <v>101.22</v>
      </c>
      <c r="AD488" s="156">
        <v>152.98699999999999</v>
      </c>
      <c r="AG488" s="2" t="s">
        <v>36</v>
      </c>
      <c r="AH488" s="172">
        <v>3.0200000000000002E-4</v>
      </c>
      <c r="AI488" s="172">
        <v>5.6136899805798903E-4</v>
      </c>
      <c r="AJ488" s="172">
        <v>8.3899356784300594E-5</v>
      </c>
    </row>
    <row r="489" spans="1:36">
      <c r="A489" s="2">
        <v>161</v>
      </c>
      <c r="B489" s="2">
        <v>9943</v>
      </c>
      <c r="C489" s="2" t="s">
        <v>1898</v>
      </c>
      <c r="D489" s="2" t="s">
        <v>1899</v>
      </c>
      <c r="E489" s="4" t="s">
        <v>364</v>
      </c>
      <c r="F489" s="2" t="s">
        <v>2670</v>
      </c>
      <c r="G489" s="2" t="s">
        <v>2671</v>
      </c>
      <c r="H489" s="2" t="s">
        <v>223</v>
      </c>
      <c r="I489" s="2" t="s">
        <v>1013</v>
      </c>
      <c r="J489" s="2" t="s">
        <v>30</v>
      </c>
      <c r="K489" s="2" t="s">
        <v>30</v>
      </c>
      <c r="L489" s="2" t="s">
        <v>377</v>
      </c>
      <c r="M489" s="2" t="s">
        <v>55</v>
      </c>
      <c r="N489" s="2" t="s">
        <v>501</v>
      </c>
      <c r="O489" s="2" t="s">
        <v>173</v>
      </c>
      <c r="P489" s="2" t="s">
        <v>2041</v>
      </c>
      <c r="Q489" s="2" t="s">
        <v>462</v>
      </c>
      <c r="R489" s="2" t="s">
        <v>456</v>
      </c>
      <c r="S489" s="2" t="s">
        <v>34</v>
      </c>
      <c r="T489" s="156">
        <v>3.4260000000000002</v>
      </c>
      <c r="U489" s="2" t="s">
        <v>2073</v>
      </c>
      <c r="V489" s="170">
        <v>6.7000000000000004E-2</v>
      </c>
      <c r="W489" s="172">
        <v>6.5699999999999995E-2</v>
      </c>
      <c r="X489" s="4" t="s">
        <v>461</v>
      </c>
      <c r="Y489" s="4" t="s">
        <v>173</v>
      </c>
      <c r="Z489" s="156">
        <v>127377</v>
      </c>
      <c r="AA489" s="166">
        <v>1</v>
      </c>
      <c r="AB489" s="183">
        <v>100.86</v>
      </c>
      <c r="AD489" s="156">
        <v>128.47200000000001</v>
      </c>
      <c r="AG489" s="2" t="s">
        <v>36</v>
      </c>
      <c r="AH489" s="172">
        <v>1.3999999999999999E-4</v>
      </c>
      <c r="AI489" s="172">
        <v>4.7141569069467402E-4</v>
      </c>
      <c r="AJ489" s="172">
        <v>7.0455392734787903E-5</v>
      </c>
    </row>
    <row r="490" spans="1:36">
      <c r="A490" s="2">
        <v>161</v>
      </c>
      <c r="B490" s="2">
        <v>9943</v>
      </c>
      <c r="C490" s="2" t="s">
        <v>1903</v>
      </c>
      <c r="D490" s="2" t="s">
        <v>1904</v>
      </c>
      <c r="E490" s="4" t="s">
        <v>1363</v>
      </c>
      <c r="F490" s="2" t="s">
        <v>2672</v>
      </c>
      <c r="G490" s="2" t="s">
        <v>2673</v>
      </c>
      <c r="H490" s="2" t="s">
        <v>223</v>
      </c>
      <c r="I490" s="2" t="s">
        <v>1013</v>
      </c>
      <c r="J490" s="2" t="s">
        <v>30</v>
      </c>
      <c r="K490" s="2" t="s">
        <v>30</v>
      </c>
      <c r="L490" s="2" t="s">
        <v>377</v>
      </c>
      <c r="M490" s="2" t="s">
        <v>31</v>
      </c>
      <c r="N490" s="2" t="s">
        <v>511</v>
      </c>
      <c r="O490" s="2" t="s">
        <v>173</v>
      </c>
      <c r="P490" s="2" t="s">
        <v>2100</v>
      </c>
      <c r="Q490" s="2" t="s">
        <v>462</v>
      </c>
      <c r="R490" s="2" t="s">
        <v>456</v>
      </c>
      <c r="S490" s="2" t="s">
        <v>34</v>
      </c>
      <c r="T490" s="156">
        <v>2.9009999999999998</v>
      </c>
      <c r="U490" s="2" t="s">
        <v>2263</v>
      </c>
      <c r="V490" s="170">
        <v>3.95E-2</v>
      </c>
      <c r="W490" s="172">
        <v>7.1989999999999998E-2</v>
      </c>
      <c r="X490" s="4" t="s">
        <v>461</v>
      </c>
      <c r="Y490" s="4" t="s">
        <v>173</v>
      </c>
      <c r="Z490" s="156">
        <v>2579706.2200000002</v>
      </c>
      <c r="AA490" s="166">
        <v>1</v>
      </c>
      <c r="AB490" s="183">
        <v>92.4</v>
      </c>
      <c r="AD490" s="156">
        <v>2383.6489999999999</v>
      </c>
      <c r="AG490" s="2" t="s">
        <v>36</v>
      </c>
      <c r="AH490" s="172">
        <v>2.0939999999999999E-3</v>
      </c>
      <c r="AI490" s="172">
        <v>8.7465397796365595E-3</v>
      </c>
      <c r="AJ490" s="172">
        <v>1.30721337326861E-3</v>
      </c>
    </row>
    <row r="491" spans="1:36">
      <c r="A491" s="2">
        <v>161</v>
      </c>
      <c r="B491" s="2">
        <v>9943</v>
      </c>
      <c r="C491" s="2" t="s">
        <v>1903</v>
      </c>
      <c r="D491" s="2" t="s">
        <v>1904</v>
      </c>
      <c r="E491" s="4" t="s">
        <v>1363</v>
      </c>
      <c r="F491" s="2" t="s">
        <v>2674</v>
      </c>
      <c r="G491" s="2" t="s">
        <v>2675</v>
      </c>
      <c r="H491" s="2" t="s">
        <v>223</v>
      </c>
      <c r="I491" s="2" t="s">
        <v>804</v>
      </c>
      <c r="J491" s="2" t="s">
        <v>30</v>
      </c>
      <c r="K491" s="2" t="s">
        <v>30</v>
      </c>
      <c r="L491" s="2" t="s">
        <v>377</v>
      </c>
      <c r="M491" s="2" t="s">
        <v>31</v>
      </c>
      <c r="N491" s="2" t="s">
        <v>511</v>
      </c>
      <c r="O491" s="2" t="s">
        <v>173</v>
      </c>
      <c r="P491" s="2" t="s">
        <v>2100</v>
      </c>
      <c r="Q491" s="2" t="s">
        <v>462</v>
      </c>
      <c r="R491" s="2" t="s">
        <v>456</v>
      </c>
      <c r="S491" s="2" t="s">
        <v>34</v>
      </c>
      <c r="T491" s="156">
        <v>4.048</v>
      </c>
      <c r="U491" s="2" t="s">
        <v>2263</v>
      </c>
      <c r="V491" s="170">
        <v>3.6200000000000003E-2</v>
      </c>
      <c r="W491" s="172">
        <v>3.9030000000000002E-2</v>
      </c>
      <c r="X491" s="4" t="s">
        <v>461</v>
      </c>
      <c r="Y491" s="4" t="s">
        <v>173</v>
      </c>
      <c r="Z491" s="156">
        <v>67293</v>
      </c>
      <c r="AA491" s="166">
        <v>1</v>
      </c>
      <c r="AB491" s="183">
        <v>106.27</v>
      </c>
      <c r="AD491" s="156">
        <v>71.512</v>
      </c>
      <c r="AG491" s="2" t="s">
        <v>36</v>
      </c>
      <c r="AH491" s="172">
        <v>3.8999999999999999E-5</v>
      </c>
      <c r="AI491" s="172">
        <v>2.6240652155790702E-4</v>
      </c>
      <c r="AJ491" s="172">
        <v>3.9217944793666602E-5</v>
      </c>
    </row>
    <row r="492" spans="1:36">
      <c r="A492" s="2">
        <v>161</v>
      </c>
      <c r="B492" s="2">
        <v>9943</v>
      </c>
      <c r="C492" s="2" t="s">
        <v>2676</v>
      </c>
      <c r="D492" s="2" t="s">
        <v>2677</v>
      </c>
      <c r="E492" s="4" t="s">
        <v>1363</v>
      </c>
      <c r="F492" s="2" t="s">
        <v>2678</v>
      </c>
      <c r="G492" s="2" t="s">
        <v>2679</v>
      </c>
      <c r="H492" s="2" t="s">
        <v>223</v>
      </c>
      <c r="I492" s="2" t="s">
        <v>804</v>
      </c>
      <c r="J492" s="2" t="s">
        <v>30</v>
      </c>
      <c r="K492" s="2" t="s">
        <v>30</v>
      </c>
      <c r="L492" s="2" t="s">
        <v>377</v>
      </c>
      <c r="M492" s="2" t="s">
        <v>31</v>
      </c>
      <c r="N492" s="2" t="s">
        <v>511</v>
      </c>
      <c r="O492" s="2" t="s">
        <v>173</v>
      </c>
      <c r="P492" s="2" t="s">
        <v>1224</v>
      </c>
      <c r="Q492" s="2" t="s">
        <v>462</v>
      </c>
      <c r="R492" s="2" t="s">
        <v>456</v>
      </c>
      <c r="S492" s="2" t="s">
        <v>34</v>
      </c>
      <c r="T492" s="156">
        <v>1.3540000000000001</v>
      </c>
      <c r="U492" s="2" t="s">
        <v>2224</v>
      </c>
      <c r="V492" s="170">
        <v>8.3000000000000001E-3</v>
      </c>
      <c r="W492" s="172">
        <v>2.188E-2</v>
      </c>
      <c r="X492" s="4" t="s">
        <v>461</v>
      </c>
      <c r="Y492" s="4" t="s">
        <v>173</v>
      </c>
      <c r="Z492" s="156">
        <v>157114.97</v>
      </c>
      <c r="AA492" s="166">
        <v>1</v>
      </c>
      <c r="AB492" s="183">
        <v>114.36</v>
      </c>
      <c r="AD492" s="156">
        <v>179.67699999999999</v>
      </c>
      <c r="AG492" s="2" t="s">
        <v>36</v>
      </c>
      <c r="AH492" s="172">
        <v>1.3200000000000001E-4</v>
      </c>
      <c r="AI492" s="172">
        <v>6.5930408582775396E-4</v>
      </c>
      <c r="AJ492" s="172">
        <v>9.8536237158746397E-5</v>
      </c>
    </row>
    <row r="493" spans="1:36">
      <c r="A493" s="2">
        <v>161</v>
      </c>
      <c r="B493" s="2">
        <v>9943</v>
      </c>
      <c r="C493" s="2" t="s">
        <v>2680</v>
      </c>
      <c r="D493" s="2" t="s">
        <v>2681</v>
      </c>
      <c r="E493" s="4" t="s">
        <v>1363</v>
      </c>
      <c r="F493" s="2" t="s">
        <v>2682</v>
      </c>
      <c r="G493" s="2" t="s">
        <v>2683</v>
      </c>
      <c r="H493" s="2" t="s">
        <v>223</v>
      </c>
      <c r="I493" s="2" t="s">
        <v>1013</v>
      </c>
      <c r="J493" s="2" t="s">
        <v>30</v>
      </c>
      <c r="K493" s="2" t="s">
        <v>30</v>
      </c>
      <c r="L493" s="2" t="s">
        <v>377</v>
      </c>
      <c r="M493" s="2" t="s">
        <v>31</v>
      </c>
      <c r="N493" s="2" t="s">
        <v>501</v>
      </c>
      <c r="O493" s="2" t="s">
        <v>173</v>
      </c>
      <c r="P493" s="2" t="s">
        <v>2052</v>
      </c>
      <c r="Q493" s="2" t="s">
        <v>462</v>
      </c>
      <c r="R493" s="2" t="s">
        <v>456</v>
      </c>
      <c r="S493" s="2" t="s">
        <v>34</v>
      </c>
      <c r="T493" s="156">
        <v>0.27700000000000002</v>
      </c>
      <c r="U493" s="2" t="s">
        <v>2684</v>
      </c>
      <c r="V493" s="170">
        <v>2.3599999999999999E-2</v>
      </c>
      <c r="W493" s="172">
        <v>4.7370000000000002E-2</v>
      </c>
      <c r="X493" s="4" t="s">
        <v>461</v>
      </c>
      <c r="Y493" s="4" t="s">
        <v>173</v>
      </c>
      <c r="Z493" s="156">
        <v>45794.55</v>
      </c>
      <c r="AA493" s="166">
        <v>1</v>
      </c>
      <c r="AB493" s="183">
        <v>99.69</v>
      </c>
      <c r="AD493" s="156">
        <v>45.652999999999999</v>
      </c>
      <c r="AG493" s="2" t="s">
        <v>36</v>
      </c>
      <c r="AH493" s="172">
        <v>1.454E-3</v>
      </c>
      <c r="AI493" s="172">
        <v>1.6751721547880001E-4</v>
      </c>
      <c r="AJ493" s="172">
        <v>2.5036271467767399E-5</v>
      </c>
    </row>
    <row r="494" spans="1:36">
      <c r="A494" s="2">
        <v>161</v>
      </c>
      <c r="B494" s="2">
        <v>9943</v>
      </c>
      <c r="C494" s="2" t="s">
        <v>2685</v>
      </c>
      <c r="D494" s="2" t="s">
        <v>2686</v>
      </c>
      <c r="E494" s="4" t="s">
        <v>1363</v>
      </c>
      <c r="F494" s="2" t="s">
        <v>2687</v>
      </c>
      <c r="G494" s="2" t="s">
        <v>2688</v>
      </c>
      <c r="H494" s="2" t="s">
        <v>223</v>
      </c>
      <c r="I494" s="2" t="s">
        <v>1013</v>
      </c>
      <c r="J494" s="2" t="s">
        <v>30</v>
      </c>
      <c r="K494" s="2" t="s">
        <v>30</v>
      </c>
      <c r="L494" s="2" t="s">
        <v>377</v>
      </c>
      <c r="M494" s="2" t="s">
        <v>31</v>
      </c>
      <c r="N494" s="2" t="s">
        <v>532</v>
      </c>
      <c r="O494" s="2" t="s">
        <v>173</v>
      </c>
      <c r="P494" s="2" t="s">
        <v>2061</v>
      </c>
      <c r="Q494" s="2" t="s">
        <v>462</v>
      </c>
      <c r="R494" s="2" t="s">
        <v>456</v>
      </c>
      <c r="S494" s="2" t="s">
        <v>34</v>
      </c>
      <c r="T494" s="156">
        <v>1.8009999999999999</v>
      </c>
      <c r="U494" s="2" t="s">
        <v>2689</v>
      </c>
      <c r="V494" s="170">
        <v>2.5000000000000001E-2</v>
      </c>
      <c r="W494" s="172">
        <v>5.6730000000000003E-2</v>
      </c>
      <c r="X494" s="4" t="s">
        <v>461</v>
      </c>
      <c r="Y494" s="4" t="s">
        <v>173</v>
      </c>
      <c r="Z494" s="156">
        <v>1884863.37</v>
      </c>
      <c r="AA494" s="166">
        <v>1</v>
      </c>
      <c r="AB494" s="183">
        <v>96.34</v>
      </c>
      <c r="AD494" s="156">
        <v>1815.877</v>
      </c>
      <c r="AG494" s="2" t="s">
        <v>36</v>
      </c>
      <c r="AH494" s="172">
        <v>2.0249999999999999E-3</v>
      </c>
      <c r="AI494" s="172">
        <v>6.6631650356030201E-3</v>
      </c>
      <c r="AJ494" s="172">
        <v>9.9584277466100292E-4</v>
      </c>
    </row>
    <row r="495" spans="1:36">
      <c r="A495" s="2">
        <v>161</v>
      </c>
      <c r="B495" s="2">
        <v>9943</v>
      </c>
      <c r="C495" s="2" t="s">
        <v>1711</v>
      </c>
      <c r="D495" s="2" t="s">
        <v>1712</v>
      </c>
      <c r="E495" s="4" t="s">
        <v>1363</v>
      </c>
      <c r="F495" s="2" t="s">
        <v>2294</v>
      </c>
      <c r="G495" s="2" t="s">
        <v>2295</v>
      </c>
      <c r="H495" s="2" t="s">
        <v>223</v>
      </c>
      <c r="I495" s="2" t="s">
        <v>804</v>
      </c>
      <c r="J495" s="2" t="s">
        <v>30</v>
      </c>
      <c r="K495" s="2" t="s">
        <v>30</v>
      </c>
      <c r="L495" s="2" t="s">
        <v>377</v>
      </c>
      <c r="M495" s="2" t="s">
        <v>31</v>
      </c>
      <c r="N495" s="2" t="s">
        <v>511</v>
      </c>
      <c r="O495" s="2" t="s">
        <v>173</v>
      </c>
      <c r="P495" s="2" t="s">
        <v>93</v>
      </c>
      <c r="Q495" s="2" t="s">
        <v>464</v>
      </c>
      <c r="R495" s="2" t="s">
        <v>456</v>
      </c>
      <c r="S495" s="2" t="s">
        <v>34</v>
      </c>
      <c r="T495" s="156">
        <v>2.6890000000000001</v>
      </c>
      <c r="U495" s="2" t="s">
        <v>2296</v>
      </c>
      <c r="V495" s="170">
        <v>1.34E-2</v>
      </c>
      <c r="W495" s="172">
        <v>2.819E-2</v>
      </c>
      <c r="X495" s="4" t="s">
        <v>461</v>
      </c>
      <c r="Y495" s="4" t="s">
        <v>173</v>
      </c>
      <c r="Z495" s="156">
        <v>508991.45</v>
      </c>
      <c r="AA495" s="166">
        <v>1</v>
      </c>
      <c r="AB495" s="183">
        <v>112.38</v>
      </c>
      <c r="AD495" s="156">
        <v>572.005</v>
      </c>
      <c r="AG495" s="2" t="s">
        <v>36</v>
      </c>
      <c r="AH495" s="172">
        <v>1.92E-4</v>
      </c>
      <c r="AI495" s="172">
        <v>2.0989088007483301E-3</v>
      </c>
      <c r="AJ495" s="172">
        <v>3.13692239758317E-4</v>
      </c>
    </row>
    <row r="496" spans="1:36">
      <c r="A496" s="2">
        <v>161</v>
      </c>
      <c r="B496" s="2">
        <v>9943</v>
      </c>
      <c r="C496" s="2" t="s">
        <v>1711</v>
      </c>
      <c r="D496" s="2" t="s">
        <v>1712</v>
      </c>
      <c r="E496" s="4" t="s">
        <v>1363</v>
      </c>
      <c r="F496" s="2" t="s">
        <v>2297</v>
      </c>
      <c r="G496" s="2" t="s">
        <v>2298</v>
      </c>
      <c r="H496" s="2" t="s">
        <v>223</v>
      </c>
      <c r="I496" s="2" t="s">
        <v>804</v>
      </c>
      <c r="J496" s="2" t="s">
        <v>30</v>
      </c>
      <c r="K496" s="2" t="s">
        <v>30</v>
      </c>
      <c r="L496" s="2" t="s">
        <v>377</v>
      </c>
      <c r="M496" s="2" t="s">
        <v>31</v>
      </c>
      <c r="N496" s="2" t="s">
        <v>511</v>
      </c>
      <c r="O496" s="2" t="s">
        <v>173</v>
      </c>
      <c r="P496" s="2" t="s">
        <v>93</v>
      </c>
      <c r="Q496" s="2" t="s">
        <v>464</v>
      </c>
      <c r="R496" s="2" t="s">
        <v>456</v>
      </c>
      <c r="S496" s="2" t="s">
        <v>34</v>
      </c>
      <c r="T496" s="156">
        <v>2.456</v>
      </c>
      <c r="U496" s="2" t="s">
        <v>2130</v>
      </c>
      <c r="V496" s="170">
        <v>1.77E-2</v>
      </c>
      <c r="W496" s="172">
        <v>2.7099999999999999E-2</v>
      </c>
      <c r="X496" s="4" t="s">
        <v>461</v>
      </c>
      <c r="Y496" s="4" t="s">
        <v>173</v>
      </c>
      <c r="Z496" s="156">
        <v>637939.80000000005</v>
      </c>
      <c r="AA496" s="166">
        <v>1</v>
      </c>
      <c r="AB496" s="183">
        <v>113.19</v>
      </c>
      <c r="AD496" s="156">
        <v>722.08399999999995</v>
      </c>
      <c r="AG496" s="2" t="s">
        <v>36</v>
      </c>
      <c r="AH496" s="172">
        <v>2.4600000000000002E-4</v>
      </c>
      <c r="AI496" s="172">
        <v>2.6496091292127402E-3</v>
      </c>
      <c r="AJ496" s="172">
        <v>3.9599711141831997E-4</v>
      </c>
    </row>
    <row r="497" spans="1:36">
      <c r="A497" s="2">
        <v>161</v>
      </c>
      <c r="B497" s="2">
        <v>9943</v>
      </c>
      <c r="C497" s="2" t="s">
        <v>1711</v>
      </c>
      <c r="D497" s="2" t="s">
        <v>1712</v>
      </c>
      <c r="E497" s="4" t="s">
        <v>1363</v>
      </c>
      <c r="F497" s="2" t="s">
        <v>2299</v>
      </c>
      <c r="G497" s="2" t="s">
        <v>2300</v>
      </c>
      <c r="H497" s="2" t="s">
        <v>223</v>
      </c>
      <c r="I497" s="2" t="s">
        <v>804</v>
      </c>
      <c r="J497" s="2" t="s">
        <v>30</v>
      </c>
      <c r="K497" s="2" t="s">
        <v>30</v>
      </c>
      <c r="L497" s="2" t="s">
        <v>377</v>
      </c>
      <c r="M497" s="2" t="s">
        <v>31</v>
      </c>
      <c r="N497" s="2" t="s">
        <v>511</v>
      </c>
      <c r="O497" s="2" t="s">
        <v>173</v>
      </c>
      <c r="P497" s="2" t="s">
        <v>93</v>
      </c>
      <c r="Q497" s="2" t="s">
        <v>462</v>
      </c>
      <c r="R497" s="2" t="s">
        <v>456</v>
      </c>
      <c r="S497" s="2" t="s">
        <v>34</v>
      </c>
      <c r="T497" s="156">
        <v>6.7329999999999997</v>
      </c>
      <c r="U497" s="2" t="s">
        <v>2301</v>
      </c>
      <c r="V497" s="170">
        <v>8.9999999999999993E-3</v>
      </c>
      <c r="W497" s="172">
        <v>3.3419999999999998E-2</v>
      </c>
      <c r="X497" s="4" t="s">
        <v>461</v>
      </c>
      <c r="Y497" s="4" t="s">
        <v>173</v>
      </c>
      <c r="Z497" s="156">
        <v>4095227</v>
      </c>
      <c r="AA497" s="166">
        <v>1</v>
      </c>
      <c r="AB497" s="183">
        <v>96.33</v>
      </c>
      <c r="AD497" s="156">
        <v>3944.9319999999998</v>
      </c>
      <c r="AG497" s="2" t="s">
        <v>36</v>
      </c>
      <c r="AH497" s="172">
        <v>1.488E-3</v>
      </c>
      <c r="AI497" s="172">
        <v>1.44755006707572E-2</v>
      </c>
      <c r="AJ497" s="172">
        <v>2.1634347454324299E-3</v>
      </c>
    </row>
    <row r="498" spans="1:36">
      <c r="A498" s="2">
        <v>161</v>
      </c>
      <c r="B498" s="2">
        <v>9943</v>
      </c>
      <c r="C498" s="2" t="s">
        <v>1711</v>
      </c>
      <c r="D498" s="2" t="s">
        <v>1712</v>
      </c>
      <c r="E498" s="4" t="s">
        <v>1363</v>
      </c>
      <c r="F498" s="2" t="s">
        <v>2302</v>
      </c>
      <c r="G498" s="2" t="s">
        <v>2303</v>
      </c>
      <c r="H498" s="2" t="s">
        <v>223</v>
      </c>
      <c r="I498" s="2" t="s">
        <v>804</v>
      </c>
      <c r="J498" s="2" t="s">
        <v>30</v>
      </c>
      <c r="K498" s="2" t="s">
        <v>30</v>
      </c>
      <c r="L498" s="2" t="s">
        <v>377</v>
      </c>
      <c r="M498" s="2" t="s">
        <v>31</v>
      </c>
      <c r="N498" s="2" t="s">
        <v>511</v>
      </c>
      <c r="O498" s="2" t="s">
        <v>173</v>
      </c>
      <c r="P498" s="2" t="s">
        <v>93</v>
      </c>
      <c r="Q498" s="2" t="s">
        <v>462</v>
      </c>
      <c r="R498" s="2" t="s">
        <v>456</v>
      </c>
      <c r="S498" s="2" t="s">
        <v>34</v>
      </c>
      <c r="T498" s="156">
        <v>0.45800000000000002</v>
      </c>
      <c r="U498" s="2" t="s">
        <v>2304</v>
      </c>
      <c r="V498" s="170">
        <v>6.4999999999999997E-3</v>
      </c>
      <c r="W498" s="172">
        <v>2.793E-2</v>
      </c>
      <c r="X498" s="4" t="s">
        <v>461</v>
      </c>
      <c r="Y498" s="4" t="s">
        <v>173</v>
      </c>
      <c r="Z498" s="156">
        <v>68067</v>
      </c>
      <c r="AA498" s="166">
        <v>1</v>
      </c>
      <c r="AB498" s="183">
        <v>114.12</v>
      </c>
      <c r="AC498" s="156">
        <v>0.255</v>
      </c>
      <c r="AD498" s="156">
        <v>77.933000000000007</v>
      </c>
      <c r="AG498" s="2" t="s">
        <v>36</v>
      </c>
      <c r="AH498" s="172">
        <v>1.25E-4</v>
      </c>
      <c r="AI498" s="172">
        <v>2.8596735173061602E-4</v>
      </c>
      <c r="AJ498" s="172">
        <v>4.2739226702059799E-5</v>
      </c>
    </row>
    <row r="499" spans="1:36">
      <c r="A499" s="2">
        <v>161</v>
      </c>
      <c r="B499" s="2">
        <v>9943</v>
      </c>
      <c r="C499" s="2" t="s">
        <v>2411</v>
      </c>
      <c r="D499" s="2" t="s">
        <v>2412</v>
      </c>
      <c r="E499" s="4" t="s">
        <v>1363</v>
      </c>
      <c r="F499" s="2" t="s">
        <v>2413</v>
      </c>
      <c r="G499" s="2" t="s">
        <v>2414</v>
      </c>
      <c r="H499" s="2" t="s">
        <v>223</v>
      </c>
      <c r="I499" s="2" t="s">
        <v>1013</v>
      </c>
      <c r="J499" s="2" t="s">
        <v>30</v>
      </c>
      <c r="K499" s="2" t="s">
        <v>30</v>
      </c>
      <c r="L499" s="2" t="s">
        <v>377</v>
      </c>
      <c r="M499" s="2" t="s">
        <v>31</v>
      </c>
      <c r="N499" s="2" t="s">
        <v>494</v>
      </c>
      <c r="O499" s="2" t="s">
        <v>173</v>
      </c>
      <c r="P499" s="2" t="s">
        <v>225</v>
      </c>
      <c r="Q499" s="2" t="s">
        <v>226</v>
      </c>
      <c r="R499" s="2" t="s">
        <v>226</v>
      </c>
      <c r="S499" s="2" t="s">
        <v>34</v>
      </c>
      <c r="T499" s="156">
        <v>1.585</v>
      </c>
      <c r="U499" s="2" t="s">
        <v>99</v>
      </c>
      <c r="V499" s="170">
        <v>0.06</v>
      </c>
      <c r="W499" s="172">
        <v>6.3109999999999999E-2</v>
      </c>
      <c r="X499" s="4" t="s">
        <v>461</v>
      </c>
      <c r="Y499" s="4" t="s">
        <v>173</v>
      </c>
      <c r="Z499" s="156">
        <v>91925.3</v>
      </c>
      <c r="AA499" s="166">
        <v>1</v>
      </c>
      <c r="AB499" s="183">
        <v>101.67</v>
      </c>
      <c r="AD499" s="156">
        <v>93.46</v>
      </c>
      <c r="AG499" s="2" t="s">
        <v>36</v>
      </c>
      <c r="AH499" s="172">
        <v>3.68E-4</v>
      </c>
      <c r="AI499" s="172">
        <v>3.4294299242828901E-4</v>
      </c>
      <c r="AJ499" s="172">
        <v>5.1254516330530497E-5</v>
      </c>
    </row>
    <row r="500" spans="1:36">
      <c r="A500" s="2">
        <v>161</v>
      </c>
      <c r="B500" s="2">
        <v>9943</v>
      </c>
      <c r="C500" s="2" t="s">
        <v>1620</v>
      </c>
      <c r="D500" s="2" t="s">
        <v>1621</v>
      </c>
      <c r="E500" s="4" t="s">
        <v>1363</v>
      </c>
      <c r="F500" s="2" t="s">
        <v>2308</v>
      </c>
      <c r="G500" s="2" t="s">
        <v>2309</v>
      </c>
      <c r="H500" s="2" t="s">
        <v>223</v>
      </c>
      <c r="I500" s="2" t="s">
        <v>804</v>
      </c>
      <c r="J500" s="2" t="s">
        <v>30</v>
      </c>
      <c r="K500" s="2" t="s">
        <v>30</v>
      </c>
      <c r="L500" s="2" t="s">
        <v>377</v>
      </c>
      <c r="M500" s="2" t="s">
        <v>31</v>
      </c>
      <c r="N500" s="2" t="s">
        <v>495</v>
      </c>
      <c r="O500" s="2" t="s">
        <v>173</v>
      </c>
      <c r="P500" s="2" t="s">
        <v>1224</v>
      </c>
      <c r="Q500" s="2" t="s">
        <v>462</v>
      </c>
      <c r="R500" s="2" t="s">
        <v>456</v>
      </c>
      <c r="S500" s="2" t="s">
        <v>34</v>
      </c>
      <c r="T500" s="156">
        <v>3.5609999999999999</v>
      </c>
      <c r="U500" s="2" t="s">
        <v>2307</v>
      </c>
      <c r="V500" s="170">
        <v>1E-3</v>
      </c>
      <c r="W500" s="172">
        <v>2.3970000000000002E-2</v>
      </c>
      <c r="X500" s="4" t="s">
        <v>461</v>
      </c>
      <c r="Y500" s="4" t="s">
        <v>173</v>
      </c>
      <c r="Z500" s="156">
        <v>88560</v>
      </c>
      <c r="AA500" s="166">
        <v>1</v>
      </c>
      <c r="AB500" s="183">
        <v>103.73</v>
      </c>
      <c r="AD500" s="156">
        <v>91.863</v>
      </c>
      <c r="AG500" s="2" t="s">
        <v>36</v>
      </c>
      <c r="AH500" s="172">
        <v>7.8999999999999996E-5</v>
      </c>
      <c r="AI500" s="172">
        <v>3.37082370510146E-4</v>
      </c>
      <c r="AJ500" s="172">
        <v>5.0378617570554203E-5</v>
      </c>
    </row>
    <row r="501" spans="1:36">
      <c r="A501" s="2">
        <v>161</v>
      </c>
      <c r="B501" s="2">
        <v>9943</v>
      </c>
      <c r="C501" s="2" t="s">
        <v>1620</v>
      </c>
      <c r="D501" s="2" t="s">
        <v>1621</v>
      </c>
      <c r="E501" s="4" t="s">
        <v>1363</v>
      </c>
      <c r="F501" s="2" t="s">
        <v>2310</v>
      </c>
      <c r="G501" s="2" t="s">
        <v>2311</v>
      </c>
      <c r="H501" s="2" t="s">
        <v>223</v>
      </c>
      <c r="I501" s="2" t="s">
        <v>804</v>
      </c>
      <c r="J501" s="2" t="s">
        <v>30</v>
      </c>
      <c r="K501" s="2" t="s">
        <v>30</v>
      </c>
      <c r="L501" s="2" t="s">
        <v>377</v>
      </c>
      <c r="M501" s="2" t="s">
        <v>31</v>
      </c>
      <c r="N501" s="2" t="s">
        <v>495</v>
      </c>
      <c r="O501" s="2" t="s">
        <v>173</v>
      </c>
      <c r="P501" s="2" t="s">
        <v>1224</v>
      </c>
      <c r="Q501" s="2" t="s">
        <v>462</v>
      </c>
      <c r="R501" s="2" t="s">
        <v>456</v>
      </c>
      <c r="S501" s="2" t="s">
        <v>34</v>
      </c>
      <c r="T501" s="156">
        <v>3.9140000000000001</v>
      </c>
      <c r="U501" s="2" t="s">
        <v>2312</v>
      </c>
      <c r="V501" s="170">
        <v>1.3899999999999999E-2</v>
      </c>
      <c r="W501" s="172">
        <v>2.4809999999999999E-2</v>
      </c>
      <c r="X501" s="4" t="s">
        <v>461</v>
      </c>
      <c r="Y501" s="4" t="s">
        <v>173</v>
      </c>
      <c r="Z501" s="156">
        <v>131901</v>
      </c>
      <c r="AA501" s="166">
        <v>1</v>
      </c>
      <c r="AB501" s="183">
        <v>103.84</v>
      </c>
      <c r="AD501" s="156">
        <v>136.96600000000001</v>
      </c>
      <c r="AG501" s="2" t="s">
        <v>36</v>
      </c>
      <c r="AH501" s="172">
        <v>7.2999999999999999E-5</v>
      </c>
      <c r="AI501" s="172">
        <v>5.0258187383801203E-4</v>
      </c>
      <c r="AJ501" s="172">
        <v>7.5113332037088997E-5</v>
      </c>
    </row>
    <row r="502" spans="1:36">
      <c r="A502" s="2">
        <v>161</v>
      </c>
      <c r="B502" s="2">
        <v>9943</v>
      </c>
      <c r="C502" s="2" t="s">
        <v>1620</v>
      </c>
      <c r="D502" s="2" t="s">
        <v>1621</v>
      </c>
      <c r="E502" s="4" t="s">
        <v>1363</v>
      </c>
      <c r="F502" s="2" t="s">
        <v>2313</v>
      </c>
      <c r="G502" s="2" t="s">
        <v>2314</v>
      </c>
      <c r="H502" s="2" t="s">
        <v>223</v>
      </c>
      <c r="I502" s="2" t="s">
        <v>804</v>
      </c>
      <c r="J502" s="2" t="s">
        <v>30</v>
      </c>
      <c r="K502" s="2" t="s">
        <v>30</v>
      </c>
      <c r="L502" s="2" t="s">
        <v>377</v>
      </c>
      <c r="M502" s="2" t="s">
        <v>31</v>
      </c>
      <c r="N502" s="2" t="s">
        <v>495</v>
      </c>
      <c r="O502" s="2" t="s">
        <v>173</v>
      </c>
      <c r="P502" s="2" t="s">
        <v>1224</v>
      </c>
      <c r="Q502" s="2" t="s">
        <v>462</v>
      </c>
      <c r="R502" s="2" t="s">
        <v>456</v>
      </c>
      <c r="S502" s="2" t="s">
        <v>34</v>
      </c>
      <c r="T502" s="156">
        <v>1.905</v>
      </c>
      <c r="U502" s="2" t="s">
        <v>2315</v>
      </c>
      <c r="V502" s="170">
        <v>6.0000000000000001E-3</v>
      </c>
      <c r="W502" s="172">
        <v>2.0719999999999999E-2</v>
      </c>
      <c r="X502" s="4" t="s">
        <v>461</v>
      </c>
      <c r="Y502" s="4" t="s">
        <v>173</v>
      </c>
      <c r="Z502" s="156">
        <v>382148</v>
      </c>
      <c r="AA502" s="166">
        <v>1</v>
      </c>
      <c r="AB502" s="183">
        <v>113.24</v>
      </c>
      <c r="AD502" s="156">
        <v>432.74400000000003</v>
      </c>
      <c r="AG502" s="2" t="s">
        <v>36</v>
      </c>
      <c r="AH502" s="172">
        <v>4.2999999999999999E-4</v>
      </c>
      <c r="AI502" s="172">
        <v>1.58790861654109E-3</v>
      </c>
      <c r="AJ502" s="172">
        <v>2.37320749847116E-4</v>
      </c>
    </row>
    <row r="503" spans="1:36">
      <c r="A503" s="2">
        <v>161</v>
      </c>
      <c r="B503" s="2">
        <v>9943</v>
      </c>
      <c r="C503" s="2" t="s">
        <v>1620</v>
      </c>
      <c r="D503" s="2" t="s">
        <v>1621</v>
      </c>
      <c r="E503" s="4" t="s">
        <v>1363</v>
      </c>
      <c r="F503" s="2" t="s">
        <v>2316</v>
      </c>
      <c r="G503" s="2" t="s">
        <v>2317</v>
      </c>
      <c r="H503" s="2" t="s">
        <v>223</v>
      </c>
      <c r="I503" s="2" t="s">
        <v>804</v>
      </c>
      <c r="J503" s="2" t="s">
        <v>30</v>
      </c>
      <c r="K503" s="2" t="s">
        <v>30</v>
      </c>
      <c r="L503" s="2" t="s">
        <v>377</v>
      </c>
      <c r="M503" s="2" t="s">
        <v>31</v>
      </c>
      <c r="N503" s="2" t="s">
        <v>495</v>
      </c>
      <c r="O503" s="2" t="s">
        <v>173</v>
      </c>
      <c r="P503" s="2" t="s">
        <v>1224</v>
      </c>
      <c r="Q503" s="2" t="s">
        <v>462</v>
      </c>
      <c r="R503" s="2" t="s">
        <v>456</v>
      </c>
      <c r="S503" s="2" t="s">
        <v>34</v>
      </c>
      <c r="T503" s="156">
        <v>2.786</v>
      </c>
      <c r="U503" s="2" t="s">
        <v>2318</v>
      </c>
      <c r="V503" s="170">
        <v>1.7500000000000002E-2</v>
      </c>
      <c r="W503" s="172">
        <v>2.3460000000000002E-2</v>
      </c>
      <c r="X503" s="4" t="s">
        <v>461</v>
      </c>
      <c r="Y503" s="4" t="s">
        <v>173</v>
      </c>
      <c r="Z503" s="156">
        <v>190019.5</v>
      </c>
      <c r="AA503" s="166">
        <v>1</v>
      </c>
      <c r="AB503" s="183">
        <v>114.28</v>
      </c>
      <c r="AD503" s="156">
        <v>217.154</v>
      </c>
      <c r="AG503" s="2" t="s">
        <v>36</v>
      </c>
      <c r="AH503" s="172">
        <v>7.2999999999999999E-5</v>
      </c>
      <c r="AI503" s="172">
        <v>7.9682409168070503E-4</v>
      </c>
      <c r="AJ503" s="172">
        <v>1.19089278163772E-4</v>
      </c>
    </row>
    <row r="504" spans="1:36">
      <c r="A504" s="2">
        <v>161</v>
      </c>
      <c r="B504" s="2">
        <v>9943</v>
      </c>
      <c r="C504" s="2" t="s">
        <v>1719</v>
      </c>
      <c r="D504" s="2" t="s">
        <v>1720</v>
      </c>
      <c r="E504" s="4" t="s">
        <v>1363</v>
      </c>
      <c r="F504" s="2" t="s">
        <v>2319</v>
      </c>
      <c r="G504" s="2" t="s">
        <v>2320</v>
      </c>
      <c r="H504" s="2" t="s">
        <v>223</v>
      </c>
      <c r="I504" s="2" t="s">
        <v>1013</v>
      </c>
      <c r="J504" s="2" t="s">
        <v>30</v>
      </c>
      <c r="K504" s="2" t="s">
        <v>30</v>
      </c>
      <c r="L504" s="2" t="s">
        <v>377</v>
      </c>
      <c r="M504" s="2" t="s">
        <v>31</v>
      </c>
      <c r="N504" s="2" t="s">
        <v>524</v>
      </c>
      <c r="O504" s="2" t="s">
        <v>173</v>
      </c>
      <c r="P504" s="2" t="s">
        <v>1374</v>
      </c>
      <c r="Q504" s="2" t="s">
        <v>462</v>
      </c>
      <c r="R504" s="2" t="s">
        <v>456</v>
      </c>
      <c r="S504" s="2" t="s">
        <v>34</v>
      </c>
      <c r="T504" s="156">
        <v>1.327</v>
      </c>
      <c r="U504" s="2" t="s">
        <v>2321</v>
      </c>
      <c r="V504" s="170">
        <v>2.29E-2</v>
      </c>
      <c r="W504" s="172">
        <v>5.219E-2</v>
      </c>
      <c r="X504" s="4" t="s">
        <v>461</v>
      </c>
      <c r="Y504" s="4" t="s">
        <v>173</v>
      </c>
      <c r="Z504" s="156">
        <v>89804.3</v>
      </c>
      <c r="AA504" s="166">
        <v>1</v>
      </c>
      <c r="AB504" s="183">
        <v>97.05</v>
      </c>
      <c r="AD504" s="156">
        <v>87.155000000000001</v>
      </c>
      <c r="AG504" s="2" t="s">
        <v>36</v>
      </c>
      <c r="AH504" s="172">
        <v>2.1800000000000001E-4</v>
      </c>
      <c r="AI504" s="172">
        <v>3.19806086838381E-4</v>
      </c>
      <c r="AJ504" s="172">
        <v>4.7796592035302802E-5</v>
      </c>
    </row>
    <row r="505" spans="1:36">
      <c r="A505" s="2">
        <v>161</v>
      </c>
      <c r="B505" s="2">
        <v>9943</v>
      </c>
      <c r="C505" s="2" t="s">
        <v>2396</v>
      </c>
      <c r="D505" s="2" t="s">
        <v>2397</v>
      </c>
      <c r="E505" s="4" t="s">
        <v>1363</v>
      </c>
      <c r="F505" s="2" t="s">
        <v>2475</v>
      </c>
      <c r="G505" s="2" t="s">
        <v>2476</v>
      </c>
      <c r="H505" s="2" t="s">
        <v>223</v>
      </c>
      <c r="I505" s="2" t="s">
        <v>1013</v>
      </c>
      <c r="J505" s="2" t="s">
        <v>30</v>
      </c>
      <c r="K505" s="2" t="s">
        <v>30</v>
      </c>
      <c r="L505" s="2" t="s">
        <v>377</v>
      </c>
      <c r="M505" s="2" t="s">
        <v>31</v>
      </c>
      <c r="N505" s="2" t="s">
        <v>492</v>
      </c>
      <c r="O505" s="2" t="s">
        <v>173</v>
      </c>
      <c r="P505" s="2" t="s">
        <v>2052</v>
      </c>
      <c r="Q505" s="2" t="s">
        <v>462</v>
      </c>
      <c r="R505" s="2" t="s">
        <v>456</v>
      </c>
      <c r="S505" s="2" t="s">
        <v>34</v>
      </c>
      <c r="T505" s="156">
        <v>0.82099999999999995</v>
      </c>
      <c r="U505" s="2" t="s">
        <v>2445</v>
      </c>
      <c r="V505" s="170">
        <v>3.61E-2</v>
      </c>
      <c r="W505" s="172">
        <v>5.1929999999999997E-2</v>
      </c>
      <c r="X505" s="4" t="s">
        <v>461</v>
      </c>
      <c r="Y505" s="4" t="s">
        <v>173</v>
      </c>
      <c r="Z505" s="156">
        <v>957395</v>
      </c>
      <c r="AA505" s="166">
        <v>1</v>
      </c>
      <c r="AB505" s="183">
        <v>99.39</v>
      </c>
      <c r="AD505" s="156">
        <v>951.55499999999995</v>
      </c>
      <c r="AG505" s="2" t="s">
        <v>36</v>
      </c>
      <c r="AH505" s="172">
        <v>1.2470000000000001E-3</v>
      </c>
      <c r="AI505" s="172">
        <v>3.4916274514391701E-3</v>
      </c>
      <c r="AJ505" s="172">
        <v>5.2184088953892102E-4</v>
      </c>
    </row>
    <row r="506" spans="1:36">
      <c r="A506" s="2">
        <v>161</v>
      </c>
      <c r="B506" s="2">
        <v>9943</v>
      </c>
      <c r="C506" s="2" t="s">
        <v>2396</v>
      </c>
      <c r="D506" s="2" t="s">
        <v>2397</v>
      </c>
      <c r="E506" s="4" t="s">
        <v>1363</v>
      </c>
      <c r="F506" s="2" t="s">
        <v>2690</v>
      </c>
      <c r="G506" s="2" t="s">
        <v>2691</v>
      </c>
      <c r="H506" s="2" t="s">
        <v>223</v>
      </c>
      <c r="I506" s="2" t="s">
        <v>1013</v>
      </c>
      <c r="J506" s="2" t="s">
        <v>30</v>
      </c>
      <c r="K506" s="2" t="s">
        <v>30</v>
      </c>
      <c r="L506" s="2" t="s">
        <v>377</v>
      </c>
      <c r="M506" s="2" t="s">
        <v>31</v>
      </c>
      <c r="N506" s="2" t="s">
        <v>492</v>
      </c>
      <c r="O506" s="2" t="s">
        <v>173</v>
      </c>
      <c r="P506" s="2" t="s">
        <v>2052</v>
      </c>
      <c r="Q506" s="2" t="s">
        <v>462</v>
      </c>
      <c r="R506" s="2" t="s">
        <v>456</v>
      </c>
      <c r="S506" s="2" t="s">
        <v>34</v>
      </c>
      <c r="T506" s="156">
        <v>4.2770000000000001</v>
      </c>
      <c r="U506" s="2" t="s">
        <v>2056</v>
      </c>
      <c r="V506" s="170">
        <v>2.6200000000000001E-2</v>
      </c>
      <c r="W506" s="172">
        <v>5.425E-2</v>
      </c>
      <c r="X506" s="4" t="s">
        <v>461</v>
      </c>
      <c r="Y506" s="4" t="s">
        <v>173</v>
      </c>
      <c r="Z506" s="156">
        <v>72256</v>
      </c>
      <c r="AA506" s="166">
        <v>1</v>
      </c>
      <c r="AB506" s="183">
        <v>90.12</v>
      </c>
      <c r="AD506" s="156">
        <v>65.117000000000004</v>
      </c>
      <c r="AG506" s="2" t="s">
        <v>36</v>
      </c>
      <c r="AH506" s="172">
        <v>5.5999999999999999E-5</v>
      </c>
      <c r="AI506" s="172">
        <v>2.3894016133778399E-4</v>
      </c>
      <c r="AJ506" s="172">
        <v>3.5710781884157898E-5</v>
      </c>
    </row>
    <row r="507" spans="1:36">
      <c r="A507" s="2">
        <v>161</v>
      </c>
      <c r="B507" s="2">
        <v>9943</v>
      </c>
      <c r="C507" s="2" t="s">
        <v>2396</v>
      </c>
      <c r="D507" s="2" t="s">
        <v>2397</v>
      </c>
      <c r="E507" s="4" t="s">
        <v>1363</v>
      </c>
      <c r="F507" s="2" t="s">
        <v>2692</v>
      </c>
      <c r="G507" s="2" t="s">
        <v>2693</v>
      </c>
      <c r="H507" s="2" t="s">
        <v>223</v>
      </c>
      <c r="I507" s="2" t="s">
        <v>804</v>
      </c>
      <c r="J507" s="2" t="s">
        <v>30</v>
      </c>
      <c r="K507" s="2" t="s">
        <v>30</v>
      </c>
      <c r="L507" s="2" t="s">
        <v>377</v>
      </c>
      <c r="M507" s="2" t="s">
        <v>31</v>
      </c>
      <c r="N507" s="2" t="s">
        <v>492</v>
      </c>
      <c r="O507" s="2" t="s">
        <v>173</v>
      </c>
      <c r="P507" s="2" t="s">
        <v>1374</v>
      </c>
      <c r="Q507" s="2" t="s">
        <v>462</v>
      </c>
      <c r="R507" s="2" t="s">
        <v>456</v>
      </c>
      <c r="S507" s="2" t="s">
        <v>34</v>
      </c>
      <c r="T507" s="156">
        <v>6.7930000000000001</v>
      </c>
      <c r="U507" s="2" t="s">
        <v>2694</v>
      </c>
      <c r="V507" s="170">
        <v>2.0899999999999998E-2</v>
      </c>
      <c r="W507" s="172">
        <v>3.7519999999999998E-2</v>
      </c>
      <c r="X507" s="4" t="s">
        <v>461</v>
      </c>
      <c r="Y507" s="4" t="s">
        <v>173</v>
      </c>
      <c r="Z507" s="156">
        <v>312710</v>
      </c>
      <c r="AA507" s="166">
        <v>1</v>
      </c>
      <c r="AB507" s="183">
        <v>102.18</v>
      </c>
      <c r="AD507" s="156">
        <v>319.52699999999999</v>
      </c>
      <c r="AG507" s="2" t="s">
        <v>36</v>
      </c>
      <c r="AH507" s="172">
        <v>2.03E-4</v>
      </c>
      <c r="AI507" s="172">
        <v>1.1724699522449101E-3</v>
      </c>
      <c r="AJ507" s="172">
        <v>1.75231398924004E-4</v>
      </c>
    </row>
    <row r="508" spans="1:36">
      <c r="A508" s="2">
        <v>161</v>
      </c>
      <c r="B508" s="2">
        <v>9943</v>
      </c>
      <c r="C508" s="2" t="s">
        <v>1927</v>
      </c>
      <c r="D508" s="2" t="s">
        <v>1928</v>
      </c>
      <c r="E508" s="4" t="s">
        <v>1363</v>
      </c>
      <c r="F508" s="2" t="s">
        <v>2695</v>
      </c>
      <c r="G508" s="2" t="s">
        <v>2696</v>
      </c>
      <c r="H508" s="2" t="s">
        <v>223</v>
      </c>
      <c r="I508" s="2" t="s">
        <v>1013</v>
      </c>
      <c r="J508" s="2" t="s">
        <v>30</v>
      </c>
      <c r="K508" s="2" t="s">
        <v>30</v>
      </c>
      <c r="L508" s="2" t="s">
        <v>377</v>
      </c>
      <c r="M508" s="2" t="s">
        <v>31</v>
      </c>
      <c r="N508" s="2" t="s">
        <v>508</v>
      </c>
      <c r="O508" s="2" t="s">
        <v>173</v>
      </c>
      <c r="P508" s="2" t="s">
        <v>2100</v>
      </c>
      <c r="Q508" s="2" t="s">
        <v>464</v>
      </c>
      <c r="R508" s="2" t="s">
        <v>456</v>
      </c>
      <c r="S508" s="2" t="s">
        <v>34</v>
      </c>
      <c r="T508" s="156">
        <v>1.206</v>
      </c>
      <c r="U508" s="2" t="s">
        <v>2224</v>
      </c>
      <c r="V508" s="170">
        <v>3.2500000000000001E-2</v>
      </c>
      <c r="W508" s="172">
        <v>5.5350000000000003E-2</v>
      </c>
      <c r="X508" s="4" t="s">
        <v>461</v>
      </c>
      <c r="Y508" s="4" t="s">
        <v>173</v>
      </c>
      <c r="Z508" s="156">
        <v>248439.51</v>
      </c>
      <c r="AA508" s="166">
        <v>1</v>
      </c>
      <c r="AB508" s="183">
        <v>98.21</v>
      </c>
      <c r="AD508" s="156">
        <v>243.99199999999999</v>
      </c>
      <c r="AG508" s="2" t="s">
        <v>36</v>
      </c>
      <c r="AH508" s="172">
        <v>9.41E-4</v>
      </c>
      <c r="AI508" s="172">
        <v>8.9530380183877102E-4</v>
      </c>
      <c r="AJ508" s="172">
        <v>1.3380755503183701E-4</v>
      </c>
    </row>
    <row r="509" spans="1:36">
      <c r="A509" s="2">
        <v>161</v>
      </c>
      <c r="B509" s="2">
        <v>9943</v>
      </c>
      <c r="C509" s="2" t="s">
        <v>1927</v>
      </c>
      <c r="D509" s="2" t="s">
        <v>1928</v>
      </c>
      <c r="E509" s="4" t="s">
        <v>1363</v>
      </c>
      <c r="F509" s="2" t="s">
        <v>2697</v>
      </c>
      <c r="G509" s="2" t="s">
        <v>2698</v>
      </c>
      <c r="H509" s="2" t="s">
        <v>223</v>
      </c>
      <c r="I509" s="2" t="s">
        <v>1013</v>
      </c>
      <c r="J509" s="2" t="s">
        <v>30</v>
      </c>
      <c r="K509" s="2" t="s">
        <v>30</v>
      </c>
      <c r="L509" s="2" t="s">
        <v>377</v>
      </c>
      <c r="M509" s="2" t="s">
        <v>31</v>
      </c>
      <c r="N509" s="2" t="s">
        <v>508</v>
      </c>
      <c r="O509" s="2" t="s">
        <v>173</v>
      </c>
      <c r="P509" s="2" t="s">
        <v>2100</v>
      </c>
      <c r="Q509" s="2" t="s">
        <v>464</v>
      </c>
      <c r="R509" s="2" t="s">
        <v>456</v>
      </c>
      <c r="S509" s="2" t="s">
        <v>34</v>
      </c>
      <c r="T509" s="156">
        <v>3.3730000000000002</v>
      </c>
      <c r="U509" s="2" t="s">
        <v>2699</v>
      </c>
      <c r="V509" s="170">
        <v>2.1600000000000001E-2</v>
      </c>
      <c r="W509" s="172">
        <v>6.3829999999999998E-2</v>
      </c>
      <c r="X509" s="4" t="s">
        <v>461</v>
      </c>
      <c r="Y509" s="4" t="s">
        <v>173</v>
      </c>
      <c r="Z509" s="156">
        <v>2089676</v>
      </c>
      <c r="AA509" s="166">
        <v>1</v>
      </c>
      <c r="AB509" s="183">
        <v>87.13</v>
      </c>
      <c r="AD509" s="156">
        <v>1820.7349999999999</v>
      </c>
      <c r="AG509" s="2" t="s">
        <v>36</v>
      </c>
      <c r="AH509" s="172">
        <v>3.075E-3</v>
      </c>
      <c r="AI509" s="172">
        <v>6.6809884743248204E-3</v>
      </c>
      <c r="AJ509" s="172">
        <v>9.9850657520862197E-4</v>
      </c>
    </row>
    <row r="510" spans="1:36">
      <c r="A510" s="2">
        <v>161</v>
      </c>
      <c r="B510" s="2">
        <v>9943</v>
      </c>
      <c r="C510" s="2" t="s">
        <v>1927</v>
      </c>
      <c r="D510" s="2" t="s">
        <v>1928</v>
      </c>
      <c r="E510" s="4" t="s">
        <v>1363</v>
      </c>
      <c r="F510" s="2" t="s">
        <v>2700</v>
      </c>
      <c r="G510" s="2" t="s">
        <v>2701</v>
      </c>
      <c r="H510" s="2" t="s">
        <v>223</v>
      </c>
      <c r="I510" s="2" t="s">
        <v>804</v>
      </c>
      <c r="J510" s="2" t="s">
        <v>30</v>
      </c>
      <c r="K510" s="2" t="s">
        <v>30</v>
      </c>
      <c r="L510" s="2" t="s">
        <v>377</v>
      </c>
      <c r="M510" s="2" t="s">
        <v>31</v>
      </c>
      <c r="N510" s="2" t="s">
        <v>508</v>
      </c>
      <c r="O510" s="2" t="s">
        <v>173</v>
      </c>
      <c r="P510" s="2" t="s">
        <v>2100</v>
      </c>
      <c r="Q510" s="2" t="s">
        <v>464</v>
      </c>
      <c r="R510" s="2" t="s">
        <v>456</v>
      </c>
      <c r="S510" s="2" t="s">
        <v>34</v>
      </c>
      <c r="T510" s="156">
        <v>3.49</v>
      </c>
      <c r="U510" s="2" t="s">
        <v>2560</v>
      </c>
      <c r="V510" s="170">
        <v>3.2500000000000001E-2</v>
      </c>
      <c r="W510" s="172">
        <v>3.4720000000000001E-2</v>
      </c>
      <c r="X510" s="4" t="s">
        <v>461</v>
      </c>
      <c r="Y510" s="4" t="s">
        <v>173</v>
      </c>
      <c r="Z510" s="156">
        <v>119236</v>
      </c>
      <c r="AA510" s="166">
        <v>1</v>
      </c>
      <c r="AB510" s="183">
        <v>108.96</v>
      </c>
      <c r="AD510" s="156">
        <v>129.91999999999999</v>
      </c>
      <c r="AG510" s="2" t="s">
        <v>36</v>
      </c>
      <c r="AH510" s="172">
        <v>2.7900000000000001E-4</v>
      </c>
      <c r="AI510" s="172">
        <v>4.7672567964744602E-4</v>
      </c>
      <c r="AJ510" s="172">
        <v>7.1248996690849705E-5</v>
      </c>
    </row>
    <row r="511" spans="1:36">
      <c r="A511" s="2">
        <v>161</v>
      </c>
      <c r="B511" s="2">
        <v>9943</v>
      </c>
      <c r="C511" s="2" t="s">
        <v>2702</v>
      </c>
      <c r="D511" s="2" t="s">
        <v>2703</v>
      </c>
      <c r="E511" s="4" t="s">
        <v>1363</v>
      </c>
      <c r="F511" s="2" t="s">
        <v>2704</v>
      </c>
      <c r="G511" s="2" t="s">
        <v>2705</v>
      </c>
      <c r="H511" s="2" t="s">
        <v>223</v>
      </c>
      <c r="I511" s="2" t="s">
        <v>804</v>
      </c>
      <c r="J511" s="2" t="s">
        <v>30</v>
      </c>
      <c r="K511" s="2" t="s">
        <v>30</v>
      </c>
      <c r="L511" s="2" t="s">
        <v>377</v>
      </c>
      <c r="M511" s="2" t="s">
        <v>31</v>
      </c>
      <c r="N511" s="2" t="s">
        <v>498</v>
      </c>
      <c r="O511" s="2" t="s">
        <v>173</v>
      </c>
      <c r="P511" s="2" t="s">
        <v>225</v>
      </c>
      <c r="Q511" s="2" t="s">
        <v>226</v>
      </c>
      <c r="R511" s="2" t="s">
        <v>226</v>
      </c>
      <c r="S511" s="2" t="s">
        <v>34</v>
      </c>
      <c r="T511" s="156">
        <v>2.6669999999999998</v>
      </c>
      <c r="U511" s="2" t="s">
        <v>2130</v>
      </c>
      <c r="V511" s="170">
        <v>3.6999999999999998E-2</v>
      </c>
      <c r="W511" s="172">
        <v>4.0379999999999999E-2</v>
      </c>
      <c r="X511" s="4" t="s">
        <v>461</v>
      </c>
      <c r="Y511" s="4" t="s">
        <v>173</v>
      </c>
      <c r="Z511" s="156">
        <v>381479.27</v>
      </c>
      <c r="AA511" s="166">
        <v>1</v>
      </c>
      <c r="AB511" s="183">
        <v>115.47</v>
      </c>
      <c r="AD511" s="156">
        <v>440.49400000000003</v>
      </c>
      <c r="AG511" s="2" t="s">
        <v>36</v>
      </c>
      <c r="AH511" s="172">
        <v>4.8299999999999998E-4</v>
      </c>
      <c r="AI511" s="172">
        <v>1.6163453656161599E-3</v>
      </c>
      <c r="AJ511" s="172">
        <v>2.4157076180839101E-4</v>
      </c>
    </row>
    <row r="512" spans="1:36">
      <c r="A512" s="2">
        <v>161</v>
      </c>
      <c r="B512" s="2">
        <v>9943</v>
      </c>
      <c r="C512" s="2" t="s">
        <v>1931</v>
      </c>
      <c r="D512" s="2" t="s">
        <v>1932</v>
      </c>
      <c r="E512" s="4" t="s">
        <v>1363</v>
      </c>
      <c r="F512" s="2" t="s">
        <v>2706</v>
      </c>
      <c r="G512" s="2" t="s">
        <v>2707</v>
      </c>
      <c r="H512" s="2" t="s">
        <v>223</v>
      </c>
      <c r="I512" s="2" t="s">
        <v>1013</v>
      </c>
      <c r="J512" s="2" t="s">
        <v>30</v>
      </c>
      <c r="K512" s="2" t="s">
        <v>30</v>
      </c>
      <c r="L512" s="2" t="s">
        <v>377</v>
      </c>
      <c r="M512" s="2" t="s">
        <v>31</v>
      </c>
      <c r="N512" s="2" t="s">
        <v>494</v>
      </c>
      <c r="O512" s="2" t="s">
        <v>173</v>
      </c>
      <c r="P512" s="2" t="s">
        <v>2041</v>
      </c>
      <c r="Q512" s="2" t="s">
        <v>462</v>
      </c>
      <c r="R512" s="2" t="s">
        <v>456</v>
      </c>
      <c r="S512" s="2" t="s">
        <v>34</v>
      </c>
      <c r="T512" s="156">
        <v>1.8280000000000001</v>
      </c>
      <c r="U512" s="2" t="s">
        <v>2370</v>
      </c>
      <c r="V512" s="170">
        <v>5.0999999999999997E-2</v>
      </c>
      <c r="W512" s="172">
        <v>6.2890000000000001E-2</v>
      </c>
      <c r="X512" s="4" t="s">
        <v>461</v>
      </c>
      <c r="Y512" s="4" t="s">
        <v>173</v>
      </c>
      <c r="Z512" s="156">
        <v>503928.6</v>
      </c>
      <c r="AA512" s="166">
        <v>1</v>
      </c>
      <c r="AB512" s="183">
        <v>99.33</v>
      </c>
      <c r="AD512" s="156">
        <v>500.55200000000002</v>
      </c>
      <c r="AG512" s="2" t="s">
        <v>36</v>
      </c>
      <c r="AH512" s="172">
        <v>3.0309999999999998E-3</v>
      </c>
      <c r="AI512" s="172">
        <v>1.8367222884574401E-3</v>
      </c>
      <c r="AJ512" s="172">
        <v>2.74507176431303E-4</v>
      </c>
    </row>
    <row r="513" spans="1:36">
      <c r="A513" s="2">
        <v>161</v>
      </c>
      <c r="B513" s="2">
        <v>9943</v>
      </c>
      <c r="C513" s="2" t="s">
        <v>2708</v>
      </c>
      <c r="D513" s="2" t="s">
        <v>2709</v>
      </c>
      <c r="E513" s="4" t="s">
        <v>1363</v>
      </c>
      <c r="F513" s="2" t="s">
        <v>2710</v>
      </c>
      <c r="G513" s="2" t="s">
        <v>2711</v>
      </c>
      <c r="H513" s="2" t="s">
        <v>223</v>
      </c>
      <c r="I513" s="2" t="s">
        <v>804</v>
      </c>
      <c r="J513" s="2" t="s">
        <v>30</v>
      </c>
      <c r="K513" s="2" t="s">
        <v>30</v>
      </c>
      <c r="L513" s="2" t="s">
        <v>377</v>
      </c>
      <c r="M513" s="2" t="s">
        <v>31</v>
      </c>
      <c r="N513" s="2" t="s">
        <v>498</v>
      </c>
      <c r="O513" s="2" t="s">
        <v>173</v>
      </c>
      <c r="P513" s="2" t="s">
        <v>2061</v>
      </c>
      <c r="Q513" s="2" t="s">
        <v>462</v>
      </c>
      <c r="R513" s="2" t="s">
        <v>456</v>
      </c>
      <c r="S513" s="2" t="s">
        <v>34</v>
      </c>
      <c r="T513" s="156">
        <v>4.0110000000000001</v>
      </c>
      <c r="U513" s="2" t="s">
        <v>2636</v>
      </c>
      <c r="V513" s="170">
        <v>7.4999999999999997E-3</v>
      </c>
      <c r="W513" s="172">
        <v>3.4689999999999999E-2</v>
      </c>
      <c r="X513" s="4" t="s">
        <v>461</v>
      </c>
      <c r="Y513" s="4" t="s">
        <v>173</v>
      </c>
      <c r="Z513" s="156">
        <v>3748250.65</v>
      </c>
      <c r="AA513" s="166">
        <v>1</v>
      </c>
      <c r="AB513" s="183">
        <v>101.14</v>
      </c>
      <c r="AD513" s="156">
        <v>3790.9810000000002</v>
      </c>
      <c r="AG513" s="2" t="s">
        <v>36</v>
      </c>
      <c r="AH513" s="172">
        <v>5.8890000000000001E-3</v>
      </c>
      <c r="AI513" s="172">
        <v>1.3910592481862801E-2</v>
      </c>
      <c r="AJ513" s="172">
        <v>2.0790064391768498E-3</v>
      </c>
    </row>
    <row r="514" spans="1:36">
      <c r="A514" s="2">
        <v>161</v>
      </c>
      <c r="B514" s="2">
        <v>9943</v>
      </c>
      <c r="C514" s="2" t="s">
        <v>1935</v>
      </c>
      <c r="D514" s="2" t="s">
        <v>1936</v>
      </c>
      <c r="E514" s="4" t="s">
        <v>1363</v>
      </c>
      <c r="F514" s="2" t="s">
        <v>2712</v>
      </c>
      <c r="G514" s="2" t="s">
        <v>2713</v>
      </c>
      <c r="H514" s="2" t="s">
        <v>223</v>
      </c>
      <c r="I514" s="2" t="s">
        <v>1013</v>
      </c>
      <c r="J514" s="2" t="s">
        <v>30</v>
      </c>
      <c r="K514" s="2" t="s">
        <v>30</v>
      </c>
      <c r="L514" s="2" t="s">
        <v>377</v>
      </c>
      <c r="M514" s="2" t="s">
        <v>31</v>
      </c>
      <c r="N514" s="2" t="s">
        <v>509</v>
      </c>
      <c r="O514" s="2" t="s">
        <v>173</v>
      </c>
      <c r="P514" s="2" t="s">
        <v>1374</v>
      </c>
      <c r="Q514" s="2" t="s">
        <v>462</v>
      </c>
      <c r="R514" s="2" t="s">
        <v>456</v>
      </c>
      <c r="S514" s="2" t="s">
        <v>34</v>
      </c>
      <c r="T514" s="156">
        <v>1.9950000000000001</v>
      </c>
      <c r="U514" s="2" t="s">
        <v>2508</v>
      </c>
      <c r="V514" s="170">
        <v>2.3E-2</v>
      </c>
      <c r="W514" s="172">
        <v>5.5800000000000002E-2</v>
      </c>
      <c r="X514" s="4" t="s">
        <v>461</v>
      </c>
      <c r="Y514" s="4" t="s">
        <v>173</v>
      </c>
      <c r="Z514" s="156">
        <v>1615384.6</v>
      </c>
      <c r="AA514" s="166">
        <v>1</v>
      </c>
      <c r="AB514" s="183">
        <v>94.07</v>
      </c>
      <c r="AD514" s="156">
        <v>1519.5920000000001</v>
      </c>
      <c r="AG514" s="2" t="s">
        <v>36</v>
      </c>
      <c r="AH514" s="172">
        <v>1.493E-3</v>
      </c>
      <c r="AI514" s="172">
        <v>5.5759790832606302E-3</v>
      </c>
      <c r="AJ514" s="172">
        <v>8.3335748882939803E-4</v>
      </c>
    </row>
    <row r="515" spans="1:36">
      <c r="A515" s="2">
        <v>161</v>
      </c>
      <c r="B515" s="2">
        <v>9943</v>
      </c>
      <c r="C515" s="2" t="s">
        <v>2714</v>
      </c>
      <c r="D515" s="2" t="s">
        <v>2715</v>
      </c>
      <c r="E515" s="4" t="s">
        <v>1363</v>
      </c>
      <c r="F515" s="2" t="s">
        <v>2716</v>
      </c>
      <c r="G515" s="2" t="s">
        <v>2717</v>
      </c>
      <c r="H515" s="2" t="s">
        <v>223</v>
      </c>
      <c r="I515" s="2" t="s">
        <v>1013</v>
      </c>
      <c r="J515" s="2" t="s">
        <v>30</v>
      </c>
      <c r="K515" s="2" t="s">
        <v>30</v>
      </c>
      <c r="L515" s="2" t="s">
        <v>377</v>
      </c>
      <c r="M515" s="2" t="s">
        <v>31</v>
      </c>
      <c r="N515" s="2" t="s">
        <v>494</v>
      </c>
      <c r="O515" s="2" t="s">
        <v>173</v>
      </c>
      <c r="P515" s="2" t="s">
        <v>2100</v>
      </c>
      <c r="Q515" s="2" t="s">
        <v>462</v>
      </c>
      <c r="R515" s="2" t="s">
        <v>456</v>
      </c>
      <c r="S515" s="2" t="s">
        <v>34</v>
      </c>
      <c r="T515" s="156">
        <v>2.8420000000000001</v>
      </c>
      <c r="U515" s="2" t="s">
        <v>2718</v>
      </c>
      <c r="V515" s="170">
        <v>5.3400000000000003E-2</v>
      </c>
      <c r="W515" s="172">
        <v>6.2370000000000002E-2</v>
      </c>
      <c r="X515" s="4" t="s">
        <v>461</v>
      </c>
      <c r="Y515" s="4" t="s">
        <v>173</v>
      </c>
      <c r="Z515" s="156">
        <v>151143</v>
      </c>
      <c r="AA515" s="166">
        <v>1</v>
      </c>
      <c r="AB515" s="183">
        <v>99.54</v>
      </c>
      <c r="AD515" s="156">
        <v>150.44800000000001</v>
      </c>
      <c r="AG515" s="2" t="s">
        <v>36</v>
      </c>
      <c r="AH515" s="172">
        <v>2.1699999999999999E-4</v>
      </c>
      <c r="AI515" s="172">
        <v>5.5205167028939096E-4</v>
      </c>
      <c r="AJ515" s="172">
        <v>8.2506836339747903E-5</v>
      </c>
    </row>
    <row r="516" spans="1:36">
      <c r="A516" s="2">
        <v>161</v>
      </c>
      <c r="B516" s="2">
        <v>9943</v>
      </c>
      <c r="C516" s="2" t="s">
        <v>2327</v>
      </c>
      <c r="D516" s="2" t="s">
        <v>2328</v>
      </c>
      <c r="E516" s="4" t="s">
        <v>1363</v>
      </c>
      <c r="F516" s="2" t="s">
        <v>2719</v>
      </c>
      <c r="G516" s="2" t="s">
        <v>2720</v>
      </c>
      <c r="H516" s="2" t="s">
        <v>223</v>
      </c>
      <c r="I516" s="2" t="s">
        <v>1013</v>
      </c>
      <c r="J516" s="2" t="s">
        <v>30</v>
      </c>
      <c r="K516" s="2" t="s">
        <v>30</v>
      </c>
      <c r="L516" s="2" t="s">
        <v>377</v>
      </c>
      <c r="M516" s="2" t="s">
        <v>31</v>
      </c>
      <c r="N516" s="2" t="s">
        <v>494</v>
      </c>
      <c r="O516" s="2" t="s">
        <v>173</v>
      </c>
      <c r="P516" s="2" t="s">
        <v>2041</v>
      </c>
      <c r="Q516" s="2" t="s">
        <v>464</v>
      </c>
      <c r="R516" s="2" t="s">
        <v>456</v>
      </c>
      <c r="S516" s="2" t="s">
        <v>34</v>
      </c>
      <c r="T516" s="156">
        <v>0.77300000000000002</v>
      </c>
      <c r="U516" s="2" t="s">
        <v>2331</v>
      </c>
      <c r="V516" s="170">
        <v>4.3499999999999997E-2</v>
      </c>
      <c r="W516" s="172">
        <v>6.6830000000000001E-2</v>
      </c>
      <c r="X516" s="4" t="s">
        <v>461</v>
      </c>
      <c r="Y516" s="4" t="s">
        <v>173</v>
      </c>
      <c r="Z516" s="156">
        <v>35753</v>
      </c>
      <c r="AA516" s="166">
        <v>1</v>
      </c>
      <c r="AB516" s="183">
        <v>99.26</v>
      </c>
      <c r="AD516" s="156">
        <v>35.488</v>
      </c>
      <c r="AG516" s="2" t="s">
        <v>36</v>
      </c>
      <c r="AH516" s="172">
        <v>1.49E-3</v>
      </c>
      <c r="AI516" s="172">
        <v>1.3022093622973901E-4</v>
      </c>
      <c r="AJ516" s="172">
        <v>1.9462159163260301E-5</v>
      </c>
    </row>
    <row r="517" spans="1:36">
      <c r="A517" s="2">
        <v>161</v>
      </c>
      <c r="B517" s="2">
        <v>9943</v>
      </c>
      <c r="C517" s="2" t="s">
        <v>2721</v>
      </c>
      <c r="D517" s="2" t="s">
        <v>2722</v>
      </c>
      <c r="E517" s="4" t="s">
        <v>1363</v>
      </c>
      <c r="F517" s="2" t="s">
        <v>2723</v>
      </c>
      <c r="G517" s="2" t="s">
        <v>2724</v>
      </c>
      <c r="H517" s="2" t="s">
        <v>223</v>
      </c>
      <c r="I517" s="2" t="s">
        <v>1013</v>
      </c>
      <c r="J517" s="2" t="s">
        <v>30</v>
      </c>
      <c r="K517" s="2" t="s">
        <v>30</v>
      </c>
      <c r="L517" s="2" t="s">
        <v>377</v>
      </c>
      <c r="M517" s="2" t="s">
        <v>31</v>
      </c>
      <c r="N517" s="2" t="s">
        <v>494</v>
      </c>
      <c r="O517" s="2" t="s">
        <v>173</v>
      </c>
      <c r="P517" s="2" t="s">
        <v>225</v>
      </c>
      <c r="Q517" s="2" t="s">
        <v>226</v>
      </c>
      <c r="R517" s="2" t="s">
        <v>226</v>
      </c>
      <c r="S517" s="2" t="s">
        <v>34</v>
      </c>
      <c r="T517" s="156">
        <v>0.54400000000000004</v>
      </c>
      <c r="U517" s="2" t="s">
        <v>2725</v>
      </c>
      <c r="V517" s="170">
        <v>4.4900000000000002E-2</v>
      </c>
      <c r="W517" s="172">
        <v>7.2690000000000005E-2</v>
      </c>
      <c r="X517" s="4" t="s">
        <v>461</v>
      </c>
      <c r="Y517" s="4" t="s">
        <v>173</v>
      </c>
      <c r="Z517" s="156">
        <v>89990.3</v>
      </c>
      <c r="AA517" s="166">
        <v>1</v>
      </c>
      <c r="AB517" s="183">
        <v>99.72</v>
      </c>
      <c r="AD517" s="156">
        <v>89.738</v>
      </c>
      <c r="AG517" s="2" t="s">
        <v>36</v>
      </c>
      <c r="AH517" s="172">
        <v>1.5560000000000001E-3</v>
      </c>
      <c r="AI517" s="172">
        <v>3.2928505721140598E-4</v>
      </c>
      <c r="AJ517" s="172">
        <v>4.9213270761818502E-5</v>
      </c>
    </row>
    <row r="518" spans="1:36">
      <c r="A518" s="2">
        <v>161</v>
      </c>
      <c r="B518" s="2">
        <v>9943</v>
      </c>
      <c r="C518" s="2" t="s">
        <v>2721</v>
      </c>
      <c r="D518" s="2" t="s">
        <v>2722</v>
      </c>
      <c r="E518" s="4" t="s">
        <v>1363</v>
      </c>
      <c r="F518" s="2" t="s">
        <v>2726</v>
      </c>
      <c r="G518" s="2" t="s">
        <v>2727</v>
      </c>
      <c r="H518" s="2" t="s">
        <v>223</v>
      </c>
      <c r="I518" s="2" t="s">
        <v>1013</v>
      </c>
      <c r="J518" s="2" t="s">
        <v>30</v>
      </c>
      <c r="K518" s="2" t="s">
        <v>30</v>
      </c>
      <c r="L518" s="2" t="s">
        <v>377</v>
      </c>
      <c r="M518" s="2" t="s">
        <v>31</v>
      </c>
      <c r="N518" s="2" t="s">
        <v>494</v>
      </c>
      <c r="O518" s="2" t="s">
        <v>173</v>
      </c>
      <c r="P518" s="2" t="s">
        <v>225</v>
      </c>
      <c r="Q518" s="2" t="s">
        <v>226</v>
      </c>
      <c r="R518" s="2" t="s">
        <v>226</v>
      </c>
      <c r="S518" s="2" t="s">
        <v>34</v>
      </c>
      <c r="T518" s="156">
        <v>0.93</v>
      </c>
      <c r="U518" s="2" t="s">
        <v>2109</v>
      </c>
      <c r="V518" s="170">
        <v>5.9700000000000003E-2</v>
      </c>
      <c r="W518" s="172">
        <v>6.6439999999999999E-2</v>
      </c>
      <c r="X518" s="4" t="s">
        <v>461</v>
      </c>
      <c r="Y518" s="4" t="s">
        <v>173</v>
      </c>
      <c r="Z518" s="156">
        <v>750000</v>
      </c>
      <c r="AA518" s="166">
        <v>1</v>
      </c>
      <c r="AB518" s="183">
        <v>99.51</v>
      </c>
      <c r="AD518" s="156">
        <v>746.32500000000005</v>
      </c>
      <c r="AG518" s="2" t="s">
        <v>36</v>
      </c>
      <c r="AH518" s="172">
        <v>8.7840000000000001E-3</v>
      </c>
      <c r="AI518" s="172">
        <v>2.7385586304181199E-3</v>
      </c>
      <c r="AJ518" s="172">
        <v>4.09291051702219E-4</v>
      </c>
    </row>
    <row r="519" spans="1:36">
      <c r="A519" s="2">
        <v>161</v>
      </c>
      <c r="B519" s="2">
        <v>9943</v>
      </c>
      <c r="C519" s="2" t="s">
        <v>2482</v>
      </c>
      <c r="D519" s="2" t="s">
        <v>2483</v>
      </c>
      <c r="E519" s="4" t="s">
        <v>1363</v>
      </c>
      <c r="F519" s="2" t="s">
        <v>2728</v>
      </c>
      <c r="G519" s="2" t="s">
        <v>2729</v>
      </c>
      <c r="H519" s="2" t="s">
        <v>223</v>
      </c>
      <c r="I519" s="2" t="s">
        <v>804</v>
      </c>
      <c r="J519" s="2" t="s">
        <v>30</v>
      </c>
      <c r="K519" s="2" t="s">
        <v>30</v>
      </c>
      <c r="L519" s="2" t="s">
        <v>377</v>
      </c>
      <c r="M519" s="2" t="s">
        <v>31</v>
      </c>
      <c r="N519" s="2" t="s">
        <v>511</v>
      </c>
      <c r="O519" s="2" t="s">
        <v>173</v>
      </c>
      <c r="P519" s="2" t="s">
        <v>1374</v>
      </c>
      <c r="Q519" s="2" t="s">
        <v>462</v>
      </c>
      <c r="R519" s="2" t="s">
        <v>456</v>
      </c>
      <c r="S519" s="2" t="s">
        <v>34</v>
      </c>
      <c r="T519" s="156">
        <v>6.2930000000000001</v>
      </c>
      <c r="U519" s="2" t="s">
        <v>2580</v>
      </c>
      <c r="V519" s="170">
        <v>1.15E-2</v>
      </c>
      <c r="W519" s="172">
        <v>3.5110000000000002E-2</v>
      </c>
      <c r="X519" s="4" t="s">
        <v>461</v>
      </c>
      <c r="Y519" s="4" t="s">
        <v>173</v>
      </c>
      <c r="Z519" s="156">
        <v>2500000</v>
      </c>
      <c r="AA519" s="166">
        <v>1</v>
      </c>
      <c r="AB519" s="183">
        <v>99.76</v>
      </c>
      <c r="AD519" s="156">
        <v>2494</v>
      </c>
      <c r="AG519" s="2" t="s">
        <v>36</v>
      </c>
      <c r="AH519" s="172">
        <v>5.4380000000000001E-3</v>
      </c>
      <c r="AI519" s="172">
        <v>9.1514624650960198E-3</v>
      </c>
      <c r="AJ519" s="172">
        <v>1.36773105945176E-3</v>
      </c>
    </row>
    <row r="520" spans="1:36">
      <c r="A520" s="2">
        <v>161</v>
      </c>
      <c r="B520" s="2">
        <v>9943</v>
      </c>
      <c r="C520" s="2" t="s">
        <v>1939</v>
      </c>
      <c r="D520" s="2" t="s">
        <v>1940</v>
      </c>
      <c r="E520" s="4" t="s">
        <v>1363</v>
      </c>
      <c r="F520" s="2" t="s">
        <v>2332</v>
      </c>
      <c r="G520" s="2" t="s">
        <v>2333</v>
      </c>
      <c r="H520" s="2" t="s">
        <v>223</v>
      </c>
      <c r="I520" s="2" t="s">
        <v>804</v>
      </c>
      <c r="J520" s="2" t="s">
        <v>30</v>
      </c>
      <c r="K520" s="2" t="s">
        <v>30</v>
      </c>
      <c r="L520" s="2" t="s">
        <v>377</v>
      </c>
      <c r="M520" s="2" t="s">
        <v>31</v>
      </c>
      <c r="N520" s="2" t="s">
        <v>511</v>
      </c>
      <c r="O520" s="2" t="s">
        <v>173</v>
      </c>
      <c r="P520" s="2" t="s">
        <v>2052</v>
      </c>
      <c r="Q520" s="2" t="s">
        <v>462</v>
      </c>
      <c r="R520" s="2" t="s">
        <v>456</v>
      </c>
      <c r="S520" s="2" t="s">
        <v>34</v>
      </c>
      <c r="T520" s="156">
        <v>6.6509999999999998</v>
      </c>
      <c r="U520" s="2" t="s">
        <v>2334</v>
      </c>
      <c r="V520" s="170">
        <v>2.5000000000000001E-2</v>
      </c>
      <c r="W520" s="172">
        <v>3.3890000000000003E-2</v>
      </c>
      <c r="X520" s="4" t="s">
        <v>461</v>
      </c>
      <c r="Y520" s="4" t="s">
        <v>173</v>
      </c>
      <c r="Z520" s="156">
        <v>73872.95</v>
      </c>
      <c r="AA520" s="166">
        <v>1</v>
      </c>
      <c r="AB520" s="183">
        <v>109.06</v>
      </c>
      <c r="AD520" s="156">
        <v>80.566000000000003</v>
      </c>
      <c r="AG520" s="2" t="s">
        <v>36</v>
      </c>
      <c r="AH520" s="172">
        <v>8.7000000000000001E-5</v>
      </c>
      <c r="AI520" s="172">
        <v>2.9562760787825302E-4</v>
      </c>
      <c r="AJ520" s="172">
        <v>4.4182999478900303E-5</v>
      </c>
    </row>
    <row r="521" spans="1:36">
      <c r="A521" s="2">
        <v>161</v>
      </c>
      <c r="B521" s="2">
        <v>9943</v>
      </c>
      <c r="C521" s="2" t="s">
        <v>2730</v>
      </c>
      <c r="D521" s="2" t="s">
        <v>2731</v>
      </c>
      <c r="E521" s="4" t="s">
        <v>1363</v>
      </c>
      <c r="F521" s="2" t="s">
        <v>2732</v>
      </c>
      <c r="G521" s="2" t="s">
        <v>2733</v>
      </c>
      <c r="H521" s="2" t="s">
        <v>223</v>
      </c>
      <c r="I521" s="2" t="s">
        <v>804</v>
      </c>
      <c r="J521" s="2" t="s">
        <v>30</v>
      </c>
      <c r="K521" s="2" t="s">
        <v>30</v>
      </c>
      <c r="L521" s="2" t="s">
        <v>377</v>
      </c>
      <c r="M521" s="2" t="s">
        <v>31</v>
      </c>
      <c r="N521" s="2" t="s">
        <v>511</v>
      </c>
      <c r="O521" s="2" t="s">
        <v>173</v>
      </c>
      <c r="P521" s="2" t="s">
        <v>2041</v>
      </c>
      <c r="Q521" s="2" t="s">
        <v>462</v>
      </c>
      <c r="R521" s="2" t="s">
        <v>456</v>
      </c>
      <c r="S521" s="2" t="s">
        <v>34</v>
      </c>
      <c r="T521" s="156">
        <v>3.0449999999999999</v>
      </c>
      <c r="U521" s="2" t="s">
        <v>2734</v>
      </c>
      <c r="V521" s="170">
        <v>1.0800000000000001E-2</v>
      </c>
      <c r="W521" s="172">
        <v>3.4639999999999997E-2</v>
      </c>
      <c r="X521" s="4" t="s">
        <v>461</v>
      </c>
      <c r="Y521" s="4" t="s">
        <v>173</v>
      </c>
      <c r="Z521" s="156">
        <v>165048.13</v>
      </c>
      <c r="AA521" s="166">
        <v>1</v>
      </c>
      <c r="AB521" s="183">
        <v>107.63</v>
      </c>
      <c r="AD521" s="156">
        <v>177.64099999999999</v>
      </c>
      <c r="AG521" s="2" t="s">
        <v>36</v>
      </c>
      <c r="AH521" s="172">
        <v>5.5999999999999995E-4</v>
      </c>
      <c r="AI521" s="172">
        <v>6.5183548934366598E-4</v>
      </c>
      <c r="AJ521" s="172">
        <v>9.7420018694128398E-5</v>
      </c>
    </row>
    <row r="522" spans="1:36">
      <c r="A522" s="2">
        <v>161</v>
      </c>
      <c r="B522" s="2">
        <v>9943</v>
      </c>
      <c r="C522" s="2" t="s">
        <v>2730</v>
      </c>
      <c r="D522" s="2" t="s">
        <v>2731</v>
      </c>
      <c r="E522" s="4" t="s">
        <v>1363</v>
      </c>
      <c r="F522" s="2" t="s">
        <v>2735</v>
      </c>
      <c r="G522" s="2" t="s">
        <v>2736</v>
      </c>
      <c r="H522" s="2" t="s">
        <v>223</v>
      </c>
      <c r="I522" s="2" t="s">
        <v>804</v>
      </c>
      <c r="J522" s="2" t="s">
        <v>30</v>
      </c>
      <c r="K522" s="2" t="s">
        <v>30</v>
      </c>
      <c r="L522" s="2" t="s">
        <v>377</v>
      </c>
      <c r="M522" s="2" t="s">
        <v>31</v>
      </c>
      <c r="N522" s="2" t="s">
        <v>511</v>
      </c>
      <c r="O522" s="2" t="s">
        <v>173</v>
      </c>
      <c r="P522" s="2" t="s">
        <v>146</v>
      </c>
      <c r="Q522" s="2" t="s">
        <v>462</v>
      </c>
      <c r="R522" s="2" t="s">
        <v>456</v>
      </c>
      <c r="S522" s="2" t="s">
        <v>34</v>
      </c>
      <c r="T522" s="156">
        <v>3.548</v>
      </c>
      <c r="U522" s="2" t="s">
        <v>2263</v>
      </c>
      <c r="V522" s="170">
        <v>9.4000000000000004E-3</v>
      </c>
      <c r="W522" s="172">
        <v>4.8009999999999997E-2</v>
      </c>
      <c r="X522" s="4" t="s">
        <v>461</v>
      </c>
      <c r="Y522" s="4" t="s">
        <v>173</v>
      </c>
      <c r="Z522" s="156">
        <v>254402</v>
      </c>
      <c r="AA522" s="166">
        <v>1</v>
      </c>
      <c r="AB522" s="183">
        <v>98.67</v>
      </c>
      <c r="AD522" s="156">
        <v>251.018</v>
      </c>
      <c r="AG522" s="2" t="s">
        <v>36</v>
      </c>
      <c r="AH522" s="172">
        <v>5.8E-4</v>
      </c>
      <c r="AI522" s="172">
        <v>9.2108498570030205E-4</v>
      </c>
      <c r="AJ522" s="172">
        <v>1.3766067971560699E-4</v>
      </c>
    </row>
    <row r="523" spans="1:36">
      <c r="A523" s="2">
        <v>161</v>
      </c>
      <c r="B523" s="2">
        <v>9943</v>
      </c>
      <c r="C523" s="2" t="s">
        <v>1951</v>
      </c>
      <c r="D523" s="2" t="s">
        <v>1952</v>
      </c>
      <c r="E523" s="4" t="s">
        <v>1363</v>
      </c>
      <c r="F523" s="2" t="s">
        <v>2737</v>
      </c>
      <c r="G523" s="2" t="s">
        <v>2738</v>
      </c>
      <c r="H523" s="2" t="s">
        <v>223</v>
      </c>
      <c r="I523" s="2" t="s">
        <v>1013</v>
      </c>
      <c r="J523" s="2" t="s">
        <v>30</v>
      </c>
      <c r="K523" s="2" t="s">
        <v>30</v>
      </c>
      <c r="L523" s="2" t="s">
        <v>377</v>
      </c>
      <c r="M523" s="2" t="s">
        <v>31</v>
      </c>
      <c r="N523" s="2" t="s">
        <v>494</v>
      </c>
      <c r="O523" s="2" t="s">
        <v>173</v>
      </c>
      <c r="P523" s="2" t="s">
        <v>2100</v>
      </c>
      <c r="Q523" s="2" t="s">
        <v>462</v>
      </c>
      <c r="R523" s="2" t="s">
        <v>456</v>
      </c>
      <c r="S523" s="2" t="s">
        <v>34</v>
      </c>
      <c r="T523" s="156">
        <v>3.2839999999999998</v>
      </c>
      <c r="U523" s="2" t="s">
        <v>2739</v>
      </c>
      <c r="V523" s="170">
        <v>2.8000000000000001E-2</v>
      </c>
      <c r="W523" s="172">
        <v>6.7180000000000004E-2</v>
      </c>
      <c r="X523" s="4" t="s">
        <v>461</v>
      </c>
      <c r="Y523" s="4" t="s">
        <v>173</v>
      </c>
      <c r="Z523" s="156">
        <v>2497279</v>
      </c>
      <c r="AA523" s="166">
        <v>1</v>
      </c>
      <c r="AB523" s="183">
        <v>89.4</v>
      </c>
      <c r="AD523" s="156">
        <v>2232.567</v>
      </c>
      <c r="AG523" s="2" t="s">
        <v>36</v>
      </c>
      <c r="AH523" s="172">
        <v>2.0330000000000001E-3</v>
      </c>
      <c r="AI523" s="172">
        <v>8.1921639935184608E-3</v>
      </c>
      <c r="AJ523" s="172">
        <v>1.22435918639153E-3</v>
      </c>
    </row>
    <row r="524" spans="1:36">
      <c r="A524" s="2">
        <v>161</v>
      </c>
      <c r="B524" s="2">
        <v>9943</v>
      </c>
      <c r="C524" s="2" t="s">
        <v>1951</v>
      </c>
      <c r="D524" s="2" t="s">
        <v>1952</v>
      </c>
      <c r="E524" s="4" t="s">
        <v>1363</v>
      </c>
      <c r="F524" s="2" t="s">
        <v>2740</v>
      </c>
      <c r="G524" s="2" t="s">
        <v>2741</v>
      </c>
      <c r="H524" s="2" t="s">
        <v>223</v>
      </c>
      <c r="I524" s="2" t="s">
        <v>804</v>
      </c>
      <c r="J524" s="2" t="s">
        <v>30</v>
      </c>
      <c r="K524" s="2" t="s">
        <v>30</v>
      </c>
      <c r="L524" s="2" t="s">
        <v>377</v>
      </c>
      <c r="M524" s="2" t="s">
        <v>31</v>
      </c>
      <c r="N524" s="2" t="s">
        <v>494</v>
      </c>
      <c r="O524" s="2" t="s">
        <v>173</v>
      </c>
      <c r="P524" s="2" t="s">
        <v>2100</v>
      </c>
      <c r="Q524" s="2" t="s">
        <v>462</v>
      </c>
      <c r="R524" s="2" t="s">
        <v>456</v>
      </c>
      <c r="S524" s="2" t="s">
        <v>34</v>
      </c>
      <c r="T524" s="156">
        <v>0.499</v>
      </c>
      <c r="U524" s="2" t="s">
        <v>2304</v>
      </c>
      <c r="V524" s="170">
        <v>4.3400000000000001E-2</v>
      </c>
      <c r="W524" s="172">
        <v>3.4680000000000002E-2</v>
      </c>
      <c r="X524" s="4" t="s">
        <v>461</v>
      </c>
      <c r="Y524" s="4" t="s">
        <v>173</v>
      </c>
      <c r="Z524" s="156">
        <v>625000</v>
      </c>
      <c r="AA524" s="166">
        <v>1</v>
      </c>
      <c r="AB524" s="183">
        <v>115.84</v>
      </c>
      <c r="AC524" s="156">
        <v>15.641</v>
      </c>
      <c r="AD524" s="156">
        <v>739.64099999999996</v>
      </c>
      <c r="AG524" s="2" t="s">
        <v>36</v>
      </c>
      <c r="AH524" s="172">
        <v>1.4369999999999999E-3</v>
      </c>
      <c r="AI524" s="172">
        <v>2.7140315001124601E-3</v>
      </c>
      <c r="AJ524" s="172">
        <v>4.0562535148804901E-4</v>
      </c>
    </row>
    <row r="525" spans="1:36">
      <c r="A525" s="2">
        <v>161</v>
      </c>
      <c r="B525" s="2">
        <v>9943</v>
      </c>
      <c r="C525" s="2" t="s">
        <v>1951</v>
      </c>
      <c r="D525" s="2" t="s">
        <v>1952</v>
      </c>
      <c r="E525" s="4" t="s">
        <v>1363</v>
      </c>
      <c r="F525" s="2" t="s">
        <v>2491</v>
      </c>
      <c r="G525" s="2" t="s">
        <v>2492</v>
      </c>
      <c r="H525" s="2" t="s">
        <v>223</v>
      </c>
      <c r="I525" s="2" t="s">
        <v>804</v>
      </c>
      <c r="J525" s="2" t="s">
        <v>30</v>
      </c>
      <c r="K525" s="2" t="s">
        <v>30</v>
      </c>
      <c r="L525" s="2" t="s">
        <v>377</v>
      </c>
      <c r="M525" s="2" t="s">
        <v>31</v>
      </c>
      <c r="N525" s="2" t="s">
        <v>494</v>
      </c>
      <c r="O525" s="2" t="s">
        <v>173</v>
      </c>
      <c r="P525" s="2" t="s">
        <v>2100</v>
      </c>
      <c r="Q525" s="2" t="s">
        <v>462</v>
      </c>
      <c r="R525" s="2" t="s">
        <v>456</v>
      </c>
      <c r="S525" s="2" t="s">
        <v>34</v>
      </c>
      <c r="T525" s="156">
        <v>2.7930000000000001</v>
      </c>
      <c r="U525" s="2" t="s">
        <v>2493</v>
      </c>
      <c r="V525" s="170">
        <v>3.9E-2</v>
      </c>
      <c r="W525" s="172">
        <v>3.9510000000000003E-2</v>
      </c>
      <c r="X525" s="4" t="s">
        <v>461</v>
      </c>
      <c r="Y525" s="4" t="s">
        <v>173</v>
      </c>
      <c r="Z525" s="156">
        <v>1802876.13</v>
      </c>
      <c r="AA525" s="166">
        <v>1</v>
      </c>
      <c r="AB525" s="183">
        <v>117.74</v>
      </c>
      <c r="AD525" s="156">
        <v>2122.7060000000001</v>
      </c>
      <c r="AG525" s="2" t="s">
        <v>36</v>
      </c>
      <c r="AH525" s="172">
        <v>1.2639999999999999E-3</v>
      </c>
      <c r="AI525" s="172">
        <v>7.7890407122819796E-3</v>
      </c>
      <c r="AJ525" s="172">
        <v>1.1641104300164501E-3</v>
      </c>
    </row>
    <row r="526" spans="1:36">
      <c r="A526" s="2">
        <v>161</v>
      </c>
      <c r="B526" s="2">
        <v>9943</v>
      </c>
      <c r="C526" s="2" t="s">
        <v>1951</v>
      </c>
      <c r="D526" s="2" t="s">
        <v>1952</v>
      </c>
      <c r="E526" s="4" t="s">
        <v>1363</v>
      </c>
      <c r="F526" s="2" t="s">
        <v>2742</v>
      </c>
      <c r="G526" s="2" t="s">
        <v>2743</v>
      </c>
      <c r="H526" s="2" t="s">
        <v>223</v>
      </c>
      <c r="I526" s="2" t="s">
        <v>804</v>
      </c>
      <c r="J526" s="2" t="s">
        <v>30</v>
      </c>
      <c r="K526" s="2" t="s">
        <v>30</v>
      </c>
      <c r="L526" s="2" t="s">
        <v>377</v>
      </c>
      <c r="M526" s="2" t="s">
        <v>31</v>
      </c>
      <c r="N526" s="2" t="s">
        <v>494</v>
      </c>
      <c r="O526" s="2" t="s">
        <v>173</v>
      </c>
      <c r="P526" s="2" t="s">
        <v>2100</v>
      </c>
      <c r="Q526" s="2" t="s">
        <v>462</v>
      </c>
      <c r="R526" s="2" t="s">
        <v>456</v>
      </c>
      <c r="S526" s="2" t="s">
        <v>34</v>
      </c>
      <c r="T526" s="156">
        <v>4.1100000000000003</v>
      </c>
      <c r="U526" s="2" t="s">
        <v>2511</v>
      </c>
      <c r="V526" s="170">
        <v>3.2500000000000001E-2</v>
      </c>
      <c r="W526" s="172">
        <v>4.1730000000000003E-2</v>
      </c>
      <c r="X526" s="4" t="s">
        <v>461</v>
      </c>
      <c r="Y526" s="4" t="s">
        <v>173</v>
      </c>
      <c r="Z526" s="156">
        <v>1308510.6499999999</v>
      </c>
      <c r="AA526" s="166">
        <v>1</v>
      </c>
      <c r="AB526" s="183">
        <v>111.41</v>
      </c>
      <c r="AD526" s="156">
        <v>1457.8119999999999</v>
      </c>
      <c r="AG526" s="2" t="s">
        <v>36</v>
      </c>
      <c r="AH526" s="172">
        <v>3.5509999999999999E-3</v>
      </c>
      <c r="AI526" s="172">
        <v>5.3492819536927602E-3</v>
      </c>
      <c r="AJ526" s="172">
        <v>7.9947648823729405E-4</v>
      </c>
    </row>
    <row r="527" spans="1:36">
      <c r="A527" s="2">
        <v>161</v>
      </c>
      <c r="B527" s="2">
        <v>9943</v>
      </c>
      <c r="C527" s="2" t="s">
        <v>2744</v>
      </c>
      <c r="D527" s="2" t="s">
        <v>2745</v>
      </c>
      <c r="E527" s="4" t="s">
        <v>365</v>
      </c>
      <c r="F527" s="2" t="s">
        <v>2746</v>
      </c>
      <c r="G527" s="2" t="s">
        <v>2747</v>
      </c>
      <c r="H527" s="2" t="s">
        <v>223</v>
      </c>
      <c r="I527" s="2" t="s">
        <v>805</v>
      </c>
      <c r="J527" s="2" t="s">
        <v>30</v>
      </c>
      <c r="K527" s="2" t="s">
        <v>287</v>
      </c>
      <c r="L527" s="2" t="s">
        <v>377</v>
      </c>
      <c r="M527" s="2" t="s">
        <v>31</v>
      </c>
      <c r="N527" s="2" t="s">
        <v>512</v>
      </c>
      <c r="O527" s="2" t="s">
        <v>173</v>
      </c>
      <c r="P527" s="2" t="s">
        <v>1374</v>
      </c>
      <c r="Q527" s="2" t="s">
        <v>464</v>
      </c>
      <c r="R527" s="2" t="s">
        <v>456</v>
      </c>
      <c r="S527" s="2" t="s">
        <v>34</v>
      </c>
      <c r="T527" s="156">
        <v>2.91</v>
      </c>
      <c r="U527" s="2" t="s">
        <v>2748</v>
      </c>
      <c r="V527" s="170">
        <v>4.2999999999999997E-2</v>
      </c>
      <c r="W527" s="172">
        <v>0.10149</v>
      </c>
      <c r="X527" s="4" t="s">
        <v>461</v>
      </c>
      <c r="Y527" s="4" t="s">
        <v>173</v>
      </c>
      <c r="Z527" s="156">
        <v>1941822.4</v>
      </c>
      <c r="AA527" s="166">
        <v>1</v>
      </c>
      <c r="AB527" s="183">
        <v>89.69</v>
      </c>
      <c r="AD527" s="156">
        <v>1741.6210000000001</v>
      </c>
      <c r="AG527" s="2" t="s">
        <v>36</v>
      </c>
      <c r="AH527" s="172">
        <v>1.753E-3</v>
      </c>
      <c r="AI527" s="172">
        <v>6.3906875424343196E-3</v>
      </c>
      <c r="AJ527" s="172">
        <v>9.5511967364520596E-4</v>
      </c>
    </row>
    <row r="528" spans="1:36">
      <c r="A528" s="2">
        <v>161</v>
      </c>
      <c r="B528" s="2">
        <v>9943</v>
      </c>
      <c r="C528" s="2" t="s">
        <v>2749</v>
      </c>
      <c r="D528" s="2" t="s">
        <v>2750</v>
      </c>
      <c r="E528" s="4" t="s">
        <v>1363</v>
      </c>
      <c r="F528" s="2" t="s">
        <v>2751</v>
      </c>
      <c r="G528" s="2" t="s">
        <v>2752</v>
      </c>
      <c r="H528" s="2" t="s">
        <v>223</v>
      </c>
      <c r="I528" s="2" t="s">
        <v>1013</v>
      </c>
      <c r="J528" s="2" t="s">
        <v>30</v>
      </c>
      <c r="K528" s="2" t="s">
        <v>30</v>
      </c>
      <c r="L528" s="2" t="s">
        <v>377</v>
      </c>
      <c r="M528" s="2" t="s">
        <v>31</v>
      </c>
      <c r="N528" s="2" t="s">
        <v>510</v>
      </c>
      <c r="O528" s="2" t="s">
        <v>173</v>
      </c>
      <c r="P528" s="2" t="s">
        <v>2061</v>
      </c>
      <c r="Q528" s="2" t="s">
        <v>462</v>
      </c>
      <c r="R528" s="2" t="s">
        <v>456</v>
      </c>
      <c r="S528" s="2" t="s">
        <v>34</v>
      </c>
      <c r="T528" s="156">
        <v>5.4569999999999999</v>
      </c>
      <c r="U528" s="2" t="s">
        <v>2753</v>
      </c>
      <c r="V528" s="170">
        <v>2.3400000000000001E-2</v>
      </c>
      <c r="W528" s="172">
        <v>6.0170000000000001E-2</v>
      </c>
      <c r="X528" s="4" t="s">
        <v>461</v>
      </c>
      <c r="Y528" s="4" t="s">
        <v>173</v>
      </c>
      <c r="Z528" s="156">
        <v>1031842.84</v>
      </c>
      <c r="AA528" s="166">
        <v>1</v>
      </c>
      <c r="AB528" s="183">
        <v>82.39</v>
      </c>
      <c r="AD528" s="156">
        <v>850.13499999999999</v>
      </c>
      <c r="AG528" s="2" t="s">
        <v>36</v>
      </c>
      <c r="AH528" s="172">
        <v>1.047E-3</v>
      </c>
      <c r="AI528" s="172">
        <v>3.1194793237737601E-3</v>
      </c>
      <c r="AJ528" s="172">
        <v>4.6622152215735301E-4</v>
      </c>
    </row>
    <row r="529" spans="1:36">
      <c r="A529" s="2">
        <v>161</v>
      </c>
      <c r="B529" s="2">
        <v>9943</v>
      </c>
      <c r="C529" s="2" t="s">
        <v>1620</v>
      </c>
      <c r="D529" s="2" t="s">
        <v>1621</v>
      </c>
      <c r="E529" s="4" t="s">
        <v>1363</v>
      </c>
      <c r="F529" s="2" t="s">
        <v>2754</v>
      </c>
      <c r="G529" s="2" t="s">
        <v>2755</v>
      </c>
      <c r="H529" s="2" t="s">
        <v>223</v>
      </c>
      <c r="I529" s="2" t="s">
        <v>805</v>
      </c>
      <c r="J529" s="2" t="s">
        <v>30</v>
      </c>
      <c r="K529" s="2" t="s">
        <v>30</v>
      </c>
      <c r="L529" s="2" t="s">
        <v>377</v>
      </c>
      <c r="M529" s="2" t="s">
        <v>55</v>
      </c>
      <c r="N529" s="2" t="s">
        <v>584</v>
      </c>
      <c r="O529" s="2" t="s">
        <v>173</v>
      </c>
      <c r="P529" s="2" t="s">
        <v>2358</v>
      </c>
      <c r="Q529" s="2" t="s">
        <v>480</v>
      </c>
      <c r="R529" s="2" t="s">
        <v>456</v>
      </c>
      <c r="S529" s="2" t="s">
        <v>95</v>
      </c>
      <c r="T529" s="156">
        <v>6.21</v>
      </c>
      <c r="U529" s="2" t="s">
        <v>2756</v>
      </c>
      <c r="V529" s="170">
        <v>3.2550000000000003E-2</v>
      </c>
      <c r="W529" s="172">
        <v>6.3950000000000007E-2</v>
      </c>
      <c r="X529" s="4" t="s">
        <v>461</v>
      </c>
      <c r="Y529" s="4" t="s">
        <v>173</v>
      </c>
      <c r="Z529" s="156">
        <v>500000</v>
      </c>
      <c r="AA529" s="166">
        <v>3.71</v>
      </c>
      <c r="AB529" s="183">
        <v>93.117999999999995</v>
      </c>
      <c r="AD529" s="156">
        <v>1727.346</v>
      </c>
      <c r="AG529" s="2" t="s">
        <v>36</v>
      </c>
      <c r="AH529" s="172">
        <v>5.0000000000000001E-4</v>
      </c>
      <c r="AI529" s="172">
        <v>6.3383082468769104E-3</v>
      </c>
      <c r="AJ529" s="172">
        <v>9.4729133039631898E-4</v>
      </c>
    </row>
    <row r="530" spans="1:36">
      <c r="A530" s="2">
        <v>161</v>
      </c>
      <c r="B530" s="2">
        <v>9943</v>
      </c>
      <c r="C530" s="2" t="s">
        <v>1222</v>
      </c>
      <c r="D530" s="2" t="s">
        <v>1618</v>
      </c>
      <c r="E530" s="4" t="s">
        <v>1363</v>
      </c>
      <c r="F530" s="2" t="s">
        <v>2356</v>
      </c>
      <c r="G530" s="2" t="s">
        <v>2357</v>
      </c>
      <c r="H530" s="2" t="s">
        <v>223</v>
      </c>
      <c r="I530" s="2" t="s">
        <v>805</v>
      </c>
      <c r="J530" s="2" t="s">
        <v>30</v>
      </c>
      <c r="K530" s="2" t="s">
        <v>30</v>
      </c>
      <c r="L530" s="2" t="s">
        <v>377</v>
      </c>
      <c r="M530" s="2" t="s">
        <v>55</v>
      </c>
      <c r="N530" s="2" t="s">
        <v>584</v>
      </c>
      <c r="O530" s="2" t="s">
        <v>173</v>
      </c>
      <c r="P530" s="2" t="s">
        <v>2358</v>
      </c>
      <c r="Q530" s="2" t="s">
        <v>480</v>
      </c>
      <c r="R530" s="2" t="s">
        <v>456</v>
      </c>
      <c r="S530" s="2" t="s">
        <v>95</v>
      </c>
      <c r="T530" s="156">
        <v>5.4939999999999998</v>
      </c>
      <c r="U530" s="2" t="s">
        <v>2359</v>
      </c>
      <c r="V530" s="170">
        <v>3.2750000000000001E-2</v>
      </c>
      <c r="W530" s="172">
        <v>6.0199999999999997E-2</v>
      </c>
      <c r="X530" s="4" t="s">
        <v>461</v>
      </c>
      <c r="Y530" s="4" t="s">
        <v>173</v>
      </c>
      <c r="Z530" s="156">
        <v>536000</v>
      </c>
      <c r="AA530" s="166">
        <v>3.71</v>
      </c>
      <c r="AB530" s="183">
        <v>95.418000000000006</v>
      </c>
      <c r="AD530" s="156">
        <v>1897.451</v>
      </c>
      <c r="AG530" s="2" t="s">
        <v>36</v>
      </c>
      <c r="AH530" s="172">
        <v>7.1500000000000003E-4</v>
      </c>
      <c r="AI530" s="172">
        <v>6.9624897178139902E-3</v>
      </c>
      <c r="AJ530" s="172">
        <v>1.04057832007595E-3</v>
      </c>
    </row>
    <row r="531" spans="1:36">
      <c r="A531" s="2">
        <v>161</v>
      </c>
      <c r="B531" s="2">
        <v>9943</v>
      </c>
      <c r="C531" s="2" t="s">
        <v>1684</v>
      </c>
      <c r="D531" s="2" t="s">
        <v>1685</v>
      </c>
      <c r="E531" s="4" t="s">
        <v>1363</v>
      </c>
      <c r="F531" s="2" t="s">
        <v>2360</v>
      </c>
      <c r="G531" s="2" t="s">
        <v>2361</v>
      </c>
      <c r="H531" s="2" t="s">
        <v>223</v>
      </c>
      <c r="I531" s="2" t="s">
        <v>805</v>
      </c>
      <c r="J531" s="2" t="s">
        <v>90</v>
      </c>
      <c r="K531" s="2" t="s">
        <v>30</v>
      </c>
      <c r="L531" s="2" t="s">
        <v>377</v>
      </c>
      <c r="M531" s="2" t="s">
        <v>145</v>
      </c>
      <c r="N531" s="2" t="s">
        <v>584</v>
      </c>
      <c r="O531" s="2" t="s">
        <v>173</v>
      </c>
      <c r="P531" s="2" t="s">
        <v>2358</v>
      </c>
      <c r="Q531" s="2" t="s">
        <v>480</v>
      </c>
      <c r="R531" s="2" t="s">
        <v>456</v>
      </c>
      <c r="S531" s="2" t="s">
        <v>95</v>
      </c>
      <c r="T531" s="156">
        <v>5.6210000000000004</v>
      </c>
      <c r="U531" s="2" t="s">
        <v>2362</v>
      </c>
      <c r="V531" s="170">
        <v>3.0769999999999999E-2</v>
      </c>
      <c r="W531" s="172">
        <v>6.5729999999999997E-2</v>
      </c>
      <c r="X531" s="4" t="s">
        <v>461</v>
      </c>
      <c r="Y531" s="4" t="s">
        <v>173</v>
      </c>
      <c r="Z531" s="156">
        <v>86000</v>
      </c>
      <c r="AA531" s="166">
        <v>3.71</v>
      </c>
      <c r="AB531" s="183">
        <v>95.182000000000002</v>
      </c>
      <c r="AD531" s="156">
        <v>303.68700000000001</v>
      </c>
      <c r="AG531" s="2" t="s">
        <v>36</v>
      </c>
      <c r="AH531" s="172">
        <v>1.4300000000000001E-4</v>
      </c>
      <c r="AI531" s="172">
        <v>1.1143451629082E-3</v>
      </c>
      <c r="AJ531" s="172">
        <v>1.6654436338152899E-4</v>
      </c>
    </row>
    <row r="532" spans="1:36">
      <c r="A532" s="2">
        <v>161</v>
      </c>
      <c r="B532" s="2">
        <v>9943</v>
      </c>
      <c r="C532" s="2" t="s">
        <v>2757</v>
      </c>
      <c r="D532" s="2" t="s">
        <v>2758</v>
      </c>
      <c r="E532" s="4" t="s">
        <v>365</v>
      </c>
      <c r="F532" s="2" t="s">
        <v>2759</v>
      </c>
      <c r="G532" s="2" t="s">
        <v>2760</v>
      </c>
      <c r="H532" s="2" t="s">
        <v>223</v>
      </c>
      <c r="I532" s="2" t="s">
        <v>1013</v>
      </c>
      <c r="J532" s="2" t="s">
        <v>30</v>
      </c>
      <c r="K532" s="2" t="s">
        <v>30</v>
      </c>
      <c r="L532" s="2" t="s">
        <v>381</v>
      </c>
      <c r="M532" s="2" t="s">
        <v>31</v>
      </c>
      <c r="N532" s="2" t="s">
        <v>512</v>
      </c>
      <c r="O532" s="2" t="s">
        <v>173</v>
      </c>
      <c r="P532" s="2" t="s">
        <v>2761</v>
      </c>
      <c r="Q532" s="2" t="s">
        <v>464</v>
      </c>
      <c r="R532" s="2" t="s">
        <v>456</v>
      </c>
      <c r="S532" s="2" t="s">
        <v>34</v>
      </c>
      <c r="T532" s="156">
        <v>6.18</v>
      </c>
      <c r="U532" s="2" t="s">
        <v>2762</v>
      </c>
      <c r="V532" s="170">
        <v>7.0000000000000007E-2</v>
      </c>
      <c r="W532" s="172">
        <v>1E-4</v>
      </c>
      <c r="X532" s="4" t="s">
        <v>460</v>
      </c>
      <c r="Y532" s="4" t="s">
        <v>173</v>
      </c>
      <c r="Z532" s="156">
        <v>145534.70000000001</v>
      </c>
      <c r="AA532" s="166">
        <v>1</v>
      </c>
      <c r="AB532" s="183">
        <v>0.92</v>
      </c>
      <c r="AD532" s="156">
        <v>1.339</v>
      </c>
      <c r="AG532" s="2" t="s">
        <v>36</v>
      </c>
      <c r="AH532" s="172">
        <v>0</v>
      </c>
      <c r="AI532" s="172">
        <v>4.9130189128527998E-6</v>
      </c>
      <c r="AJ532" s="172">
        <v>7.3427483185466903E-7</v>
      </c>
    </row>
    <row r="533" spans="1:36">
      <c r="A533" s="2">
        <v>161</v>
      </c>
      <c r="B533" s="2">
        <v>9943</v>
      </c>
      <c r="C533" s="2" t="s">
        <v>2763</v>
      </c>
      <c r="D533" s="2" t="s">
        <v>2764</v>
      </c>
      <c r="E533" s="4" t="s">
        <v>365</v>
      </c>
      <c r="F533" s="2" t="s">
        <v>2765</v>
      </c>
      <c r="G533" s="2" t="s">
        <v>2766</v>
      </c>
      <c r="H533" s="2" t="s">
        <v>223</v>
      </c>
      <c r="I533" s="2" t="s">
        <v>805</v>
      </c>
      <c r="J533" s="2" t="s">
        <v>30</v>
      </c>
      <c r="K533" s="2" t="s">
        <v>30</v>
      </c>
      <c r="L533" s="2" t="s">
        <v>377</v>
      </c>
      <c r="M533" s="2" t="s">
        <v>31</v>
      </c>
      <c r="N533" s="2" t="s">
        <v>528</v>
      </c>
      <c r="O533" s="2" t="s">
        <v>173</v>
      </c>
      <c r="P533" s="2" t="s">
        <v>1374</v>
      </c>
      <c r="Q533" s="2" t="s">
        <v>462</v>
      </c>
      <c r="R533" s="2" t="s">
        <v>456</v>
      </c>
      <c r="S533" s="2" t="s">
        <v>34</v>
      </c>
      <c r="T533" s="156">
        <v>0.73099999999999998</v>
      </c>
      <c r="U533" s="2" t="s">
        <v>2767</v>
      </c>
      <c r="V533" s="170">
        <v>3.3700000000000001E-2</v>
      </c>
      <c r="W533" s="172">
        <v>7.2279999999999997E-2</v>
      </c>
      <c r="X533" s="4" t="s">
        <v>461</v>
      </c>
      <c r="Y533" s="4" t="s">
        <v>173</v>
      </c>
      <c r="Z533" s="156">
        <v>239265.34</v>
      </c>
      <c r="AA533" s="166">
        <v>1</v>
      </c>
      <c r="AB533" s="183">
        <v>103.4</v>
      </c>
      <c r="AD533" s="156">
        <v>247.4</v>
      </c>
      <c r="AG533" s="2" t="s">
        <v>36</v>
      </c>
      <c r="AH533" s="172">
        <v>1.709E-3</v>
      </c>
      <c r="AI533" s="172">
        <v>9.0780879016340201E-4</v>
      </c>
      <c r="AJ533" s="172">
        <v>1.35676487018928E-4</v>
      </c>
    </row>
    <row r="534" spans="1:36">
      <c r="A534" s="2">
        <v>161</v>
      </c>
      <c r="B534" s="2">
        <v>12468</v>
      </c>
      <c r="C534" s="2" t="s">
        <v>2048</v>
      </c>
      <c r="D534" s="2" t="s">
        <v>2049</v>
      </c>
      <c r="E534" s="4" t="s">
        <v>1363</v>
      </c>
      <c r="F534" s="2" t="s">
        <v>2050</v>
      </c>
      <c r="G534" s="2" t="s">
        <v>2051</v>
      </c>
      <c r="H534" s="2" t="s">
        <v>223</v>
      </c>
      <c r="I534" s="2" t="s">
        <v>804</v>
      </c>
      <c r="J534" s="2" t="s">
        <v>30</v>
      </c>
      <c r="K534" s="2" t="s">
        <v>30</v>
      </c>
      <c r="L534" s="2" t="s">
        <v>377</v>
      </c>
      <c r="M534" s="2" t="s">
        <v>31</v>
      </c>
      <c r="N534" s="2" t="s">
        <v>511</v>
      </c>
      <c r="O534" s="2" t="s">
        <v>173</v>
      </c>
      <c r="P534" s="2" t="s">
        <v>2052</v>
      </c>
      <c r="Q534" s="2" t="s">
        <v>462</v>
      </c>
      <c r="R534" s="2" t="s">
        <v>456</v>
      </c>
      <c r="S534" s="2" t="s">
        <v>34</v>
      </c>
      <c r="T534" s="156">
        <v>2.012</v>
      </c>
      <c r="U534" s="2" t="s">
        <v>2053</v>
      </c>
      <c r="V534" s="170">
        <v>2.3400000000000001E-2</v>
      </c>
      <c r="W534" s="172">
        <v>2.664E-2</v>
      </c>
      <c r="X534" s="4" t="s">
        <v>461</v>
      </c>
      <c r="Y534" s="4" t="s">
        <v>173</v>
      </c>
      <c r="Z534" s="156">
        <v>20370.37</v>
      </c>
      <c r="AA534" s="166">
        <v>1</v>
      </c>
      <c r="AB534" s="183">
        <v>115.87</v>
      </c>
      <c r="AD534" s="156">
        <v>23.603000000000002</v>
      </c>
      <c r="AG534" s="2" t="s">
        <v>36</v>
      </c>
      <c r="AH534" s="172">
        <v>1.0000000000000001E-5</v>
      </c>
      <c r="AI534" s="172">
        <v>7.3280447620172204E-2</v>
      </c>
      <c r="AJ534" s="172">
        <v>1.5473170096486301E-3</v>
      </c>
    </row>
    <row r="535" spans="1:36">
      <c r="A535" s="2">
        <v>161</v>
      </c>
      <c r="B535" s="2">
        <v>12468</v>
      </c>
      <c r="C535" s="2" t="s">
        <v>1636</v>
      </c>
      <c r="D535" s="2" t="s">
        <v>1637</v>
      </c>
      <c r="E535" s="4" t="s">
        <v>1363</v>
      </c>
      <c r="F535" s="2" t="s">
        <v>2085</v>
      </c>
      <c r="G535" s="2" t="s">
        <v>2086</v>
      </c>
      <c r="H535" s="2" t="s">
        <v>223</v>
      </c>
      <c r="I535" s="2" t="s">
        <v>804</v>
      </c>
      <c r="J535" s="2" t="s">
        <v>30</v>
      </c>
      <c r="K535" s="2" t="s">
        <v>30</v>
      </c>
      <c r="L535" s="2" t="s">
        <v>377</v>
      </c>
      <c r="M535" s="2" t="s">
        <v>31</v>
      </c>
      <c r="N535" s="2" t="s">
        <v>511</v>
      </c>
      <c r="O535" s="2" t="s">
        <v>173</v>
      </c>
      <c r="P535" s="2" t="s">
        <v>2052</v>
      </c>
      <c r="Q535" s="2" t="s">
        <v>462</v>
      </c>
      <c r="R535" s="2" t="s">
        <v>456</v>
      </c>
      <c r="S535" s="2" t="s">
        <v>34</v>
      </c>
      <c r="T535" s="156">
        <v>3.3279999999999998</v>
      </c>
      <c r="U535" s="2" t="s">
        <v>2087</v>
      </c>
      <c r="V535" s="170">
        <v>1.14E-2</v>
      </c>
      <c r="W535" s="172">
        <v>2.9170000000000001E-2</v>
      </c>
      <c r="X535" s="4" t="s">
        <v>461</v>
      </c>
      <c r="Y535" s="4" t="s">
        <v>173</v>
      </c>
      <c r="Z535" s="156">
        <v>30000</v>
      </c>
      <c r="AA535" s="166">
        <v>1</v>
      </c>
      <c r="AB535" s="183">
        <v>107.2</v>
      </c>
      <c r="AC535" s="156">
        <v>0.38</v>
      </c>
      <c r="AD535" s="156">
        <v>32.54</v>
      </c>
      <c r="AG535" s="2" t="s">
        <v>36</v>
      </c>
      <c r="AH535" s="172">
        <v>1.2999999999999999E-5</v>
      </c>
      <c r="AI535" s="172">
        <v>0.10102700370337001</v>
      </c>
      <c r="AJ535" s="172">
        <v>2.1331856769530402E-3</v>
      </c>
    </row>
    <row r="536" spans="1:36">
      <c r="A536" s="2">
        <v>161</v>
      </c>
      <c r="B536" s="2">
        <v>12468</v>
      </c>
      <c r="C536" s="2" t="s">
        <v>2093</v>
      </c>
      <c r="D536" s="2" t="s">
        <v>2094</v>
      </c>
      <c r="E536" s="4" t="s">
        <v>1363</v>
      </c>
      <c r="F536" s="2" t="s">
        <v>2095</v>
      </c>
      <c r="G536" s="2" t="s">
        <v>2096</v>
      </c>
      <c r="H536" s="2" t="s">
        <v>223</v>
      </c>
      <c r="I536" s="2" t="s">
        <v>1013</v>
      </c>
      <c r="J536" s="2" t="s">
        <v>30</v>
      </c>
      <c r="K536" s="2" t="s">
        <v>30</v>
      </c>
      <c r="L536" s="2" t="s">
        <v>377</v>
      </c>
      <c r="M536" s="2" t="s">
        <v>31</v>
      </c>
      <c r="N536" s="2" t="s">
        <v>511</v>
      </c>
      <c r="O536" s="2" t="s">
        <v>173</v>
      </c>
      <c r="P536" s="2" t="s">
        <v>225</v>
      </c>
      <c r="Q536" s="2" t="s">
        <v>226</v>
      </c>
      <c r="R536" s="2" t="s">
        <v>226</v>
      </c>
      <c r="S536" s="2" t="s">
        <v>34</v>
      </c>
      <c r="T536" s="156">
        <v>0.92200000000000004</v>
      </c>
      <c r="U536" s="2" t="s">
        <v>2097</v>
      </c>
      <c r="V536" s="170">
        <v>6.5000000000000002E-2</v>
      </c>
      <c r="W536" s="172">
        <v>8.6919999999999997E-2</v>
      </c>
      <c r="X536" s="4" t="s">
        <v>461</v>
      </c>
      <c r="Y536" s="4" t="s">
        <v>173</v>
      </c>
      <c r="Z536" s="156">
        <v>23493</v>
      </c>
      <c r="AA536" s="166">
        <v>1</v>
      </c>
      <c r="AB536" s="183">
        <v>100.1</v>
      </c>
      <c r="AD536" s="156">
        <v>23.515999999999998</v>
      </c>
      <c r="AG536" s="2" t="s">
        <v>36</v>
      </c>
      <c r="AH536" s="172">
        <v>2.14E-4</v>
      </c>
      <c r="AI536" s="172">
        <v>7.3011411613944602E-2</v>
      </c>
      <c r="AJ536" s="172">
        <v>1.54163631306226E-3</v>
      </c>
    </row>
    <row r="537" spans="1:36">
      <c r="A537" s="2">
        <v>161</v>
      </c>
      <c r="B537" s="2">
        <v>12468</v>
      </c>
      <c r="C537" s="2" t="s">
        <v>2105</v>
      </c>
      <c r="D537" s="2" t="s">
        <v>2106</v>
      </c>
      <c r="E537" s="4" t="s">
        <v>365</v>
      </c>
      <c r="F537" s="2" t="s">
        <v>2107</v>
      </c>
      <c r="G537" s="2" t="s">
        <v>2108</v>
      </c>
      <c r="H537" s="2" t="s">
        <v>223</v>
      </c>
      <c r="I537" s="2" t="s">
        <v>1013</v>
      </c>
      <c r="J537" s="2" t="s">
        <v>30</v>
      </c>
      <c r="K537" s="2" t="s">
        <v>30</v>
      </c>
      <c r="L537" s="2" t="s">
        <v>377</v>
      </c>
      <c r="M537" s="2" t="s">
        <v>31</v>
      </c>
      <c r="N537" s="2" t="s">
        <v>512</v>
      </c>
      <c r="O537" s="2" t="s">
        <v>173</v>
      </c>
      <c r="P537" s="2" t="s">
        <v>2041</v>
      </c>
      <c r="Q537" s="2" t="s">
        <v>464</v>
      </c>
      <c r="R537" s="2" t="s">
        <v>456</v>
      </c>
      <c r="S537" s="2" t="s">
        <v>34</v>
      </c>
      <c r="T537" s="156">
        <v>0.97099999999999997</v>
      </c>
      <c r="U537" s="2" t="s">
        <v>2109</v>
      </c>
      <c r="V537" s="170">
        <v>7.0000000000000007E-2</v>
      </c>
      <c r="W537" s="172">
        <v>7.2090000000000001E-2</v>
      </c>
      <c r="X537" s="4" t="s">
        <v>461</v>
      </c>
      <c r="Y537" s="4" t="s">
        <v>173</v>
      </c>
      <c r="Z537" s="156">
        <v>0.08</v>
      </c>
      <c r="AA537" s="166">
        <v>1</v>
      </c>
      <c r="AB537" s="183">
        <v>99.95</v>
      </c>
      <c r="AD537" s="156">
        <v>0</v>
      </c>
      <c r="AG537" s="2" t="s">
        <v>36</v>
      </c>
      <c r="AH537" s="172">
        <v>0</v>
      </c>
      <c r="AI537" s="172">
        <v>2.4825098166852602E-7</v>
      </c>
      <c r="AJ537" s="172">
        <v>5.2418206912254308E-9</v>
      </c>
    </row>
    <row r="538" spans="1:36">
      <c r="A538" s="2">
        <v>161</v>
      </c>
      <c r="B538" s="2">
        <v>12468</v>
      </c>
      <c r="C538" s="2" t="s">
        <v>2048</v>
      </c>
      <c r="D538" s="2" t="s">
        <v>2049</v>
      </c>
      <c r="E538" s="4" t="s">
        <v>1363</v>
      </c>
      <c r="F538" s="2" t="s">
        <v>2110</v>
      </c>
      <c r="G538" s="2" t="s">
        <v>2111</v>
      </c>
      <c r="H538" s="2" t="s">
        <v>223</v>
      </c>
      <c r="I538" s="2" t="s">
        <v>804</v>
      </c>
      <c r="J538" s="2" t="s">
        <v>30</v>
      </c>
      <c r="K538" s="2" t="s">
        <v>30</v>
      </c>
      <c r="L538" s="2" t="s">
        <v>377</v>
      </c>
      <c r="M538" s="2" t="s">
        <v>31</v>
      </c>
      <c r="N538" s="2" t="s">
        <v>511</v>
      </c>
      <c r="O538" s="2" t="s">
        <v>173</v>
      </c>
      <c r="P538" s="2" t="s">
        <v>2052</v>
      </c>
      <c r="Q538" s="2" t="s">
        <v>462</v>
      </c>
      <c r="R538" s="2" t="s">
        <v>456</v>
      </c>
      <c r="S538" s="2" t="s">
        <v>34</v>
      </c>
      <c r="T538" s="156">
        <v>5.3609999999999998</v>
      </c>
      <c r="U538" s="2" t="s">
        <v>2112</v>
      </c>
      <c r="V538" s="170">
        <v>6.4999999999999997E-3</v>
      </c>
      <c r="W538" s="172">
        <v>3.3059999999999999E-2</v>
      </c>
      <c r="X538" s="4" t="s">
        <v>461</v>
      </c>
      <c r="Y538" s="4" t="s">
        <v>173</v>
      </c>
      <c r="Z538" s="156">
        <v>16063.58</v>
      </c>
      <c r="AA538" s="166">
        <v>1</v>
      </c>
      <c r="AB538" s="183">
        <v>99.45</v>
      </c>
      <c r="AD538" s="156">
        <v>15.975</v>
      </c>
      <c r="AG538" s="2" t="s">
        <v>36</v>
      </c>
      <c r="AH538" s="172">
        <v>6.9999999999999999E-6</v>
      </c>
      <c r="AI538" s="172">
        <v>4.9598131651304202E-2</v>
      </c>
      <c r="AJ538" s="172">
        <v>1.0472647922217301E-3</v>
      </c>
    </row>
    <row r="539" spans="1:36">
      <c r="A539" s="2">
        <v>161</v>
      </c>
      <c r="B539" s="2">
        <v>12468</v>
      </c>
      <c r="C539" s="2" t="s">
        <v>1919</v>
      </c>
      <c r="D539" s="2" t="s">
        <v>1920</v>
      </c>
      <c r="E539" s="4" t="s">
        <v>1363</v>
      </c>
      <c r="F539" s="2" t="s">
        <v>2119</v>
      </c>
      <c r="G539" s="2" t="s">
        <v>2120</v>
      </c>
      <c r="H539" s="2" t="s">
        <v>223</v>
      </c>
      <c r="I539" s="2" t="s">
        <v>1013</v>
      </c>
      <c r="J539" s="2" t="s">
        <v>30</v>
      </c>
      <c r="K539" s="2" t="s">
        <v>30</v>
      </c>
      <c r="L539" s="2" t="s">
        <v>377</v>
      </c>
      <c r="M539" s="2" t="s">
        <v>31</v>
      </c>
      <c r="N539" s="2" t="s">
        <v>487</v>
      </c>
      <c r="O539" s="2" t="s">
        <v>173</v>
      </c>
      <c r="P539" s="2" t="s">
        <v>2041</v>
      </c>
      <c r="Q539" s="2" t="s">
        <v>464</v>
      </c>
      <c r="R539" s="2" t="s">
        <v>456</v>
      </c>
      <c r="S539" s="2" t="s">
        <v>34</v>
      </c>
      <c r="T539" s="156">
        <v>3.0009999999999999</v>
      </c>
      <c r="U539" s="2" t="s">
        <v>2056</v>
      </c>
      <c r="V539" s="170">
        <v>7.2499999999999995E-2</v>
      </c>
      <c r="W539" s="172">
        <v>6.3950000000000007E-2</v>
      </c>
      <c r="X539" s="4" t="s">
        <v>461</v>
      </c>
      <c r="Y539" s="4" t="s">
        <v>173</v>
      </c>
      <c r="Z539" s="156">
        <v>72900</v>
      </c>
      <c r="AA539" s="166">
        <v>1</v>
      </c>
      <c r="AB539" s="183">
        <v>105.92</v>
      </c>
      <c r="AD539" s="156">
        <v>77.215999999999994</v>
      </c>
      <c r="AG539" s="2" t="s">
        <v>36</v>
      </c>
      <c r="AH539" s="172">
        <v>1.01E-4</v>
      </c>
      <c r="AI539" s="172">
        <v>0.239730719862465</v>
      </c>
      <c r="AJ539" s="172">
        <v>5.0619153215487999E-3</v>
      </c>
    </row>
    <row r="540" spans="1:36">
      <c r="A540" s="2">
        <v>161</v>
      </c>
      <c r="B540" s="2">
        <v>12468</v>
      </c>
      <c r="C540" s="2" t="s">
        <v>2121</v>
      </c>
      <c r="D540" s="2" t="s">
        <v>2122</v>
      </c>
      <c r="E540" s="4" t="s">
        <v>1363</v>
      </c>
      <c r="F540" s="2" t="s">
        <v>2123</v>
      </c>
      <c r="G540" s="2" t="s">
        <v>2124</v>
      </c>
      <c r="H540" s="2" t="s">
        <v>223</v>
      </c>
      <c r="I540" s="2" t="s">
        <v>1013</v>
      </c>
      <c r="J540" s="2" t="s">
        <v>30</v>
      </c>
      <c r="K540" s="2" t="s">
        <v>30</v>
      </c>
      <c r="L540" s="2" t="s">
        <v>377</v>
      </c>
      <c r="M540" s="2" t="s">
        <v>31</v>
      </c>
      <c r="N540" s="2" t="s">
        <v>494</v>
      </c>
      <c r="O540" s="2" t="s">
        <v>173</v>
      </c>
      <c r="P540" s="2" t="s">
        <v>225</v>
      </c>
      <c r="Q540" s="2" t="s">
        <v>226</v>
      </c>
      <c r="R540" s="2" t="s">
        <v>226</v>
      </c>
      <c r="S540" s="2" t="s">
        <v>34</v>
      </c>
      <c r="T540" s="156">
        <v>1.647</v>
      </c>
      <c r="U540" s="2" t="s">
        <v>2125</v>
      </c>
      <c r="V540" s="170">
        <v>3.8699999999999998E-2</v>
      </c>
      <c r="W540" s="172">
        <v>6.2489999999999997E-2</v>
      </c>
      <c r="X540" s="4" t="s">
        <v>461</v>
      </c>
      <c r="Y540" s="4" t="s">
        <v>173</v>
      </c>
      <c r="Z540" s="156">
        <v>0.24</v>
      </c>
      <c r="AA540" s="166">
        <v>1</v>
      </c>
      <c r="AB540" s="183">
        <v>97.34</v>
      </c>
      <c r="AD540" s="156">
        <v>0</v>
      </c>
      <c r="AG540" s="2" t="s">
        <v>36</v>
      </c>
      <c r="AH540" s="172">
        <v>0</v>
      </c>
      <c r="AI540" s="172">
        <v>7.2530516925305498E-7</v>
      </c>
      <c r="AJ540" s="172">
        <v>1.53148221936133E-8</v>
      </c>
    </row>
    <row r="541" spans="1:36">
      <c r="A541" s="2">
        <v>161</v>
      </c>
      <c r="B541" s="2">
        <v>12468</v>
      </c>
      <c r="C541" s="2" t="s">
        <v>1222</v>
      </c>
      <c r="D541" s="2" t="s">
        <v>1618</v>
      </c>
      <c r="E541" s="4" t="s">
        <v>1363</v>
      </c>
      <c r="F541" s="2" t="s">
        <v>2209</v>
      </c>
      <c r="G541" s="2" t="s">
        <v>2210</v>
      </c>
      <c r="H541" s="2" t="s">
        <v>223</v>
      </c>
      <c r="I541" s="2" t="s">
        <v>1013</v>
      </c>
      <c r="J541" s="2" t="s">
        <v>30</v>
      </c>
      <c r="K541" s="2" t="s">
        <v>30</v>
      </c>
      <c r="L541" s="2" t="s">
        <v>377</v>
      </c>
      <c r="M541" s="2" t="s">
        <v>31</v>
      </c>
      <c r="N541" s="2" t="s">
        <v>495</v>
      </c>
      <c r="O541" s="2" t="s">
        <v>173</v>
      </c>
      <c r="P541" s="2" t="s">
        <v>1224</v>
      </c>
      <c r="Q541" s="2" t="s">
        <v>462</v>
      </c>
      <c r="R541" s="2" t="s">
        <v>456</v>
      </c>
      <c r="S541" s="2" t="s">
        <v>34</v>
      </c>
      <c r="T541" s="156">
        <v>3.1080000000000001</v>
      </c>
      <c r="U541" s="2" t="s">
        <v>2211</v>
      </c>
      <c r="V541" s="170">
        <v>2.76E-2</v>
      </c>
      <c r="W541" s="172">
        <v>5.0979999999999998E-2</v>
      </c>
      <c r="X541" s="4" t="s">
        <v>461</v>
      </c>
      <c r="Y541" s="4" t="s">
        <v>173</v>
      </c>
      <c r="Z541" s="156">
        <v>55000</v>
      </c>
      <c r="AA541" s="166">
        <v>1</v>
      </c>
      <c r="AB541" s="183">
        <v>94.29</v>
      </c>
      <c r="AD541" s="156">
        <v>51.859000000000002</v>
      </c>
      <c r="AG541" s="2" t="s">
        <v>36</v>
      </c>
      <c r="AH541" s="172">
        <v>4.1E-5</v>
      </c>
      <c r="AI541" s="172">
        <v>0.16100765112354801</v>
      </c>
      <c r="AJ541" s="172">
        <v>3.3996773403777601E-3</v>
      </c>
    </row>
    <row r="542" spans="1:36">
      <c r="A542" s="2">
        <v>161</v>
      </c>
      <c r="B542" s="2">
        <v>12468</v>
      </c>
      <c r="C542" s="2" t="s">
        <v>2250</v>
      </c>
      <c r="D542" s="2" t="s">
        <v>2251</v>
      </c>
      <c r="E542" s="4" t="s">
        <v>1363</v>
      </c>
      <c r="F542" s="2" t="s">
        <v>2252</v>
      </c>
      <c r="G542" s="2" t="s">
        <v>2253</v>
      </c>
      <c r="H542" s="2" t="s">
        <v>223</v>
      </c>
      <c r="I542" s="2" t="s">
        <v>804</v>
      </c>
      <c r="J542" s="2" t="s">
        <v>30</v>
      </c>
      <c r="K542" s="2" t="s">
        <v>30</v>
      </c>
      <c r="L542" s="2" t="s">
        <v>377</v>
      </c>
      <c r="M542" s="2" t="s">
        <v>31</v>
      </c>
      <c r="N542" s="2" t="s">
        <v>490</v>
      </c>
      <c r="O542" s="2" t="s">
        <v>173</v>
      </c>
      <c r="P542" s="2" t="s">
        <v>2061</v>
      </c>
      <c r="Q542" s="2" t="s">
        <v>464</v>
      </c>
      <c r="R542" s="2" t="s">
        <v>456</v>
      </c>
      <c r="S542" s="2" t="s">
        <v>34</v>
      </c>
      <c r="T542" s="156">
        <v>3.2530000000000001</v>
      </c>
      <c r="U542" s="2" t="s">
        <v>2254</v>
      </c>
      <c r="V542" s="170">
        <v>0.01</v>
      </c>
      <c r="W542" s="172">
        <v>3.3340000000000002E-2</v>
      </c>
      <c r="X542" s="4" t="s">
        <v>461</v>
      </c>
      <c r="Y542" s="4" t="s">
        <v>173</v>
      </c>
      <c r="Z542" s="156">
        <v>12594.06</v>
      </c>
      <c r="AA542" s="166">
        <v>1</v>
      </c>
      <c r="AB542" s="183">
        <v>104.54</v>
      </c>
      <c r="AD542" s="156">
        <v>13.166</v>
      </c>
      <c r="AG542" s="2" t="s">
        <v>36</v>
      </c>
      <c r="AH542" s="172">
        <v>7.9999999999999996E-6</v>
      </c>
      <c r="AI542" s="172">
        <v>4.0875816688522297E-2</v>
      </c>
      <c r="AJ542" s="172">
        <v>8.6309306915340696E-4</v>
      </c>
    </row>
    <row r="543" spans="1:36">
      <c r="A543" s="2">
        <v>161</v>
      </c>
      <c r="B543" s="2">
        <v>12468</v>
      </c>
      <c r="C543" s="2" t="s">
        <v>1903</v>
      </c>
      <c r="D543" s="2" t="s">
        <v>1904</v>
      </c>
      <c r="E543" s="4" t="s">
        <v>1363</v>
      </c>
      <c r="F543" s="2" t="s">
        <v>2768</v>
      </c>
      <c r="G543" s="2" t="s">
        <v>2769</v>
      </c>
      <c r="H543" s="2" t="s">
        <v>223</v>
      </c>
      <c r="I543" s="2" t="s">
        <v>804</v>
      </c>
      <c r="J543" s="2" t="s">
        <v>30</v>
      </c>
      <c r="K543" s="2" t="s">
        <v>30</v>
      </c>
      <c r="L543" s="2" t="s">
        <v>377</v>
      </c>
      <c r="M543" s="2" t="s">
        <v>31</v>
      </c>
      <c r="N543" s="2" t="s">
        <v>511</v>
      </c>
      <c r="O543" s="2" t="s">
        <v>173</v>
      </c>
      <c r="P543" s="2" t="s">
        <v>2100</v>
      </c>
      <c r="Q543" s="2" t="s">
        <v>462</v>
      </c>
      <c r="R543" s="2" t="s">
        <v>456</v>
      </c>
      <c r="S543" s="2" t="s">
        <v>34</v>
      </c>
      <c r="T543" s="156">
        <v>0.73499999999999999</v>
      </c>
      <c r="U543" s="2" t="s">
        <v>2340</v>
      </c>
      <c r="V543" s="170">
        <v>4.9500000000000002E-2</v>
      </c>
      <c r="W543" s="172">
        <v>3.3619999999999997E-2</v>
      </c>
      <c r="X543" s="4" t="s">
        <v>461</v>
      </c>
      <c r="Y543" s="4" t="s">
        <v>173</v>
      </c>
      <c r="Z543" s="156">
        <v>13333.34</v>
      </c>
      <c r="AA543" s="166">
        <v>1</v>
      </c>
      <c r="AB543" s="183">
        <v>142.69999999999999</v>
      </c>
      <c r="AD543" s="156">
        <v>19.027000000000001</v>
      </c>
      <c r="AG543" s="2" t="s">
        <v>36</v>
      </c>
      <c r="AH543" s="172">
        <v>3.0000000000000001E-5</v>
      </c>
      <c r="AI543" s="172">
        <v>5.9071923956655198E-2</v>
      </c>
      <c r="AJ543" s="172">
        <v>1.2473039630511501E-3</v>
      </c>
    </row>
    <row r="544" spans="1:36">
      <c r="A544" s="2">
        <v>161</v>
      </c>
      <c r="B544" s="2">
        <v>12468</v>
      </c>
      <c r="C544" s="2" t="s">
        <v>2285</v>
      </c>
      <c r="D544" s="2" t="s">
        <v>2286</v>
      </c>
      <c r="E544" s="4" t="s">
        <v>365</v>
      </c>
      <c r="F544" s="2" t="s">
        <v>2287</v>
      </c>
      <c r="G544" s="2" t="s">
        <v>2288</v>
      </c>
      <c r="H544" s="2" t="s">
        <v>223</v>
      </c>
      <c r="I544" s="2" t="s">
        <v>1013</v>
      </c>
      <c r="J544" s="2" t="s">
        <v>30</v>
      </c>
      <c r="K544" s="2" t="s">
        <v>350</v>
      </c>
      <c r="L544" s="2" t="s">
        <v>377</v>
      </c>
      <c r="M544" s="2" t="s">
        <v>31</v>
      </c>
      <c r="N544" s="2" t="s">
        <v>512</v>
      </c>
      <c r="O544" s="2" t="s">
        <v>173</v>
      </c>
      <c r="P544" s="2" t="s">
        <v>1374</v>
      </c>
      <c r="Q544" s="2" t="s">
        <v>462</v>
      </c>
      <c r="R544" s="2" t="s">
        <v>456</v>
      </c>
      <c r="S544" s="2" t="s">
        <v>34</v>
      </c>
      <c r="T544" s="156">
        <v>1.679</v>
      </c>
      <c r="U544" s="2" t="s">
        <v>44</v>
      </c>
      <c r="V544" s="170">
        <v>5.7000000000000002E-2</v>
      </c>
      <c r="W544" s="172">
        <v>6.7070000000000005E-2</v>
      </c>
      <c r="X544" s="4" t="s">
        <v>461</v>
      </c>
      <c r="Y544" s="4" t="s">
        <v>173</v>
      </c>
      <c r="Z544" s="156">
        <v>0.49</v>
      </c>
      <c r="AA544" s="166">
        <v>1</v>
      </c>
      <c r="AB544" s="183">
        <v>99.49</v>
      </c>
      <c r="AD544" s="156">
        <v>0</v>
      </c>
      <c r="AG544" s="2" t="s">
        <v>36</v>
      </c>
      <c r="AH544" s="172">
        <v>0</v>
      </c>
      <c r="AI544" s="172">
        <v>1.5135392923260101E-6</v>
      </c>
      <c r="AJ544" s="172">
        <v>3.1958389554691002E-8</v>
      </c>
    </row>
    <row r="545" spans="1:36">
      <c r="A545" s="2">
        <v>161</v>
      </c>
      <c r="B545" s="2">
        <v>12468</v>
      </c>
      <c r="C545" s="2" t="s">
        <v>1711</v>
      </c>
      <c r="D545" s="2" t="s">
        <v>1712</v>
      </c>
      <c r="E545" s="4" t="s">
        <v>1363</v>
      </c>
      <c r="F545" s="2" t="s">
        <v>2294</v>
      </c>
      <c r="G545" s="2" t="s">
        <v>2295</v>
      </c>
      <c r="H545" s="2" t="s">
        <v>223</v>
      </c>
      <c r="I545" s="2" t="s">
        <v>804</v>
      </c>
      <c r="J545" s="2" t="s">
        <v>30</v>
      </c>
      <c r="K545" s="2" t="s">
        <v>30</v>
      </c>
      <c r="L545" s="2" t="s">
        <v>377</v>
      </c>
      <c r="M545" s="2" t="s">
        <v>31</v>
      </c>
      <c r="N545" s="2" t="s">
        <v>511</v>
      </c>
      <c r="O545" s="2" t="s">
        <v>173</v>
      </c>
      <c r="P545" s="2" t="s">
        <v>93</v>
      </c>
      <c r="Q545" s="2" t="s">
        <v>464</v>
      </c>
      <c r="R545" s="2" t="s">
        <v>456</v>
      </c>
      <c r="S545" s="2" t="s">
        <v>34</v>
      </c>
      <c r="T545" s="156">
        <v>2.6890000000000001</v>
      </c>
      <c r="U545" s="2" t="s">
        <v>2296</v>
      </c>
      <c r="V545" s="170">
        <v>1.34E-2</v>
      </c>
      <c r="W545" s="172">
        <v>2.819E-2</v>
      </c>
      <c r="X545" s="4" t="s">
        <v>461</v>
      </c>
      <c r="Y545" s="4" t="s">
        <v>173</v>
      </c>
      <c r="Z545" s="156">
        <v>19999.990000000002</v>
      </c>
      <c r="AA545" s="166">
        <v>1</v>
      </c>
      <c r="AB545" s="183">
        <v>112.38</v>
      </c>
      <c r="AD545" s="156">
        <v>22.475999999999999</v>
      </c>
      <c r="AG545" s="2" t="s">
        <v>36</v>
      </c>
      <c r="AH545" s="172">
        <v>7.9999999999999996E-6</v>
      </c>
      <c r="AI545" s="172">
        <v>6.9780968911171207E-2</v>
      </c>
      <c r="AJ545" s="172">
        <v>1.4734254996048299E-3</v>
      </c>
    </row>
    <row r="546" spans="1:36">
      <c r="A546" s="2">
        <v>161</v>
      </c>
      <c r="B546" s="2">
        <v>12468</v>
      </c>
      <c r="C546" s="2" t="s">
        <v>2411</v>
      </c>
      <c r="D546" s="2" t="s">
        <v>2412</v>
      </c>
      <c r="E546" s="4" t="s">
        <v>1363</v>
      </c>
      <c r="F546" s="2" t="s">
        <v>2413</v>
      </c>
      <c r="G546" s="2" t="s">
        <v>2414</v>
      </c>
      <c r="H546" s="2" t="s">
        <v>223</v>
      </c>
      <c r="I546" s="2" t="s">
        <v>1013</v>
      </c>
      <c r="J546" s="2" t="s">
        <v>30</v>
      </c>
      <c r="K546" s="2" t="s">
        <v>30</v>
      </c>
      <c r="L546" s="2" t="s">
        <v>377</v>
      </c>
      <c r="M546" s="2" t="s">
        <v>31</v>
      </c>
      <c r="N546" s="2" t="s">
        <v>494</v>
      </c>
      <c r="O546" s="2" t="s">
        <v>173</v>
      </c>
      <c r="P546" s="2" t="s">
        <v>225</v>
      </c>
      <c r="Q546" s="2" t="s">
        <v>226</v>
      </c>
      <c r="R546" s="2" t="s">
        <v>226</v>
      </c>
      <c r="S546" s="2" t="s">
        <v>34</v>
      </c>
      <c r="T546" s="156">
        <v>1.585</v>
      </c>
      <c r="U546" s="2" t="s">
        <v>99</v>
      </c>
      <c r="V546" s="170">
        <v>0.06</v>
      </c>
      <c r="W546" s="172">
        <v>6.3109999999999999E-2</v>
      </c>
      <c r="X546" s="4" t="s">
        <v>461</v>
      </c>
      <c r="Y546" s="4" t="s">
        <v>173</v>
      </c>
      <c r="Z546" s="156">
        <v>0.45</v>
      </c>
      <c r="AA546" s="166">
        <v>1</v>
      </c>
      <c r="AB546" s="183">
        <v>101.67</v>
      </c>
      <c r="AD546" s="156">
        <v>0</v>
      </c>
      <c r="AG546" s="2" t="s">
        <v>36</v>
      </c>
      <c r="AH546" s="172">
        <v>0</v>
      </c>
      <c r="AI546" s="172">
        <v>1.4204420695106999E-6</v>
      </c>
      <c r="AJ546" s="172">
        <v>2.9992641239945003E-8</v>
      </c>
    </row>
    <row r="547" spans="1:36">
      <c r="A547" s="2">
        <v>161</v>
      </c>
      <c r="B547" s="2">
        <v>12468</v>
      </c>
      <c r="C547" s="2" t="s">
        <v>1620</v>
      </c>
      <c r="D547" s="2" t="s">
        <v>1621</v>
      </c>
      <c r="E547" s="4" t="s">
        <v>1363</v>
      </c>
      <c r="F547" s="2" t="s">
        <v>2316</v>
      </c>
      <c r="G547" s="2" t="s">
        <v>2317</v>
      </c>
      <c r="H547" s="2" t="s">
        <v>223</v>
      </c>
      <c r="I547" s="2" t="s">
        <v>804</v>
      </c>
      <c r="J547" s="2" t="s">
        <v>30</v>
      </c>
      <c r="K547" s="2" t="s">
        <v>30</v>
      </c>
      <c r="L547" s="2" t="s">
        <v>377</v>
      </c>
      <c r="M547" s="2" t="s">
        <v>31</v>
      </c>
      <c r="N547" s="2" t="s">
        <v>495</v>
      </c>
      <c r="O547" s="2" t="s">
        <v>173</v>
      </c>
      <c r="P547" s="2" t="s">
        <v>1224</v>
      </c>
      <c r="Q547" s="2" t="s">
        <v>462</v>
      </c>
      <c r="R547" s="2" t="s">
        <v>456</v>
      </c>
      <c r="S547" s="2" t="s">
        <v>34</v>
      </c>
      <c r="T547" s="156">
        <v>2.786</v>
      </c>
      <c r="U547" s="2" t="s">
        <v>2318</v>
      </c>
      <c r="V547" s="170">
        <v>1.7500000000000002E-2</v>
      </c>
      <c r="W547" s="172">
        <v>2.3460000000000002E-2</v>
      </c>
      <c r="X547" s="4" t="s">
        <v>461</v>
      </c>
      <c r="Y547" s="4" t="s">
        <v>173</v>
      </c>
      <c r="Z547" s="156">
        <v>25000</v>
      </c>
      <c r="AA547" s="166">
        <v>1</v>
      </c>
      <c r="AB547" s="183">
        <v>114.28</v>
      </c>
      <c r="AD547" s="156">
        <v>28.57</v>
      </c>
      <c r="AG547" s="2" t="s">
        <v>36</v>
      </c>
      <c r="AH547" s="172">
        <v>1.0000000000000001E-5</v>
      </c>
      <c r="AI547" s="172">
        <v>8.8700982319531996E-2</v>
      </c>
      <c r="AJ547" s="172">
        <v>1.87292167519148E-3</v>
      </c>
    </row>
    <row r="548" spans="1:36">
      <c r="A548" s="2">
        <v>161</v>
      </c>
      <c r="B548" s="2">
        <v>12468</v>
      </c>
      <c r="C548" s="2" t="s">
        <v>2335</v>
      </c>
      <c r="D548" s="2" t="s">
        <v>2336</v>
      </c>
      <c r="E548" s="4" t="s">
        <v>1363</v>
      </c>
      <c r="F548" s="2" t="s">
        <v>2337</v>
      </c>
      <c r="G548" s="2" t="s">
        <v>2338</v>
      </c>
      <c r="H548" s="2" t="s">
        <v>223</v>
      </c>
      <c r="I548" s="2" t="s">
        <v>1013</v>
      </c>
      <c r="J548" s="2" t="s">
        <v>30</v>
      </c>
      <c r="K548" s="2" t="s">
        <v>30</v>
      </c>
      <c r="L548" s="2" t="s">
        <v>377</v>
      </c>
      <c r="M548" s="2" t="s">
        <v>31</v>
      </c>
      <c r="N548" s="2" t="s">
        <v>490</v>
      </c>
      <c r="O548" s="2" t="s">
        <v>173</v>
      </c>
      <c r="P548" s="2" t="s">
        <v>2339</v>
      </c>
      <c r="Q548" s="2" t="s">
        <v>464</v>
      </c>
      <c r="R548" s="2" t="s">
        <v>456</v>
      </c>
      <c r="S548" s="2" t="s">
        <v>34</v>
      </c>
      <c r="T548" s="156">
        <v>0.73</v>
      </c>
      <c r="U548" s="2" t="s">
        <v>2340</v>
      </c>
      <c r="V548" s="170">
        <v>3.15E-2</v>
      </c>
      <c r="W548" s="172">
        <v>8.2530000000000006E-2</v>
      </c>
      <c r="X548" s="4" t="s">
        <v>461</v>
      </c>
      <c r="Y548" s="4" t="s">
        <v>173</v>
      </c>
      <c r="Z548" s="156">
        <v>0.96</v>
      </c>
      <c r="AA548" s="166">
        <v>1</v>
      </c>
      <c r="AB548" s="183">
        <v>97.3</v>
      </c>
      <c r="AD548" s="156">
        <v>1E-3</v>
      </c>
      <c r="AG548" s="2" t="s">
        <v>36</v>
      </c>
      <c r="AH548" s="172">
        <v>0</v>
      </c>
      <c r="AI548" s="172">
        <v>2.9000284761998E-6</v>
      </c>
      <c r="AJ548" s="172">
        <v>6.1234115448472405E-8</v>
      </c>
    </row>
    <row r="549" spans="1:36">
      <c r="A549" s="2">
        <v>161</v>
      </c>
      <c r="B549" s="2">
        <v>12468</v>
      </c>
      <c r="C549" s="2" t="s">
        <v>1222</v>
      </c>
      <c r="D549" s="2" t="s">
        <v>1618</v>
      </c>
      <c r="E549" s="4" t="s">
        <v>1363</v>
      </c>
      <c r="F549" s="2" t="s">
        <v>2356</v>
      </c>
      <c r="G549" s="2" t="s">
        <v>2357</v>
      </c>
      <c r="H549" s="2" t="s">
        <v>223</v>
      </c>
      <c r="I549" s="2" t="s">
        <v>805</v>
      </c>
      <c r="J549" s="2" t="s">
        <v>30</v>
      </c>
      <c r="K549" s="2" t="s">
        <v>30</v>
      </c>
      <c r="L549" s="2" t="s">
        <v>377</v>
      </c>
      <c r="M549" s="2" t="s">
        <v>55</v>
      </c>
      <c r="N549" s="2" t="s">
        <v>584</v>
      </c>
      <c r="O549" s="2" t="s">
        <v>173</v>
      </c>
      <c r="P549" s="2" t="s">
        <v>2358</v>
      </c>
      <c r="Q549" s="2" t="s">
        <v>480</v>
      </c>
      <c r="R549" s="2" t="s">
        <v>456</v>
      </c>
      <c r="S549" s="2" t="s">
        <v>95</v>
      </c>
      <c r="T549" s="156">
        <v>5.4939999999999998</v>
      </c>
      <c r="U549" s="2" t="s">
        <v>2359</v>
      </c>
      <c r="V549" s="170">
        <v>3.2750000000000001E-2</v>
      </c>
      <c r="W549" s="172">
        <v>6.0199999999999997E-2</v>
      </c>
      <c r="X549" s="4" t="s">
        <v>461</v>
      </c>
      <c r="Y549" s="4" t="s">
        <v>173</v>
      </c>
      <c r="Z549" s="156">
        <v>2000</v>
      </c>
      <c r="AA549" s="166">
        <v>3.71</v>
      </c>
      <c r="AB549" s="183">
        <v>95.418000000000006</v>
      </c>
      <c r="AD549" s="156">
        <v>7.08</v>
      </c>
      <c r="AG549" s="2" t="s">
        <v>36</v>
      </c>
      <c r="AH549" s="172">
        <v>3.0000000000000001E-6</v>
      </c>
      <c r="AI549" s="172">
        <v>2.1981326933491901E-2</v>
      </c>
      <c r="AJ549" s="172">
        <v>4.6413582563157002E-4</v>
      </c>
    </row>
    <row r="550" spans="1:36">
      <c r="A550" s="2">
        <v>161</v>
      </c>
      <c r="B550" s="2">
        <v>12468</v>
      </c>
      <c r="C550" s="2" t="s">
        <v>1684</v>
      </c>
      <c r="D550" s="2" t="s">
        <v>1685</v>
      </c>
      <c r="E550" s="4" t="s">
        <v>1363</v>
      </c>
      <c r="F550" s="2" t="s">
        <v>2360</v>
      </c>
      <c r="G550" s="2" t="s">
        <v>2361</v>
      </c>
      <c r="H550" s="2" t="s">
        <v>223</v>
      </c>
      <c r="I550" s="2" t="s">
        <v>805</v>
      </c>
      <c r="J550" s="2" t="s">
        <v>90</v>
      </c>
      <c r="K550" s="2" t="s">
        <v>30</v>
      </c>
      <c r="L550" s="2" t="s">
        <v>377</v>
      </c>
      <c r="M550" s="2" t="s">
        <v>145</v>
      </c>
      <c r="N550" s="2" t="s">
        <v>584</v>
      </c>
      <c r="O550" s="2" t="s">
        <v>173</v>
      </c>
      <c r="P550" s="2" t="s">
        <v>2358</v>
      </c>
      <c r="Q550" s="2" t="s">
        <v>480</v>
      </c>
      <c r="R550" s="2" t="s">
        <v>456</v>
      </c>
      <c r="S550" s="2" t="s">
        <v>95</v>
      </c>
      <c r="T550" s="156">
        <v>5.6210000000000004</v>
      </c>
      <c r="U550" s="2" t="s">
        <v>2362</v>
      </c>
      <c r="V550" s="170">
        <v>3.0769999999999999E-2</v>
      </c>
      <c r="W550" s="172">
        <v>6.5729999999999997E-2</v>
      </c>
      <c r="X550" s="4" t="s">
        <v>461</v>
      </c>
      <c r="Y550" s="4" t="s">
        <v>173</v>
      </c>
      <c r="Z550" s="156">
        <v>2000</v>
      </c>
      <c r="AA550" s="166">
        <v>3.71</v>
      </c>
      <c r="AB550" s="183">
        <v>95.182000000000002</v>
      </c>
      <c r="AD550" s="156">
        <v>7.0620000000000003</v>
      </c>
      <c r="AG550" s="2" t="s">
        <v>36</v>
      </c>
      <c r="AH550" s="172">
        <v>3.0000000000000001E-6</v>
      </c>
      <c r="AI550" s="172">
        <v>2.1926808049834198E-2</v>
      </c>
      <c r="AJ550" s="172">
        <v>4.6298465913668398E-4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63"/>
  <sheetViews>
    <sheetView rightToLeft="1" zoomScale="70" zoomScaleNormal="70" workbookViewId="0">
      <selection activeCell="O267" sqref="O267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8</v>
      </c>
      <c r="N1" s="22" t="s">
        <v>184</v>
      </c>
      <c r="O1" s="22" t="s">
        <v>159</v>
      </c>
      <c r="P1" s="22" t="s">
        <v>11</v>
      </c>
      <c r="Q1" s="22" t="s">
        <v>17</v>
      </c>
      <c r="R1" s="165" t="s">
        <v>18</v>
      </c>
      <c r="S1" s="176" t="s">
        <v>19</v>
      </c>
      <c r="T1" s="22" t="s">
        <v>16</v>
      </c>
      <c r="U1" s="22" t="s">
        <v>20</v>
      </c>
      <c r="V1" s="171" t="s">
        <v>23</v>
      </c>
      <c r="W1" s="171" t="s">
        <v>24</v>
      </c>
      <c r="X1" s="171" t="s">
        <v>25</v>
      </c>
    </row>
    <row r="2" spans="1:24">
      <c r="A2" s="21">
        <v>14076</v>
      </c>
      <c r="B2" s="21">
        <v>14079</v>
      </c>
      <c r="C2" s="21" t="s">
        <v>1222</v>
      </c>
      <c r="D2" s="21" t="s">
        <v>1618</v>
      </c>
      <c r="E2" s="21" t="s">
        <v>1363</v>
      </c>
      <c r="F2" s="21" t="s">
        <v>1352</v>
      </c>
      <c r="G2" s="21" t="s">
        <v>1619</v>
      </c>
      <c r="H2" s="21" t="s">
        <v>223</v>
      </c>
      <c r="I2" s="21" t="s">
        <v>978</v>
      </c>
      <c r="J2" s="21" t="s">
        <v>30</v>
      </c>
      <c r="K2" s="21" t="s">
        <v>30</v>
      </c>
      <c r="L2" s="23" t="s">
        <v>377</v>
      </c>
      <c r="M2" s="21" t="s">
        <v>31</v>
      </c>
      <c r="N2" s="23" t="s">
        <v>495</v>
      </c>
      <c r="O2" s="23" t="s">
        <v>173</v>
      </c>
      <c r="P2" s="21" t="s">
        <v>34</v>
      </c>
      <c r="Q2" s="159">
        <v>1600</v>
      </c>
      <c r="R2" s="184">
        <v>1</v>
      </c>
      <c r="S2" s="185">
        <v>3644</v>
      </c>
      <c r="T2" s="23"/>
      <c r="U2" s="159">
        <v>58.304000000000002</v>
      </c>
      <c r="V2" s="186">
        <v>9.9999999999999995E-7</v>
      </c>
      <c r="W2" s="186">
        <v>0.49423572494235701</v>
      </c>
      <c r="X2" s="186">
        <v>1.5305693612974401E-2</v>
      </c>
    </row>
    <row r="3" spans="1:24">
      <c r="A3" s="21">
        <v>14076</v>
      </c>
      <c r="B3" s="21">
        <v>14079</v>
      </c>
      <c r="C3" s="21" t="s">
        <v>1620</v>
      </c>
      <c r="D3" s="21" t="s">
        <v>1621</v>
      </c>
      <c r="E3" s="21" t="s">
        <v>1363</v>
      </c>
      <c r="F3" s="21" t="s">
        <v>1622</v>
      </c>
      <c r="G3" s="21" t="s">
        <v>1623</v>
      </c>
      <c r="H3" s="21" t="s">
        <v>223</v>
      </c>
      <c r="I3" s="21" t="s">
        <v>978</v>
      </c>
      <c r="J3" s="21" t="s">
        <v>30</v>
      </c>
      <c r="K3" s="21" t="s">
        <v>30</v>
      </c>
      <c r="L3" s="23" t="s">
        <v>377</v>
      </c>
      <c r="M3" s="21" t="s">
        <v>31</v>
      </c>
      <c r="N3" s="23" t="s">
        <v>495</v>
      </c>
      <c r="O3" s="23" t="s">
        <v>173</v>
      </c>
      <c r="P3" s="21" t="s">
        <v>34</v>
      </c>
      <c r="Q3" s="159">
        <v>1600</v>
      </c>
      <c r="R3" s="184">
        <v>1</v>
      </c>
      <c r="S3" s="185">
        <v>3729</v>
      </c>
      <c r="T3" s="23"/>
      <c r="U3" s="159">
        <v>59.664000000000001</v>
      </c>
      <c r="V3" s="186">
        <v>9.9999999999999995E-7</v>
      </c>
      <c r="W3" s="186">
        <v>0.50576427505764299</v>
      </c>
      <c r="X3" s="186">
        <v>1.56627144574044E-2</v>
      </c>
    </row>
    <row r="4" spans="1:24">
      <c r="A4" s="21">
        <v>161</v>
      </c>
      <c r="B4" s="21">
        <v>9938</v>
      </c>
      <c r="C4" s="21" t="s">
        <v>1624</v>
      </c>
      <c r="D4" s="21" t="s">
        <v>1625</v>
      </c>
      <c r="E4" s="21" t="s">
        <v>365</v>
      </c>
      <c r="F4" s="21" t="s">
        <v>1626</v>
      </c>
      <c r="G4" s="21" t="s">
        <v>1627</v>
      </c>
      <c r="H4" s="21" t="s">
        <v>223</v>
      </c>
      <c r="I4" s="21" t="s">
        <v>978</v>
      </c>
      <c r="J4" s="21" t="s">
        <v>30</v>
      </c>
      <c r="K4" s="21" t="s">
        <v>91</v>
      </c>
      <c r="L4" s="23" t="s">
        <v>377</v>
      </c>
      <c r="M4" s="21" t="s">
        <v>31</v>
      </c>
      <c r="N4" s="23" t="s">
        <v>488</v>
      </c>
      <c r="O4" s="23" t="s">
        <v>173</v>
      </c>
      <c r="P4" s="21" t="s">
        <v>34</v>
      </c>
      <c r="Q4" s="159">
        <v>100</v>
      </c>
      <c r="R4" s="184">
        <v>1</v>
      </c>
      <c r="S4" s="185">
        <v>28560</v>
      </c>
      <c r="T4" s="23"/>
      <c r="U4" s="159">
        <v>28.56</v>
      </c>
      <c r="V4" s="186">
        <v>1.9999999999999999E-6</v>
      </c>
      <c r="W4" s="186">
        <v>3.4076981782978299E-3</v>
      </c>
      <c r="X4" s="186">
        <v>4.30647216161761E-4</v>
      </c>
    </row>
    <row r="5" spans="1:24">
      <c r="A5" s="21">
        <v>161</v>
      </c>
      <c r="B5" s="21">
        <v>9938</v>
      </c>
      <c r="C5" s="21" t="s">
        <v>1628</v>
      </c>
      <c r="D5" s="21" t="s">
        <v>1629</v>
      </c>
      <c r="E5" s="21" t="s">
        <v>1363</v>
      </c>
      <c r="F5" s="21" t="s">
        <v>1630</v>
      </c>
      <c r="G5" s="21" t="s">
        <v>1631</v>
      </c>
      <c r="H5" s="21" t="s">
        <v>223</v>
      </c>
      <c r="I5" s="21" t="s">
        <v>978</v>
      </c>
      <c r="J5" s="21" t="s">
        <v>30</v>
      </c>
      <c r="K5" s="21" t="s">
        <v>30</v>
      </c>
      <c r="L5" s="23" t="s">
        <v>377</v>
      </c>
      <c r="M5" s="21" t="s">
        <v>31</v>
      </c>
      <c r="N5" s="23" t="s">
        <v>493</v>
      </c>
      <c r="O5" s="23" t="s">
        <v>173</v>
      </c>
      <c r="P5" s="21" t="s">
        <v>34</v>
      </c>
      <c r="Q5" s="159">
        <v>306</v>
      </c>
      <c r="R5" s="184">
        <v>1</v>
      </c>
      <c r="S5" s="185">
        <v>74080</v>
      </c>
      <c r="T5" s="23"/>
      <c r="U5" s="159">
        <v>226.685</v>
      </c>
      <c r="V5" s="186">
        <v>6.9999999999999999E-6</v>
      </c>
      <c r="W5" s="186">
        <v>2.70473872551753E-2</v>
      </c>
      <c r="X5" s="186">
        <v>3.41810847570677E-3</v>
      </c>
    </row>
    <row r="6" spans="1:24">
      <c r="A6" s="21">
        <v>161</v>
      </c>
      <c r="B6" s="21">
        <v>9938</v>
      </c>
      <c r="C6" s="21" t="s">
        <v>1632</v>
      </c>
      <c r="D6" s="21" t="s">
        <v>1633</v>
      </c>
      <c r="E6" s="21" t="s">
        <v>1363</v>
      </c>
      <c r="F6" s="21" t="s">
        <v>1634</v>
      </c>
      <c r="G6" s="21" t="s">
        <v>1635</v>
      </c>
      <c r="H6" s="21" t="s">
        <v>223</v>
      </c>
      <c r="I6" s="21" t="s">
        <v>978</v>
      </c>
      <c r="J6" s="21" t="s">
        <v>30</v>
      </c>
      <c r="K6" s="21" t="s">
        <v>30</v>
      </c>
      <c r="L6" s="23" t="s">
        <v>377</v>
      </c>
      <c r="M6" s="21" t="s">
        <v>31</v>
      </c>
      <c r="N6" s="23" t="s">
        <v>511</v>
      </c>
      <c r="O6" s="23" t="s">
        <v>173</v>
      </c>
      <c r="P6" s="21" t="s">
        <v>34</v>
      </c>
      <c r="Q6" s="159">
        <v>8000</v>
      </c>
      <c r="R6" s="184">
        <v>1</v>
      </c>
      <c r="S6" s="185">
        <v>2855</v>
      </c>
      <c r="T6" s="23"/>
      <c r="U6" s="159">
        <v>228.4</v>
      </c>
      <c r="V6" s="186">
        <v>4.1E-5</v>
      </c>
      <c r="W6" s="186">
        <v>2.72520400533342E-2</v>
      </c>
      <c r="X6" s="186">
        <v>3.4439714345709401E-3</v>
      </c>
    </row>
    <row r="7" spans="1:24">
      <c r="A7" s="21">
        <v>161</v>
      </c>
      <c r="B7" s="21">
        <v>9938</v>
      </c>
      <c r="C7" s="21" t="s">
        <v>1636</v>
      </c>
      <c r="D7" s="21" t="s">
        <v>1637</v>
      </c>
      <c r="E7" s="21" t="s">
        <v>1363</v>
      </c>
      <c r="F7" s="21" t="s">
        <v>1638</v>
      </c>
      <c r="G7" s="21" t="s">
        <v>1639</v>
      </c>
      <c r="H7" s="21" t="s">
        <v>223</v>
      </c>
      <c r="I7" s="21" t="s">
        <v>978</v>
      </c>
      <c r="J7" s="21" t="s">
        <v>30</v>
      </c>
      <c r="K7" s="21" t="s">
        <v>30</v>
      </c>
      <c r="L7" s="23" t="s">
        <v>377</v>
      </c>
      <c r="M7" s="21" t="s">
        <v>31</v>
      </c>
      <c r="N7" s="23" t="s">
        <v>511</v>
      </c>
      <c r="O7" s="23" t="s">
        <v>173</v>
      </c>
      <c r="P7" s="21" t="s">
        <v>34</v>
      </c>
      <c r="Q7" s="159">
        <v>7538</v>
      </c>
      <c r="R7" s="184">
        <v>1</v>
      </c>
      <c r="S7" s="185">
        <v>1609</v>
      </c>
      <c r="T7" s="23"/>
      <c r="U7" s="159">
        <v>121.286</v>
      </c>
      <c r="V7" s="186">
        <v>1.5999999999999999E-5</v>
      </c>
      <c r="W7" s="186">
        <v>1.44715515576423E-2</v>
      </c>
      <c r="X7" s="186">
        <v>1.8288396054350899E-3</v>
      </c>
    </row>
    <row r="8" spans="1:24">
      <c r="A8" s="21">
        <v>161</v>
      </c>
      <c r="B8" s="21">
        <v>9938</v>
      </c>
      <c r="C8" s="21" t="s">
        <v>1640</v>
      </c>
      <c r="D8" s="21" t="s">
        <v>1641</v>
      </c>
      <c r="E8" s="21" t="s">
        <v>1363</v>
      </c>
      <c r="F8" s="21" t="s">
        <v>1642</v>
      </c>
      <c r="G8" s="21" t="s">
        <v>1643</v>
      </c>
      <c r="H8" s="21" t="s">
        <v>223</v>
      </c>
      <c r="I8" s="21" t="s">
        <v>978</v>
      </c>
      <c r="J8" s="21" t="s">
        <v>30</v>
      </c>
      <c r="K8" s="21" t="s">
        <v>91</v>
      </c>
      <c r="L8" s="23" t="s">
        <v>377</v>
      </c>
      <c r="M8" s="21" t="s">
        <v>31</v>
      </c>
      <c r="N8" s="23" t="s">
        <v>488</v>
      </c>
      <c r="O8" s="23" t="s">
        <v>173</v>
      </c>
      <c r="P8" s="21" t="s">
        <v>34</v>
      </c>
      <c r="Q8" s="159">
        <v>3402.2</v>
      </c>
      <c r="R8" s="184">
        <v>1</v>
      </c>
      <c r="S8" s="185">
        <v>6254</v>
      </c>
      <c r="T8" s="23"/>
      <c r="U8" s="159">
        <v>212.774</v>
      </c>
      <c r="V8" s="186">
        <v>2.9E-5</v>
      </c>
      <c r="W8" s="186">
        <v>2.5387540903973799E-2</v>
      </c>
      <c r="X8" s="186">
        <v>3.2083457053553701E-3</v>
      </c>
    </row>
    <row r="9" spans="1:24">
      <c r="A9" s="21">
        <v>161</v>
      </c>
      <c r="B9" s="21">
        <v>9938</v>
      </c>
      <c r="C9" s="21" t="s">
        <v>1644</v>
      </c>
      <c r="D9" s="21" t="s">
        <v>1645</v>
      </c>
      <c r="E9" s="21" t="s">
        <v>1363</v>
      </c>
      <c r="F9" s="21" t="s">
        <v>1646</v>
      </c>
      <c r="G9" s="21" t="s">
        <v>1647</v>
      </c>
      <c r="H9" s="21" t="s">
        <v>223</v>
      </c>
      <c r="I9" s="21" t="s">
        <v>978</v>
      </c>
      <c r="J9" s="21" t="s">
        <v>30</v>
      </c>
      <c r="K9" s="21" t="s">
        <v>30</v>
      </c>
      <c r="L9" s="23" t="s">
        <v>377</v>
      </c>
      <c r="M9" s="21" t="s">
        <v>31</v>
      </c>
      <c r="N9" s="23" t="s">
        <v>488</v>
      </c>
      <c r="O9" s="23" t="s">
        <v>173</v>
      </c>
      <c r="P9" s="21" t="s">
        <v>34</v>
      </c>
      <c r="Q9" s="159">
        <v>14980</v>
      </c>
      <c r="R9" s="184">
        <v>1</v>
      </c>
      <c r="S9" s="185">
        <v>1348</v>
      </c>
      <c r="T9" s="23"/>
      <c r="U9" s="159">
        <v>201.93</v>
      </c>
      <c r="V9" s="186">
        <v>2.6999999999999999E-5</v>
      </c>
      <c r="W9" s="186">
        <v>2.40937624727924E-2</v>
      </c>
      <c r="X9" s="186">
        <v>3.0448446995248899E-3</v>
      </c>
    </row>
    <row r="10" spans="1:24">
      <c r="A10" s="21">
        <v>161</v>
      </c>
      <c r="B10" s="21">
        <v>9938</v>
      </c>
      <c r="C10" s="21" t="s">
        <v>1648</v>
      </c>
      <c r="D10" s="21" t="s">
        <v>1649</v>
      </c>
      <c r="E10" s="21" t="s">
        <v>1363</v>
      </c>
      <c r="F10" s="21" t="s">
        <v>1650</v>
      </c>
      <c r="G10" s="21" t="s">
        <v>1651</v>
      </c>
      <c r="H10" s="21" t="s">
        <v>223</v>
      </c>
      <c r="I10" s="21" t="s">
        <v>978</v>
      </c>
      <c r="J10" s="21" t="s">
        <v>30</v>
      </c>
      <c r="K10" s="21" t="s">
        <v>30</v>
      </c>
      <c r="L10" s="23" t="s">
        <v>377</v>
      </c>
      <c r="M10" s="21" t="s">
        <v>31</v>
      </c>
      <c r="N10" s="23" t="s">
        <v>494</v>
      </c>
      <c r="O10" s="23" t="s">
        <v>173</v>
      </c>
      <c r="P10" s="21" t="s">
        <v>34</v>
      </c>
      <c r="Q10" s="159">
        <v>127</v>
      </c>
      <c r="R10" s="184">
        <v>1</v>
      </c>
      <c r="S10" s="185">
        <v>24250</v>
      </c>
      <c r="T10" s="23"/>
      <c r="U10" s="159">
        <v>30.797000000000001</v>
      </c>
      <c r="V10" s="186">
        <v>1.0000000000000001E-5</v>
      </c>
      <c r="W10" s="186">
        <v>3.6746703307467599E-3</v>
      </c>
      <c r="X10" s="186">
        <v>4.6438577169964401E-4</v>
      </c>
    </row>
    <row r="11" spans="1:24">
      <c r="A11" s="21">
        <v>161</v>
      </c>
      <c r="B11" s="21">
        <v>9938</v>
      </c>
      <c r="C11" s="21" t="s">
        <v>1652</v>
      </c>
      <c r="D11" s="21" t="s">
        <v>1653</v>
      </c>
      <c r="E11" s="21" t="s">
        <v>1363</v>
      </c>
      <c r="F11" s="21" t="s">
        <v>1654</v>
      </c>
      <c r="G11" s="21" t="s">
        <v>1655</v>
      </c>
      <c r="H11" s="21" t="s">
        <v>223</v>
      </c>
      <c r="I11" s="21" t="s">
        <v>978</v>
      </c>
      <c r="J11" s="21" t="s">
        <v>30</v>
      </c>
      <c r="K11" s="21" t="s">
        <v>30</v>
      </c>
      <c r="L11" s="23" t="s">
        <v>377</v>
      </c>
      <c r="M11" s="21" t="s">
        <v>31</v>
      </c>
      <c r="N11" s="23" t="s">
        <v>532</v>
      </c>
      <c r="O11" s="23" t="s">
        <v>173</v>
      </c>
      <c r="P11" s="21" t="s">
        <v>34</v>
      </c>
      <c r="Q11" s="159">
        <v>58545</v>
      </c>
      <c r="R11" s="184">
        <v>1</v>
      </c>
      <c r="S11" s="185">
        <v>428.6</v>
      </c>
      <c r="T11" s="158">
        <v>8.6</v>
      </c>
      <c r="U11" s="159">
        <v>259.524</v>
      </c>
      <c r="V11" s="186">
        <v>2.0999999999999999E-5</v>
      </c>
      <c r="W11" s="186">
        <v>3.0965623290484599E-2</v>
      </c>
      <c r="X11" s="186">
        <v>3.9132748174963202E-3</v>
      </c>
    </row>
    <row r="12" spans="1:24">
      <c r="A12" s="21">
        <v>161</v>
      </c>
      <c r="B12" s="21">
        <v>9938</v>
      </c>
      <c r="C12" s="21" t="s">
        <v>1656</v>
      </c>
      <c r="D12" s="21" t="s">
        <v>1657</v>
      </c>
      <c r="E12" s="21" t="s">
        <v>1363</v>
      </c>
      <c r="F12" s="21" t="s">
        <v>1658</v>
      </c>
      <c r="G12" s="21" t="s">
        <v>1659</v>
      </c>
      <c r="H12" s="21" t="s">
        <v>223</v>
      </c>
      <c r="I12" s="21" t="s">
        <v>978</v>
      </c>
      <c r="J12" s="21" t="s">
        <v>30</v>
      </c>
      <c r="K12" s="21" t="s">
        <v>30</v>
      </c>
      <c r="L12" s="23" t="s">
        <v>377</v>
      </c>
      <c r="M12" s="21" t="s">
        <v>31</v>
      </c>
      <c r="N12" s="23" t="s">
        <v>495</v>
      </c>
      <c r="O12" s="23" t="s">
        <v>173</v>
      </c>
      <c r="P12" s="21" t="s">
        <v>34</v>
      </c>
      <c r="Q12" s="159">
        <v>1170</v>
      </c>
      <c r="R12" s="184">
        <v>1</v>
      </c>
      <c r="S12" s="185">
        <v>15410</v>
      </c>
      <c r="T12" s="23"/>
      <c r="U12" s="159">
        <v>180.297</v>
      </c>
      <c r="V12" s="186">
        <v>1.2E-5</v>
      </c>
      <c r="W12" s="186">
        <v>2.15125265564623E-2</v>
      </c>
      <c r="X12" s="186">
        <v>2.7186414962295799E-3</v>
      </c>
    </row>
    <row r="13" spans="1:24">
      <c r="A13" s="21">
        <v>161</v>
      </c>
      <c r="B13" s="21">
        <v>9938</v>
      </c>
      <c r="C13" s="21" t="s">
        <v>1660</v>
      </c>
      <c r="D13" s="21" t="s">
        <v>1661</v>
      </c>
      <c r="E13" s="21" t="s">
        <v>1363</v>
      </c>
      <c r="F13" s="21" t="s">
        <v>1662</v>
      </c>
      <c r="G13" s="21" t="s">
        <v>1663</v>
      </c>
      <c r="H13" s="21" t="s">
        <v>223</v>
      </c>
      <c r="I13" s="21" t="s">
        <v>978</v>
      </c>
      <c r="J13" s="21" t="s">
        <v>30</v>
      </c>
      <c r="K13" s="21" t="s">
        <v>30</v>
      </c>
      <c r="L13" s="23" t="s">
        <v>377</v>
      </c>
      <c r="M13" s="21" t="s">
        <v>31</v>
      </c>
      <c r="N13" s="23" t="s">
        <v>495</v>
      </c>
      <c r="O13" s="23" t="s">
        <v>173</v>
      </c>
      <c r="P13" s="21" t="s">
        <v>34</v>
      </c>
      <c r="Q13" s="159">
        <v>11345</v>
      </c>
      <c r="R13" s="184">
        <v>1</v>
      </c>
      <c r="S13" s="185">
        <v>2085</v>
      </c>
      <c r="T13" s="23"/>
      <c r="U13" s="159">
        <v>236.54300000000001</v>
      </c>
      <c r="V13" s="186">
        <v>9.0000000000000002E-6</v>
      </c>
      <c r="W13" s="186">
        <v>2.8223669541794401E-2</v>
      </c>
      <c r="X13" s="186">
        <v>3.5667609283737902E-3</v>
      </c>
    </row>
    <row r="14" spans="1:24">
      <c r="A14" s="21">
        <v>161</v>
      </c>
      <c r="B14" s="21">
        <v>9938</v>
      </c>
      <c r="C14" s="21" t="s">
        <v>1664</v>
      </c>
      <c r="D14" s="21" t="s">
        <v>1665</v>
      </c>
      <c r="E14" s="21" t="s">
        <v>1363</v>
      </c>
      <c r="F14" s="21" t="s">
        <v>1666</v>
      </c>
      <c r="G14" s="21" t="s">
        <v>1667</v>
      </c>
      <c r="H14" s="21" t="s">
        <v>223</v>
      </c>
      <c r="I14" s="21" t="s">
        <v>978</v>
      </c>
      <c r="J14" s="21" t="s">
        <v>30</v>
      </c>
      <c r="K14" s="21" t="s">
        <v>30</v>
      </c>
      <c r="L14" s="23" t="s">
        <v>377</v>
      </c>
      <c r="M14" s="21" t="s">
        <v>31</v>
      </c>
      <c r="N14" s="23" t="s">
        <v>494</v>
      </c>
      <c r="O14" s="23" t="s">
        <v>173</v>
      </c>
      <c r="P14" s="21" t="s">
        <v>34</v>
      </c>
      <c r="Q14" s="159">
        <v>630</v>
      </c>
      <c r="R14" s="184">
        <v>1</v>
      </c>
      <c r="S14" s="185">
        <v>33200</v>
      </c>
      <c r="T14" s="23"/>
      <c r="U14" s="159">
        <v>209.16</v>
      </c>
      <c r="V14" s="186">
        <v>3.1999999999999999E-5</v>
      </c>
      <c r="W14" s="186">
        <v>2.49563778351811E-2</v>
      </c>
      <c r="X14" s="186">
        <v>3.15385755365525E-3</v>
      </c>
    </row>
    <row r="15" spans="1:24">
      <c r="A15" s="21">
        <v>161</v>
      </c>
      <c r="B15" s="21">
        <v>9938</v>
      </c>
      <c r="C15" s="21" t="s">
        <v>1668</v>
      </c>
      <c r="D15" s="21" t="s">
        <v>1669</v>
      </c>
      <c r="E15" s="21" t="s">
        <v>1363</v>
      </c>
      <c r="F15" s="21" t="s">
        <v>1670</v>
      </c>
      <c r="G15" s="21" t="s">
        <v>1671</v>
      </c>
      <c r="H15" s="21" t="s">
        <v>223</v>
      </c>
      <c r="I15" s="21" t="s">
        <v>978</v>
      </c>
      <c r="J15" s="21" t="s">
        <v>30</v>
      </c>
      <c r="K15" s="21" t="s">
        <v>30</v>
      </c>
      <c r="L15" s="23" t="s">
        <v>377</v>
      </c>
      <c r="M15" s="21" t="s">
        <v>31</v>
      </c>
      <c r="N15" s="23" t="s">
        <v>492</v>
      </c>
      <c r="O15" s="23" t="s">
        <v>173</v>
      </c>
      <c r="P15" s="21" t="s">
        <v>34</v>
      </c>
      <c r="Q15" s="159">
        <v>6593</v>
      </c>
      <c r="R15" s="184">
        <v>1</v>
      </c>
      <c r="S15" s="185">
        <v>4200</v>
      </c>
      <c r="T15" s="23"/>
      <c r="U15" s="159">
        <v>276.90600000000001</v>
      </c>
      <c r="V15" s="186">
        <v>2.5999999999999998E-5</v>
      </c>
      <c r="W15" s="186">
        <v>3.3039638366937601E-2</v>
      </c>
      <c r="X15" s="186">
        <v>4.1753780825801298E-3</v>
      </c>
    </row>
    <row r="16" spans="1:24">
      <c r="A16" s="21">
        <v>161</v>
      </c>
      <c r="B16" s="21">
        <v>9938</v>
      </c>
      <c r="C16" s="21" t="s">
        <v>1672</v>
      </c>
      <c r="D16" s="21" t="s">
        <v>1673</v>
      </c>
      <c r="E16" s="21" t="s">
        <v>1363</v>
      </c>
      <c r="F16" s="21" t="s">
        <v>1674</v>
      </c>
      <c r="G16" s="21" t="s">
        <v>1675</v>
      </c>
      <c r="H16" s="21" t="s">
        <v>223</v>
      </c>
      <c r="I16" s="21" t="s">
        <v>978</v>
      </c>
      <c r="J16" s="21" t="s">
        <v>30</v>
      </c>
      <c r="K16" s="21" t="s">
        <v>91</v>
      </c>
      <c r="L16" s="23" t="s">
        <v>377</v>
      </c>
      <c r="M16" s="21" t="s">
        <v>31</v>
      </c>
      <c r="N16" s="23" t="s">
        <v>514</v>
      </c>
      <c r="O16" s="23" t="s">
        <v>173</v>
      </c>
      <c r="P16" s="21" t="s">
        <v>34</v>
      </c>
      <c r="Q16" s="159">
        <v>7282</v>
      </c>
      <c r="R16" s="184">
        <v>1</v>
      </c>
      <c r="S16" s="185">
        <v>6629</v>
      </c>
      <c r="T16" s="23"/>
      <c r="U16" s="159">
        <v>482.72399999999999</v>
      </c>
      <c r="V16" s="186">
        <v>6.0000000000000002E-6</v>
      </c>
      <c r="W16" s="186">
        <v>5.7597231993243701E-2</v>
      </c>
      <c r="X16" s="186">
        <v>7.27883935686562E-3</v>
      </c>
    </row>
    <row r="17" spans="1:24">
      <c r="A17" s="21">
        <v>161</v>
      </c>
      <c r="B17" s="21">
        <v>9938</v>
      </c>
      <c r="C17" s="21" t="s">
        <v>1676</v>
      </c>
      <c r="D17" s="21" t="s">
        <v>1677</v>
      </c>
      <c r="E17" s="21" t="s">
        <v>1363</v>
      </c>
      <c r="F17" s="21" t="s">
        <v>1678</v>
      </c>
      <c r="G17" s="21" t="s">
        <v>1679</v>
      </c>
      <c r="H17" s="21" t="s">
        <v>223</v>
      </c>
      <c r="I17" s="21" t="s">
        <v>978</v>
      </c>
      <c r="J17" s="21" t="s">
        <v>30</v>
      </c>
      <c r="K17" s="21" t="s">
        <v>30</v>
      </c>
      <c r="L17" s="23" t="s">
        <v>377</v>
      </c>
      <c r="M17" s="21" t="s">
        <v>31</v>
      </c>
      <c r="N17" s="23" t="s">
        <v>494</v>
      </c>
      <c r="O17" s="23" t="s">
        <v>173</v>
      </c>
      <c r="P17" s="21" t="s">
        <v>34</v>
      </c>
      <c r="Q17" s="159">
        <v>15600</v>
      </c>
      <c r="R17" s="184">
        <v>1</v>
      </c>
      <c r="S17" s="185">
        <v>1373</v>
      </c>
      <c r="T17" s="23"/>
      <c r="U17" s="159">
        <v>214.18799999999999</v>
      </c>
      <c r="V17" s="186">
        <v>4.8000000000000001E-5</v>
      </c>
      <c r="W17" s="186">
        <v>2.55563045312764E-2</v>
      </c>
      <c r="X17" s="186">
        <v>3.2296731770047301E-3</v>
      </c>
    </row>
    <row r="18" spans="1:24">
      <c r="A18" s="21">
        <v>161</v>
      </c>
      <c r="B18" s="21">
        <v>9938</v>
      </c>
      <c r="C18" s="21" t="s">
        <v>1680</v>
      </c>
      <c r="D18" s="21" t="s">
        <v>1681</v>
      </c>
      <c r="E18" s="21" t="s">
        <v>1363</v>
      </c>
      <c r="F18" s="21" t="s">
        <v>1682</v>
      </c>
      <c r="G18" s="21" t="s">
        <v>1683</v>
      </c>
      <c r="H18" s="21" t="s">
        <v>223</v>
      </c>
      <c r="I18" s="21" t="s">
        <v>978</v>
      </c>
      <c r="J18" s="21" t="s">
        <v>30</v>
      </c>
      <c r="K18" s="21" t="s">
        <v>30</v>
      </c>
      <c r="L18" s="23" t="s">
        <v>377</v>
      </c>
      <c r="M18" s="21" t="s">
        <v>31</v>
      </c>
      <c r="N18" s="23" t="s">
        <v>492</v>
      </c>
      <c r="O18" s="23" t="s">
        <v>173</v>
      </c>
      <c r="P18" s="21" t="s">
        <v>34</v>
      </c>
      <c r="Q18" s="159">
        <v>2200</v>
      </c>
      <c r="R18" s="184">
        <v>1</v>
      </c>
      <c r="S18" s="185">
        <v>6329</v>
      </c>
      <c r="T18" s="23"/>
      <c r="U18" s="159">
        <v>139.238</v>
      </c>
      <c r="V18" s="186">
        <v>2.8E-5</v>
      </c>
      <c r="W18" s="186">
        <v>1.6613483156506799E-2</v>
      </c>
      <c r="X18" s="186">
        <v>2.0995258082609001E-3</v>
      </c>
    </row>
    <row r="19" spans="1:24">
      <c r="A19" s="21">
        <v>161</v>
      </c>
      <c r="B19" s="21">
        <v>9938</v>
      </c>
      <c r="C19" s="21" t="s">
        <v>1222</v>
      </c>
      <c r="D19" s="21" t="s">
        <v>1618</v>
      </c>
      <c r="E19" s="21" t="s">
        <v>1363</v>
      </c>
      <c r="F19" s="21" t="s">
        <v>1352</v>
      </c>
      <c r="G19" s="21" t="s">
        <v>1619</v>
      </c>
      <c r="H19" s="21" t="s">
        <v>223</v>
      </c>
      <c r="I19" s="21" t="s">
        <v>978</v>
      </c>
      <c r="J19" s="21" t="s">
        <v>30</v>
      </c>
      <c r="K19" s="21" t="s">
        <v>30</v>
      </c>
      <c r="L19" s="23" t="s">
        <v>377</v>
      </c>
      <c r="M19" s="21" t="s">
        <v>31</v>
      </c>
      <c r="N19" s="23" t="s">
        <v>495</v>
      </c>
      <c r="O19" s="23" t="s">
        <v>173</v>
      </c>
      <c r="P19" s="21" t="s">
        <v>34</v>
      </c>
      <c r="Q19" s="159">
        <v>20941</v>
      </c>
      <c r="R19" s="184">
        <v>1</v>
      </c>
      <c r="S19" s="185">
        <v>3644</v>
      </c>
      <c r="T19" s="23"/>
      <c r="U19" s="159">
        <v>763.09</v>
      </c>
      <c r="V19" s="186">
        <v>1.4E-5</v>
      </c>
      <c r="W19" s="186">
        <v>9.1049738766989394E-2</v>
      </c>
      <c r="X19" s="186">
        <v>1.15063936066795E-2</v>
      </c>
    </row>
    <row r="20" spans="1:24">
      <c r="A20" s="4">
        <v>161</v>
      </c>
      <c r="B20" s="4">
        <v>9938</v>
      </c>
      <c r="C20" s="4" t="s">
        <v>1684</v>
      </c>
      <c r="D20" s="4" t="s">
        <v>1685</v>
      </c>
      <c r="E20" s="21" t="s">
        <v>1363</v>
      </c>
      <c r="F20" s="4" t="s">
        <v>1686</v>
      </c>
      <c r="G20" s="4" t="s">
        <v>1687</v>
      </c>
      <c r="H20" s="21" t="s">
        <v>223</v>
      </c>
      <c r="I20" s="4" t="s">
        <v>978</v>
      </c>
      <c r="J20" s="4" t="s">
        <v>30</v>
      </c>
      <c r="K20" s="21" t="s">
        <v>30</v>
      </c>
      <c r="L20" s="23" t="s">
        <v>377</v>
      </c>
      <c r="M20" s="21" t="s">
        <v>31</v>
      </c>
      <c r="N20" s="23" t="s">
        <v>495</v>
      </c>
      <c r="O20" s="4" t="s">
        <v>173</v>
      </c>
      <c r="P20" s="4" t="s">
        <v>34</v>
      </c>
      <c r="Q20" s="157">
        <v>2025</v>
      </c>
      <c r="R20" s="175">
        <v>1</v>
      </c>
      <c r="S20" s="177">
        <v>14550</v>
      </c>
      <c r="U20" s="157">
        <v>294.637</v>
      </c>
      <c r="V20" s="174">
        <v>7.9999999999999996E-6</v>
      </c>
      <c r="W20" s="174">
        <v>3.5155310644545697E-2</v>
      </c>
      <c r="X20" s="174">
        <v>4.4427457686225698E-3</v>
      </c>
    </row>
    <row r="21" spans="1:24">
      <c r="A21" s="4">
        <v>161</v>
      </c>
      <c r="B21" s="4">
        <v>9938</v>
      </c>
      <c r="C21" s="4" t="s">
        <v>1688</v>
      </c>
      <c r="D21" s="4" t="s">
        <v>1689</v>
      </c>
      <c r="E21" s="4" t="s">
        <v>1363</v>
      </c>
      <c r="F21" s="4" t="s">
        <v>1690</v>
      </c>
      <c r="G21" s="4" t="s">
        <v>1691</v>
      </c>
      <c r="H21" s="4" t="s">
        <v>223</v>
      </c>
      <c r="I21" s="4" t="s">
        <v>978</v>
      </c>
      <c r="J21" s="4" t="s">
        <v>30</v>
      </c>
      <c r="K21" s="4" t="s">
        <v>30</v>
      </c>
      <c r="L21" s="2" t="s">
        <v>377</v>
      </c>
      <c r="M21" s="4" t="s">
        <v>31</v>
      </c>
      <c r="N21" s="23" t="s">
        <v>524</v>
      </c>
      <c r="O21" s="4" t="s">
        <v>173</v>
      </c>
      <c r="P21" s="4" t="s">
        <v>34</v>
      </c>
      <c r="Q21" s="157">
        <v>2181</v>
      </c>
      <c r="R21" s="175">
        <v>1</v>
      </c>
      <c r="S21" s="177">
        <v>7125</v>
      </c>
      <c r="T21" s="156">
        <v>1.788</v>
      </c>
      <c r="U21" s="157">
        <v>157.185</v>
      </c>
      <c r="V21" s="174">
        <v>3.4E-5</v>
      </c>
      <c r="W21" s="174">
        <v>1.8754828908100301E-2</v>
      </c>
      <c r="X21" s="174">
        <v>2.37013797474807E-3</v>
      </c>
    </row>
    <row r="22" spans="1:24">
      <c r="A22" s="4">
        <v>161</v>
      </c>
      <c r="B22" s="4">
        <v>9938</v>
      </c>
      <c r="C22" s="4" t="s">
        <v>1692</v>
      </c>
      <c r="D22" s="4" t="s">
        <v>1693</v>
      </c>
      <c r="E22" s="4" t="s">
        <v>1363</v>
      </c>
      <c r="F22" s="4" t="s">
        <v>1694</v>
      </c>
      <c r="G22" s="4" t="s">
        <v>1695</v>
      </c>
      <c r="H22" s="4" t="s">
        <v>223</v>
      </c>
      <c r="I22" s="4" t="s">
        <v>978</v>
      </c>
      <c r="J22" s="4" t="s">
        <v>30</v>
      </c>
      <c r="K22" s="4" t="s">
        <v>30</v>
      </c>
      <c r="L22" s="2" t="s">
        <v>377</v>
      </c>
      <c r="M22" s="4" t="s">
        <v>31</v>
      </c>
      <c r="N22" s="4" t="s">
        <v>511</v>
      </c>
      <c r="O22" s="4" t="s">
        <v>173</v>
      </c>
      <c r="P22" s="4" t="s">
        <v>34</v>
      </c>
      <c r="Q22" s="157">
        <v>424</v>
      </c>
      <c r="R22" s="175">
        <v>1</v>
      </c>
      <c r="S22" s="177">
        <v>28210</v>
      </c>
      <c r="U22" s="157">
        <v>119.61</v>
      </c>
      <c r="V22" s="174">
        <v>9.0000000000000002E-6</v>
      </c>
      <c r="W22" s="174">
        <v>1.4271573605934E-2</v>
      </c>
      <c r="X22" s="174">
        <v>1.8035674294115799E-3</v>
      </c>
    </row>
    <row r="23" spans="1:24">
      <c r="A23" s="4">
        <v>161</v>
      </c>
      <c r="B23" s="4">
        <v>9938</v>
      </c>
      <c r="C23" s="4" t="s">
        <v>1696</v>
      </c>
      <c r="D23" s="4" t="s">
        <v>1697</v>
      </c>
      <c r="E23" s="4" t="s">
        <v>1363</v>
      </c>
      <c r="F23" s="4" t="s">
        <v>1698</v>
      </c>
      <c r="G23" s="4" t="s">
        <v>1699</v>
      </c>
      <c r="H23" s="4" t="s">
        <v>223</v>
      </c>
      <c r="I23" s="4" t="s">
        <v>978</v>
      </c>
      <c r="J23" s="4" t="s">
        <v>30</v>
      </c>
      <c r="K23" s="4" t="s">
        <v>350</v>
      </c>
      <c r="L23" s="2" t="s">
        <v>377</v>
      </c>
      <c r="M23" s="2" t="s">
        <v>31</v>
      </c>
      <c r="N23" s="4" t="s">
        <v>505</v>
      </c>
      <c r="O23" s="4" t="s">
        <v>173</v>
      </c>
      <c r="P23" s="4" t="s">
        <v>34</v>
      </c>
      <c r="Q23" s="157">
        <v>400</v>
      </c>
      <c r="R23" s="175">
        <v>1</v>
      </c>
      <c r="S23" s="177">
        <v>77890</v>
      </c>
      <c r="U23" s="157">
        <v>311.56</v>
      </c>
      <c r="V23" s="174">
        <v>1.4E-5</v>
      </c>
      <c r="W23" s="174">
        <v>3.7174455337201401E-2</v>
      </c>
      <c r="X23" s="174">
        <v>4.69791479927724E-3</v>
      </c>
    </row>
    <row r="24" spans="1:24">
      <c r="A24" s="4">
        <v>161</v>
      </c>
      <c r="B24" s="4">
        <v>9938</v>
      </c>
      <c r="C24" s="4" t="s">
        <v>1700</v>
      </c>
      <c r="D24" s="4" t="s">
        <v>1701</v>
      </c>
      <c r="E24" s="4" t="s">
        <v>364</v>
      </c>
      <c r="F24" s="4" t="s">
        <v>1702</v>
      </c>
      <c r="G24" s="4" t="s">
        <v>1703</v>
      </c>
      <c r="H24" s="4" t="s">
        <v>223</v>
      </c>
      <c r="I24" s="4" t="s">
        <v>978</v>
      </c>
      <c r="J24" s="4" t="s">
        <v>30</v>
      </c>
      <c r="K24" s="4" t="s">
        <v>30</v>
      </c>
      <c r="L24" s="2" t="s">
        <v>377</v>
      </c>
      <c r="M24" s="2" t="s">
        <v>31</v>
      </c>
      <c r="N24" s="4" t="s">
        <v>501</v>
      </c>
      <c r="O24" s="4" t="s">
        <v>173</v>
      </c>
      <c r="P24" s="4" t="s">
        <v>34</v>
      </c>
      <c r="Q24" s="157">
        <v>8825</v>
      </c>
      <c r="R24" s="175">
        <v>1</v>
      </c>
      <c r="S24" s="177">
        <v>1025</v>
      </c>
      <c r="U24" s="157">
        <v>90.456000000000003</v>
      </c>
      <c r="V24" s="174">
        <v>7.9999999999999996E-6</v>
      </c>
      <c r="W24" s="174">
        <v>1.07929831351769E-2</v>
      </c>
      <c r="X24" s="174">
        <v>1.3639612131278801E-3</v>
      </c>
    </row>
    <row r="25" spans="1:24">
      <c r="A25" s="4">
        <v>161</v>
      </c>
      <c r="B25" s="4">
        <v>9938</v>
      </c>
      <c r="C25" s="4" t="s">
        <v>1704</v>
      </c>
      <c r="D25" s="4" t="s">
        <v>1705</v>
      </c>
      <c r="E25" s="4" t="s">
        <v>1363</v>
      </c>
      <c r="F25" s="4" t="s">
        <v>1706</v>
      </c>
      <c r="G25" s="4" t="s">
        <v>1707</v>
      </c>
      <c r="H25" s="4" t="s">
        <v>223</v>
      </c>
      <c r="I25" s="4" t="s">
        <v>978</v>
      </c>
      <c r="J25" s="4" t="s">
        <v>30</v>
      </c>
      <c r="K25" s="4" t="s">
        <v>91</v>
      </c>
      <c r="L25" s="2" t="s">
        <v>377</v>
      </c>
      <c r="M25" s="2" t="s">
        <v>31</v>
      </c>
      <c r="N25" s="4" t="s">
        <v>528</v>
      </c>
      <c r="O25" s="4" t="s">
        <v>173</v>
      </c>
      <c r="P25" s="4" t="s">
        <v>34</v>
      </c>
      <c r="Q25" s="157">
        <v>508</v>
      </c>
      <c r="R25" s="175">
        <v>1</v>
      </c>
      <c r="S25" s="177">
        <v>64880</v>
      </c>
      <c r="U25" s="157">
        <v>329.59</v>
      </c>
      <c r="V25" s="174">
        <v>7.9999999999999996E-6</v>
      </c>
      <c r="W25" s="174">
        <v>3.9325791514861798E-2</v>
      </c>
      <c r="X25" s="174">
        <v>4.96978950397903E-3</v>
      </c>
    </row>
    <row r="26" spans="1:24">
      <c r="A26" s="4">
        <v>161</v>
      </c>
      <c r="B26" s="4">
        <v>9938</v>
      </c>
      <c r="C26" s="4" t="s">
        <v>1708</v>
      </c>
      <c r="D26" s="4" t="s">
        <v>1709</v>
      </c>
      <c r="E26" s="4" t="s">
        <v>1363</v>
      </c>
      <c r="F26" s="4" t="s">
        <v>1708</v>
      </c>
      <c r="G26" s="4" t="s">
        <v>1710</v>
      </c>
      <c r="H26" s="4" t="s">
        <v>223</v>
      </c>
      <c r="I26" s="4" t="s">
        <v>978</v>
      </c>
      <c r="J26" s="4" t="s">
        <v>30</v>
      </c>
      <c r="K26" s="4" t="s">
        <v>30</v>
      </c>
      <c r="L26" s="2" t="s">
        <v>377</v>
      </c>
      <c r="M26" s="2" t="s">
        <v>31</v>
      </c>
      <c r="N26" s="4" t="s">
        <v>486</v>
      </c>
      <c r="O26" s="4" t="s">
        <v>173</v>
      </c>
      <c r="P26" s="4" t="s">
        <v>34</v>
      </c>
      <c r="Q26" s="157">
        <v>6230</v>
      </c>
      <c r="R26" s="175">
        <v>1</v>
      </c>
      <c r="S26" s="177">
        <v>3950</v>
      </c>
      <c r="U26" s="157">
        <v>246.08500000000001</v>
      </c>
      <c r="V26" s="174">
        <v>7.7999999999999999E-5</v>
      </c>
      <c r="W26" s="174">
        <v>2.9362164082857901E-2</v>
      </c>
      <c r="X26" s="174">
        <v>3.7106379618055598E-3</v>
      </c>
    </row>
    <row r="27" spans="1:24">
      <c r="A27" s="4">
        <v>161</v>
      </c>
      <c r="B27" s="4">
        <v>9938</v>
      </c>
      <c r="C27" s="4" t="s">
        <v>1711</v>
      </c>
      <c r="D27" s="4" t="s">
        <v>1712</v>
      </c>
      <c r="E27" s="4" t="s">
        <v>1363</v>
      </c>
      <c r="F27" s="4" t="s">
        <v>1713</v>
      </c>
      <c r="G27" s="4" t="s">
        <v>1714</v>
      </c>
      <c r="H27" s="4" t="s">
        <v>223</v>
      </c>
      <c r="I27" s="4" t="s">
        <v>978</v>
      </c>
      <c r="J27" s="4" t="s">
        <v>30</v>
      </c>
      <c r="K27" s="4" t="s">
        <v>30</v>
      </c>
      <c r="L27" s="2" t="s">
        <v>377</v>
      </c>
      <c r="M27" s="2" t="s">
        <v>31</v>
      </c>
      <c r="N27" s="4" t="s">
        <v>511</v>
      </c>
      <c r="O27" s="4" t="s">
        <v>173</v>
      </c>
      <c r="P27" s="4" t="s">
        <v>34</v>
      </c>
      <c r="Q27" s="157">
        <v>785</v>
      </c>
      <c r="R27" s="175">
        <v>1</v>
      </c>
      <c r="S27" s="177">
        <v>25940</v>
      </c>
      <c r="U27" s="157">
        <v>203.62899999999999</v>
      </c>
      <c r="V27" s="174">
        <v>6.0000000000000002E-6</v>
      </c>
      <c r="W27" s="174">
        <v>2.42964346060437E-2</v>
      </c>
      <c r="X27" s="174">
        <v>3.0704573522340002E-3</v>
      </c>
    </row>
    <row r="28" spans="1:24">
      <c r="A28" s="4">
        <v>161</v>
      </c>
      <c r="B28" s="4">
        <v>9938</v>
      </c>
      <c r="C28" s="4" t="s">
        <v>1620</v>
      </c>
      <c r="D28" s="4" t="s">
        <v>1621</v>
      </c>
      <c r="E28" s="4" t="s">
        <v>1363</v>
      </c>
      <c r="F28" s="4" t="s">
        <v>1622</v>
      </c>
      <c r="G28" s="4" t="s">
        <v>1623</v>
      </c>
      <c r="H28" s="4" t="s">
        <v>223</v>
      </c>
      <c r="I28" s="4" t="s">
        <v>978</v>
      </c>
      <c r="J28" s="4" t="s">
        <v>30</v>
      </c>
      <c r="K28" s="4" t="s">
        <v>30</v>
      </c>
      <c r="L28" s="2" t="s">
        <v>377</v>
      </c>
      <c r="M28" s="2" t="s">
        <v>31</v>
      </c>
      <c r="N28" s="4" t="s">
        <v>495</v>
      </c>
      <c r="O28" s="4" t="s">
        <v>173</v>
      </c>
      <c r="P28" s="4" t="s">
        <v>34</v>
      </c>
      <c r="Q28" s="157">
        <v>14332</v>
      </c>
      <c r="R28" s="175">
        <v>1</v>
      </c>
      <c r="S28" s="177">
        <v>3729</v>
      </c>
      <c r="U28" s="157">
        <v>534.44000000000005</v>
      </c>
      <c r="V28" s="174">
        <v>1.1E-5</v>
      </c>
      <c r="W28" s="174">
        <v>6.3767898058997893E-2</v>
      </c>
      <c r="X28" s="174">
        <v>8.0586561199829099E-3</v>
      </c>
    </row>
    <row r="29" spans="1:24">
      <c r="A29" s="4">
        <v>161</v>
      </c>
      <c r="B29" s="4">
        <v>9938</v>
      </c>
      <c r="C29" s="4" t="s">
        <v>1715</v>
      </c>
      <c r="D29" s="4" t="s">
        <v>1716</v>
      </c>
      <c r="E29" s="4" t="s">
        <v>1363</v>
      </c>
      <c r="F29" s="4" t="s">
        <v>1717</v>
      </c>
      <c r="G29" s="4" t="s">
        <v>1718</v>
      </c>
      <c r="H29" s="4" t="s">
        <v>223</v>
      </c>
      <c r="I29" s="4" t="s">
        <v>978</v>
      </c>
      <c r="J29" s="4" t="s">
        <v>30</v>
      </c>
      <c r="K29" s="4" t="s">
        <v>30</v>
      </c>
      <c r="L29" s="2" t="s">
        <v>377</v>
      </c>
      <c r="M29" s="2" t="s">
        <v>31</v>
      </c>
      <c r="N29" s="4" t="s">
        <v>523</v>
      </c>
      <c r="O29" s="4" t="s">
        <v>173</v>
      </c>
      <c r="P29" s="4" t="s">
        <v>34</v>
      </c>
      <c r="Q29" s="157">
        <v>471</v>
      </c>
      <c r="R29" s="175">
        <v>1</v>
      </c>
      <c r="S29" s="177">
        <v>28150</v>
      </c>
      <c r="U29" s="157">
        <v>132.58699999999999</v>
      </c>
      <c r="V29" s="174">
        <v>3.4E-5</v>
      </c>
      <c r="W29" s="174">
        <v>1.58198450461094E-2</v>
      </c>
      <c r="X29" s="174">
        <v>1.99922994137364E-3</v>
      </c>
    </row>
    <row r="30" spans="1:24">
      <c r="A30" s="4">
        <v>161</v>
      </c>
      <c r="B30" s="4">
        <v>9938</v>
      </c>
      <c r="C30" s="4" t="s">
        <v>1719</v>
      </c>
      <c r="D30" s="4" t="s">
        <v>1720</v>
      </c>
      <c r="E30" s="4" t="s">
        <v>1363</v>
      </c>
      <c r="F30" s="4" t="s">
        <v>1721</v>
      </c>
      <c r="G30" s="4" t="s">
        <v>1722</v>
      </c>
      <c r="H30" s="4" t="s">
        <v>223</v>
      </c>
      <c r="I30" s="4" t="s">
        <v>978</v>
      </c>
      <c r="J30" s="4" t="s">
        <v>30</v>
      </c>
      <c r="K30" s="4" t="s">
        <v>30</v>
      </c>
      <c r="L30" s="2" t="s">
        <v>377</v>
      </c>
      <c r="M30" s="2" t="s">
        <v>31</v>
      </c>
      <c r="N30" s="4" t="s">
        <v>524</v>
      </c>
      <c r="O30" s="4" t="s">
        <v>173</v>
      </c>
      <c r="P30" s="4" t="s">
        <v>34</v>
      </c>
      <c r="Q30" s="157">
        <v>396</v>
      </c>
      <c r="R30" s="175">
        <v>1</v>
      </c>
      <c r="S30" s="177">
        <v>29830</v>
      </c>
      <c r="U30" s="157">
        <v>118.127</v>
      </c>
      <c r="V30" s="174">
        <v>2.5999999999999998E-5</v>
      </c>
      <c r="W30" s="174">
        <v>1.40945546627504E-2</v>
      </c>
      <c r="X30" s="174">
        <v>1.7811966937709099E-3</v>
      </c>
    </row>
    <row r="31" spans="1:24">
      <c r="A31" s="4">
        <v>161</v>
      </c>
      <c r="B31" s="4">
        <v>9938</v>
      </c>
      <c r="C31" s="4" t="s">
        <v>1723</v>
      </c>
      <c r="D31" s="4" t="s">
        <v>1724</v>
      </c>
      <c r="E31" s="4" t="s">
        <v>1363</v>
      </c>
      <c r="F31" s="4" t="s">
        <v>1725</v>
      </c>
      <c r="G31" s="4" t="s">
        <v>1726</v>
      </c>
      <c r="H31" s="4" t="s">
        <v>223</v>
      </c>
      <c r="I31" s="4" t="s">
        <v>978</v>
      </c>
      <c r="J31" s="4" t="s">
        <v>30</v>
      </c>
      <c r="K31" s="4" t="s">
        <v>350</v>
      </c>
      <c r="L31" s="2" t="s">
        <v>377</v>
      </c>
      <c r="M31" s="2" t="s">
        <v>31</v>
      </c>
      <c r="N31" s="4" t="s">
        <v>505</v>
      </c>
      <c r="O31" s="4" t="s">
        <v>173</v>
      </c>
      <c r="P31" s="4" t="s">
        <v>34</v>
      </c>
      <c r="Q31" s="157">
        <v>1178</v>
      </c>
      <c r="R31" s="175">
        <v>1</v>
      </c>
      <c r="S31" s="177">
        <v>29980</v>
      </c>
      <c r="U31" s="157">
        <v>353.16399999999999</v>
      </c>
      <c r="V31" s="174">
        <v>2.6999999999999999E-5</v>
      </c>
      <c r="W31" s="174">
        <v>4.2138574317914797E-2</v>
      </c>
      <c r="X31" s="174">
        <v>5.3252544015209603E-3</v>
      </c>
    </row>
    <row r="32" spans="1:24">
      <c r="A32" s="4">
        <v>161</v>
      </c>
      <c r="B32" s="4">
        <v>9938</v>
      </c>
      <c r="C32" s="4" t="s">
        <v>1727</v>
      </c>
      <c r="D32" s="4" t="s">
        <v>1728</v>
      </c>
      <c r="E32" s="4" t="s">
        <v>364</v>
      </c>
      <c r="F32" s="4" t="s">
        <v>1729</v>
      </c>
      <c r="G32" s="4" t="s">
        <v>1730</v>
      </c>
      <c r="H32" s="4" t="s">
        <v>223</v>
      </c>
      <c r="I32" s="4" t="s">
        <v>978</v>
      </c>
      <c r="J32" s="4" t="s">
        <v>30</v>
      </c>
      <c r="K32" s="4" t="s">
        <v>30</v>
      </c>
      <c r="L32" s="2" t="s">
        <v>377</v>
      </c>
      <c r="M32" s="2" t="s">
        <v>31</v>
      </c>
      <c r="N32" s="4" t="s">
        <v>501</v>
      </c>
      <c r="O32" s="4" t="s">
        <v>173</v>
      </c>
      <c r="P32" s="4" t="s">
        <v>34</v>
      </c>
      <c r="Q32" s="157">
        <v>13705</v>
      </c>
      <c r="R32" s="175">
        <v>1</v>
      </c>
      <c r="S32" s="177">
        <v>303</v>
      </c>
      <c r="U32" s="157">
        <v>41.526000000000003</v>
      </c>
      <c r="V32" s="174">
        <v>1.2E-5</v>
      </c>
      <c r="W32" s="174">
        <v>4.9547824127003596E-3</v>
      </c>
      <c r="X32" s="174">
        <v>6.26159695217636E-4</v>
      </c>
    </row>
    <row r="33" spans="1:24">
      <c r="A33" s="4">
        <v>161</v>
      </c>
      <c r="B33" s="4">
        <v>9938</v>
      </c>
      <c r="C33" s="4" t="s">
        <v>1731</v>
      </c>
      <c r="D33" s="4" t="s">
        <v>1732</v>
      </c>
      <c r="E33" s="4" t="s">
        <v>220</v>
      </c>
      <c r="F33" s="4" t="s">
        <v>1733</v>
      </c>
      <c r="G33" s="4" t="s">
        <v>1734</v>
      </c>
      <c r="H33" s="4" t="s">
        <v>223</v>
      </c>
      <c r="I33" s="4" t="s">
        <v>978</v>
      </c>
      <c r="J33" s="4" t="s">
        <v>90</v>
      </c>
      <c r="K33" s="4" t="s">
        <v>343</v>
      </c>
      <c r="L33" s="2" t="s">
        <v>377</v>
      </c>
      <c r="M33" s="2" t="s">
        <v>396</v>
      </c>
      <c r="N33" s="4" t="s">
        <v>596</v>
      </c>
      <c r="O33" s="4" t="s">
        <v>173</v>
      </c>
      <c r="P33" s="4" t="s">
        <v>95</v>
      </c>
      <c r="Q33" s="157">
        <v>240</v>
      </c>
      <c r="R33" s="175">
        <v>3.71</v>
      </c>
      <c r="S33" s="177">
        <v>16408</v>
      </c>
      <c r="U33" s="157">
        <v>146.09700000000001</v>
      </c>
      <c r="V33" s="174">
        <v>0</v>
      </c>
      <c r="W33" s="174">
        <v>1.74318595329651E-2</v>
      </c>
      <c r="X33" s="174">
        <v>2.2029479688673798E-3</v>
      </c>
    </row>
    <row r="34" spans="1:24">
      <c r="A34" s="4">
        <v>161</v>
      </c>
      <c r="B34" s="4">
        <v>9938</v>
      </c>
      <c r="C34" s="4" t="s">
        <v>1735</v>
      </c>
      <c r="D34" s="4" t="s">
        <v>1736</v>
      </c>
      <c r="E34" s="4" t="s">
        <v>220</v>
      </c>
      <c r="F34" s="4" t="s">
        <v>1737</v>
      </c>
      <c r="G34" s="4" t="s">
        <v>1738</v>
      </c>
      <c r="H34" s="4" t="s">
        <v>223</v>
      </c>
      <c r="I34" s="4" t="s">
        <v>978</v>
      </c>
      <c r="J34" s="4" t="s">
        <v>90</v>
      </c>
      <c r="K34" s="4" t="s">
        <v>91</v>
      </c>
      <c r="L34" s="2" t="s">
        <v>377</v>
      </c>
      <c r="M34" s="2" t="s">
        <v>396</v>
      </c>
      <c r="N34" s="4" t="s">
        <v>597</v>
      </c>
      <c r="O34" s="4" t="s">
        <v>173</v>
      </c>
      <c r="P34" s="4" t="s">
        <v>95</v>
      </c>
      <c r="Q34" s="157">
        <v>457</v>
      </c>
      <c r="R34" s="175">
        <v>3.71</v>
      </c>
      <c r="S34" s="177">
        <v>16719</v>
      </c>
      <c r="U34" s="157">
        <v>283.46600000000001</v>
      </c>
      <c r="V34" s="174">
        <v>0</v>
      </c>
      <c r="W34" s="174">
        <v>3.3822314726038402E-2</v>
      </c>
      <c r="X34" s="174">
        <v>4.2742886602096103E-3</v>
      </c>
    </row>
    <row r="35" spans="1:24">
      <c r="A35" s="4">
        <v>161</v>
      </c>
      <c r="B35" s="4">
        <v>9938</v>
      </c>
      <c r="C35" s="4" t="s">
        <v>1739</v>
      </c>
      <c r="D35" s="4" t="s">
        <v>1740</v>
      </c>
      <c r="E35" s="4" t="s">
        <v>220</v>
      </c>
      <c r="F35" s="4" t="s">
        <v>1741</v>
      </c>
      <c r="G35" s="4" t="s">
        <v>1742</v>
      </c>
      <c r="H35" s="4" t="s">
        <v>223</v>
      </c>
      <c r="I35" s="4" t="s">
        <v>978</v>
      </c>
      <c r="J35" s="4" t="s">
        <v>90</v>
      </c>
      <c r="K35" s="4" t="s">
        <v>91</v>
      </c>
      <c r="L35" s="2" t="s">
        <v>377</v>
      </c>
      <c r="M35" s="2" t="s">
        <v>396</v>
      </c>
      <c r="N35" s="4" t="s">
        <v>548</v>
      </c>
      <c r="O35" s="4" t="s">
        <v>173</v>
      </c>
      <c r="P35" s="4" t="s">
        <v>95</v>
      </c>
      <c r="Q35" s="157">
        <v>300</v>
      </c>
      <c r="R35" s="175">
        <v>3.71</v>
      </c>
      <c r="S35" s="177">
        <v>18633</v>
      </c>
      <c r="U35" s="157">
        <v>207.38499999999999</v>
      </c>
      <c r="V35" s="174">
        <v>0</v>
      </c>
      <c r="W35" s="174">
        <v>2.4744624472645901E-2</v>
      </c>
      <c r="X35" s="174">
        <v>3.1270972623039001E-3</v>
      </c>
    </row>
    <row r="36" spans="1:24">
      <c r="A36" s="4">
        <v>161</v>
      </c>
      <c r="B36" s="4">
        <v>9938</v>
      </c>
      <c r="C36" s="4" t="s">
        <v>1743</v>
      </c>
      <c r="D36" s="4" t="s">
        <v>1744</v>
      </c>
      <c r="E36" s="4" t="s">
        <v>220</v>
      </c>
      <c r="F36" s="4" t="s">
        <v>1745</v>
      </c>
      <c r="G36" s="4" t="s">
        <v>1746</v>
      </c>
      <c r="H36" s="4" t="s">
        <v>223</v>
      </c>
      <c r="I36" s="4" t="s">
        <v>978</v>
      </c>
      <c r="J36" s="4" t="s">
        <v>90</v>
      </c>
      <c r="K36" s="4" t="s">
        <v>91</v>
      </c>
      <c r="L36" s="2" t="s">
        <v>377</v>
      </c>
      <c r="M36" s="2" t="s">
        <v>396</v>
      </c>
      <c r="N36" s="4" t="s">
        <v>596</v>
      </c>
      <c r="O36" s="4" t="s">
        <v>173</v>
      </c>
      <c r="P36" s="4" t="s">
        <v>95</v>
      </c>
      <c r="Q36" s="157">
        <v>43</v>
      </c>
      <c r="R36" s="175">
        <v>3.71</v>
      </c>
      <c r="S36" s="177">
        <v>83325</v>
      </c>
      <c r="U36" s="157">
        <v>132.928</v>
      </c>
      <c r="V36" s="174">
        <v>0</v>
      </c>
      <c r="W36" s="174">
        <v>1.5860636302953299E-2</v>
      </c>
      <c r="X36" s="174">
        <v>2.0043849287828602E-3</v>
      </c>
    </row>
    <row r="37" spans="1:24">
      <c r="A37" s="4">
        <v>161</v>
      </c>
      <c r="B37" s="4">
        <v>9938</v>
      </c>
      <c r="C37" s="4" t="s">
        <v>1747</v>
      </c>
      <c r="D37" s="4" t="s">
        <v>1748</v>
      </c>
      <c r="E37" s="4" t="s">
        <v>220</v>
      </c>
      <c r="F37" s="4" t="s">
        <v>1749</v>
      </c>
      <c r="G37" s="4" t="s">
        <v>1750</v>
      </c>
      <c r="H37" s="4" t="s">
        <v>223</v>
      </c>
      <c r="I37" s="4" t="s">
        <v>978</v>
      </c>
      <c r="J37" s="4" t="s">
        <v>90</v>
      </c>
      <c r="K37" s="4" t="s">
        <v>91</v>
      </c>
      <c r="L37" s="2" t="s">
        <v>377</v>
      </c>
      <c r="M37" s="2" t="s">
        <v>396</v>
      </c>
      <c r="N37" s="4" t="s">
        <v>596</v>
      </c>
      <c r="O37" s="4" t="s">
        <v>173</v>
      </c>
      <c r="P37" s="4" t="s">
        <v>95</v>
      </c>
      <c r="Q37" s="157">
        <v>200</v>
      </c>
      <c r="R37" s="175">
        <v>3.71</v>
      </c>
      <c r="S37" s="177">
        <v>17250</v>
      </c>
      <c r="T37" s="156">
        <v>0.106</v>
      </c>
      <c r="U37" s="157">
        <v>128.38800000000001</v>
      </c>
      <c r="V37" s="174">
        <v>0</v>
      </c>
      <c r="W37" s="174">
        <v>1.53189229592727E-2</v>
      </c>
      <c r="X37" s="174">
        <v>1.9359260068925899E-3</v>
      </c>
    </row>
    <row r="38" spans="1:24">
      <c r="A38" s="4">
        <v>161</v>
      </c>
      <c r="B38" s="4">
        <v>9938</v>
      </c>
      <c r="C38" s="4" t="s">
        <v>1751</v>
      </c>
      <c r="D38" s="4" t="s">
        <v>1752</v>
      </c>
      <c r="E38" s="4" t="s">
        <v>220</v>
      </c>
      <c r="F38" s="4" t="s">
        <v>1753</v>
      </c>
      <c r="G38" s="4" t="s">
        <v>1754</v>
      </c>
      <c r="H38" s="4" t="s">
        <v>223</v>
      </c>
      <c r="I38" s="4" t="s">
        <v>978</v>
      </c>
      <c r="J38" s="4" t="s">
        <v>90</v>
      </c>
      <c r="K38" s="4" t="s">
        <v>91</v>
      </c>
      <c r="L38" s="2" t="s">
        <v>377</v>
      </c>
      <c r="M38" s="2" t="s">
        <v>394</v>
      </c>
      <c r="N38" s="4" t="s">
        <v>584</v>
      </c>
      <c r="O38" s="4" t="s">
        <v>173</v>
      </c>
      <c r="P38" s="4" t="s">
        <v>95</v>
      </c>
      <c r="Q38" s="157">
        <v>104</v>
      </c>
      <c r="R38" s="175">
        <v>3.71</v>
      </c>
      <c r="S38" s="177">
        <v>21086</v>
      </c>
      <c r="U38" s="157">
        <v>81.358000000000004</v>
      </c>
      <c r="V38" s="174">
        <v>0</v>
      </c>
      <c r="W38" s="174">
        <v>9.7074322920878593E-3</v>
      </c>
      <c r="X38" s="174">
        <v>1.22677492956686E-3</v>
      </c>
    </row>
    <row r="39" spans="1:24">
      <c r="A39" s="4">
        <v>161</v>
      </c>
      <c r="B39" s="4">
        <v>9938</v>
      </c>
      <c r="C39" s="4" t="s">
        <v>1755</v>
      </c>
      <c r="D39" s="4" t="s">
        <v>1756</v>
      </c>
      <c r="E39" s="4" t="s">
        <v>220</v>
      </c>
      <c r="F39" s="4" t="s">
        <v>1757</v>
      </c>
      <c r="G39" s="4" t="s">
        <v>1758</v>
      </c>
      <c r="H39" s="4" t="s">
        <v>223</v>
      </c>
      <c r="I39" s="4" t="s">
        <v>978</v>
      </c>
      <c r="J39" s="4" t="s">
        <v>90</v>
      </c>
      <c r="K39" s="4" t="s">
        <v>91</v>
      </c>
      <c r="L39" s="2" t="s">
        <v>377</v>
      </c>
      <c r="M39" s="2" t="s">
        <v>394</v>
      </c>
      <c r="N39" s="4" t="s">
        <v>1759</v>
      </c>
      <c r="O39" s="4" t="s">
        <v>173</v>
      </c>
      <c r="P39" s="4" t="s">
        <v>95</v>
      </c>
      <c r="Q39" s="157">
        <v>75</v>
      </c>
      <c r="R39" s="175">
        <v>3.71</v>
      </c>
      <c r="S39" s="177">
        <v>49380</v>
      </c>
      <c r="U39" s="157">
        <v>137.4</v>
      </c>
      <c r="V39" s="174">
        <v>0</v>
      </c>
      <c r="W39" s="174">
        <v>1.6394160313144099E-2</v>
      </c>
      <c r="X39" s="174">
        <v>2.0718089251940998E-3</v>
      </c>
    </row>
    <row r="40" spans="1:24">
      <c r="A40" s="4">
        <v>161</v>
      </c>
      <c r="B40" s="4">
        <v>9938</v>
      </c>
      <c r="C40" s="4" t="s">
        <v>1760</v>
      </c>
      <c r="D40" s="4" t="s">
        <v>1761</v>
      </c>
      <c r="E40" s="4" t="s">
        <v>220</v>
      </c>
      <c r="F40" s="4" t="s">
        <v>1762</v>
      </c>
      <c r="G40" s="4" t="s">
        <v>1763</v>
      </c>
      <c r="H40" s="4" t="s">
        <v>223</v>
      </c>
      <c r="I40" s="4" t="s">
        <v>978</v>
      </c>
      <c r="J40" s="4" t="s">
        <v>90</v>
      </c>
      <c r="K40" s="4" t="s">
        <v>91</v>
      </c>
      <c r="L40" s="2" t="s">
        <v>377</v>
      </c>
      <c r="M40" s="2" t="s">
        <v>396</v>
      </c>
      <c r="N40" s="4" t="s">
        <v>592</v>
      </c>
      <c r="O40" s="4" t="s">
        <v>173</v>
      </c>
      <c r="P40" s="4" t="s">
        <v>95</v>
      </c>
      <c r="Q40" s="157">
        <v>113</v>
      </c>
      <c r="R40" s="175">
        <v>3.71</v>
      </c>
      <c r="S40" s="177">
        <v>43030</v>
      </c>
      <c r="U40" s="157">
        <v>180.39500000000001</v>
      </c>
      <c r="V40" s="174">
        <v>0</v>
      </c>
      <c r="W40" s="174">
        <v>2.15241801444657E-2</v>
      </c>
      <c r="X40" s="174">
        <v>2.7201142162210199E-3</v>
      </c>
    </row>
    <row r="41" spans="1:24">
      <c r="A41" s="4">
        <v>161</v>
      </c>
      <c r="B41" s="4">
        <v>9938</v>
      </c>
      <c r="C41" s="4" t="s">
        <v>1704</v>
      </c>
      <c r="D41" s="4" t="s">
        <v>1705</v>
      </c>
      <c r="E41" s="4" t="s">
        <v>1363</v>
      </c>
      <c r="F41" s="4" t="s">
        <v>1764</v>
      </c>
      <c r="G41" s="4" t="s">
        <v>1765</v>
      </c>
      <c r="H41" s="4" t="s">
        <v>223</v>
      </c>
      <c r="I41" s="4" t="s">
        <v>978</v>
      </c>
      <c r="J41" s="4" t="s">
        <v>90</v>
      </c>
      <c r="K41" s="4" t="s">
        <v>91</v>
      </c>
      <c r="L41" s="2" t="s">
        <v>377</v>
      </c>
      <c r="M41" s="2" t="s">
        <v>396</v>
      </c>
      <c r="N41" s="4" t="s">
        <v>528</v>
      </c>
      <c r="O41" s="4" t="s">
        <v>173</v>
      </c>
      <c r="P41" s="4" t="s">
        <v>95</v>
      </c>
      <c r="Q41" s="157">
        <v>136</v>
      </c>
      <c r="R41" s="175">
        <v>3.71</v>
      </c>
      <c r="S41" s="177">
        <v>17367</v>
      </c>
      <c r="U41" s="157">
        <v>87.626999999999995</v>
      </c>
      <c r="V41" s="174">
        <v>1.9999999999999999E-6</v>
      </c>
      <c r="W41" s="174">
        <v>1.0455397319708E-2</v>
      </c>
      <c r="X41" s="174">
        <v>1.32129886921103E-3</v>
      </c>
    </row>
    <row r="42" spans="1:24">
      <c r="A42" s="4">
        <v>161</v>
      </c>
      <c r="B42" s="4">
        <v>9938</v>
      </c>
      <c r="C42" s="4" t="s">
        <v>1766</v>
      </c>
      <c r="D42" s="4" t="s">
        <v>1767</v>
      </c>
      <c r="E42" s="4" t="s">
        <v>220</v>
      </c>
      <c r="F42" s="4" t="s">
        <v>1768</v>
      </c>
      <c r="G42" s="4" t="s">
        <v>1769</v>
      </c>
      <c r="H42" s="4" t="s">
        <v>223</v>
      </c>
      <c r="I42" s="4" t="s">
        <v>978</v>
      </c>
      <c r="J42" s="4" t="s">
        <v>90</v>
      </c>
      <c r="K42" s="4" t="s">
        <v>91</v>
      </c>
      <c r="L42" s="2" t="s">
        <v>377</v>
      </c>
      <c r="M42" s="2" t="s">
        <v>396</v>
      </c>
      <c r="N42" s="4" t="s">
        <v>596</v>
      </c>
      <c r="O42" s="4" t="s">
        <v>173</v>
      </c>
      <c r="P42" s="4" t="s">
        <v>95</v>
      </c>
      <c r="Q42" s="157">
        <v>450</v>
      </c>
      <c r="R42" s="175">
        <v>3.71</v>
      </c>
      <c r="S42" s="177">
        <v>12144</v>
      </c>
      <c r="T42" s="156">
        <v>3.0000000000000001E-3</v>
      </c>
      <c r="U42" s="157">
        <v>202.75399999999999</v>
      </c>
      <c r="V42" s="174">
        <v>0</v>
      </c>
      <c r="W42" s="174">
        <v>2.41920392354243E-2</v>
      </c>
      <c r="X42" s="174">
        <v>3.0572644069128099E-3</v>
      </c>
    </row>
    <row r="43" spans="1:24">
      <c r="A43" s="4">
        <v>161</v>
      </c>
      <c r="B43" s="4">
        <v>9938</v>
      </c>
      <c r="C43" s="4" t="s">
        <v>1624</v>
      </c>
      <c r="D43" s="4" t="s">
        <v>1625</v>
      </c>
      <c r="E43" s="4" t="s">
        <v>365</v>
      </c>
      <c r="F43" s="4" t="s">
        <v>1770</v>
      </c>
      <c r="G43" s="4" t="s">
        <v>1627</v>
      </c>
      <c r="H43" s="4" t="s">
        <v>223</v>
      </c>
      <c r="I43" s="4" t="s">
        <v>978</v>
      </c>
      <c r="J43" s="4" t="s">
        <v>90</v>
      </c>
      <c r="K43" s="4" t="s">
        <v>91</v>
      </c>
      <c r="L43" s="2" t="s">
        <v>377</v>
      </c>
      <c r="M43" s="2" t="s">
        <v>394</v>
      </c>
      <c r="N43" s="4" t="s">
        <v>605</v>
      </c>
      <c r="O43" s="4" t="s">
        <v>173</v>
      </c>
      <c r="P43" s="4" t="s">
        <v>95</v>
      </c>
      <c r="Q43" s="157">
        <v>170</v>
      </c>
      <c r="R43" s="175">
        <v>3.71</v>
      </c>
      <c r="S43" s="177">
        <v>7694</v>
      </c>
      <c r="U43" s="157">
        <v>48.526000000000003</v>
      </c>
      <c r="V43" s="174">
        <v>3.0000000000000001E-6</v>
      </c>
      <c r="W43" s="174">
        <v>5.7899915772610198E-3</v>
      </c>
      <c r="X43" s="174">
        <v>7.3170909625364599E-4</v>
      </c>
    </row>
    <row r="44" spans="1:24">
      <c r="A44" s="4">
        <v>161</v>
      </c>
      <c r="B44" s="4">
        <v>9942</v>
      </c>
      <c r="C44" s="4" t="s">
        <v>1624</v>
      </c>
      <c r="D44" s="4" t="s">
        <v>1625</v>
      </c>
      <c r="E44" s="4" t="s">
        <v>365</v>
      </c>
      <c r="F44" s="4" t="s">
        <v>1626</v>
      </c>
      <c r="G44" s="4" t="s">
        <v>1627</v>
      </c>
      <c r="H44" s="4" t="s">
        <v>223</v>
      </c>
      <c r="I44" s="4" t="s">
        <v>978</v>
      </c>
      <c r="J44" s="4" t="s">
        <v>30</v>
      </c>
      <c r="K44" s="4" t="s">
        <v>91</v>
      </c>
      <c r="L44" s="2" t="s">
        <v>377</v>
      </c>
      <c r="M44" s="2" t="s">
        <v>31</v>
      </c>
      <c r="N44" s="4" t="s">
        <v>488</v>
      </c>
      <c r="O44" s="4" t="s">
        <v>173</v>
      </c>
      <c r="P44" s="4" t="s">
        <v>34</v>
      </c>
      <c r="Q44" s="157">
        <v>113</v>
      </c>
      <c r="R44" s="175">
        <v>1</v>
      </c>
      <c r="S44" s="177">
        <v>28560</v>
      </c>
      <c r="U44" s="157">
        <v>32.273000000000003</v>
      </c>
      <c r="V44" s="174">
        <v>1.9999999999999999E-6</v>
      </c>
      <c r="W44" s="174">
        <v>4.2609149029476804E-3</v>
      </c>
      <c r="X44" s="174">
        <v>3.52121127786785E-4</v>
      </c>
    </row>
    <row r="45" spans="1:24">
      <c r="A45" s="4">
        <v>161</v>
      </c>
      <c r="B45" s="4">
        <v>9942</v>
      </c>
      <c r="C45" s="4" t="s">
        <v>1628</v>
      </c>
      <c r="D45" s="4" t="s">
        <v>1629</v>
      </c>
      <c r="E45" s="4" t="s">
        <v>1363</v>
      </c>
      <c r="F45" s="4" t="s">
        <v>1630</v>
      </c>
      <c r="G45" s="4" t="s">
        <v>1631</v>
      </c>
      <c r="H45" s="4" t="s">
        <v>223</v>
      </c>
      <c r="I45" s="4" t="s">
        <v>978</v>
      </c>
      <c r="J45" s="4" t="s">
        <v>30</v>
      </c>
      <c r="K45" s="4" t="s">
        <v>30</v>
      </c>
      <c r="L45" s="2" t="s">
        <v>377</v>
      </c>
      <c r="M45" s="2" t="s">
        <v>31</v>
      </c>
      <c r="N45" s="4" t="s">
        <v>493</v>
      </c>
      <c r="O45" s="4" t="s">
        <v>173</v>
      </c>
      <c r="P45" s="4" t="s">
        <v>34</v>
      </c>
      <c r="Q45" s="157">
        <v>196</v>
      </c>
      <c r="R45" s="175">
        <v>1</v>
      </c>
      <c r="S45" s="177">
        <v>74080</v>
      </c>
      <c r="U45" s="157">
        <v>145.197</v>
      </c>
      <c r="V45" s="174">
        <v>3.9999999999999998E-6</v>
      </c>
      <c r="W45" s="174">
        <v>1.9170050599276001E-2</v>
      </c>
      <c r="X45" s="174">
        <v>1.58420902329616E-3</v>
      </c>
    </row>
    <row r="46" spans="1:24">
      <c r="A46" s="4">
        <v>161</v>
      </c>
      <c r="B46" s="4">
        <v>9942</v>
      </c>
      <c r="C46" s="4" t="s">
        <v>1632</v>
      </c>
      <c r="D46" s="4" t="s">
        <v>1633</v>
      </c>
      <c r="E46" s="4" t="s">
        <v>1363</v>
      </c>
      <c r="F46" s="4" t="s">
        <v>1634</v>
      </c>
      <c r="G46" s="4" t="s">
        <v>1635</v>
      </c>
      <c r="H46" s="4" t="s">
        <v>223</v>
      </c>
      <c r="I46" s="4" t="s">
        <v>978</v>
      </c>
      <c r="J46" s="4" t="s">
        <v>30</v>
      </c>
      <c r="K46" s="4" t="s">
        <v>30</v>
      </c>
      <c r="L46" s="2" t="s">
        <v>377</v>
      </c>
      <c r="M46" s="2" t="s">
        <v>31</v>
      </c>
      <c r="N46" s="4" t="s">
        <v>511</v>
      </c>
      <c r="O46" s="4" t="s">
        <v>173</v>
      </c>
      <c r="P46" s="4" t="s">
        <v>34</v>
      </c>
      <c r="Q46" s="157">
        <v>8000</v>
      </c>
      <c r="R46" s="175">
        <v>1</v>
      </c>
      <c r="S46" s="177">
        <v>2855</v>
      </c>
      <c r="U46" s="157">
        <v>228.4</v>
      </c>
      <c r="V46" s="174">
        <v>4.1E-5</v>
      </c>
      <c r="W46" s="174">
        <v>3.01552069802822E-2</v>
      </c>
      <c r="X46" s="174">
        <v>2.4920200784097298E-3</v>
      </c>
    </row>
    <row r="47" spans="1:24">
      <c r="A47" s="4">
        <v>161</v>
      </c>
      <c r="B47" s="4">
        <v>9942</v>
      </c>
      <c r="C47" s="4" t="s">
        <v>1636</v>
      </c>
      <c r="D47" s="4" t="s">
        <v>1637</v>
      </c>
      <c r="E47" s="4" t="s">
        <v>1363</v>
      </c>
      <c r="F47" s="4" t="s">
        <v>1638</v>
      </c>
      <c r="G47" s="4" t="s">
        <v>1639</v>
      </c>
      <c r="H47" s="4" t="s">
        <v>223</v>
      </c>
      <c r="I47" s="4" t="s">
        <v>978</v>
      </c>
      <c r="J47" s="4" t="s">
        <v>30</v>
      </c>
      <c r="K47" s="4" t="s">
        <v>30</v>
      </c>
      <c r="L47" s="2" t="s">
        <v>377</v>
      </c>
      <c r="M47" s="2" t="s">
        <v>31</v>
      </c>
      <c r="N47" s="4" t="s">
        <v>511</v>
      </c>
      <c r="O47" s="4" t="s">
        <v>173</v>
      </c>
      <c r="P47" s="4" t="s">
        <v>34</v>
      </c>
      <c r="Q47" s="157">
        <v>5550</v>
      </c>
      <c r="R47" s="175">
        <v>1</v>
      </c>
      <c r="S47" s="177">
        <v>1609</v>
      </c>
      <c r="U47" s="157">
        <v>89.299000000000007</v>
      </c>
      <c r="V47" s="174">
        <v>1.2E-5</v>
      </c>
      <c r="W47" s="174">
        <v>1.1790038991837601E-2</v>
      </c>
      <c r="X47" s="174">
        <v>9.7432638788069097E-4</v>
      </c>
    </row>
    <row r="48" spans="1:24">
      <c r="A48" s="4">
        <v>161</v>
      </c>
      <c r="B48" s="4">
        <v>9942</v>
      </c>
      <c r="C48" s="4" t="s">
        <v>1640</v>
      </c>
      <c r="D48" s="4" t="s">
        <v>1641</v>
      </c>
      <c r="E48" s="4" t="s">
        <v>1363</v>
      </c>
      <c r="F48" s="4" t="s">
        <v>1642</v>
      </c>
      <c r="G48" s="4" t="s">
        <v>1643</v>
      </c>
      <c r="H48" s="4" t="s">
        <v>223</v>
      </c>
      <c r="I48" s="4" t="s">
        <v>978</v>
      </c>
      <c r="J48" s="4" t="s">
        <v>30</v>
      </c>
      <c r="K48" s="4" t="s">
        <v>91</v>
      </c>
      <c r="L48" s="2" t="s">
        <v>377</v>
      </c>
      <c r="M48" s="2" t="s">
        <v>31</v>
      </c>
      <c r="N48" s="4" t="s">
        <v>488</v>
      </c>
      <c r="O48" s="4" t="s">
        <v>173</v>
      </c>
      <c r="P48" s="4" t="s">
        <v>34</v>
      </c>
      <c r="Q48" s="157">
        <v>2995.7</v>
      </c>
      <c r="R48" s="175">
        <v>1</v>
      </c>
      <c r="S48" s="177">
        <v>6254</v>
      </c>
      <c r="U48" s="157">
        <v>187.351</v>
      </c>
      <c r="V48" s="174">
        <v>2.5000000000000001E-5</v>
      </c>
      <c r="W48" s="174">
        <v>2.4735597789268801E-2</v>
      </c>
      <c r="X48" s="174">
        <v>2.0441446939041502E-3</v>
      </c>
    </row>
    <row r="49" spans="1:24">
      <c r="A49" s="4">
        <v>161</v>
      </c>
      <c r="B49" s="4">
        <v>9942</v>
      </c>
      <c r="C49" s="4" t="s">
        <v>1644</v>
      </c>
      <c r="D49" s="4" t="s">
        <v>1645</v>
      </c>
      <c r="E49" s="4" t="s">
        <v>1363</v>
      </c>
      <c r="F49" s="4" t="s">
        <v>1646</v>
      </c>
      <c r="G49" s="4" t="s">
        <v>1647</v>
      </c>
      <c r="H49" s="4" t="s">
        <v>223</v>
      </c>
      <c r="I49" s="4" t="s">
        <v>978</v>
      </c>
      <c r="J49" s="4" t="s">
        <v>30</v>
      </c>
      <c r="K49" s="4" t="s">
        <v>30</v>
      </c>
      <c r="L49" s="2" t="s">
        <v>377</v>
      </c>
      <c r="M49" s="2" t="s">
        <v>31</v>
      </c>
      <c r="N49" s="4" t="s">
        <v>488</v>
      </c>
      <c r="O49" s="4" t="s">
        <v>173</v>
      </c>
      <c r="P49" s="4" t="s">
        <v>34</v>
      </c>
      <c r="Q49" s="157">
        <v>17957</v>
      </c>
      <c r="R49" s="175">
        <v>1</v>
      </c>
      <c r="S49" s="177">
        <v>1348</v>
      </c>
      <c r="U49" s="157">
        <v>242.06</v>
      </c>
      <c r="V49" s="174">
        <v>3.3000000000000003E-5</v>
      </c>
      <c r="W49" s="174">
        <v>3.19587576949283E-2</v>
      </c>
      <c r="X49" s="174">
        <v>2.6410651370713102E-3</v>
      </c>
    </row>
    <row r="50" spans="1:24">
      <c r="A50" s="4">
        <v>161</v>
      </c>
      <c r="B50" s="4">
        <v>9942</v>
      </c>
      <c r="C50" s="4" t="s">
        <v>1648</v>
      </c>
      <c r="D50" s="4" t="s">
        <v>1649</v>
      </c>
      <c r="E50" s="4" t="s">
        <v>1363</v>
      </c>
      <c r="F50" s="4" t="s">
        <v>1650</v>
      </c>
      <c r="G50" s="4" t="s">
        <v>1651</v>
      </c>
      <c r="H50" s="4" t="s">
        <v>223</v>
      </c>
      <c r="I50" s="4" t="s">
        <v>978</v>
      </c>
      <c r="J50" s="4" t="s">
        <v>30</v>
      </c>
      <c r="K50" s="4" t="s">
        <v>30</v>
      </c>
      <c r="L50" s="2" t="s">
        <v>377</v>
      </c>
      <c r="M50" s="2" t="s">
        <v>31</v>
      </c>
      <c r="N50" s="4" t="s">
        <v>494</v>
      </c>
      <c r="O50" s="4" t="s">
        <v>173</v>
      </c>
      <c r="P50" s="4" t="s">
        <v>34</v>
      </c>
      <c r="Q50" s="157">
        <v>187</v>
      </c>
      <c r="R50" s="175">
        <v>1</v>
      </c>
      <c r="S50" s="177">
        <v>24250</v>
      </c>
      <c r="U50" s="157">
        <v>45.347000000000001</v>
      </c>
      <c r="V50" s="174">
        <v>1.5E-5</v>
      </c>
      <c r="W50" s="174">
        <v>5.98714206890694E-3</v>
      </c>
      <c r="X50" s="174">
        <v>4.9477618435063604E-4</v>
      </c>
    </row>
    <row r="51" spans="1:24">
      <c r="A51" s="4">
        <v>161</v>
      </c>
      <c r="B51" s="4">
        <v>9942</v>
      </c>
      <c r="C51" s="4" t="s">
        <v>1652</v>
      </c>
      <c r="D51" s="4" t="s">
        <v>1653</v>
      </c>
      <c r="E51" s="4" t="s">
        <v>1363</v>
      </c>
      <c r="F51" s="4" t="s">
        <v>1654</v>
      </c>
      <c r="G51" s="4" t="s">
        <v>1655</v>
      </c>
      <c r="H51" s="4" t="s">
        <v>223</v>
      </c>
      <c r="I51" s="4" t="s">
        <v>978</v>
      </c>
      <c r="J51" s="4" t="s">
        <v>30</v>
      </c>
      <c r="K51" s="4" t="s">
        <v>30</v>
      </c>
      <c r="L51" s="2" t="s">
        <v>377</v>
      </c>
      <c r="M51" s="2" t="s">
        <v>31</v>
      </c>
      <c r="N51" s="4" t="s">
        <v>532</v>
      </c>
      <c r="O51" s="4" t="s">
        <v>173</v>
      </c>
      <c r="P51" s="4" t="s">
        <v>34</v>
      </c>
      <c r="Q51" s="157">
        <v>55646</v>
      </c>
      <c r="R51" s="175">
        <v>1</v>
      </c>
      <c r="S51" s="177">
        <v>428.6</v>
      </c>
      <c r="T51" s="156">
        <v>8.1739999999999995</v>
      </c>
      <c r="U51" s="157">
        <v>246.672</v>
      </c>
      <c r="V51" s="174">
        <v>2.0000000000000002E-5</v>
      </c>
      <c r="W51" s="174">
        <v>3.2567671860971599E-2</v>
      </c>
      <c r="X51" s="174">
        <v>2.69138567802467E-3</v>
      </c>
    </row>
    <row r="52" spans="1:24">
      <c r="A52" s="4">
        <v>161</v>
      </c>
      <c r="B52" s="4">
        <v>9942</v>
      </c>
      <c r="C52" s="4" t="s">
        <v>1656</v>
      </c>
      <c r="D52" s="4" t="s">
        <v>1657</v>
      </c>
      <c r="E52" s="4" t="s">
        <v>1363</v>
      </c>
      <c r="F52" s="4" t="s">
        <v>1658</v>
      </c>
      <c r="G52" s="4" t="s">
        <v>1659</v>
      </c>
      <c r="H52" s="4" t="s">
        <v>223</v>
      </c>
      <c r="I52" s="4" t="s">
        <v>978</v>
      </c>
      <c r="J52" s="4" t="s">
        <v>30</v>
      </c>
      <c r="K52" s="4" t="s">
        <v>30</v>
      </c>
      <c r="L52" s="2" t="s">
        <v>377</v>
      </c>
      <c r="M52" s="2" t="s">
        <v>31</v>
      </c>
      <c r="N52" s="4" t="s">
        <v>495</v>
      </c>
      <c r="O52" s="4" t="s">
        <v>173</v>
      </c>
      <c r="P52" s="4" t="s">
        <v>34</v>
      </c>
      <c r="Q52" s="157">
        <v>832</v>
      </c>
      <c r="R52" s="175">
        <v>1</v>
      </c>
      <c r="S52" s="177">
        <v>15410</v>
      </c>
      <c r="U52" s="157">
        <v>128.21100000000001</v>
      </c>
      <c r="V52" s="174">
        <v>7.9999999999999996E-6</v>
      </c>
      <c r="W52" s="174">
        <v>1.6927474926402598E-2</v>
      </c>
      <c r="X52" s="174">
        <v>1.3988830327364499E-3</v>
      </c>
    </row>
    <row r="53" spans="1:24">
      <c r="A53" s="4">
        <v>161</v>
      </c>
      <c r="B53" s="4">
        <v>9942</v>
      </c>
      <c r="C53" s="4" t="s">
        <v>1660</v>
      </c>
      <c r="D53" s="4" t="s">
        <v>1661</v>
      </c>
      <c r="E53" s="4" t="s">
        <v>1363</v>
      </c>
      <c r="F53" s="4" t="s">
        <v>1662</v>
      </c>
      <c r="G53" s="4" t="s">
        <v>1663</v>
      </c>
      <c r="H53" s="4" t="s">
        <v>223</v>
      </c>
      <c r="I53" s="4" t="s">
        <v>978</v>
      </c>
      <c r="J53" s="4" t="s">
        <v>30</v>
      </c>
      <c r="K53" s="4" t="s">
        <v>30</v>
      </c>
      <c r="L53" s="2" t="s">
        <v>377</v>
      </c>
      <c r="M53" s="2" t="s">
        <v>31</v>
      </c>
      <c r="N53" s="4" t="s">
        <v>495</v>
      </c>
      <c r="O53" s="4" t="s">
        <v>173</v>
      </c>
      <c r="P53" s="4" t="s">
        <v>34</v>
      </c>
      <c r="Q53" s="157">
        <v>14720</v>
      </c>
      <c r="R53" s="175">
        <v>1</v>
      </c>
      <c r="S53" s="177">
        <v>2085</v>
      </c>
      <c r="U53" s="157">
        <v>306.91199999999998</v>
      </c>
      <c r="V53" s="174">
        <v>1.2E-5</v>
      </c>
      <c r="W53" s="174">
        <v>4.0520993365728397E-2</v>
      </c>
      <c r="X53" s="174">
        <v>3.3486465249776198E-3</v>
      </c>
    </row>
    <row r="54" spans="1:24">
      <c r="A54" s="4">
        <v>161</v>
      </c>
      <c r="B54" s="4">
        <v>9942</v>
      </c>
      <c r="C54" s="4" t="s">
        <v>1664</v>
      </c>
      <c r="D54" s="4" t="s">
        <v>1665</v>
      </c>
      <c r="E54" s="4" t="s">
        <v>1363</v>
      </c>
      <c r="F54" s="4" t="s">
        <v>1666</v>
      </c>
      <c r="G54" s="4" t="s">
        <v>1667</v>
      </c>
      <c r="H54" s="4" t="s">
        <v>223</v>
      </c>
      <c r="I54" s="4" t="s">
        <v>978</v>
      </c>
      <c r="J54" s="4" t="s">
        <v>30</v>
      </c>
      <c r="K54" s="4" t="s">
        <v>30</v>
      </c>
      <c r="L54" s="2" t="s">
        <v>377</v>
      </c>
      <c r="M54" s="2" t="s">
        <v>31</v>
      </c>
      <c r="N54" s="4" t="s">
        <v>494</v>
      </c>
      <c r="O54" s="4" t="s">
        <v>173</v>
      </c>
      <c r="P54" s="4" t="s">
        <v>34</v>
      </c>
      <c r="Q54" s="157">
        <v>560</v>
      </c>
      <c r="R54" s="175">
        <v>1</v>
      </c>
      <c r="S54" s="177">
        <v>33200</v>
      </c>
      <c r="U54" s="157">
        <v>185.92</v>
      </c>
      <c r="V54" s="174">
        <v>2.9E-5</v>
      </c>
      <c r="W54" s="174">
        <v>2.45466553492735E-2</v>
      </c>
      <c r="X54" s="174">
        <v>2.0285305296757301E-3</v>
      </c>
    </row>
    <row r="55" spans="1:24">
      <c r="A55" s="4">
        <v>161</v>
      </c>
      <c r="B55" s="4">
        <v>9942</v>
      </c>
      <c r="C55" s="4" t="s">
        <v>1668</v>
      </c>
      <c r="D55" s="4" t="s">
        <v>1669</v>
      </c>
      <c r="E55" s="4" t="s">
        <v>1363</v>
      </c>
      <c r="F55" s="4" t="s">
        <v>1670</v>
      </c>
      <c r="G55" s="4" t="s">
        <v>1671</v>
      </c>
      <c r="H55" s="4" t="s">
        <v>223</v>
      </c>
      <c r="I55" s="4" t="s">
        <v>978</v>
      </c>
      <c r="J55" s="4" t="s">
        <v>30</v>
      </c>
      <c r="K55" s="4" t="s">
        <v>30</v>
      </c>
      <c r="L55" s="2" t="s">
        <v>377</v>
      </c>
      <c r="M55" s="2" t="s">
        <v>31</v>
      </c>
      <c r="N55" s="4" t="s">
        <v>492</v>
      </c>
      <c r="O55" s="4" t="s">
        <v>173</v>
      </c>
      <c r="P55" s="4" t="s">
        <v>34</v>
      </c>
      <c r="Q55" s="157">
        <v>3349</v>
      </c>
      <c r="R55" s="175">
        <v>1</v>
      </c>
      <c r="S55" s="177">
        <v>4200</v>
      </c>
      <c r="U55" s="157">
        <v>140.65799999999999</v>
      </c>
      <c r="V55" s="174">
        <v>1.2999999999999999E-5</v>
      </c>
      <c r="W55" s="174">
        <v>1.8570801678776401E-2</v>
      </c>
      <c r="X55" s="174">
        <v>1.53468721623886E-3</v>
      </c>
    </row>
    <row r="56" spans="1:24">
      <c r="A56" s="4">
        <v>161</v>
      </c>
      <c r="B56" s="4">
        <v>9942</v>
      </c>
      <c r="C56" s="4" t="s">
        <v>1672</v>
      </c>
      <c r="D56" s="4" t="s">
        <v>1673</v>
      </c>
      <c r="E56" s="4" t="s">
        <v>1363</v>
      </c>
      <c r="F56" s="4" t="s">
        <v>1674</v>
      </c>
      <c r="G56" s="4" t="s">
        <v>1675</v>
      </c>
      <c r="H56" s="4" t="s">
        <v>223</v>
      </c>
      <c r="I56" s="4" t="s">
        <v>978</v>
      </c>
      <c r="J56" s="4" t="s">
        <v>30</v>
      </c>
      <c r="K56" s="4" t="s">
        <v>91</v>
      </c>
      <c r="L56" s="2" t="s">
        <v>377</v>
      </c>
      <c r="M56" s="2" t="s">
        <v>31</v>
      </c>
      <c r="N56" s="4" t="s">
        <v>514</v>
      </c>
      <c r="O56" s="4" t="s">
        <v>173</v>
      </c>
      <c r="P56" s="4" t="s">
        <v>34</v>
      </c>
      <c r="Q56" s="157">
        <v>7000</v>
      </c>
      <c r="R56" s="175">
        <v>1</v>
      </c>
      <c r="S56" s="177">
        <v>6629</v>
      </c>
      <c r="U56" s="157">
        <v>464.03</v>
      </c>
      <c r="V56" s="174">
        <v>6.0000000000000002E-6</v>
      </c>
      <c r="W56" s="174">
        <v>6.12649767734691E-2</v>
      </c>
      <c r="X56" s="174">
        <v>5.0629250305799798E-3</v>
      </c>
    </row>
    <row r="57" spans="1:24">
      <c r="A57" s="4">
        <v>161</v>
      </c>
      <c r="B57" s="4">
        <v>9942</v>
      </c>
      <c r="C57" s="4" t="s">
        <v>1676</v>
      </c>
      <c r="D57" s="4" t="s">
        <v>1677</v>
      </c>
      <c r="E57" s="4" t="s">
        <v>1363</v>
      </c>
      <c r="F57" s="4" t="s">
        <v>1678</v>
      </c>
      <c r="G57" s="4" t="s">
        <v>1679</v>
      </c>
      <c r="H57" s="4" t="s">
        <v>223</v>
      </c>
      <c r="I57" s="4" t="s">
        <v>978</v>
      </c>
      <c r="J57" s="4" t="s">
        <v>30</v>
      </c>
      <c r="K57" s="4" t="s">
        <v>30</v>
      </c>
      <c r="L57" s="2" t="s">
        <v>377</v>
      </c>
      <c r="M57" s="2" t="s">
        <v>31</v>
      </c>
      <c r="N57" s="4" t="s">
        <v>494</v>
      </c>
      <c r="O57" s="4" t="s">
        <v>173</v>
      </c>
      <c r="P57" s="4" t="s">
        <v>34</v>
      </c>
      <c r="Q57" s="157">
        <v>11000</v>
      </c>
      <c r="R57" s="175">
        <v>1</v>
      </c>
      <c r="S57" s="177">
        <v>1373</v>
      </c>
      <c r="U57" s="157">
        <v>151.03</v>
      </c>
      <c r="V57" s="174">
        <v>3.4E-5</v>
      </c>
      <c r="W57" s="174">
        <v>1.9940196629737401E-2</v>
      </c>
      <c r="X57" s="174">
        <v>1.6478537322338999E-3</v>
      </c>
    </row>
    <row r="58" spans="1:24">
      <c r="A58" s="4">
        <v>161</v>
      </c>
      <c r="B58" s="4">
        <v>9942</v>
      </c>
      <c r="C58" s="4" t="s">
        <v>1680</v>
      </c>
      <c r="D58" s="4" t="s">
        <v>1681</v>
      </c>
      <c r="E58" s="4" t="s">
        <v>1363</v>
      </c>
      <c r="F58" s="4" t="s">
        <v>1682</v>
      </c>
      <c r="G58" s="4" t="s">
        <v>1683</v>
      </c>
      <c r="H58" s="4" t="s">
        <v>223</v>
      </c>
      <c r="I58" s="4" t="s">
        <v>978</v>
      </c>
      <c r="J58" s="4" t="s">
        <v>30</v>
      </c>
      <c r="K58" s="4" t="s">
        <v>30</v>
      </c>
      <c r="L58" s="2" t="s">
        <v>377</v>
      </c>
      <c r="M58" s="2" t="s">
        <v>31</v>
      </c>
      <c r="N58" s="4" t="s">
        <v>492</v>
      </c>
      <c r="O58" s="4" t="s">
        <v>173</v>
      </c>
      <c r="P58" s="4" t="s">
        <v>34</v>
      </c>
      <c r="Q58" s="157">
        <v>2560</v>
      </c>
      <c r="R58" s="175">
        <v>1</v>
      </c>
      <c r="S58" s="177">
        <v>6329</v>
      </c>
      <c r="U58" s="157">
        <v>162.02199999999999</v>
      </c>
      <c r="V58" s="174">
        <v>3.1999999999999999E-5</v>
      </c>
      <c r="W58" s="174">
        <v>2.1391501783897E-2</v>
      </c>
      <c r="X58" s="174">
        <v>1.76778929050846E-3</v>
      </c>
    </row>
    <row r="59" spans="1:24">
      <c r="A59" s="4">
        <v>161</v>
      </c>
      <c r="B59" s="4">
        <v>9942</v>
      </c>
      <c r="C59" s="4" t="s">
        <v>1222</v>
      </c>
      <c r="D59" s="4" t="s">
        <v>1618</v>
      </c>
      <c r="E59" s="4" t="s">
        <v>1363</v>
      </c>
      <c r="F59" s="4" t="s">
        <v>1352</v>
      </c>
      <c r="G59" s="4" t="s">
        <v>1619</v>
      </c>
      <c r="H59" s="4" t="s">
        <v>223</v>
      </c>
      <c r="I59" s="4" t="s">
        <v>978</v>
      </c>
      <c r="J59" s="4" t="s">
        <v>30</v>
      </c>
      <c r="K59" s="4" t="s">
        <v>30</v>
      </c>
      <c r="L59" s="2" t="s">
        <v>377</v>
      </c>
      <c r="M59" s="2" t="s">
        <v>31</v>
      </c>
      <c r="N59" s="4" t="s">
        <v>495</v>
      </c>
      <c r="O59" s="4" t="s">
        <v>173</v>
      </c>
      <c r="P59" s="4" t="s">
        <v>34</v>
      </c>
      <c r="Q59" s="157">
        <v>17145</v>
      </c>
      <c r="R59" s="175">
        <v>1</v>
      </c>
      <c r="S59" s="177">
        <v>3644</v>
      </c>
      <c r="U59" s="157">
        <v>624.76400000000001</v>
      </c>
      <c r="V59" s="174">
        <v>1.1E-5</v>
      </c>
      <c r="W59" s="174">
        <v>8.2486347210103395E-2</v>
      </c>
      <c r="X59" s="174">
        <v>6.8166547016793502E-3</v>
      </c>
    </row>
    <row r="60" spans="1:24">
      <c r="A60" s="4">
        <v>161</v>
      </c>
      <c r="B60" s="4">
        <v>9942</v>
      </c>
      <c r="C60" s="4" t="s">
        <v>1684</v>
      </c>
      <c r="D60" s="4" t="s">
        <v>1685</v>
      </c>
      <c r="E60" s="4" t="s">
        <v>1363</v>
      </c>
      <c r="F60" s="4" t="s">
        <v>1686</v>
      </c>
      <c r="G60" s="4" t="s">
        <v>1687</v>
      </c>
      <c r="H60" s="4" t="s">
        <v>223</v>
      </c>
      <c r="I60" s="4" t="s">
        <v>978</v>
      </c>
      <c r="J60" s="4" t="s">
        <v>30</v>
      </c>
      <c r="K60" s="4" t="s">
        <v>30</v>
      </c>
      <c r="L60" s="2" t="s">
        <v>377</v>
      </c>
      <c r="M60" s="2" t="s">
        <v>31</v>
      </c>
      <c r="N60" s="4" t="s">
        <v>495</v>
      </c>
      <c r="O60" s="4" t="s">
        <v>173</v>
      </c>
      <c r="P60" s="4" t="s">
        <v>34</v>
      </c>
      <c r="Q60" s="157">
        <v>1379</v>
      </c>
      <c r="R60" s="175">
        <v>1</v>
      </c>
      <c r="S60" s="177">
        <v>14550</v>
      </c>
      <c r="U60" s="157">
        <v>200.64400000000001</v>
      </c>
      <c r="V60" s="174">
        <v>5.0000000000000004E-6</v>
      </c>
      <c r="W60" s="174">
        <v>2.6490702394725198E-2</v>
      </c>
      <c r="X60" s="174">
        <v>2.1891861761054402E-3</v>
      </c>
    </row>
    <row r="61" spans="1:24">
      <c r="A61" s="4">
        <v>161</v>
      </c>
      <c r="B61" s="4">
        <v>9942</v>
      </c>
      <c r="C61" s="4" t="s">
        <v>1688</v>
      </c>
      <c r="D61" s="4" t="s">
        <v>1689</v>
      </c>
      <c r="E61" s="4" t="s">
        <v>1363</v>
      </c>
      <c r="F61" s="4" t="s">
        <v>1690</v>
      </c>
      <c r="G61" s="4" t="s">
        <v>1691</v>
      </c>
      <c r="H61" s="4" t="s">
        <v>223</v>
      </c>
      <c r="I61" s="4" t="s">
        <v>978</v>
      </c>
      <c r="J61" s="4" t="s">
        <v>30</v>
      </c>
      <c r="K61" s="4" t="s">
        <v>30</v>
      </c>
      <c r="L61" s="2" t="s">
        <v>377</v>
      </c>
      <c r="M61" s="2" t="s">
        <v>31</v>
      </c>
      <c r="N61" s="4" t="s">
        <v>524</v>
      </c>
      <c r="O61" s="4" t="s">
        <v>173</v>
      </c>
      <c r="P61" s="4" t="s">
        <v>34</v>
      </c>
      <c r="Q61" s="157">
        <v>1885</v>
      </c>
      <c r="R61" s="175">
        <v>1</v>
      </c>
      <c r="S61" s="177">
        <v>7125</v>
      </c>
      <c r="T61" s="156">
        <v>1.546</v>
      </c>
      <c r="U61" s="157">
        <v>135.852</v>
      </c>
      <c r="V61" s="174">
        <v>3.0000000000000001E-5</v>
      </c>
      <c r="W61" s="174">
        <v>1.7936268261492801E-2</v>
      </c>
      <c r="X61" s="174">
        <v>1.48224950565287E-3</v>
      </c>
    </row>
    <row r="62" spans="1:24">
      <c r="A62" s="4">
        <v>161</v>
      </c>
      <c r="B62" s="4">
        <v>9942</v>
      </c>
      <c r="C62" s="4" t="s">
        <v>1692</v>
      </c>
      <c r="D62" s="4" t="s">
        <v>1693</v>
      </c>
      <c r="E62" s="4" t="s">
        <v>1363</v>
      </c>
      <c r="F62" s="4" t="s">
        <v>1694</v>
      </c>
      <c r="G62" s="4" t="s">
        <v>1695</v>
      </c>
      <c r="H62" s="4" t="s">
        <v>223</v>
      </c>
      <c r="I62" s="4" t="s">
        <v>978</v>
      </c>
      <c r="J62" s="4" t="s">
        <v>30</v>
      </c>
      <c r="K62" s="4" t="s">
        <v>30</v>
      </c>
      <c r="L62" s="2" t="s">
        <v>377</v>
      </c>
      <c r="M62" s="2" t="s">
        <v>31</v>
      </c>
      <c r="N62" s="4" t="s">
        <v>511</v>
      </c>
      <c r="O62" s="4" t="s">
        <v>173</v>
      </c>
      <c r="P62" s="4" t="s">
        <v>34</v>
      </c>
      <c r="Q62" s="157">
        <v>459</v>
      </c>
      <c r="R62" s="175">
        <v>1</v>
      </c>
      <c r="S62" s="177">
        <v>28210</v>
      </c>
      <c r="U62" s="157">
        <v>129.48400000000001</v>
      </c>
      <c r="V62" s="174">
        <v>1.0000000000000001E-5</v>
      </c>
      <c r="W62" s="174">
        <v>1.7095507027645201E-2</v>
      </c>
      <c r="X62" s="174">
        <v>1.4127691708879101E-3</v>
      </c>
    </row>
    <row r="63" spans="1:24">
      <c r="A63" s="4">
        <v>161</v>
      </c>
      <c r="B63" s="4">
        <v>9942</v>
      </c>
      <c r="C63" s="4" t="s">
        <v>1696</v>
      </c>
      <c r="D63" s="4" t="s">
        <v>1697</v>
      </c>
      <c r="E63" s="4" t="s">
        <v>1363</v>
      </c>
      <c r="F63" s="4" t="s">
        <v>1698</v>
      </c>
      <c r="G63" s="4" t="s">
        <v>1699</v>
      </c>
      <c r="H63" s="4" t="s">
        <v>223</v>
      </c>
      <c r="I63" s="4" t="s">
        <v>978</v>
      </c>
      <c r="J63" s="4" t="s">
        <v>30</v>
      </c>
      <c r="K63" s="4" t="s">
        <v>350</v>
      </c>
      <c r="L63" s="2" t="s">
        <v>377</v>
      </c>
      <c r="M63" s="2" t="s">
        <v>31</v>
      </c>
      <c r="N63" s="4" t="s">
        <v>505</v>
      </c>
      <c r="O63" s="4" t="s">
        <v>173</v>
      </c>
      <c r="P63" s="4" t="s">
        <v>34</v>
      </c>
      <c r="Q63" s="157">
        <v>248</v>
      </c>
      <c r="R63" s="175">
        <v>1</v>
      </c>
      <c r="S63" s="177">
        <v>77890</v>
      </c>
      <c r="U63" s="157">
        <v>193.167</v>
      </c>
      <c r="V63" s="174">
        <v>9.0000000000000002E-6</v>
      </c>
      <c r="W63" s="174">
        <v>2.55034890446653E-2</v>
      </c>
      <c r="X63" s="174">
        <v>2.1076030686961E-3</v>
      </c>
    </row>
    <row r="64" spans="1:24">
      <c r="A64" s="4">
        <v>161</v>
      </c>
      <c r="B64" s="4">
        <v>9942</v>
      </c>
      <c r="C64" s="4" t="s">
        <v>1700</v>
      </c>
      <c r="D64" s="4" t="s">
        <v>1701</v>
      </c>
      <c r="E64" s="4" t="s">
        <v>364</v>
      </c>
      <c r="F64" s="4" t="s">
        <v>1702</v>
      </c>
      <c r="G64" s="4" t="s">
        <v>1703</v>
      </c>
      <c r="H64" s="4" t="s">
        <v>223</v>
      </c>
      <c r="I64" s="4" t="s">
        <v>978</v>
      </c>
      <c r="J64" s="4" t="s">
        <v>30</v>
      </c>
      <c r="K64" s="4" t="s">
        <v>30</v>
      </c>
      <c r="L64" s="2" t="s">
        <v>377</v>
      </c>
      <c r="M64" s="2" t="s">
        <v>31</v>
      </c>
      <c r="N64" s="4" t="s">
        <v>501</v>
      </c>
      <c r="O64" s="4" t="s">
        <v>173</v>
      </c>
      <c r="P64" s="4" t="s">
        <v>34</v>
      </c>
      <c r="Q64" s="157">
        <v>7879</v>
      </c>
      <c r="R64" s="175">
        <v>1</v>
      </c>
      <c r="S64" s="177">
        <v>1025</v>
      </c>
      <c r="U64" s="157">
        <v>80.760000000000005</v>
      </c>
      <c r="V64" s="174">
        <v>6.9999999999999999E-6</v>
      </c>
      <c r="W64" s="174">
        <v>1.0662552438379399E-2</v>
      </c>
      <c r="X64" s="174">
        <v>8.8115113190608799E-4</v>
      </c>
    </row>
    <row r="65" spans="1:24">
      <c r="A65" s="4">
        <v>161</v>
      </c>
      <c r="B65" s="4">
        <v>9942</v>
      </c>
      <c r="C65" s="4" t="s">
        <v>1704</v>
      </c>
      <c r="D65" s="4" t="s">
        <v>1705</v>
      </c>
      <c r="E65" s="4" t="s">
        <v>1363</v>
      </c>
      <c r="F65" s="4" t="s">
        <v>1706</v>
      </c>
      <c r="G65" s="4" t="s">
        <v>1707</v>
      </c>
      <c r="H65" s="4" t="s">
        <v>223</v>
      </c>
      <c r="I65" s="4" t="s">
        <v>978</v>
      </c>
      <c r="J65" s="4" t="s">
        <v>30</v>
      </c>
      <c r="K65" s="4" t="s">
        <v>91</v>
      </c>
      <c r="L65" s="2" t="s">
        <v>377</v>
      </c>
      <c r="M65" s="2" t="s">
        <v>31</v>
      </c>
      <c r="N65" s="4" t="s">
        <v>528</v>
      </c>
      <c r="O65" s="4" t="s">
        <v>173</v>
      </c>
      <c r="P65" s="4" t="s">
        <v>34</v>
      </c>
      <c r="Q65" s="157">
        <v>223</v>
      </c>
      <c r="R65" s="175">
        <v>1</v>
      </c>
      <c r="S65" s="177">
        <v>64880</v>
      </c>
      <c r="U65" s="157">
        <v>144.68199999999999</v>
      </c>
      <c r="V65" s="174">
        <v>3.9999999999999998E-6</v>
      </c>
      <c r="W65" s="174">
        <v>1.9102135369544599E-2</v>
      </c>
      <c r="X65" s="174">
        <v>1.57859652273427E-3</v>
      </c>
    </row>
    <row r="66" spans="1:24">
      <c r="A66" s="4">
        <v>161</v>
      </c>
      <c r="B66" s="4">
        <v>9942</v>
      </c>
      <c r="C66" s="4" t="s">
        <v>1708</v>
      </c>
      <c r="D66" s="4" t="s">
        <v>1709</v>
      </c>
      <c r="E66" s="4" t="s">
        <v>1363</v>
      </c>
      <c r="F66" s="4" t="s">
        <v>1708</v>
      </c>
      <c r="G66" s="4" t="s">
        <v>1710</v>
      </c>
      <c r="H66" s="4" t="s">
        <v>223</v>
      </c>
      <c r="I66" s="4" t="s">
        <v>978</v>
      </c>
      <c r="J66" s="4" t="s">
        <v>30</v>
      </c>
      <c r="K66" s="4" t="s">
        <v>30</v>
      </c>
      <c r="L66" s="2" t="s">
        <v>377</v>
      </c>
      <c r="M66" s="2" t="s">
        <v>31</v>
      </c>
      <c r="N66" s="4" t="s">
        <v>486</v>
      </c>
      <c r="O66" s="4" t="s">
        <v>173</v>
      </c>
      <c r="P66" s="4" t="s">
        <v>34</v>
      </c>
      <c r="Q66" s="157">
        <v>5200</v>
      </c>
      <c r="R66" s="175">
        <v>1</v>
      </c>
      <c r="S66" s="177">
        <v>3950</v>
      </c>
      <c r="U66" s="157">
        <v>205.4</v>
      </c>
      <c r="V66" s="174">
        <v>6.4999999999999994E-5</v>
      </c>
      <c r="W66" s="174">
        <v>2.71185617940016E-2</v>
      </c>
      <c r="X66" s="174">
        <v>2.2410723472213599E-3</v>
      </c>
    </row>
    <row r="67" spans="1:24">
      <c r="A67" s="4">
        <v>161</v>
      </c>
      <c r="B67" s="4">
        <v>9942</v>
      </c>
      <c r="C67" s="4" t="s">
        <v>1711</v>
      </c>
      <c r="D67" s="4" t="s">
        <v>1712</v>
      </c>
      <c r="E67" s="4" t="s">
        <v>1363</v>
      </c>
      <c r="F67" s="4" t="s">
        <v>1713</v>
      </c>
      <c r="G67" s="4" t="s">
        <v>1714</v>
      </c>
      <c r="H67" s="4" t="s">
        <v>223</v>
      </c>
      <c r="I67" s="4" t="s">
        <v>978</v>
      </c>
      <c r="J67" s="4" t="s">
        <v>30</v>
      </c>
      <c r="K67" s="4" t="s">
        <v>30</v>
      </c>
      <c r="L67" s="2" t="s">
        <v>377</v>
      </c>
      <c r="M67" s="2" t="s">
        <v>31</v>
      </c>
      <c r="N67" s="4" t="s">
        <v>511</v>
      </c>
      <c r="O67" s="4" t="s">
        <v>173</v>
      </c>
      <c r="P67" s="4" t="s">
        <v>34</v>
      </c>
      <c r="Q67" s="157">
        <v>1070</v>
      </c>
      <c r="R67" s="175">
        <v>1</v>
      </c>
      <c r="S67" s="177">
        <v>25940</v>
      </c>
      <c r="U67" s="157">
        <v>277.55799999999999</v>
      </c>
      <c r="V67" s="174">
        <v>9.0000000000000002E-6</v>
      </c>
      <c r="W67" s="174">
        <v>3.6645441939724903E-2</v>
      </c>
      <c r="X67" s="174">
        <v>3.02837175535573E-3</v>
      </c>
    </row>
    <row r="68" spans="1:24">
      <c r="A68" s="4">
        <v>161</v>
      </c>
      <c r="B68" s="4">
        <v>9942</v>
      </c>
      <c r="C68" s="4" t="s">
        <v>1620</v>
      </c>
      <c r="D68" s="4" t="s">
        <v>1621</v>
      </c>
      <c r="E68" s="4" t="s">
        <v>1363</v>
      </c>
      <c r="F68" s="4" t="s">
        <v>1622</v>
      </c>
      <c r="G68" s="4" t="s">
        <v>1623</v>
      </c>
      <c r="H68" s="4" t="s">
        <v>223</v>
      </c>
      <c r="I68" s="4" t="s">
        <v>978</v>
      </c>
      <c r="J68" s="4" t="s">
        <v>30</v>
      </c>
      <c r="K68" s="4" t="s">
        <v>30</v>
      </c>
      <c r="L68" s="2" t="s">
        <v>377</v>
      </c>
      <c r="M68" s="2" t="s">
        <v>31</v>
      </c>
      <c r="N68" s="4" t="s">
        <v>495</v>
      </c>
      <c r="O68" s="4" t="s">
        <v>173</v>
      </c>
      <c r="P68" s="4" t="s">
        <v>34</v>
      </c>
      <c r="Q68" s="157">
        <v>11134</v>
      </c>
      <c r="R68" s="175">
        <v>1</v>
      </c>
      <c r="S68" s="177">
        <v>3729</v>
      </c>
      <c r="U68" s="157">
        <v>415.18700000000001</v>
      </c>
      <c r="V68" s="174">
        <v>7.9999999999999996E-6</v>
      </c>
      <c r="W68" s="174">
        <v>5.4816312166346103E-2</v>
      </c>
      <c r="X68" s="174">
        <v>4.5300087189662497E-3</v>
      </c>
    </row>
    <row r="69" spans="1:24">
      <c r="A69" s="4">
        <v>161</v>
      </c>
      <c r="B69" s="4">
        <v>9942</v>
      </c>
      <c r="C69" s="4" t="s">
        <v>1715</v>
      </c>
      <c r="D69" s="4" t="s">
        <v>1716</v>
      </c>
      <c r="E69" s="4" t="s">
        <v>1363</v>
      </c>
      <c r="F69" s="4" t="s">
        <v>1717</v>
      </c>
      <c r="G69" s="4" t="s">
        <v>1718</v>
      </c>
      <c r="H69" s="4" t="s">
        <v>223</v>
      </c>
      <c r="I69" s="4" t="s">
        <v>978</v>
      </c>
      <c r="J69" s="4" t="s">
        <v>30</v>
      </c>
      <c r="K69" s="4" t="s">
        <v>30</v>
      </c>
      <c r="L69" s="2" t="s">
        <v>377</v>
      </c>
      <c r="M69" s="2" t="s">
        <v>31</v>
      </c>
      <c r="N69" s="4" t="s">
        <v>523</v>
      </c>
      <c r="O69" s="4" t="s">
        <v>173</v>
      </c>
      <c r="P69" s="4" t="s">
        <v>34</v>
      </c>
      <c r="Q69" s="157">
        <v>361</v>
      </c>
      <c r="R69" s="175">
        <v>1</v>
      </c>
      <c r="S69" s="177">
        <v>28150</v>
      </c>
      <c r="U69" s="157">
        <v>101.621</v>
      </c>
      <c r="V69" s="174">
        <v>2.5999999999999998E-5</v>
      </c>
      <c r="W69" s="174">
        <v>1.34168886433745E-2</v>
      </c>
      <c r="X69" s="174">
        <v>1.1087689071721299E-3</v>
      </c>
    </row>
    <row r="70" spans="1:24">
      <c r="A70" s="4">
        <v>161</v>
      </c>
      <c r="B70" s="4">
        <v>9942</v>
      </c>
      <c r="C70" s="4" t="s">
        <v>1719</v>
      </c>
      <c r="D70" s="4" t="s">
        <v>1720</v>
      </c>
      <c r="E70" s="4" t="s">
        <v>1363</v>
      </c>
      <c r="F70" s="4" t="s">
        <v>1721</v>
      </c>
      <c r="G70" s="4" t="s">
        <v>1722</v>
      </c>
      <c r="H70" s="4" t="s">
        <v>223</v>
      </c>
      <c r="I70" s="4" t="s">
        <v>978</v>
      </c>
      <c r="J70" s="4" t="s">
        <v>30</v>
      </c>
      <c r="K70" s="4" t="s">
        <v>30</v>
      </c>
      <c r="L70" s="2" t="s">
        <v>377</v>
      </c>
      <c r="M70" s="2" t="s">
        <v>31</v>
      </c>
      <c r="N70" s="4" t="s">
        <v>524</v>
      </c>
      <c r="O70" s="4" t="s">
        <v>173</v>
      </c>
      <c r="P70" s="4" t="s">
        <v>34</v>
      </c>
      <c r="Q70" s="157">
        <v>328</v>
      </c>
      <c r="R70" s="175">
        <v>1</v>
      </c>
      <c r="S70" s="177">
        <v>29830</v>
      </c>
      <c r="U70" s="157">
        <v>97.841999999999999</v>
      </c>
      <c r="V70" s="174">
        <v>2.0999999999999999E-5</v>
      </c>
      <c r="W70" s="174">
        <v>1.2917941433658301E-2</v>
      </c>
      <c r="X70" s="174">
        <v>1.0675360127837001E-3</v>
      </c>
    </row>
    <row r="71" spans="1:24">
      <c r="A71" s="4">
        <v>161</v>
      </c>
      <c r="B71" s="4">
        <v>9942</v>
      </c>
      <c r="C71" s="4" t="s">
        <v>1723</v>
      </c>
      <c r="D71" s="4" t="s">
        <v>1724</v>
      </c>
      <c r="E71" s="4" t="s">
        <v>1363</v>
      </c>
      <c r="F71" s="4" t="s">
        <v>1725</v>
      </c>
      <c r="G71" s="4" t="s">
        <v>1726</v>
      </c>
      <c r="H71" s="4" t="s">
        <v>223</v>
      </c>
      <c r="I71" s="4" t="s">
        <v>978</v>
      </c>
      <c r="J71" s="4" t="s">
        <v>30</v>
      </c>
      <c r="K71" s="4" t="s">
        <v>350</v>
      </c>
      <c r="L71" s="2" t="s">
        <v>377</v>
      </c>
      <c r="M71" s="2" t="s">
        <v>31</v>
      </c>
      <c r="N71" s="4" t="s">
        <v>505</v>
      </c>
      <c r="O71" s="4" t="s">
        <v>173</v>
      </c>
      <c r="P71" s="4" t="s">
        <v>34</v>
      </c>
      <c r="Q71" s="157">
        <v>650</v>
      </c>
      <c r="R71" s="175">
        <v>1</v>
      </c>
      <c r="S71" s="177">
        <v>29980</v>
      </c>
      <c r="U71" s="157">
        <v>194.87</v>
      </c>
      <c r="V71" s="174">
        <v>1.5E-5</v>
      </c>
      <c r="W71" s="174">
        <v>2.57283064108914E-2</v>
      </c>
      <c r="X71" s="174">
        <v>2.1261819294207699E-3</v>
      </c>
    </row>
    <row r="72" spans="1:24">
      <c r="A72" s="4">
        <v>161</v>
      </c>
      <c r="B72" s="4">
        <v>9942</v>
      </c>
      <c r="C72" s="4" t="s">
        <v>1727</v>
      </c>
      <c r="D72" s="4" t="s">
        <v>1728</v>
      </c>
      <c r="E72" s="4" t="s">
        <v>364</v>
      </c>
      <c r="F72" s="4" t="s">
        <v>1729</v>
      </c>
      <c r="G72" s="4" t="s">
        <v>1730</v>
      </c>
      <c r="H72" s="4" t="s">
        <v>223</v>
      </c>
      <c r="I72" s="4" t="s">
        <v>978</v>
      </c>
      <c r="J72" s="4" t="s">
        <v>30</v>
      </c>
      <c r="K72" s="4" t="s">
        <v>30</v>
      </c>
      <c r="L72" s="2" t="s">
        <v>377</v>
      </c>
      <c r="M72" s="2" t="s">
        <v>31</v>
      </c>
      <c r="N72" s="4" t="s">
        <v>501</v>
      </c>
      <c r="O72" s="4" t="s">
        <v>173</v>
      </c>
      <c r="P72" s="4" t="s">
        <v>34</v>
      </c>
      <c r="Q72" s="157">
        <v>19273</v>
      </c>
      <c r="R72" s="175">
        <v>1</v>
      </c>
      <c r="S72" s="177">
        <v>303</v>
      </c>
      <c r="U72" s="157">
        <v>58.396999999999998</v>
      </c>
      <c r="V72" s="174">
        <v>1.7E-5</v>
      </c>
      <c r="W72" s="174">
        <v>7.7100672132962601E-3</v>
      </c>
      <c r="X72" s="174">
        <v>6.37158362533748E-4</v>
      </c>
    </row>
    <row r="73" spans="1:24">
      <c r="A73" s="4">
        <v>161</v>
      </c>
      <c r="B73" s="4">
        <v>9942</v>
      </c>
      <c r="C73" s="4" t="s">
        <v>1731</v>
      </c>
      <c r="D73" s="4" t="s">
        <v>1732</v>
      </c>
      <c r="E73" s="4" t="s">
        <v>220</v>
      </c>
      <c r="F73" s="4" t="s">
        <v>1733</v>
      </c>
      <c r="G73" s="4" t="s">
        <v>1734</v>
      </c>
      <c r="H73" s="4" t="s">
        <v>223</v>
      </c>
      <c r="I73" s="4" t="s">
        <v>978</v>
      </c>
      <c r="J73" s="4" t="s">
        <v>90</v>
      </c>
      <c r="K73" s="4" t="s">
        <v>343</v>
      </c>
      <c r="L73" s="2" t="s">
        <v>377</v>
      </c>
      <c r="M73" s="2" t="s">
        <v>396</v>
      </c>
      <c r="N73" s="4" t="s">
        <v>596</v>
      </c>
      <c r="O73" s="4" t="s">
        <v>173</v>
      </c>
      <c r="P73" s="4" t="s">
        <v>95</v>
      </c>
      <c r="Q73" s="157">
        <v>260</v>
      </c>
      <c r="R73" s="175">
        <v>3.71</v>
      </c>
      <c r="S73" s="177">
        <v>16408</v>
      </c>
      <c r="U73" s="157">
        <v>158.27199999999999</v>
      </c>
      <c r="V73" s="174">
        <v>0</v>
      </c>
      <c r="W73" s="174">
        <v>2.0896286743142801E-2</v>
      </c>
      <c r="X73" s="174">
        <v>1.7268648217924299E-3</v>
      </c>
    </row>
    <row r="74" spans="1:24">
      <c r="A74" s="4">
        <v>161</v>
      </c>
      <c r="B74" s="4">
        <v>9942</v>
      </c>
      <c r="C74" s="4" t="s">
        <v>1735</v>
      </c>
      <c r="D74" s="4" t="s">
        <v>1736</v>
      </c>
      <c r="E74" s="4" t="s">
        <v>220</v>
      </c>
      <c r="F74" s="4" t="s">
        <v>1737</v>
      </c>
      <c r="G74" s="4" t="s">
        <v>1738</v>
      </c>
      <c r="H74" s="4" t="s">
        <v>223</v>
      </c>
      <c r="I74" s="4" t="s">
        <v>978</v>
      </c>
      <c r="J74" s="4" t="s">
        <v>90</v>
      </c>
      <c r="K74" s="4" t="s">
        <v>91</v>
      </c>
      <c r="L74" s="2" t="s">
        <v>377</v>
      </c>
      <c r="M74" s="2" t="s">
        <v>396</v>
      </c>
      <c r="N74" s="4" t="s">
        <v>597</v>
      </c>
      <c r="O74" s="4" t="s">
        <v>173</v>
      </c>
      <c r="P74" s="4" t="s">
        <v>95</v>
      </c>
      <c r="Q74" s="157">
        <v>652</v>
      </c>
      <c r="R74" s="175">
        <v>3.71</v>
      </c>
      <c r="S74" s="177">
        <v>16719</v>
      </c>
      <c r="U74" s="157">
        <v>404.41899999999998</v>
      </c>
      <c r="V74" s="174">
        <v>0</v>
      </c>
      <c r="W74" s="174">
        <v>5.3394683591074202E-2</v>
      </c>
      <c r="X74" s="174">
        <v>4.41252562704335E-3</v>
      </c>
    </row>
    <row r="75" spans="1:24">
      <c r="A75" s="4">
        <v>161</v>
      </c>
      <c r="B75" s="4">
        <v>9942</v>
      </c>
      <c r="C75" s="4" t="s">
        <v>1739</v>
      </c>
      <c r="D75" s="4" t="s">
        <v>1740</v>
      </c>
      <c r="E75" s="4" t="s">
        <v>220</v>
      </c>
      <c r="F75" s="4" t="s">
        <v>1741</v>
      </c>
      <c r="G75" s="4" t="s">
        <v>1742</v>
      </c>
      <c r="H75" s="4" t="s">
        <v>223</v>
      </c>
      <c r="I75" s="4" t="s">
        <v>978</v>
      </c>
      <c r="J75" s="4" t="s">
        <v>90</v>
      </c>
      <c r="K75" s="4" t="s">
        <v>91</v>
      </c>
      <c r="L75" s="2" t="s">
        <v>377</v>
      </c>
      <c r="M75" s="2" t="s">
        <v>396</v>
      </c>
      <c r="N75" s="4" t="s">
        <v>548</v>
      </c>
      <c r="O75" s="4" t="s">
        <v>173</v>
      </c>
      <c r="P75" s="4" t="s">
        <v>95</v>
      </c>
      <c r="Q75" s="157">
        <v>350</v>
      </c>
      <c r="R75" s="175">
        <v>3.71</v>
      </c>
      <c r="S75" s="177">
        <v>18633</v>
      </c>
      <c r="U75" s="157">
        <v>241.95</v>
      </c>
      <c r="V75" s="174">
        <v>0</v>
      </c>
      <c r="W75" s="174">
        <v>3.1944121725270697E-2</v>
      </c>
      <c r="X75" s="174">
        <v>2.6398556235608401E-3</v>
      </c>
    </row>
    <row r="76" spans="1:24">
      <c r="A76" s="4">
        <v>161</v>
      </c>
      <c r="B76" s="4">
        <v>9942</v>
      </c>
      <c r="C76" s="4" t="s">
        <v>1743</v>
      </c>
      <c r="D76" s="4" t="s">
        <v>1744</v>
      </c>
      <c r="E76" s="4" t="s">
        <v>220</v>
      </c>
      <c r="F76" s="4" t="s">
        <v>1745</v>
      </c>
      <c r="G76" s="4" t="s">
        <v>1746</v>
      </c>
      <c r="H76" s="4" t="s">
        <v>223</v>
      </c>
      <c r="I76" s="4" t="s">
        <v>978</v>
      </c>
      <c r="J76" s="4" t="s">
        <v>90</v>
      </c>
      <c r="K76" s="4" t="s">
        <v>91</v>
      </c>
      <c r="L76" s="2" t="s">
        <v>377</v>
      </c>
      <c r="M76" s="2" t="s">
        <v>396</v>
      </c>
      <c r="N76" s="4" t="s">
        <v>596</v>
      </c>
      <c r="O76" s="4" t="s">
        <v>173</v>
      </c>
      <c r="P76" s="4" t="s">
        <v>95</v>
      </c>
      <c r="Q76" s="157">
        <v>50</v>
      </c>
      <c r="R76" s="175">
        <v>3.71</v>
      </c>
      <c r="S76" s="177">
        <v>83325</v>
      </c>
      <c r="U76" s="157">
        <v>154.56800000000001</v>
      </c>
      <c r="V76" s="174">
        <v>0</v>
      </c>
      <c r="W76" s="174">
        <v>2.0407295372711801E-2</v>
      </c>
      <c r="X76" s="174">
        <v>1.68645467590686E-3</v>
      </c>
    </row>
    <row r="77" spans="1:24">
      <c r="A77" s="4">
        <v>161</v>
      </c>
      <c r="B77" s="4">
        <v>9942</v>
      </c>
      <c r="C77" s="4" t="s">
        <v>1747</v>
      </c>
      <c r="D77" s="4" t="s">
        <v>1748</v>
      </c>
      <c r="E77" s="4" t="s">
        <v>220</v>
      </c>
      <c r="F77" s="4" t="s">
        <v>1749</v>
      </c>
      <c r="G77" s="4" t="s">
        <v>1750</v>
      </c>
      <c r="H77" s="4" t="s">
        <v>223</v>
      </c>
      <c r="I77" s="4" t="s">
        <v>978</v>
      </c>
      <c r="J77" s="4" t="s">
        <v>90</v>
      </c>
      <c r="K77" s="4" t="s">
        <v>91</v>
      </c>
      <c r="L77" s="2" t="s">
        <v>377</v>
      </c>
      <c r="M77" s="2" t="s">
        <v>396</v>
      </c>
      <c r="N77" s="4" t="s">
        <v>596</v>
      </c>
      <c r="O77" s="4" t="s">
        <v>173</v>
      </c>
      <c r="P77" s="4" t="s">
        <v>95</v>
      </c>
      <c r="Q77" s="157">
        <v>150</v>
      </c>
      <c r="R77" s="175">
        <v>3.71</v>
      </c>
      <c r="S77" s="177">
        <v>17250</v>
      </c>
      <c r="T77" s="156">
        <v>0.08</v>
      </c>
      <c r="U77" s="157">
        <v>96.290999999999997</v>
      </c>
      <c r="V77" s="174">
        <v>0</v>
      </c>
      <c r="W77" s="174">
        <v>1.27131388599112E-2</v>
      </c>
      <c r="X77" s="174">
        <v>1.05061117037683E-3</v>
      </c>
    </row>
    <row r="78" spans="1:24">
      <c r="A78" s="4">
        <v>161</v>
      </c>
      <c r="B78" s="4">
        <v>9942</v>
      </c>
      <c r="C78" s="4" t="s">
        <v>1751</v>
      </c>
      <c r="D78" s="4" t="s">
        <v>1752</v>
      </c>
      <c r="E78" s="4" t="s">
        <v>220</v>
      </c>
      <c r="F78" s="4" t="s">
        <v>1753</v>
      </c>
      <c r="G78" s="4" t="s">
        <v>1754</v>
      </c>
      <c r="H78" s="4" t="s">
        <v>223</v>
      </c>
      <c r="I78" s="4" t="s">
        <v>978</v>
      </c>
      <c r="J78" s="4" t="s">
        <v>90</v>
      </c>
      <c r="K78" s="4" t="s">
        <v>91</v>
      </c>
      <c r="L78" s="2" t="s">
        <v>377</v>
      </c>
      <c r="M78" s="2" t="s">
        <v>394</v>
      </c>
      <c r="N78" s="4" t="s">
        <v>584</v>
      </c>
      <c r="O78" s="4" t="s">
        <v>173</v>
      </c>
      <c r="P78" s="4" t="s">
        <v>95</v>
      </c>
      <c r="Q78" s="157">
        <v>160</v>
      </c>
      <c r="R78" s="175">
        <v>3.71</v>
      </c>
      <c r="S78" s="177">
        <v>21086</v>
      </c>
      <c r="U78" s="157">
        <v>125.166</v>
      </c>
      <c r="V78" s="174">
        <v>0</v>
      </c>
      <c r="W78" s="174">
        <v>1.6525488589652599E-2</v>
      </c>
      <c r="X78" s="174">
        <v>1.36566296486949E-3</v>
      </c>
    </row>
    <row r="79" spans="1:24">
      <c r="A79" s="4">
        <v>161</v>
      </c>
      <c r="B79" s="4">
        <v>9942</v>
      </c>
      <c r="C79" s="4" t="s">
        <v>1755</v>
      </c>
      <c r="D79" s="4" t="s">
        <v>1756</v>
      </c>
      <c r="E79" s="4" t="s">
        <v>220</v>
      </c>
      <c r="F79" s="4" t="s">
        <v>1757</v>
      </c>
      <c r="G79" s="4" t="s">
        <v>1758</v>
      </c>
      <c r="H79" s="4" t="s">
        <v>223</v>
      </c>
      <c r="I79" s="4" t="s">
        <v>978</v>
      </c>
      <c r="J79" s="4" t="s">
        <v>90</v>
      </c>
      <c r="K79" s="4" t="s">
        <v>91</v>
      </c>
      <c r="L79" s="2" t="s">
        <v>377</v>
      </c>
      <c r="M79" s="2" t="s">
        <v>394</v>
      </c>
      <c r="N79" s="4" t="s">
        <v>1759</v>
      </c>
      <c r="O79" s="4" t="s">
        <v>173</v>
      </c>
      <c r="P79" s="4" t="s">
        <v>95</v>
      </c>
      <c r="Q79" s="157">
        <v>75</v>
      </c>
      <c r="R79" s="175">
        <v>3.71</v>
      </c>
      <c r="S79" s="177">
        <v>49380</v>
      </c>
      <c r="U79" s="157">
        <v>137.4</v>
      </c>
      <c r="V79" s="174">
        <v>0</v>
      </c>
      <c r="W79" s="174">
        <v>1.8140634482529401E-2</v>
      </c>
      <c r="X79" s="174">
        <v>1.49913828796185E-3</v>
      </c>
    </row>
    <row r="80" spans="1:24">
      <c r="A80" s="4">
        <v>161</v>
      </c>
      <c r="B80" s="4">
        <v>9942</v>
      </c>
      <c r="C80" s="4" t="s">
        <v>1760</v>
      </c>
      <c r="D80" s="4" t="s">
        <v>1761</v>
      </c>
      <c r="E80" s="4" t="s">
        <v>220</v>
      </c>
      <c r="F80" s="4" t="s">
        <v>1762</v>
      </c>
      <c r="G80" s="4" t="s">
        <v>1763</v>
      </c>
      <c r="H80" s="4" t="s">
        <v>223</v>
      </c>
      <c r="I80" s="4" t="s">
        <v>978</v>
      </c>
      <c r="J80" s="4" t="s">
        <v>90</v>
      </c>
      <c r="K80" s="4" t="s">
        <v>91</v>
      </c>
      <c r="L80" s="2" t="s">
        <v>377</v>
      </c>
      <c r="M80" s="2" t="s">
        <v>396</v>
      </c>
      <c r="N80" s="4" t="s">
        <v>592</v>
      </c>
      <c r="O80" s="4" t="s">
        <v>173</v>
      </c>
      <c r="P80" s="4" t="s">
        <v>95</v>
      </c>
      <c r="Q80" s="157">
        <v>111</v>
      </c>
      <c r="R80" s="175">
        <v>3.71</v>
      </c>
      <c r="S80" s="177">
        <v>43030</v>
      </c>
      <c r="U80" s="157">
        <v>177.202</v>
      </c>
      <c r="V80" s="174">
        <v>0</v>
      </c>
      <c r="W80" s="174">
        <v>2.3395614067217501E-2</v>
      </c>
      <c r="X80" s="174">
        <v>1.93340871579339E-3</v>
      </c>
    </row>
    <row r="81" spans="1:24">
      <c r="A81" s="4">
        <v>161</v>
      </c>
      <c r="B81" s="4">
        <v>9942</v>
      </c>
      <c r="C81" s="4" t="s">
        <v>1704</v>
      </c>
      <c r="D81" s="4" t="s">
        <v>1705</v>
      </c>
      <c r="E81" s="4" t="s">
        <v>1363</v>
      </c>
      <c r="F81" s="4" t="s">
        <v>1764</v>
      </c>
      <c r="G81" s="4" t="s">
        <v>1765</v>
      </c>
      <c r="H81" s="4" t="s">
        <v>223</v>
      </c>
      <c r="I81" s="4" t="s">
        <v>978</v>
      </c>
      <c r="J81" s="4" t="s">
        <v>90</v>
      </c>
      <c r="K81" s="4" t="s">
        <v>91</v>
      </c>
      <c r="L81" s="2" t="s">
        <v>377</v>
      </c>
      <c r="M81" s="2" t="s">
        <v>396</v>
      </c>
      <c r="N81" s="4" t="s">
        <v>528</v>
      </c>
      <c r="O81" s="4" t="s">
        <v>173</v>
      </c>
      <c r="P81" s="4" t="s">
        <v>95</v>
      </c>
      <c r="Q81" s="157">
        <v>220</v>
      </c>
      <c r="R81" s="175">
        <v>3.71</v>
      </c>
      <c r="S81" s="177">
        <v>17367</v>
      </c>
      <c r="U81" s="157">
        <v>141.749</v>
      </c>
      <c r="V81" s="174">
        <v>3.0000000000000001E-6</v>
      </c>
      <c r="W81" s="174">
        <v>1.8714904223782799E-2</v>
      </c>
      <c r="X81" s="174">
        <v>1.54659582080393E-3</v>
      </c>
    </row>
    <row r="82" spans="1:24">
      <c r="A82" s="4">
        <v>161</v>
      </c>
      <c r="B82" s="4">
        <v>9942</v>
      </c>
      <c r="C82" s="4" t="s">
        <v>1766</v>
      </c>
      <c r="D82" s="4" t="s">
        <v>1767</v>
      </c>
      <c r="E82" s="4" t="s">
        <v>220</v>
      </c>
      <c r="F82" s="4" t="s">
        <v>1768</v>
      </c>
      <c r="G82" s="4" t="s">
        <v>1769</v>
      </c>
      <c r="H82" s="4" t="s">
        <v>223</v>
      </c>
      <c r="I82" s="4" t="s">
        <v>978</v>
      </c>
      <c r="J82" s="4" t="s">
        <v>90</v>
      </c>
      <c r="K82" s="4" t="s">
        <v>91</v>
      </c>
      <c r="L82" s="2" t="s">
        <v>377</v>
      </c>
      <c r="M82" s="2" t="s">
        <v>396</v>
      </c>
      <c r="N82" s="4" t="s">
        <v>596</v>
      </c>
      <c r="O82" s="4" t="s">
        <v>173</v>
      </c>
      <c r="P82" s="4" t="s">
        <v>95</v>
      </c>
      <c r="Q82" s="157">
        <v>540</v>
      </c>
      <c r="R82" s="175">
        <v>3.71</v>
      </c>
      <c r="S82" s="177">
        <v>12144</v>
      </c>
      <c r="T82" s="156">
        <v>3.0000000000000001E-3</v>
      </c>
      <c r="U82" s="157">
        <v>243.30500000000001</v>
      </c>
      <c r="V82" s="174">
        <v>0</v>
      </c>
      <c r="W82" s="174">
        <v>3.2123074051498501E-2</v>
      </c>
      <c r="X82" s="174">
        <v>2.6546442068502698E-3</v>
      </c>
    </row>
    <row r="83" spans="1:24">
      <c r="A83" s="4">
        <v>161</v>
      </c>
      <c r="B83" s="4">
        <v>9942</v>
      </c>
      <c r="C83" s="4" t="s">
        <v>1624</v>
      </c>
      <c r="D83" s="4" t="s">
        <v>1625</v>
      </c>
      <c r="E83" s="4" t="s">
        <v>365</v>
      </c>
      <c r="F83" s="4" t="s">
        <v>1770</v>
      </c>
      <c r="G83" s="4" t="s">
        <v>1627</v>
      </c>
      <c r="H83" s="4" t="s">
        <v>223</v>
      </c>
      <c r="I83" s="4" t="s">
        <v>978</v>
      </c>
      <c r="J83" s="4" t="s">
        <v>90</v>
      </c>
      <c r="K83" s="4" t="s">
        <v>91</v>
      </c>
      <c r="L83" s="2" t="s">
        <v>377</v>
      </c>
      <c r="M83" s="2" t="s">
        <v>394</v>
      </c>
      <c r="N83" s="4" t="s">
        <v>605</v>
      </c>
      <c r="O83" s="4" t="s">
        <v>173</v>
      </c>
      <c r="P83" s="4" t="s">
        <v>95</v>
      </c>
      <c r="Q83" s="157">
        <v>274</v>
      </c>
      <c r="R83" s="175">
        <v>3.71</v>
      </c>
      <c r="S83" s="177">
        <v>7694</v>
      </c>
      <c r="U83" s="157">
        <v>78.212999999999994</v>
      </c>
      <c r="V83" s="174">
        <v>5.0000000000000004E-6</v>
      </c>
      <c r="W83" s="174">
        <v>1.03262555496561E-2</v>
      </c>
      <c r="X83" s="174">
        <v>8.5335962646050797E-4</v>
      </c>
    </row>
    <row r="84" spans="1:24">
      <c r="A84" s="4">
        <v>161</v>
      </c>
      <c r="B84" s="4">
        <v>9943</v>
      </c>
      <c r="C84" s="4" t="s">
        <v>1628</v>
      </c>
      <c r="D84" s="4" t="s">
        <v>1629</v>
      </c>
      <c r="E84" s="4" t="s">
        <v>1363</v>
      </c>
      <c r="F84" s="4" t="s">
        <v>1630</v>
      </c>
      <c r="G84" s="4" t="s">
        <v>1631</v>
      </c>
      <c r="H84" s="4" t="s">
        <v>223</v>
      </c>
      <c r="I84" s="4" t="s">
        <v>978</v>
      </c>
      <c r="J84" s="4" t="s">
        <v>30</v>
      </c>
      <c r="K84" s="4" t="s">
        <v>30</v>
      </c>
      <c r="L84" s="2" t="s">
        <v>377</v>
      </c>
      <c r="M84" s="2" t="s">
        <v>31</v>
      </c>
      <c r="N84" s="4" t="s">
        <v>493</v>
      </c>
      <c r="O84" s="4" t="s">
        <v>173</v>
      </c>
      <c r="P84" s="4" t="s">
        <v>34</v>
      </c>
      <c r="Q84" s="157">
        <v>2698</v>
      </c>
      <c r="R84" s="175">
        <v>1</v>
      </c>
      <c r="S84" s="177">
        <v>74080</v>
      </c>
      <c r="U84" s="157">
        <v>1998.6780000000001</v>
      </c>
      <c r="V84" s="174">
        <v>6.0999999999999999E-5</v>
      </c>
      <c r="W84" s="174">
        <v>8.7325655672438694E-3</v>
      </c>
      <c r="X84" s="174">
        <v>1.09609243205106E-3</v>
      </c>
    </row>
    <row r="85" spans="1:24">
      <c r="A85" s="4">
        <v>161</v>
      </c>
      <c r="B85" s="4">
        <v>9943</v>
      </c>
      <c r="C85" s="4" t="s">
        <v>1632</v>
      </c>
      <c r="D85" s="4" t="s">
        <v>1633</v>
      </c>
      <c r="E85" s="4" t="s">
        <v>1363</v>
      </c>
      <c r="F85" s="4" t="s">
        <v>1634</v>
      </c>
      <c r="G85" s="4" t="s">
        <v>1635</v>
      </c>
      <c r="H85" s="4" t="s">
        <v>223</v>
      </c>
      <c r="I85" s="4" t="s">
        <v>978</v>
      </c>
      <c r="J85" s="4" t="s">
        <v>30</v>
      </c>
      <c r="K85" s="4" t="s">
        <v>30</v>
      </c>
      <c r="L85" s="2" t="s">
        <v>377</v>
      </c>
      <c r="M85" s="2" t="s">
        <v>31</v>
      </c>
      <c r="N85" s="4" t="s">
        <v>511</v>
      </c>
      <c r="O85" s="4" t="s">
        <v>173</v>
      </c>
      <c r="P85" s="4" t="s">
        <v>34</v>
      </c>
      <c r="Q85" s="157">
        <v>96800</v>
      </c>
      <c r="R85" s="175">
        <v>1</v>
      </c>
      <c r="S85" s="177">
        <v>2855</v>
      </c>
      <c r="U85" s="157">
        <v>2763.64</v>
      </c>
      <c r="V85" s="174">
        <v>5.0100000000000003E-4</v>
      </c>
      <c r="W85" s="174">
        <v>1.2074812788419501E-2</v>
      </c>
      <c r="X85" s="174">
        <v>1.5156039555506301E-3</v>
      </c>
    </row>
    <row r="86" spans="1:24">
      <c r="A86" s="4">
        <v>161</v>
      </c>
      <c r="B86" s="4">
        <v>9943</v>
      </c>
      <c r="C86" s="4" t="s">
        <v>1636</v>
      </c>
      <c r="D86" s="4" t="s">
        <v>1637</v>
      </c>
      <c r="E86" s="4" t="s">
        <v>1363</v>
      </c>
      <c r="F86" s="4" t="s">
        <v>1638</v>
      </c>
      <c r="G86" s="4" t="s">
        <v>1639</v>
      </c>
      <c r="H86" s="4" t="s">
        <v>223</v>
      </c>
      <c r="I86" s="4" t="s">
        <v>978</v>
      </c>
      <c r="J86" s="4" t="s">
        <v>30</v>
      </c>
      <c r="K86" s="4" t="s">
        <v>30</v>
      </c>
      <c r="L86" s="2" t="s">
        <v>377</v>
      </c>
      <c r="M86" s="2" t="s">
        <v>31</v>
      </c>
      <c r="N86" s="4" t="s">
        <v>511</v>
      </c>
      <c r="O86" s="4" t="s">
        <v>173</v>
      </c>
      <c r="P86" s="4" t="s">
        <v>34</v>
      </c>
      <c r="Q86" s="157">
        <v>106904</v>
      </c>
      <c r="R86" s="175">
        <v>1</v>
      </c>
      <c r="S86" s="177">
        <v>1609</v>
      </c>
      <c r="U86" s="157">
        <v>1720.085</v>
      </c>
      <c r="V86" s="174">
        <v>2.2699999999999999E-4</v>
      </c>
      <c r="W86" s="174">
        <v>7.5153452338586699E-3</v>
      </c>
      <c r="X86" s="174">
        <v>9.4330961178037704E-4</v>
      </c>
    </row>
    <row r="87" spans="1:24">
      <c r="A87" s="4">
        <v>161</v>
      </c>
      <c r="B87" s="4">
        <v>9943</v>
      </c>
      <c r="C87" s="4" t="s">
        <v>1640</v>
      </c>
      <c r="D87" s="4" t="s">
        <v>1641</v>
      </c>
      <c r="E87" s="4" t="s">
        <v>1363</v>
      </c>
      <c r="F87" s="4" t="s">
        <v>1642</v>
      </c>
      <c r="G87" s="4" t="s">
        <v>1643</v>
      </c>
      <c r="H87" s="4" t="s">
        <v>223</v>
      </c>
      <c r="I87" s="4" t="s">
        <v>978</v>
      </c>
      <c r="J87" s="4" t="s">
        <v>30</v>
      </c>
      <c r="K87" s="4" t="s">
        <v>91</v>
      </c>
      <c r="L87" s="2" t="s">
        <v>377</v>
      </c>
      <c r="M87" s="2" t="s">
        <v>31</v>
      </c>
      <c r="N87" s="4" t="s">
        <v>488</v>
      </c>
      <c r="O87" s="4" t="s">
        <v>173</v>
      </c>
      <c r="P87" s="4" t="s">
        <v>34</v>
      </c>
      <c r="Q87" s="157">
        <v>57511.7</v>
      </c>
      <c r="R87" s="175">
        <v>1</v>
      </c>
      <c r="S87" s="177">
        <v>6254</v>
      </c>
      <c r="U87" s="157">
        <v>3596.7820000000002</v>
      </c>
      <c r="V87" s="174">
        <v>4.8500000000000003E-4</v>
      </c>
      <c r="W87" s="174">
        <v>1.5714950531060399E-2</v>
      </c>
      <c r="X87" s="174">
        <v>1.9725060424125298E-3</v>
      </c>
    </row>
    <row r="88" spans="1:24">
      <c r="A88" s="4">
        <v>161</v>
      </c>
      <c r="B88" s="4">
        <v>9943</v>
      </c>
      <c r="C88" s="4" t="s">
        <v>1644</v>
      </c>
      <c r="D88" s="4" t="s">
        <v>1645</v>
      </c>
      <c r="E88" s="4" t="s">
        <v>1363</v>
      </c>
      <c r="F88" s="4" t="s">
        <v>1646</v>
      </c>
      <c r="G88" s="4" t="s">
        <v>1647</v>
      </c>
      <c r="H88" s="4" t="s">
        <v>223</v>
      </c>
      <c r="I88" s="4" t="s">
        <v>978</v>
      </c>
      <c r="J88" s="4" t="s">
        <v>30</v>
      </c>
      <c r="K88" s="4" t="s">
        <v>30</v>
      </c>
      <c r="L88" s="2" t="s">
        <v>377</v>
      </c>
      <c r="M88" s="2" t="s">
        <v>31</v>
      </c>
      <c r="N88" s="4" t="s">
        <v>488</v>
      </c>
      <c r="O88" s="4" t="s">
        <v>173</v>
      </c>
      <c r="P88" s="4" t="s">
        <v>34</v>
      </c>
      <c r="Q88" s="157">
        <v>369015</v>
      </c>
      <c r="R88" s="175">
        <v>1</v>
      </c>
      <c r="S88" s="177">
        <v>1348</v>
      </c>
      <c r="U88" s="157">
        <v>4974.3220000000001</v>
      </c>
      <c r="V88" s="174">
        <v>6.7199999999999996E-4</v>
      </c>
      <c r="W88" s="174">
        <v>2.1733658983904999E-2</v>
      </c>
      <c r="X88" s="174">
        <v>2.7279610956938301E-3</v>
      </c>
    </row>
    <row r="89" spans="1:24">
      <c r="A89" s="4">
        <v>161</v>
      </c>
      <c r="B89" s="4">
        <v>9943</v>
      </c>
      <c r="C89" s="4" t="s">
        <v>1648</v>
      </c>
      <c r="D89" s="4" t="s">
        <v>1649</v>
      </c>
      <c r="E89" s="4" t="s">
        <v>1363</v>
      </c>
      <c r="F89" s="4" t="s">
        <v>1650</v>
      </c>
      <c r="G89" s="4" t="s">
        <v>1651</v>
      </c>
      <c r="H89" s="4" t="s">
        <v>223</v>
      </c>
      <c r="I89" s="4" t="s">
        <v>978</v>
      </c>
      <c r="J89" s="4" t="s">
        <v>30</v>
      </c>
      <c r="K89" s="4" t="s">
        <v>30</v>
      </c>
      <c r="L89" s="2" t="s">
        <v>377</v>
      </c>
      <c r="M89" s="2" t="s">
        <v>31</v>
      </c>
      <c r="N89" s="4" t="s">
        <v>494</v>
      </c>
      <c r="O89" s="4" t="s">
        <v>173</v>
      </c>
      <c r="P89" s="4" t="s">
        <v>34</v>
      </c>
      <c r="Q89" s="157">
        <v>5741</v>
      </c>
      <c r="R89" s="175">
        <v>1</v>
      </c>
      <c r="S89" s="177">
        <v>24250</v>
      </c>
      <c r="U89" s="157">
        <v>1392.193</v>
      </c>
      <c r="V89" s="174">
        <v>4.5399999999999998E-4</v>
      </c>
      <c r="W89" s="174">
        <v>6.0827256093202199E-3</v>
      </c>
      <c r="X89" s="174">
        <v>7.63490346024777E-4</v>
      </c>
    </row>
    <row r="90" spans="1:24">
      <c r="A90" s="4">
        <v>161</v>
      </c>
      <c r="B90" s="4">
        <v>9943</v>
      </c>
      <c r="C90" s="4" t="s">
        <v>1652</v>
      </c>
      <c r="D90" s="4" t="s">
        <v>1653</v>
      </c>
      <c r="E90" s="4" t="s">
        <v>1363</v>
      </c>
      <c r="F90" s="4" t="s">
        <v>1654</v>
      </c>
      <c r="G90" s="4" t="s">
        <v>1655</v>
      </c>
      <c r="H90" s="4" t="s">
        <v>223</v>
      </c>
      <c r="I90" s="4" t="s">
        <v>978</v>
      </c>
      <c r="J90" s="4" t="s">
        <v>30</v>
      </c>
      <c r="K90" s="4" t="s">
        <v>30</v>
      </c>
      <c r="L90" s="2" t="s">
        <v>377</v>
      </c>
      <c r="M90" s="2" t="s">
        <v>31</v>
      </c>
      <c r="N90" s="4" t="s">
        <v>532</v>
      </c>
      <c r="O90" s="4" t="s">
        <v>173</v>
      </c>
      <c r="P90" s="4" t="s">
        <v>34</v>
      </c>
      <c r="Q90" s="157">
        <v>809728</v>
      </c>
      <c r="R90" s="175">
        <v>1</v>
      </c>
      <c r="S90" s="177">
        <v>428.6</v>
      </c>
      <c r="T90" s="156">
        <v>118.94199999999999</v>
      </c>
      <c r="U90" s="157">
        <v>3589.4360000000001</v>
      </c>
      <c r="V90" s="174">
        <v>2.9300000000000002E-4</v>
      </c>
      <c r="W90" s="174">
        <v>1.5682857667165401E-2</v>
      </c>
      <c r="X90" s="174">
        <v>1.9684778166903999E-3</v>
      </c>
    </row>
    <row r="91" spans="1:24">
      <c r="A91" s="4">
        <v>161</v>
      </c>
      <c r="B91" s="4">
        <v>9943</v>
      </c>
      <c r="C91" s="4" t="s">
        <v>1656</v>
      </c>
      <c r="D91" s="4" t="s">
        <v>1657</v>
      </c>
      <c r="E91" s="4" t="s">
        <v>1363</v>
      </c>
      <c r="F91" s="4" t="s">
        <v>1658</v>
      </c>
      <c r="G91" s="4" t="s">
        <v>1659</v>
      </c>
      <c r="H91" s="4" t="s">
        <v>223</v>
      </c>
      <c r="I91" s="4" t="s">
        <v>978</v>
      </c>
      <c r="J91" s="4" t="s">
        <v>30</v>
      </c>
      <c r="K91" s="4" t="s">
        <v>30</v>
      </c>
      <c r="L91" s="2" t="s">
        <v>377</v>
      </c>
      <c r="M91" s="2" t="s">
        <v>31</v>
      </c>
      <c r="N91" s="4" t="s">
        <v>495</v>
      </c>
      <c r="O91" s="4" t="s">
        <v>173</v>
      </c>
      <c r="P91" s="4" t="s">
        <v>34</v>
      </c>
      <c r="Q91" s="157">
        <v>6206</v>
      </c>
      <c r="R91" s="175">
        <v>1</v>
      </c>
      <c r="S91" s="177">
        <v>15410</v>
      </c>
      <c r="U91" s="157">
        <v>956.34500000000003</v>
      </c>
      <c r="V91" s="174">
        <v>6.2000000000000003E-5</v>
      </c>
      <c r="W91" s="174">
        <v>4.1784320701017301E-3</v>
      </c>
      <c r="X91" s="174">
        <v>5.24467607441447E-4</v>
      </c>
    </row>
    <row r="92" spans="1:24">
      <c r="A92" s="4">
        <v>161</v>
      </c>
      <c r="B92" s="4">
        <v>9943</v>
      </c>
      <c r="C92" s="4" t="s">
        <v>1660</v>
      </c>
      <c r="D92" s="4" t="s">
        <v>1661</v>
      </c>
      <c r="E92" s="4" t="s">
        <v>1363</v>
      </c>
      <c r="F92" s="4" t="s">
        <v>1662</v>
      </c>
      <c r="G92" s="4" t="s">
        <v>1663</v>
      </c>
      <c r="H92" s="4" t="s">
        <v>223</v>
      </c>
      <c r="I92" s="4" t="s">
        <v>978</v>
      </c>
      <c r="J92" s="4" t="s">
        <v>30</v>
      </c>
      <c r="K92" s="4" t="s">
        <v>30</v>
      </c>
      <c r="L92" s="2" t="s">
        <v>377</v>
      </c>
      <c r="M92" s="2" t="s">
        <v>31</v>
      </c>
      <c r="N92" s="4" t="s">
        <v>495</v>
      </c>
      <c r="O92" s="4" t="s">
        <v>173</v>
      </c>
      <c r="P92" s="4" t="s">
        <v>34</v>
      </c>
      <c r="Q92" s="157">
        <v>380725</v>
      </c>
      <c r="R92" s="175">
        <v>1</v>
      </c>
      <c r="S92" s="177">
        <v>2085</v>
      </c>
      <c r="U92" s="157">
        <v>7938.116</v>
      </c>
      <c r="V92" s="174">
        <v>3.0800000000000001E-4</v>
      </c>
      <c r="W92" s="174">
        <v>3.4682978829174801E-2</v>
      </c>
      <c r="X92" s="174">
        <v>4.3533312544762302E-3</v>
      </c>
    </row>
    <row r="93" spans="1:24">
      <c r="A93" s="4">
        <v>161</v>
      </c>
      <c r="B93" s="4">
        <v>9943</v>
      </c>
      <c r="C93" s="4" t="s">
        <v>1664</v>
      </c>
      <c r="D93" s="4" t="s">
        <v>1665</v>
      </c>
      <c r="E93" s="4" t="s">
        <v>1363</v>
      </c>
      <c r="F93" s="4" t="s">
        <v>1666</v>
      </c>
      <c r="G93" s="4" t="s">
        <v>1667</v>
      </c>
      <c r="H93" s="4" t="s">
        <v>223</v>
      </c>
      <c r="I93" s="4" t="s">
        <v>978</v>
      </c>
      <c r="J93" s="4" t="s">
        <v>30</v>
      </c>
      <c r="K93" s="4" t="s">
        <v>30</v>
      </c>
      <c r="L93" s="2" t="s">
        <v>377</v>
      </c>
      <c r="M93" s="2" t="s">
        <v>31</v>
      </c>
      <c r="N93" s="4" t="s">
        <v>494</v>
      </c>
      <c r="O93" s="4" t="s">
        <v>173</v>
      </c>
      <c r="P93" s="4" t="s">
        <v>34</v>
      </c>
      <c r="Q93" s="157">
        <v>9510</v>
      </c>
      <c r="R93" s="175">
        <v>1</v>
      </c>
      <c r="S93" s="177">
        <v>33200</v>
      </c>
      <c r="U93" s="157">
        <v>3157.32</v>
      </c>
      <c r="V93" s="174">
        <v>4.8500000000000003E-4</v>
      </c>
      <c r="W93" s="174">
        <v>1.37948676068998E-2</v>
      </c>
      <c r="X93" s="174">
        <v>1.7315014549431601E-3</v>
      </c>
    </row>
    <row r="94" spans="1:24">
      <c r="A94" s="4">
        <v>161</v>
      </c>
      <c r="B94" s="4">
        <v>9943</v>
      </c>
      <c r="C94" s="4" t="s">
        <v>1668</v>
      </c>
      <c r="D94" s="4" t="s">
        <v>1669</v>
      </c>
      <c r="E94" s="4" t="s">
        <v>1363</v>
      </c>
      <c r="F94" s="4" t="s">
        <v>1670</v>
      </c>
      <c r="G94" s="4" t="s">
        <v>1671</v>
      </c>
      <c r="H94" s="4" t="s">
        <v>223</v>
      </c>
      <c r="I94" s="4" t="s">
        <v>978</v>
      </c>
      <c r="J94" s="4" t="s">
        <v>30</v>
      </c>
      <c r="K94" s="4" t="s">
        <v>30</v>
      </c>
      <c r="L94" s="2" t="s">
        <v>377</v>
      </c>
      <c r="M94" s="2" t="s">
        <v>31</v>
      </c>
      <c r="N94" s="4" t="s">
        <v>492</v>
      </c>
      <c r="O94" s="4" t="s">
        <v>173</v>
      </c>
      <c r="P94" s="4" t="s">
        <v>34</v>
      </c>
      <c r="Q94" s="157">
        <v>63869</v>
      </c>
      <c r="R94" s="175">
        <v>1</v>
      </c>
      <c r="S94" s="177">
        <v>4200</v>
      </c>
      <c r="U94" s="157">
        <v>2682.498</v>
      </c>
      <c r="V94" s="174">
        <v>2.5399999999999999E-4</v>
      </c>
      <c r="W94" s="174">
        <v>1.17202896018692E-2</v>
      </c>
      <c r="X94" s="174">
        <v>1.4711049845698601E-3</v>
      </c>
    </row>
    <row r="95" spans="1:24">
      <c r="A95" s="4">
        <v>161</v>
      </c>
      <c r="B95" s="4">
        <v>9943</v>
      </c>
      <c r="C95" s="4" t="s">
        <v>1672</v>
      </c>
      <c r="D95" s="4" t="s">
        <v>1673</v>
      </c>
      <c r="E95" s="4" t="s">
        <v>1363</v>
      </c>
      <c r="F95" s="4" t="s">
        <v>1674</v>
      </c>
      <c r="G95" s="4" t="s">
        <v>1675</v>
      </c>
      <c r="H95" s="4" t="s">
        <v>223</v>
      </c>
      <c r="I95" s="4" t="s">
        <v>978</v>
      </c>
      <c r="J95" s="4" t="s">
        <v>30</v>
      </c>
      <c r="K95" s="4" t="s">
        <v>91</v>
      </c>
      <c r="L95" s="2" t="s">
        <v>377</v>
      </c>
      <c r="M95" s="2" t="s">
        <v>31</v>
      </c>
      <c r="N95" s="4" t="s">
        <v>514</v>
      </c>
      <c r="O95" s="4" t="s">
        <v>173</v>
      </c>
      <c r="P95" s="4" t="s">
        <v>34</v>
      </c>
      <c r="Q95" s="157">
        <v>52350</v>
      </c>
      <c r="R95" s="175">
        <v>1</v>
      </c>
      <c r="S95" s="177">
        <v>6629</v>
      </c>
      <c r="U95" s="157">
        <v>3470.2820000000002</v>
      </c>
      <c r="V95" s="174">
        <v>4.6E-5</v>
      </c>
      <c r="W95" s="174">
        <v>1.51622495822957E-2</v>
      </c>
      <c r="X95" s="174">
        <v>1.9031322343988899E-3</v>
      </c>
    </row>
    <row r="96" spans="1:24">
      <c r="A96" s="4">
        <v>161</v>
      </c>
      <c r="B96" s="4">
        <v>9943</v>
      </c>
      <c r="C96" s="4" t="s">
        <v>1771</v>
      </c>
      <c r="D96" s="4" t="s">
        <v>1772</v>
      </c>
      <c r="E96" s="4" t="s">
        <v>1363</v>
      </c>
      <c r="F96" s="4" t="s">
        <v>1773</v>
      </c>
      <c r="G96" s="4" t="s">
        <v>1774</v>
      </c>
      <c r="H96" s="4" t="s">
        <v>223</v>
      </c>
      <c r="I96" s="4" t="s">
        <v>978</v>
      </c>
      <c r="J96" s="4" t="s">
        <v>30</v>
      </c>
      <c r="K96" s="4" t="s">
        <v>30</v>
      </c>
      <c r="L96" s="2" t="s">
        <v>377</v>
      </c>
      <c r="M96" s="2" t="s">
        <v>31</v>
      </c>
      <c r="N96" s="4" t="s">
        <v>523</v>
      </c>
      <c r="O96" s="4" t="s">
        <v>173</v>
      </c>
      <c r="P96" s="4" t="s">
        <v>34</v>
      </c>
      <c r="Q96" s="157">
        <v>118011</v>
      </c>
      <c r="R96" s="175">
        <v>1</v>
      </c>
      <c r="S96" s="177">
        <v>332.4</v>
      </c>
      <c r="U96" s="157">
        <v>392.26900000000001</v>
      </c>
      <c r="V96" s="174">
        <v>9.3800000000000003E-4</v>
      </c>
      <c r="W96" s="174">
        <v>1.7138880147494499E-3</v>
      </c>
      <c r="X96" s="174">
        <v>2.1512345574552501E-4</v>
      </c>
    </row>
    <row r="97" spans="1:24">
      <c r="A97" s="4">
        <v>161</v>
      </c>
      <c r="B97" s="4">
        <v>9943</v>
      </c>
      <c r="C97" s="4" t="s">
        <v>1676</v>
      </c>
      <c r="D97" s="4" t="s">
        <v>1677</v>
      </c>
      <c r="E97" s="4" t="s">
        <v>1363</v>
      </c>
      <c r="F97" s="4" t="s">
        <v>1678</v>
      </c>
      <c r="G97" s="4" t="s">
        <v>1679</v>
      </c>
      <c r="H97" s="4" t="s">
        <v>223</v>
      </c>
      <c r="I97" s="4" t="s">
        <v>978</v>
      </c>
      <c r="J97" s="4" t="s">
        <v>30</v>
      </c>
      <c r="K97" s="4" t="s">
        <v>30</v>
      </c>
      <c r="L97" s="2" t="s">
        <v>377</v>
      </c>
      <c r="M97" s="2" t="s">
        <v>31</v>
      </c>
      <c r="N97" s="4" t="s">
        <v>494</v>
      </c>
      <c r="O97" s="4" t="s">
        <v>173</v>
      </c>
      <c r="P97" s="4" t="s">
        <v>34</v>
      </c>
      <c r="Q97" s="157">
        <v>152000</v>
      </c>
      <c r="R97" s="175">
        <v>1</v>
      </c>
      <c r="S97" s="177">
        <v>1373</v>
      </c>
      <c r="U97" s="157">
        <v>2086.96</v>
      </c>
      <c r="V97" s="174">
        <v>4.7100000000000001E-4</v>
      </c>
      <c r="W97" s="174">
        <v>9.1182828794343605E-3</v>
      </c>
      <c r="X97" s="174">
        <v>1.14450682110403E-3</v>
      </c>
    </row>
    <row r="98" spans="1:24">
      <c r="A98" s="4">
        <v>161</v>
      </c>
      <c r="B98" s="4">
        <v>9943</v>
      </c>
      <c r="C98" s="4" t="s">
        <v>1680</v>
      </c>
      <c r="D98" s="4" t="s">
        <v>1681</v>
      </c>
      <c r="E98" s="4" t="s">
        <v>1363</v>
      </c>
      <c r="F98" s="4" t="s">
        <v>1682</v>
      </c>
      <c r="G98" s="4" t="s">
        <v>1683</v>
      </c>
      <c r="H98" s="4" t="s">
        <v>223</v>
      </c>
      <c r="I98" s="4" t="s">
        <v>978</v>
      </c>
      <c r="J98" s="4" t="s">
        <v>30</v>
      </c>
      <c r="K98" s="4" t="s">
        <v>30</v>
      </c>
      <c r="L98" s="2" t="s">
        <v>377</v>
      </c>
      <c r="M98" s="2" t="s">
        <v>31</v>
      </c>
      <c r="N98" s="4" t="s">
        <v>492</v>
      </c>
      <c r="O98" s="4" t="s">
        <v>173</v>
      </c>
      <c r="P98" s="4" t="s">
        <v>34</v>
      </c>
      <c r="Q98" s="157">
        <v>24200</v>
      </c>
      <c r="R98" s="175">
        <v>1</v>
      </c>
      <c r="S98" s="177">
        <v>6329</v>
      </c>
      <c r="U98" s="157">
        <v>1531.6179999999999</v>
      </c>
      <c r="V98" s="174">
        <v>3.0600000000000001E-4</v>
      </c>
      <c r="W98" s="174">
        <v>6.6918993115505296E-3</v>
      </c>
      <c r="X98" s="174">
        <v>8.3995248990191801E-4</v>
      </c>
    </row>
    <row r="99" spans="1:24">
      <c r="A99" s="4">
        <v>161</v>
      </c>
      <c r="B99" s="4">
        <v>9943</v>
      </c>
      <c r="C99" s="4" t="s">
        <v>1222</v>
      </c>
      <c r="D99" s="4" t="s">
        <v>1618</v>
      </c>
      <c r="E99" s="4" t="s">
        <v>1363</v>
      </c>
      <c r="F99" s="4" t="s">
        <v>1352</v>
      </c>
      <c r="G99" s="4" t="s">
        <v>1619</v>
      </c>
      <c r="H99" s="4" t="s">
        <v>223</v>
      </c>
      <c r="I99" s="4" t="s">
        <v>978</v>
      </c>
      <c r="J99" s="4" t="s">
        <v>30</v>
      </c>
      <c r="K99" s="4" t="s">
        <v>30</v>
      </c>
      <c r="L99" s="2" t="s">
        <v>377</v>
      </c>
      <c r="M99" s="2" t="s">
        <v>31</v>
      </c>
      <c r="N99" s="4" t="s">
        <v>495</v>
      </c>
      <c r="O99" s="4" t="s">
        <v>173</v>
      </c>
      <c r="P99" s="4" t="s">
        <v>34</v>
      </c>
      <c r="Q99" s="157">
        <v>299551</v>
      </c>
      <c r="R99" s="175">
        <v>1</v>
      </c>
      <c r="S99" s="177">
        <v>3644</v>
      </c>
      <c r="U99" s="157">
        <v>10915.638000000001</v>
      </c>
      <c r="V99" s="174">
        <v>1.9799999999999999E-4</v>
      </c>
      <c r="W99" s="174">
        <v>4.7692279250942798E-2</v>
      </c>
      <c r="X99" s="174">
        <v>5.9862300433574803E-3</v>
      </c>
    </row>
    <row r="100" spans="1:24">
      <c r="A100" s="4">
        <v>161</v>
      </c>
      <c r="B100" s="4">
        <v>9943</v>
      </c>
      <c r="C100" s="4" t="s">
        <v>1775</v>
      </c>
      <c r="D100" s="4" t="s">
        <v>1776</v>
      </c>
      <c r="E100" s="4" t="s">
        <v>1363</v>
      </c>
      <c r="F100" s="4" t="s">
        <v>1777</v>
      </c>
      <c r="G100" s="4" t="s">
        <v>1778</v>
      </c>
      <c r="H100" s="4" t="s">
        <v>223</v>
      </c>
      <c r="I100" s="4" t="s">
        <v>978</v>
      </c>
      <c r="J100" s="4" t="s">
        <v>30</v>
      </c>
      <c r="K100" s="4" t="s">
        <v>30</v>
      </c>
      <c r="L100" s="2" t="s">
        <v>377</v>
      </c>
      <c r="M100" s="2" t="s">
        <v>31</v>
      </c>
      <c r="N100" s="4" t="s">
        <v>526</v>
      </c>
      <c r="O100" s="4" t="s">
        <v>173</v>
      </c>
      <c r="P100" s="4" t="s">
        <v>34</v>
      </c>
      <c r="Q100" s="157">
        <v>140000</v>
      </c>
      <c r="R100" s="175">
        <v>1</v>
      </c>
      <c r="S100" s="177">
        <v>919.9</v>
      </c>
      <c r="T100" s="156">
        <v>19.632999999999999</v>
      </c>
      <c r="U100" s="157">
        <v>1307.4929999999999</v>
      </c>
      <c r="V100" s="174">
        <v>1.9719999999999998E-3</v>
      </c>
      <c r="W100" s="174">
        <v>5.7126570035383999E-3</v>
      </c>
      <c r="X100" s="174">
        <v>7.1704014819761505E-4</v>
      </c>
    </row>
    <row r="101" spans="1:24">
      <c r="A101" s="4">
        <v>161</v>
      </c>
      <c r="B101" s="4">
        <v>9943</v>
      </c>
      <c r="C101" s="4" t="s">
        <v>1684</v>
      </c>
      <c r="D101" s="4" t="s">
        <v>1685</v>
      </c>
      <c r="E101" s="4" t="s">
        <v>1363</v>
      </c>
      <c r="F101" s="4" t="s">
        <v>1686</v>
      </c>
      <c r="G101" s="4" t="s">
        <v>1687</v>
      </c>
      <c r="H101" s="4" t="s">
        <v>223</v>
      </c>
      <c r="I101" s="4" t="s">
        <v>978</v>
      </c>
      <c r="J101" s="4" t="s">
        <v>30</v>
      </c>
      <c r="K101" s="4" t="s">
        <v>30</v>
      </c>
      <c r="L101" s="2" t="s">
        <v>377</v>
      </c>
      <c r="M101" s="2" t="s">
        <v>31</v>
      </c>
      <c r="N101" s="4" t="s">
        <v>495</v>
      </c>
      <c r="O101" s="4" t="s">
        <v>173</v>
      </c>
      <c r="P101" s="4" t="s">
        <v>34</v>
      </c>
      <c r="Q101" s="157">
        <v>36476</v>
      </c>
      <c r="R101" s="175">
        <v>1</v>
      </c>
      <c r="S101" s="177">
        <v>14550</v>
      </c>
      <c r="U101" s="157">
        <v>5307.2579999999998</v>
      </c>
      <c r="V101" s="174">
        <v>1.4100000000000001E-4</v>
      </c>
      <c r="W101" s="174">
        <v>2.31883120702558E-2</v>
      </c>
      <c r="X101" s="174">
        <v>2.9105459531370598E-3</v>
      </c>
    </row>
    <row r="102" spans="1:24">
      <c r="A102" s="4">
        <v>161</v>
      </c>
      <c r="B102" s="4">
        <v>9943</v>
      </c>
      <c r="C102" s="4" t="s">
        <v>1688</v>
      </c>
      <c r="D102" s="4" t="s">
        <v>1689</v>
      </c>
      <c r="E102" s="4" t="s">
        <v>1363</v>
      </c>
      <c r="F102" s="4" t="s">
        <v>1690</v>
      </c>
      <c r="G102" s="4" t="s">
        <v>1691</v>
      </c>
      <c r="H102" s="4" t="s">
        <v>223</v>
      </c>
      <c r="I102" s="4" t="s">
        <v>978</v>
      </c>
      <c r="J102" s="4" t="s">
        <v>30</v>
      </c>
      <c r="K102" s="4" t="s">
        <v>30</v>
      </c>
      <c r="L102" s="2" t="s">
        <v>377</v>
      </c>
      <c r="M102" s="2" t="s">
        <v>31</v>
      </c>
      <c r="N102" s="4" t="s">
        <v>524</v>
      </c>
      <c r="O102" s="4" t="s">
        <v>173</v>
      </c>
      <c r="P102" s="4" t="s">
        <v>34</v>
      </c>
      <c r="Q102" s="157">
        <v>29998</v>
      </c>
      <c r="R102" s="175">
        <v>1</v>
      </c>
      <c r="S102" s="177">
        <v>7125</v>
      </c>
      <c r="T102" s="156">
        <v>24.597999999999999</v>
      </c>
      <c r="U102" s="157">
        <v>2161.9560000000001</v>
      </c>
      <c r="V102" s="174">
        <v>4.7199999999999998E-4</v>
      </c>
      <c r="W102" s="174">
        <v>9.4459525359042798E-3</v>
      </c>
      <c r="X102" s="174">
        <v>1.18563519602476E-3</v>
      </c>
    </row>
    <row r="103" spans="1:24">
      <c r="A103" s="4">
        <v>161</v>
      </c>
      <c r="B103" s="4">
        <v>9943</v>
      </c>
      <c r="C103" s="4" t="s">
        <v>1692</v>
      </c>
      <c r="D103" s="4" t="s">
        <v>1693</v>
      </c>
      <c r="E103" s="4" t="s">
        <v>1363</v>
      </c>
      <c r="F103" s="4" t="s">
        <v>1694</v>
      </c>
      <c r="G103" s="4" t="s">
        <v>1695</v>
      </c>
      <c r="H103" s="4" t="s">
        <v>223</v>
      </c>
      <c r="I103" s="4" t="s">
        <v>978</v>
      </c>
      <c r="J103" s="4" t="s">
        <v>30</v>
      </c>
      <c r="K103" s="4" t="s">
        <v>30</v>
      </c>
      <c r="L103" s="2" t="s">
        <v>377</v>
      </c>
      <c r="M103" s="2" t="s">
        <v>31</v>
      </c>
      <c r="N103" s="4" t="s">
        <v>511</v>
      </c>
      <c r="O103" s="4" t="s">
        <v>173</v>
      </c>
      <c r="P103" s="4" t="s">
        <v>34</v>
      </c>
      <c r="Q103" s="157">
        <v>6953</v>
      </c>
      <c r="R103" s="175">
        <v>1</v>
      </c>
      <c r="S103" s="177">
        <v>28210</v>
      </c>
      <c r="U103" s="157">
        <v>1961.441</v>
      </c>
      <c r="V103" s="174">
        <v>1.46E-4</v>
      </c>
      <c r="W103" s="174">
        <v>8.5698703496020403E-3</v>
      </c>
      <c r="X103" s="174">
        <v>1.0756712860069901E-3</v>
      </c>
    </row>
    <row r="104" spans="1:24">
      <c r="A104" s="4">
        <v>161</v>
      </c>
      <c r="B104" s="4">
        <v>9943</v>
      </c>
      <c r="C104" s="4" t="s">
        <v>1779</v>
      </c>
      <c r="D104" s="4" t="s">
        <v>1780</v>
      </c>
      <c r="E104" s="4" t="s">
        <v>1363</v>
      </c>
      <c r="F104" s="4" t="s">
        <v>1781</v>
      </c>
      <c r="G104" s="4" t="s">
        <v>1782</v>
      </c>
      <c r="H104" s="4" t="s">
        <v>223</v>
      </c>
      <c r="I104" s="4" t="s">
        <v>978</v>
      </c>
      <c r="J104" s="4" t="s">
        <v>30</v>
      </c>
      <c r="K104" s="4" t="s">
        <v>30</v>
      </c>
      <c r="L104" s="2" t="s">
        <v>377</v>
      </c>
      <c r="M104" s="2" t="s">
        <v>31</v>
      </c>
      <c r="N104" s="4" t="s">
        <v>511</v>
      </c>
      <c r="O104" s="4" t="s">
        <v>173</v>
      </c>
      <c r="P104" s="4" t="s">
        <v>34</v>
      </c>
      <c r="Q104" s="157">
        <v>535000</v>
      </c>
      <c r="R104" s="175">
        <v>1</v>
      </c>
      <c r="S104" s="177">
        <v>177.8</v>
      </c>
      <c r="U104" s="157">
        <v>951.23</v>
      </c>
      <c r="V104" s="174">
        <v>7.1599999999999995E-4</v>
      </c>
      <c r="W104" s="174">
        <v>4.1560855135720602E-3</v>
      </c>
      <c r="X104" s="174">
        <v>5.2166271679322297E-4</v>
      </c>
    </row>
    <row r="105" spans="1:24">
      <c r="A105" s="4">
        <v>161</v>
      </c>
      <c r="B105" s="4">
        <v>9943</v>
      </c>
      <c r="C105" s="4" t="s">
        <v>1696</v>
      </c>
      <c r="D105" s="4" t="s">
        <v>1697</v>
      </c>
      <c r="E105" s="4" t="s">
        <v>1363</v>
      </c>
      <c r="F105" s="4" t="s">
        <v>1698</v>
      </c>
      <c r="G105" s="4" t="s">
        <v>1699</v>
      </c>
      <c r="H105" s="4" t="s">
        <v>223</v>
      </c>
      <c r="I105" s="4" t="s">
        <v>978</v>
      </c>
      <c r="J105" s="4" t="s">
        <v>30</v>
      </c>
      <c r="K105" s="4" t="s">
        <v>350</v>
      </c>
      <c r="L105" s="2" t="s">
        <v>377</v>
      </c>
      <c r="M105" s="2" t="s">
        <v>31</v>
      </c>
      <c r="N105" s="4" t="s">
        <v>505</v>
      </c>
      <c r="O105" s="4" t="s">
        <v>173</v>
      </c>
      <c r="P105" s="4" t="s">
        <v>34</v>
      </c>
      <c r="Q105" s="157">
        <v>1526</v>
      </c>
      <c r="R105" s="175">
        <v>1</v>
      </c>
      <c r="S105" s="177">
        <v>77890</v>
      </c>
      <c r="U105" s="157">
        <v>1188.6010000000001</v>
      </c>
      <c r="V105" s="174">
        <v>5.1999999999999997E-5</v>
      </c>
      <c r="W105" s="174">
        <v>5.1932014969581202E-3</v>
      </c>
      <c r="X105" s="174">
        <v>6.5183923499913601E-4</v>
      </c>
    </row>
    <row r="106" spans="1:24">
      <c r="A106" s="4">
        <v>161</v>
      </c>
      <c r="B106" s="4">
        <v>9943</v>
      </c>
      <c r="C106" s="4" t="s">
        <v>1700</v>
      </c>
      <c r="D106" s="4" t="s">
        <v>1701</v>
      </c>
      <c r="E106" s="4" t="s">
        <v>364</v>
      </c>
      <c r="F106" s="4" t="s">
        <v>1702</v>
      </c>
      <c r="G106" s="4" t="s">
        <v>1703</v>
      </c>
      <c r="H106" s="4" t="s">
        <v>223</v>
      </c>
      <c r="I106" s="4" t="s">
        <v>978</v>
      </c>
      <c r="J106" s="4" t="s">
        <v>30</v>
      </c>
      <c r="K106" s="4" t="s">
        <v>30</v>
      </c>
      <c r="L106" s="2" t="s">
        <v>377</v>
      </c>
      <c r="M106" s="2" t="s">
        <v>31</v>
      </c>
      <c r="N106" s="4" t="s">
        <v>501</v>
      </c>
      <c r="O106" s="4" t="s">
        <v>173</v>
      </c>
      <c r="P106" s="4" t="s">
        <v>34</v>
      </c>
      <c r="Q106" s="157">
        <v>94264</v>
      </c>
      <c r="R106" s="175">
        <v>1</v>
      </c>
      <c r="S106" s="177">
        <v>1025</v>
      </c>
      <c r="U106" s="157">
        <v>966.20600000000002</v>
      </c>
      <c r="V106" s="174">
        <v>8.0000000000000007E-5</v>
      </c>
      <c r="W106" s="174">
        <v>4.2215182024603996E-3</v>
      </c>
      <c r="X106" s="174">
        <v>5.2987568405318602E-4</v>
      </c>
    </row>
    <row r="107" spans="1:24">
      <c r="A107" s="4">
        <v>161</v>
      </c>
      <c r="B107" s="4">
        <v>9943</v>
      </c>
      <c r="C107" s="4" t="s">
        <v>1704</v>
      </c>
      <c r="D107" s="4" t="s">
        <v>1705</v>
      </c>
      <c r="E107" s="4" t="s">
        <v>1363</v>
      </c>
      <c r="F107" s="4" t="s">
        <v>1706</v>
      </c>
      <c r="G107" s="4" t="s">
        <v>1707</v>
      </c>
      <c r="H107" s="4" t="s">
        <v>223</v>
      </c>
      <c r="I107" s="4" t="s">
        <v>978</v>
      </c>
      <c r="J107" s="4" t="s">
        <v>30</v>
      </c>
      <c r="K107" s="4" t="s">
        <v>91</v>
      </c>
      <c r="L107" s="2" t="s">
        <v>377</v>
      </c>
      <c r="M107" s="2" t="s">
        <v>31</v>
      </c>
      <c r="N107" s="4" t="s">
        <v>528</v>
      </c>
      <c r="O107" s="4" t="s">
        <v>173</v>
      </c>
      <c r="P107" s="4" t="s">
        <v>34</v>
      </c>
      <c r="Q107" s="157">
        <v>5093</v>
      </c>
      <c r="R107" s="175">
        <v>1</v>
      </c>
      <c r="S107" s="177">
        <v>64880</v>
      </c>
      <c r="U107" s="157">
        <v>3304.3380000000002</v>
      </c>
      <c r="V107" s="174">
        <v>8.1000000000000004E-5</v>
      </c>
      <c r="W107" s="174">
        <v>1.4437215979500101E-2</v>
      </c>
      <c r="X107" s="174">
        <v>1.81212761051288E-3</v>
      </c>
    </row>
    <row r="108" spans="1:24">
      <c r="A108" s="4">
        <v>161</v>
      </c>
      <c r="B108" s="4">
        <v>9943</v>
      </c>
      <c r="C108" s="4" t="s">
        <v>1708</v>
      </c>
      <c r="D108" s="4" t="s">
        <v>1709</v>
      </c>
      <c r="E108" s="4" t="s">
        <v>1363</v>
      </c>
      <c r="F108" s="4" t="s">
        <v>1708</v>
      </c>
      <c r="G108" s="4" t="s">
        <v>1710</v>
      </c>
      <c r="H108" s="4" t="s">
        <v>223</v>
      </c>
      <c r="I108" s="4" t="s">
        <v>978</v>
      </c>
      <c r="J108" s="4" t="s">
        <v>30</v>
      </c>
      <c r="K108" s="4" t="s">
        <v>30</v>
      </c>
      <c r="L108" s="2" t="s">
        <v>377</v>
      </c>
      <c r="M108" s="2" t="s">
        <v>31</v>
      </c>
      <c r="N108" s="4" t="s">
        <v>486</v>
      </c>
      <c r="O108" s="4" t="s">
        <v>173</v>
      </c>
      <c r="P108" s="4" t="s">
        <v>34</v>
      </c>
      <c r="Q108" s="157">
        <v>68185</v>
      </c>
      <c r="R108" s="175">
        <v>1</v>
      </c>
      <c r="S108" s="177">
        <v>3950</v>
      </c>
      <c r="U108" s="157">
        <v>2693.3069999999998</v>
      </c>
      <c r="V108" s="174">
        <v>8.5099999999999998E-4</v>
      </c>
      <c r="W108" s="174">
        <v>1.17675181442395E-2</v>
      </c>
      <c r="X108" s="174">
        <v>1.4770330073794601E-3</v>
      </c>
    </row>
    <row r="109" spans="1:24">
      <c r="A109" s="4">
        <v>161</v>
      </c>
      <c r="B109" s="4">
        <v>9943</v>
      </c>
      <c r="C109" s="4" t="s">
        <v>1711</v>
      </c>
      <c r="D109" s="4" t="s">
        <v>1712</v>
      </c>
      <c r="E109" s="4" t="s">
        <v>1363</v>
      </c>
      <c r="F109" s="4" t="s">
        <v>1713</v>
      </c>
      <c r="G109" s="4" t="s">
        <v>1714</v>
      </c>
      <c r="H109" s="4" t="s">
        <v>223</v>
      </c>
      <c r="I109" s="4" t="s">
        <v>978</v>
      </c>
      <c r="J109" s="4" t="s">
        <v>30</v>
      </c>
      <c r="K109" s="4" t="s">
        <v>30</v>
      </c>
      <c r="L109" s="2" t="s">
        <v>377</v>
      </c>
      <c r="M109" s="2" t="s">
        <v>31</v>
      </c>
      <c r="N109" s="4" t="s">
        <v>511</v>
      </c>
      <c r="O109" s="4" t="s">
        <v>173</v>
      </c>
      <c r="P109" s="4" t="s">
        <v>34</v>
      </c>
      <c r="Q109" s="157">
        <v>17336</v>
      </c>
      <c r="R109" s="175">
        <v>1</v>
      </c>
      <c r="S109" s="177">
        <v>25940</v>
      </c>
      <c r="U109" s="157">
        <v>4496.9579999999996</v>
      </c>
      <c r="V109" s="174">
        <v>1.4300000000000001E-4</v>
      </c>
      <c r="W109" s="174">
        <v>1.9647975422743401E-2</v>
      </c>
      <c r="X109" s="174">
        <v>2.4661706803297901E-3</v>
      </c>
    </row>
    <row r="110" spans="1:24">
      <c r="A110" s="4">
        <v>161</v>
      </c>
      <c r="B110" s="4">
        <v>9943</v>
      </c>
      <c r="C110" s="4" t="s">
        <v>1620</v>
      </c>
      <c r="D110" s="4" t="s">
        <v>1621</v>
      </c>
      <c r="E110" s="4" t="s">
        <v>1363</v>
      </c>
      <c r="F110" s="4" t="s">
        <v>1622</v>
      </c>
      <c r="G110" s="4" t="s">
        <v>1623</v>
      </c>
      <c r="H110" s="4" t="s">
        <v>223</v>
      </c>
      <c r="I110" s="4" t="s">
        <v>978</v>
      </c>
      <c r="J110" s="4" t="s">
        <v>30</v>
      </c>
      <c r="K110" s="4" t="s">
        <v>30</v>
      </c>
      <c r="L110" s="2" t="s">
        <v>377</v>
      </c>
      <c r="M110" s="2" t="s">
        <v>31</v>
      </c>
      <c r="N110" s="4" t="s">
        <v>495</v>
      </c>
      <c r="O110" s="4" t="s">
        <v>173</v>
      </c>
      <c r="P110" s="4" t="s">
        <v>34</v>
      </c>
      <c r="Q110" s="157">
        <v>254504</v>
      </c>
      <c r="R110" s="175">
        <v>1</v>
      </c>
      <c r="S110" s="177">
        <v>3729</v>
      </c>
      <c r="U110" s="157">
        <v>9490.4539999999997</v>
      </c>
      <c r="V110" s="174">
        <v>1.9100000000000001E-4</v>
      </c>
      <c r="W110" s="174">
        <v>4.1465406948472699E-2</v>
      </c>
      <c r="X110" s="174">
        <v>5.2046467213051999E-3</v>
      </c>
    </row>
    <row r="111" spans="1:24">
      <c r="A111" s="4">
        <v>161</v>
      </c>
      <c r="B111" s="4">
        <v>9943</v>
      </c>
      <c r="C111" s="4" t="s">
        <v>1715</v>
      </c>
      <c r="D111" s="4" t="s">
        <v>1716</v>
      </c>
      <c r="E111" s="4" t="s">
        <v>1363</v>
      </c>
      <c r="F111" s="4" t="s">
        <v>1717</v>
      </c>
      <c r="G111" s="4" t="s">
        <v>1718</v>
      </c>
      <c r="H111" s="4" t="s">
        <v>223</v>
      </c>
      <c r="I111" s="4" t="s">
        <v>978</v>
      </c>
      <c r="J111" s="4" t="s">
        <v>30</v>
      </c>
      <c r="K111" s="4" t="s">
        <v>30</v>
      </c>
      <c r="L111" s="2" t="s">
        <v>377</v>
      </c>
      <c r="M111" s="2" t="s">
        <v>31</v>
      </c>
      <c r="N111" s="4" t="s">
        <v>523</v>
      </c>
      <c r="O111" s="4" t="s">
        <v>173</v>
      </c>
      <c r="P111" s="4" t="s">
        <v>34</v>
      </c>
      <c r="Q111" s="157">
        <v>7658</v>
      </c>
      <c r="R111" s="175">
        <v>1</v>
      </c>
      <c r="S111" s="177">
        <v>28150</v>
      </c>
      <c r="U111" s="157">
        <v>2155.7269999999999</v>
      </c>
      <c r="V111" s="174">
        <v>5.5500000000000005E-4</v>
      </c>
      <c r="W111" s="174">
        <v>9.4187375880871692E-3</v>
      </c>
      <c r="X111" s="174">
        <v>1.18221923560496E-3</v>
      </c>
    </row>
    <row r="112" spans="1:24">
      <c r="A112" s="4">
        <v>161</v>
      </c>
      <c r="B112" s="4">
        <v>9943</v>
      </c>
      <c r="C112" s="4" t="s">
        <v>1719</v>
      </c>
      <c r="D112" s="4" t="s">
        <v>1720</v>
      </c>
      <c r="E112" s="4" t="s">
        <v>1363</v>
      </c>
      <c r="F112" s="4" t="s">
        <v>1721</v>
      </c>
      <c r="G112" s="4" t="s">
        <v>1722</v>
      </c>
      <c r="H112" s="4" t="s">
        <v>223</v>
      </c>
      <c r="I112" s="4" t="s">
        <v>978</v>
      </c>
      <c r="J112" s="4" t="s">
        <v>30</v>
      </c>
      <c r="K112" s="4" t="s">
        <v>30</v>
      </c>
      <c r="L112" s="2" t="s">
        <v>377</v>
      </c>
      <c r="M112" s="2" t="s">
        <v>31</v>
      </c>
      <c r="N112" s="4" t="s">
        <v>524</v>
      </c>
      <c r="O112" s="4" t="s">
        <v>173</v>
      </c>
      <c r="P112" s="4" t="s">
        <v>34</v>
      </c>
      <c r="Q112" s="157">
        <v>8801</v>
      </c>
      <c r="R112" s="175">
        <v>1</v>
      </c>
      <c r="S112" s="177">
        <v>29830</v>
      </c>
      <c r="U112" s="157">
        <v>2625.3380000000002</v>
      </c>
      <c r="V112" s="174">
        <v>5.7399999999999997E-4</v>
      </c>
      <c r="W112" s="174">
        <v>1.14705491593578E-2</v>
      </c>
      <c r="X112" s="174">
        <v>1.4397581132631399E-3</v>
      </c>
    </row>
    <row r="113" spans="1:24">
      <c r="A113" s="4">
        <v>161</v>
      </c>
      <c r="B113" s="4">
        <v>9943</v>
      </c>
      <c r="C113" s="4" t="s">
        <v>1723</v>
      </c>
      <c r="D113" s="4" t="s">
        <v>1724</v>
      </c>
      <c r="E113" s="4" t="s">
        <v>1363</v>
      </c>
      <c r="F113" s="4" t="s">
        <v>1725</v>
      </c>
      <c r="G113" s="4" t="s">
        <v>1726</v>
      </c>
      <c r="H113" s="4" t="s">
        <v>223</v>
      </c>
      <c r="I113" s="4" t="s">
        <v>978</v>
      </c>
      <c r="J113" s="4" t="s">
        <v>30</v>
      </c>
      <c r="K113" s="4" t="s">
        <v>350</v>
      </c>
      <c r="L113" s="2" t="s">
        <v>377</v>
      </c>
      <c r="M113" s="2" t="s">
        <v>31</v>
      </c>
      <c r="N113" s="4" t="s">
        <v>505</v>
      </c>
      <c r="O113" s="4" t="s">
        <v>173</v>
      </c>
      <c r="P113" s="4" t="s">
        <v>34</v>
      </c>
      <c r="Q113" s="157">
        <v>1193</v>
      </c>
      <c r="R113" s="175">
        <v>1</v>
      </c>
      <c r="S113" s="177">
        <v>29980</v>
      </c>
      <c r="U113" s="157">
        <v>357.661</v>
      </c>
      <c r="V113" s="174">
        <v>2.6999999999999999E-5</v>
      </c>
      <c r="W113" s="174">
        <v>1.56268343439957E-3</v>
      </c>
      <c r="X113" s="174">
        <v>1.9614458923295901E-4</v>
      </c>
    </row>
    <row r="114" spans="1:24">
      <c r="A114" s="4">
        <v>161</v>
      </c>
      <c r="B114" s="4">
        <v>9943</v>
      </c>
      <c r="C114" s="4" t="s">
        <v>1727</v>
      </c>
      <c r="D114" s="4" t="s">
        <v>1728</v>
      </c>
      <c r="E114" s="4" t="s">
        <v>364</v>
      </c>
      <c r="F114" s="4" t="s">
        <v>1729</v>
      </c>
      <c r="G114" s="4" t="s">
        <v>1730</v>
      </c>
      <c r="H114" s="4" t="s">
        <v>223</v>
      </c>
      <c r="I114" s="4" t="s">
        <v>978</v>
      </c>
      <c r="J114" s="4" t="s">
        <v>30</v>
      </c>
      <c r="K114" s="4" t="s">
        <v>30</v>
      </c>
      <c r="L114" s="2" t="s">
        <v>377</v>
      </c>
      <c r="M114" s="2" t="s">
        <v>31</v>
      </c>
      <c r="N114" s="4" t="s">
        <v>501</v>
      </c>
      <c r="O114" s="4" t="s">
        <v>173</v>
      </c>
      <c r="P114" s="4" t="s">
        <v>34</v>
      </c>
      <c r="Q114" s="157">
        <v>69416</v>
      </c>
      <c r="R114" s="175">
        <v>1</v>
      </c>
      <c r="S114" s="177">
        <v>303</v>
      </c>
      <c r="U114" s="157">
        <v>210.33</v>
      </c>
      <c r="V114" s="174">
        <v>6.2000000000000003E-5</v>
      </c>
      <c r="W114" s="174">
        <v>9.1896960881244095E-4</v>
      </c>
      <c r="X114" s="174">
        <v>1.15347045006174E-4</v>
      </c>
    </row>
    <row r="115" spans="1:24">
      <c r="A115" s="4">
        <v>161</v>
      </c>
      <c r="B115" s="4">
        <v>9943</v>
      </c>
      <c r="C115" s="4" t="s">
        <v>1783</v>
      </c>
      <c r="D115" s="4" t="s">
        <v>1784</v>
      </c>
      <c r="E115" s="4" t="s">
        <v>1363</v>
      </c>
      <c r="F115" s="4" t="s">
        <v>1785</v>
      </c>
      <c r="G115" s="4" t="s">
        <v>1786</v>
      </c>
      <c r="H115" s="4" t="s">
        <v>223</v>
      </c>
      <c r="I115" s="4" t="s">
        <v>978</v>
      </c>
      <c r="J115" s="4" t="s">
        <v>30</v>
      </c>
      <c r="K115" s="4" t="s">
        <v>30</v>
      </c>
      <c r="L115" s="2" t="s">
        <v>377</v>
      </c>
      <c r="M115" s="2" t="s">
        <v>31</v>
      </c>
      <c r="N115" s="4" t="s">
        <v>494</v>
      </c>
      <c r="O115" s="4" t="s">
        <v>173</v>
      </c>
      <c r="P115" s="4" t="s">
        <v>34</v>
      </c>
      <c r="Q115" s="157">
        <v>174511</v>
      </c>
      <c r="R115" s="175">
        <v>1</v>
      </c>
      <c r="S115" s="177">
        <v>1740</v>
      </c>
      <c r="U115" s="157">
        <v>3036.491</v>
      </c>
      <c r="V115" s="174">
        <v>6.2500000000000001E-4</v>
      </c>
      <c r="W115" s="174">
        <v>1.3266946920961401E-2</v>
      </c>
      <c r="X115" s="174">
        <v>1.66523801104176E-3</v>
      </c>
    </row>
    <row r="116" spans="1:24">
      <c r="A116" s="4">
        <v>161</v>
      </c>
      <c r="B116" s="4">
        <v>9943</v>
      </c>
      <c r="C116" s="4" t="s">
        <v>1787</v>
      </c>
      <c r="D116" s="4" t="s">
        <v>1788</v>
      </c>
      <c r="E116" s="4" t="s">
        <v>1363</v>
      </c>
      <c r="F116" s="4" t="s">
        <v>1789</v>
      </c>
      <c r="G116" s="4" t="s">
        <v>1790</v>
      </c>
      <c r="H116" s="4" t="s">
        <v>223</v>
      </c>
      <c r="I116" s="4" t="s">
        <v>978</v>
      </c>
      <c r="J116" s="4" t="s">
        <v>30</v>
      </c>
      <c r="K116" s="4" t="s">
        <v>30</v>
      </c>
      <c r="L116" s="2" t="s">
        <v>377</v>
      </c>
      <c r="M116" s="2" t="s">
        <v>31</v>
      </c>
      <c r="N116" s="4" t="s">
        <v>494</v>
      </c>
      <c r="O116" s="4" t="s">
        <v>173</v>
      </c>
      <c r="P116" s="4" t="s">
        <v>34</v>
      </c>
      <c r="Q116" s="157">
        <v>199504</v>
      </c>
      <c r="R116" s="175">
        <v>1</v>
      </c>
      <c r="S116" s="177">
        <v>1657</v>
      </c>
      <c r="U116" s="157">
        <v>3305.7809999999999</v>
      </c>
      <c r="V116" s="174">
        <v>1.1608E-2</v>
      </c>
      <c r="W116" s="174">
        <v>1.4443520167410301E-2</v>
      </c>
      <c r="X116" s="174">
        <v>1.81291889832005E-3</v>
      </c>
    </row>
    <row r="117" spans="1:24">
      <c r="A117" s="4">
        <v>161</v>
      </c>
      <c r="B117" s="4">
        <v>9943</v>
      </c>
      <c r="C117" s="4" t="s">
        <v>1624</v>
      </c>
      <c r="D117" s="4" t="s">
        <v>1625</v>
      </c>
      <c r="E117" s="4" t="s">
        <v>365</v>
      </c>
      <c r="F117" s="4" t="s">
        <v>1626</v>
      </c>
      <c r="G117" s="4" t="s">
        <v>1627</v>
      </c>
      <c r="H117" s="4" t="s">
        <v>223</v>
      </c>
      <c r="I117" s="4" t="s">
        <v>978</v>
      </c>
      <c r="J117" s="4" t="s">
        <v>30</v>
      </c>
      <c r="K117" s="4" t="s">
        <v>91</v>
      </c>
      <c r="L117" s="2" t="s">
        <v>377</v>
      </c>
      <c r="M117" s="2" t="s">
        <v>31</v>
      </c>
      <c r="N117" s="4" t="s">
        <v>488</v>
      </c>
      <c r="O117" s="4" t="s">
        <v>173</v>
      </c>
      <c r="P117" s="4" t="s">
        <v>34</v>
      </c>
      <c r="Q117" s="157">
        <v>115</v>
      </c>
      <c r="R117" s="175">
        <v>1</v>
      </c>
      <c r="S117" s="177">
        <v>28560</v>
      </c>
      <c r="U117" s="157">
        <v>32.844000000000001</v>
      </c>
      <c r="V117" s="174">
        <v>1.9999999999999999E-6</v>
      </c>
      <c r="W117" s="174">
        <v>1.4350101721745601E-4</v>
      </c>
      <c r="X117" s="174">
        <v>1.8011932203942901E-5</v>
      </c>
    </row>
    <row r="118" spans="1:24">
      <c r="A118" s="4">
        <v>161</v>
      </c>
      <c r="B118" s="4">
        <v>9943</v>
      </c>
      <c r="C118" s="4" t="s">
        <v>1791</v>
      </c>
      <c r="D118" s="4" t="s">
        <v>1792</v>
      </c>
      <c r="E118" s="4" t="s">
        <v>1363</v>
      </c>
      <c r="F118" s="4" t="s">
        <v>1793</v>
      </c>
      <c r="G118" s="4" t="s">
        <v>1794</v>
      </c>
      <c r="H118" s="4" t="s">
        <v>223</v>
      </c>
      <c r="I118" s="4" t="s">
        <v>978</v>
      </c>
      <c r="J118" s="4" t="s">
        <v>30</v>
      </c>
      <c r="K118" s="4" t="s">
        <v>30</v>
      </c>
      <c r="L118" s="2" t="s">
        <v>377</v>
      </c>
      <c r="M118" s="2" t="s">
        <v>31</v>
      </c>
      <c r="N118" s="4" t="s">
        <v>494</v>
      </c>
      <c r="O118" s="4" t="s">
        <v>173</v>
      </c>
      <c r="P118" s="4" t="s">
        <v>34</v>
      </c>
      <c r="Q118" s="157">
        <v>2893</v>
      </c>
      <c r="R118" s="175">
        <v>1</v>
      </c>
      <c r="S118" s="177">
        <v>1750</v>
      </c>
      <c r="U118" s="157">
        <v>50.627000000000002</v>
      </c>
      <c r="V118" s="174">
        <v>1.4E-5</v>
      </c>
      <c r="W118" s="174">
        <v>2.21200150687394E-4</v>
      </c>
      <c r="X118" s="174">
        <v>2.7764556620847599E-5</v>
      </c>
    </row>
    <row r="119" spans="1:24">
      <c r="A119" s="4">
        <v>161</v>
      </c>
      <c r="B119" s="4">
        <v>9943</v>
      </c>
      <c r="C119" s="4" t="s">
        <v>1795</v>
      </c>
      <c r="D119" s="4" t="s">
        <v>1796</v>
      </c>
      <c r="E119" s="4" t="s">
        <v>1363</v>
      </c>
      <c r="F119" s="4" t="s">
        <v>1797</v>
      </c>
      <c r="G119" s="4" t="s">
        <v>1798</v>
      </c>
      <c r="H119" s="4" t="s">
        <v>223</v>
      </c>
      <c r="I119" s="4" t="s">
        <v>978</v>
      </c>
      <c r="J119" s="4" t="s">
        <v>30</v>
      </c>
      <c r="K119" s="4" t="s">
        <v>30</v>
      </c>
      <c r="L119" s="2" t="s">
        <v>377</v>
      </c>
      <c r="M119" s="2" t="s">
        <v>31</v>
      </c>
      <c r="N119" s="4" t="s">
        <v>503</v>
      </c>
      <c r="O119" s="4" t="s">
        <v>173</v>
      </c>
      <c r="P119" s="4" t="s">
        <v>34</v>
      </c>
      <c r="Q119" s="157">
        <v>7757</v>
      </c>
      <c r="R119" s="175">
        <v>1</v>
      </c>
      <c r="S119" s="177">
        <v>1588</v>
      </c>
      <c r="U119" s="157">
        <v>123.181</v>
      </c>
      <c r="V119" s="174">
        <v>6.0000000000000002E-6</v>
      </c>
      <c r="W119" s="174">
        <v>5.3819942035154703E-4</v>
      </c>
      <c r="X119" s="174">
        <v>6.7553608047833501E-5</v>
      </c>
    </row>
    <row r="120" spans="1:24">
      <c r="A120" s="4">
        <v>161</v>
      </c>
      <c r="B120" s="4">
        <v>9943</v>
      </c>
      <c r="C120" s="4" t="s">
        <v>1799</v>
      </c>
      <c r="D120" s="4" t="s">
        <v>1800</v>
      </c>
      <c r="E120" s="4" t="s">
        <v>1363</v>
      </c>
      <c r="F120" s="4" t="s">
        <v>1801</v>
      </c>
      <c r="G120" s="4" t="s">
        <v>1802</v>
      </c>
      <c r="H120" s="4" t="s">
        <v>223</v>
      </c>
      <c r="I120" s="4" t="s">
        <v>978</v>
      </c>
      <c r="J120" s="4" t="s">
        <v>30</v>
      </c>
      <c r="K120" s="4" t="s">
        <v>30</v>
      </c>
      <c r="L120" s="2" t="s">
        <v>377</v>
      </c>
      <c r="M120" s="2" t="s">
        <v>31</v>
      </c>
      <c r="N120" s="4" t="s">
        <v>508</v>
      </c>
      <c r="O120" s="4" t="s">
        <v>173</v>
      </c>
      <c r="P120" s="4" t="s">
        <v>34</v>
      </c>
      <c r="Q120" s="157">
        <v>459</v>
      </c>
      <c r="R120" s="175">
        <v>1</v>
      </c>
      <c r="S120" s="177">
        <v>7743</v>
      </c>
      <c r="U120" s="157">
        <v>35.54</v>
      </c>
      <c r="V120" s="174">
        <v>2.6999999999999999E-5</v>
      </c>
      <c r="W120" s="174">
        <v>1.5528191594460999E-4</v>
      </c>
      <c r="X120" s="174">
        <v>1.9490644712673399E-5</v>
      </c>
    </row>
    <row r="121" spans="1:24">
      <c r="A121" s="4">
        <v>161</v>
      </c>
      <c r="B121" s="4">
        <v>9943</v>
      </c>
      <c r="C121" s="4" t="s">
        <v>1628</v>
      </c>
      <c r="D121" s="4" t="s">
        <v>1629</v>
      </c>
      <c r="E121" s="4" t="s">
        <v>1363</v>
      </c>
      <c r="F121" s="4" t="s">
        <v>1630</v>
      </c>
      <c r="G121" s="4" t="s">
        <v>1631</v>
      </c>
      <c r="H121" s="4" t="s">
        <v>223</v>
      </c>
      <c r="I121" s="4" t="s">
        <v>978</v>
      </c>
      <c r="J121" s="4" t="s">
        <v>30</v>
      </c>
      <c r="K121" s="4" t="s">
        <v>30</v>
      </c>
      <c r="L121" s="2" t="s">
        <v>377</v>
      </c>
      <c r="M121" s="2" t="s">
        <v>31</v>
      </c>
      <c r="N121" s="4" t="s">
        <v>493</v>
      </c>
      <c r="O121" s="4" t="s">
        <v>173</v>
      </c>
      <c r="P121" s="4" t="s">
        <v>34</v>
      </c>
      <c r="Q121" s="157">
        <v>6200</v>
      </c>
      <c r="R121" s="175">
        <v>1</v>
      </c>
      <c r="S121" s="177">
        <v>74080</v>
      </c>
      <c r="U121" s="157">
        <v>4592.96</v>
      </c>
      <c r="V121" s="174">
        <v>1.3899999999999999E-4</v>
      </c>
      <c r="W121" s="174">
        <v>2.0067422726802099E-2</v>
      </c>
      <c r="X121" s="174">
        <v>2.5188187838089599E-3</v>
      </c>
    </row>
    <row r="122" spans="1:24">
      <c r="A122" s="4">
        <v>161</v>
      </c>
      <c r="B122" s="4">
        <v>9943</v>
      </c>
      <c r="C122" s="4" t="s">
        <v>1803</v>
      </c>
      <c r="D122" s="4" t="s">
        <v>1804</v>
      </c>
      <c r="E122" s="4" t="s">
        <v>1363</v>
      </c>
      <c r="F122" s="4" t="s">
        <v>1805</v>
      </c>
      <c r="G122" s="4" t="s">
        <v>1806</v>
      </c>
      <c r="H122" s="4" t="s">
        <v>223</v>
      </c>
      <c r="I122" s="4" t="s">
        <v>978</v>
      </c>
      <c r="J122" s="4" t="s">
        <v>30</v>
      </c>
      <c r="K122" s="4" t="s">
        <v>30</v>
      </c>
      <c r="L122" s="2" t="s">
        <v>377</v>
      </c>
      <c r="M122" s="2" t="s">
        <v>31</v>
      </c>
      <c r="N122" s="4" t="s">
        <v>512</v>
      </c>
      <c r="O122" s="4" t="s">
        <v>173</v>
      </c>
      <c r="P122" s="4" t="s">
        <v>34</v>
      </c>
      <c r="Q122" s="157">
        <v>3256</v>
      </c>
      <c r="R122" s="175">
        <v>1</v>
      </c>
      <c r="S122" s="177">
        <v>4288</v>
      </c>
      <c r="U122" s="157">
        <v>139.61699999999999</v>
      </c>
      <c r="V122" s="174">
        <v>5.3999999999999998E-5</v>
      </c>
      <c r="W122" s="174">
        <v>6.1001162163970199E-4</v>
      </c>
      <c r="X122" s="174">
        <v>7.6567317679299506E-5</v>
      </c>
    </row>
    <row r="123" spans="1:24">
      <c r="A123" s="4">
        <v>161</v>
      </c>
      <c r="B123" s="4">
        <v>9943</v>
      </c>
      <c r="C123" s="4" t="s">
        <v>1807</v>
      </c>
      <c r="D123" s="4" t="s">
        <v>1808</v>
      </c>
      <c r="E123" s="4" t="s">
        <v>1363</v>
      </c>
      <c r="F123" s="4" t="s">
        <v>1809</v>
      </c>
      <c r="G123" s="4" t="s">
        <v>1810</v>
      </c>
      <c r="H123" s="4" t="s">
        <v>223</v>
      </c>
      <c r="I123" s="4" t="s">
        <v>978</v>
      </c>
      <c r="J123" s="4" t="s">
        <v>30</v>
      </c>
      <c r="K123" s="4" t="s">
        <v>30</v>
      </c>
      <c r="L123" s="2" t="s">
        <v>377</v>
      </c>
      <c r="M123" s="2" t="s">
        <v>31</v>
      </c>
      <c r="N123" s="4" t="s">
        <v>523</v>
      </c>
      <c r="O123" s="4" t="s">
        <v>173</v>
      </c>
      <c r="P123" s="4" t="s">
        <v>34</v>
      </c>
      <c r="Q123" s="157">
        <v>5000</v>
      </c>
      <c r="R123" s="175">
        <v>1</v>
      </c>
      <c r="S123" s="177">
        <v>7280</v>
      </c>
      <c r="U123" s="157">
        <v>364</v>
      </c>
      <c r="V123" s="174">
        <v>2.1699999999999999E-4</v>
      </c>
      <c r="W123" s="174">
        <v>1.5903778549249199E-3</v>
      </c>
      <c r="X123" s="174">
        <v>1.99620732013007E-4</v>
      </c>
    </row>
    <row r="124" spans="1:24">
      <c r="A124" s="4">
        <v>161</v>
      </c>
      <c r="B124" s="4">
        <v>9943</v>
      </c>
      <c r="C124" s="4" t="s">
        <v>1636</v>
      </c>
      <c r="D124" s="4" t="s">
        <v>1637</v>
      </c>
      <c r="E124" s="4" t="s">
        <v>1363</v>
      </c>
      <c r="F124" s="4" t="s">
        <v>1638</v>
      </c>
      <c r="G124" s="4" t="s">
        <v>1639</v>
      </c>
      <c r="H124" s="4" t="s">
        <v>223</v>
      </c>
      <c r="I124" s="4" t="s">
        <v>978</v>
      </c>
      <c r="J124" s="4" t="s">
        <v>30</v>
      </c>
      <c r="K124" s="4" t="s">
        <v>30</v>
      </c>
      <c r="L124" s="2" t="s">
        <v>377</v>
      </c>
      <c r="M124" s="2" t="s">
        <v>31</v>
      </c>
      <c r="N124" s="4" t="s">
        <v>511</v>
      </c>
      <c r="O124" s="4" t="s">
        <v>173</v>
      </c>
      <c r="P124" s="4" t="s">
        <v>34</v>
      </c>
      <c r="Q124" s="157">
        <v>5290</v>
      </c>
      <c r="R124" s="175">
        <v>1</v>
      </c>
      <c r="S124" s="177">
        <v>1609</v>
      </c>
      <c r="U124" s="157">
        <v>85.116</v>
      </c>
      <c r="V124" s="174">
        <v>1.1E-5</v>
      </c>
      <c r="W124" s="174">
        <v>3.7188670477355699E-4</v>
      </c>
      <c r="X124" s="174">
        <v>4.6678401615638298E-5</v>
      </c>
    </row>
    <row r="125" spans="1:24">
      <c r="A125" s="4">
        <v>161</v>
      </c>
      <c r="B125" s="4">
        <v>9943</v>
      </c>
      <c r="C125" s="4" t="s">
        <v>1640</v>
      </c>
      <c r="D125" s="4" t="s">
        <v>1641</v>
      </c>
      <c r="E125" s="4" t="s">
        <v>1363</v>
      </c>
      <c r="F125" s="4" t="s">
        <v>1642</v>
      </c>
      <c r="G125" s="4" t="s">
        <v>1643</v>
      </c>
      <c r="H125" s="4" t="s">
        <v>223</v>
      </c>
      <c r="I125" s="4" t="s">
        <v>978</v>
      </c>
      <c r="J125" s="4" t="s">
        <v>30</v>
      </c>
      <c r="K125" s="4" t="s">
        <v>91</v>
      </c>
      <c r="L125" s="2" t="s">
        <v>377</v>
      </c>
      <c r="M125" s="2" t="s">
        <v>31</v>
      </c>
      <c r="N125" s="4" t="s">
        <v>488</v>
      </c>
      <c r="O125" s="4" t="s">
        <v>173</v>
      </c>
      <c r="P125" s="4" t="s">
        <v>34</v>
      </c>
      <c r="Q125" s="157">
        <v>3183.8</v>
      </c>
      <c r="R125" s="175">
        <v>1</v>
      </c>
      <c r="S125" s="177">
        <v>6254</v>
      </c>
      <c r="U125" s="157">
        <v>199.11500000000001</v>
      </c>
      <c r="V125" s="174">
        <v>2.6999999999999999E-5</v>
      </c>
      <c r="W125" s="174">
        <v>8.6996662419629796E-4</v>
      </c>
      <c r="X125" s="174">
        <v>1.09196298106873E-4</v>
      </c>
    </row>
    <row r="126" spans="1:24">
      <c r="A126" s="4">
        <v>161</v>
      </c>
      <c r="B126" s="4">
        <v>9943</v>
      </c>
      <c r="C126" s="4" t="s">
        <v>1811</v>
      </c>
      <c r="D126" s="4" t="s">
        <v>1812</v>
      </c>
      <c r="E126" s="4" t="s">
        <v>365</v>
      </c>
      <c r="F126" s="4" t="s">
        <v>1813</v>
      </c>
      <c r="G126" s="4" t="s">
        <v>1814</v>
      </c>
      <c r="H126" s="4" t="s">
        <v>223</v>
      </c>
      <c r="I126" s="4" t="s">
        <v>978</v>
      </c>
      <c r="J126" s="4" t="s">
        <v>30</v>
      </c>
      <c r="K126" s="4" t="s">
        <v>287</v>
      </c>
      <c r="L126" s="2" t="s">
        <v>377</v>
      </c>
      <c r="M126" s="2" t="s">
        <v>31</v>
      </c>
      <c r="N126" s="4" t="s">
        <v>501</v>
      </c>
      <c r="O126" s="4" t="s">
        <v>173</v>
      </c>
      <c r="P126" s="4" t="s">
        <v>34</v>
      </c>
      <c r="Q126" s="157">
        <v>968</v>
      </c>
      <c r="R126" s="175">
        <v>1</v>
      </c>
      <c r="S126" s="177">
        <v>4556</v>
      </c>
      <c r="T126" s="156">
        <v>1.0669999999999999</v>
      </c>
      <c r="U126" s="157">
        <v>45.168999999999997</v>
      </c>
      <c r="V126" s="174">
        <v>5.0000000000000004E-6</v>
      </c>
      <c r="W126" s="174">
        <v>1.9735204152750101E-4</v>
      </c>
      <c r="X126" s="174">
        <v>2.4771194387538202E-5</v>
      </c>
    </row>
    <row r="127" spans="1:24">
      <c r="A127" s="4">
        <v>161</v>
      </c>
      <c r="B127" s="4">
        <v>9943</v>
      </c>
      <c r="C127" s="4" t="s">
        <v>1644</v>
      </c>
      <c r="D127" s="4" t="s">
        <v>1645</v>
      </c>
      <c r="E127" s="4" t="s">
        <v>1363</v>
      </c>
      <c r="F127" s="4" t="s">
        <v>1646</v>
      </c>
      <c r="G127" s="4" t="s">
        <v>1647</v>
      </c>
      <c r="H127" s="4" t="s">
        <v>223</v>
      </c>
      <c r="I127" s="4" t="s">
        <v>978</v>
      </c>
      <c r="J127" s="4" t="s">
        <v>30</v>
      </c>
      <c r="K127" s="4" t="s">
        <v>30</v>
      </c>
      <c r="L127" s="2" t="s">
        <v>377</v>
      </c>
      <c r="M127" s="2" t="s">
        <v>31</v>
      </c>
      <c r="N127" s="4" t="s">
        <v>488</v>
      </c>
      <c r="O127" s="4" t="s">
        <v>173</v>
      </c>
      <c r="P127" s="4" t="s">
        <v>34</v>
      </c>
      <c r="Q127" s="157">
        <v>10490</v>
      </c>
      <c r="R127" s="175">
        <v>1</v>
      </c>
      <c r="S127" s="177">
        <v>1348</v>
      </c>
      <c r="U127" s="157">
        <v>141.405</v>
      </c>
      <c r="V127" s="174">
        <v>1.9000000000000001E-5</v>
      </c>
      <c r="W127" s="174">
        <v>6.1782334794293703E-4</v>
      </c>
      <c r="X127" s="174">
        <v>7.7547828391334405E-5</v>
      </c>
    </row>
    <row r="128" spans="1:24">
      <c r="A128" s="4">
        <v>161</v>
      </c>
      <c r="B128" s="4">
        <v>9943</v>
      </c>
      <c r="C128" s="4" t="s">
        <v>1648</v>
      </c>
      <c r="D128" s="4" t="s">
        <v>1649</v>
      </c>
      <c r="E128" s="4" t="s">
        <v>1363</v>
      </c>
      <c r="F128" s="4" t="s">
        <v>1650</v>
      </c>
      <c r="G128" s="4" t="s">
        <v>1651</v>
      </c>
      <c r="H128" s="4" t="s">
        <v>223</v>
      </c>
      <c r="I128" s="4" t="s">
        <v>978</v>
      </c>
      <c r="J128" s="4" t="s">
        <v>30</v>
      </c>
      <c r="K128" s="4" t="s">
        <v>30</v>
      </c>
      <c r="L128" s="2" t="s">
        <v>377</v>
      </c>
      <c r="M128" s="2" t="s">
        <v>31</v>
      </c>
      <c r="N128" s="4" t="s">
        <v>494</v>
      </c>
      <c r="O128" s="4" t="s">
        <v>173</v>
      </c>
      <c r="P128" s="4" t="s">
        <v>34</v>
      </c>
      <c r="Q128" s="157">
        <v>172</v>
      </c>
      <c r="R128" s="175">
        <v>1</v>
      </c>
      <c r="S128" s="177">
        <v>24250</v>
      </c>
      <c r="U128" s="157">
        <v>41.71</v>
      </c>
      <c r="V128" s="174">
        <v>1.4E-5</v>
      </c>
      <c r="W128" s="174">
        <v>1.8223807782669901E-4</v>
      </c>
      <c r="X128" s="174">
        <v>2.28741228908312E-5</v>
      </c>
    </row>
    <row r="129" spans="1:24">
      <c r="A129" s="4">
        <v>161</v>
      </c>
      <c r="B129" s="4">
        <v>9943</v>
      </c>
      <c r="C129" s="4" t="s">
        <v>1815</v>
      </c>
      <c r="D129" s="4" t="s">
        <v>1816</v>
      </c>
      <c r="E129" s="4" t="s">
        <v>365</v>
      </c>
      <c r="F129" s="4" t="s">
        <v>1815</v>
      </c>
      <c r="G129" s="4" t="s">
        <v>1817</v>
      </c>
      <c r="H129" s="4" t="s">
        <v>223</v>
      </c>
      <c r="I129" s="4" t="s">
        <v>978</v>
      </c>
      <c r="J129" s="4" t="s">
        <v>30</v>
      </c>
      <c r="K129" s="4" t="s">
        <v>292</v>
      </c>
      <c r="L129" s="2" t="s">
        <v>377</v>
      </c>
      <c r="M129" s="2" t="s">
        <v>31</v>
      </c>
      <c r="N129" s="4" t="s">
        <v>512</v>
      </c>
      <c r="O129" s="4" t="s">
        <v>173</v>
      </c>
      <c r="P129" s="4" t="s">
        <v>34</v>
      </c>
      <c r="Q129" s="157">
        <v>991</v>
      </c>
      <c r="R129" s="175">
        <v>1</v>
      </c>
      <c r="S129" s="177">
        <v>9080</v>
      </c>
      <c r="U129" s="157">
        <v>89.983000000000004</v>
      </c>
      <c r="V129" s="174">
        <v>5.5000000000000002E-5</v>
      </c>
      <c r="W129" s="174">
        <v>3.93150144077302E-4</v>
      </c>
      <c r="X129" s="174">
        <v>4.9347341770824302E-5</v>
      </c>
    </row>
    <row r="130" spans="1:24">
      <c r="A130" s="4">
        <v>161</v>
      </c>
      <c r="B130" s="4">
        <v>9943</v>
      </c>
      <c r="C130" s="4" t="s">
        <v>1818</v>
      </c>
      <c r="D130" s="4" t="s">
        <v>1819</v>
      </c>
      <c r="E130" s="4" t="s">
        <v>1363</v>
      </c>
      <c r="F130" s="4" t="s">
        <v>1820</v>
      </c>
      <c r="G130" s="4" t="s">
        <v>1821</v>
      </c>
      <c r="H130" s="4" t="s">
        <v>223</v>
      </c>
      <c r="I130" s="4" t="s">
        <v>978</v>
      </c>
      <c r="J130" s="4" t="s">
        <v>30</v>
      </c>
      <c r="K130" s="4" t="s">
        <v>30</v>
      </c>
      <c r="L130" s="2" t="s">
        <v>377</v>
      </c>
      <c r="M130" s="2" t="s">
        <v>31</v>
      </c>
      <c r="N130" s="4" t="s">
        <v>494</v>
      </c>
      <c r="O130" s="4" t="s">
        <v>173</v>
      </c>
      <c r="P130" s="4" t="s">
        <v>34</v>
      </c>
      <c r="Q130" s="157">
        <v>40000</v>
      </c>
      <c r="R130" s="175">
        <v>1</v>
      </c>
      <c r="S130" s="177">
        <v>5176</v>
      </c>
      <c r="U130" s="157">
        <v>2070.4</v>
      </c>
      <c r="V130" s="174">
        <v>3.9399999999999998E-4</v>
      </c>
      <c r="W130" s="174">
        <v>9.0459294253751408E-3</v>
      </c>
      <c r="X130" s="174">
        <v>1.13542517461464E-3</v>
      </c>
    </row>
    <row r="131" spans="1:24">
      <c r="A131" s="4">
        <v>161</v>
      </c>
      <c r="B131" s="4">
        <v>9943</v>
      </c>
      <c r="C131" s="4" t="s">
        <v>1652</v>
      </c>
      <c r="D131" s="4" t="s">
        <v>1653</v>
      </c>
      <c r="E131" s="4" t="s">
        <v>1363</v>
      </c>
      <c r="F131" s="4" t="s">
        <v>1654</v>
      </c>
      <c r="G131" s="4" t="s">
        <v>1655</v>
      </c>
      <c r="H131" s="4" t="s">
        <v>223</v>
      </c>
      <c r="I131" s="4" t="s">
        <v>978</v>
      </c>
      <c r="J131" s="4" t="s">
        <v>30</v>
      </c>
      <c r="K131" s="4" t="s">
        <v>30</v>
      </c>
      <c r="L131" s="2" t="s">
        <v>377</v>
      </c>
      <c r="M131" s="2" t="s">
        <v>31</v>
      </c>
      <c r="N131" s="4" t="s">
        <v>532</v>
      </c>
      <c r="O131" s="4" t="s">
        <v>173</v>
      </c>
      <c r="P131" s="4" t="s">
        <v>34</v>
      </c>
      <c r="Q131" s="157">
        <v>47881</v>
      </c>
      <c r="R131" s="175">
        <v>1</v>
      </c>
      <c r="S131" s="177">
        <v>428.6</v>
      </c>
      <c r="T131" s="156">
        <v>7.032</v>
      </c>
      <c r="U131" s="157">
        <v>212.25</v>
      </c>
      <c r="V131" s="174">
        <v>1.7E-5</v>
      </c>
      <c r="W131" s="174">
        <v>9.2735555764304203E-4</v>
      </c>
      <c r="X131" s="174">
        <v>1.16399630867455E-4</v>
      </c>
    </row>
    <row r="132" spans="1:24">
      <c r="A132" s="4">
        <v>161</v>
      </c>
      <c r="B132" s="4">
        <v>9943</v>
      </c>
      <c r="C132" s="4" t="s">
        <v>1822</v>
      </c>
      <c r="D132" s="4" t="s">
        <v>1823</v>
      </c>
      <c r="E132" s="4" t="s">
        <v>1363</v>
      </c>
      <c r="F132" s="4" t="s">
        <v>1824</v>
      </c>
      <c r="G132" s="4" t="s">
        <v>1825</v>
      </c>
      <c r="H132" s="4" t="s">
        <v>223</v>
      </c>
      <c r="I132" s="4" t="s">
        <v>978</v>
      </c>
      <c r="J132" s="4" t="s">
        <v>30</v>
      </c>
      <c r="K132" s="4" t="s">
        <v>30</v>
      </c>
      <c r="L132" s="2" t="s">
        <v>377</v>
      </c>
      <c r="M132" s="2" t="s">
        <v>31</v>
      </c>
      <c r="N132" s="4" t="s">
        <v>511</v>
      </c>
      <c r="O132" s="4" t="s">
        <v>173</v>
      </c>
      <c r="P132" s="4" t="s">
        <v>34</v>
      </c>
      <c r="Q132" s="157">
        <v>504</v>
      </c>
      <c r="R132" s="175">
        <v>1</v>
      </c>
      <c r="S132" s="177">
        <v>41490</v>
      </c>
      <c r="U132" s="157">
        <v>209.11</v>
      </c>
      <c r="V132" s="174">
        <v>2.0999999999999999E-5</v>
      </c>
      <c r="W132" s="174">
        <v>9.1363537662694403E-4</v>
      </c>
      <c r="X132" s="174">
        <v>1.14677503909196E-4</v>
      </c>
    </row>
    <row r="133" spans="1:24">
      <c r="A133" s="4">
        <v>161</v>
      </c>
      <c r="B133" s="4">
        <v>9943</v>
      </c>
      <c r="C133" s="4" t="s">
        <v>1656</v>
      </c>
      <c r="D133" s="4" t="s">
        <v>1657</v>
      </c>
      <c r="E133" s="4" t="s">
        <v>1363</v>
      </c>
      <c r="F133" s="4" t="s">
        <v>1658</v>
      </c>
      <c r="G133" s="4" t="s">
        <v>1659</v>
      </c>
      <c r="H133" s="4" t="s">
        <v>223</v>
      </c>
      <c r="I133" s="4" t="s">
        <v>978</v>
      </c>
      <c r="J133" s="4" t="s">
        <v>30</v>
      </c>
      <c r="K133" s="4" t="s">
        <v>30</v>
      </c>
      <c r="L133" s="2" t="s">
        <v>377</v>
      </c>
      <c r="M133" s="2" t="s">
        <v>31</v>
      </c>
      <c r="N133" s="4" t="s">
        <v>495</v>
      </c>
      <c r="O133" s="4" t="s">
        <v>173</v>
      </c>
      <c r="P133" s="4" t="s">
        <v>34</v>
      </c>
      <c r="Q133" s="157">
        <v>1634</v>
      </c>
      <c r="R133" s="175">
        <v>1</v>
      </c>
      <c r="S133" s="177">
        <v>15410</v>
      </c>
      <c r="U133" s="157">
        <v>251.79900000000001</v>
      </c>
      <c r="V133" s="174">
        <v>1.5999999999999999E-5</v>
      </c>
      <c r="W133" s="174">
        <v>1.1001543671521499E-3</v>
      </c>
      <c r="X133" s="174">
        <v>1.3808895755064801E-4</v>
      </c>
    </row>
    <row r="134" spans="1:24">
      <c r="A134" s="4">
        <v>161</v>
      </c>
      <c r="B134" s="4">
        <v>9943</v>
      </c>
      <c r="C134" s="4" t="s">
        <v>1826</v>
      </c>
      <c r="D134" s="4" t="s">
        <v>1827</v>
      </c>
      <c r="E134" s="4" t="s">
        <v>1363</v>
      </c>
      <c r="F134" s="4" t="s">
        <v>1828</v>
      </c>
      <c r="G134" s="4" t="s">
        <v>1829</v>
      </c>
      <c r="H134" s="4" t="s">
        <v>223</v>
      </c>
      <c r="I134" s="4" t="s">
        <v>978</v>
      </c>
      <c r="J134" s="4" t="s">
        <v>30</v>
      </c>
      <c r="K134" s="4" t="s">
        <v>30</v>
      </c>
      <c r="L134" s="2" t="s">
        <v>377</v>
      </c>
      <c r="M134" s="2" t="s">
        <v>31</v>
      </c>
      <c r="N134" s="4" t="s">
        <v>510</v>
      </c>
      <c r="O134" s="4" t="s">
        <v>173</v>
      </c>
      <c r="P134" s="4" t="s">
        <v>34</v>
      </c>
      <c r="Q134" s="157">
        <v>1286</v>
      </c>
      <c r="R134" s="175">
        <v>1</v>
      </c>
      <c r="S134" s="177">
        <v>24950</v>
      </c>
      <c r="U134" s="157">
        <v>320.85700000000003</v>
      </c>
      <c r="V134" s="174">
        <v>1.4300000000000001E-4</v>
      </c>
      <c r="W134" s="174">
        <v>1.4018787565869401E-3</v>
      </c>
      <c r="X134" s="174">
        <v>1.7596073959202601E-4</v>
      </c>
    </row>
    <row r="135" spans="1:24">
      <c r="A135" s="4">
        <v>161</v>
      </c>
      <c r="B135" s="4">
        <v>9943</v>
      </c>
      <c r="C135" s="4" t="s">
        <v>1830</v>
      </c>
      <c r="D135" s="4" t="s">
        <v>1831</v>
      </c>
      <c r="E135" s="4" t="s">
        <v>1363</v>
      </c>
      <c r="F135" s="4" t="s">
        <v>1832</v>
      </c>
      <c r="G135" s="4" t="s">
        <v>1833</v>
      </c>
      <c r="H135" s="4" t="s">
        <v>223</v>
      </c>
      <c r="I135" s="4" t="s">
        <v>978</v>
      </c>
      <c r="J135" s="4" t="s">
        <v>30</v>
      </c>
      <c r="K135" s="4" t="s">
        <v>30</v>
      </c>
      <c r="L135" s="2" t="s">
        <v>377</v>
      </c>
      <c r="M135" s="2" t="s">
        <v>31</v>
      </c>
      <c r="N135" s="4" t="s">
        <v>511</v>
      </c>
      <c r="O135" s="4" t="s">
        <v>173</v>
      </c>
      <c r="P135" s="4" t="s">
        <v>34</v>
      </c>
      <c r="Q135" s="157">
        <v>2930</v>
      </c>
      <c r="R135" s="175">
        <v>1</v>
      </c>
      <c r="S135" s="177">
        <v>3085</v>
      </c>
      <c r="U135" s="157">
        <v>90.391000000000005</v>
      </c>
      <c r="V135" s="174">
        <v>1.4599999999999999E-3</v>
      </c>
      <c r="W135" s="174">
        <v>3.94931454658217E-4</v>
      </c>
      <c r="X135" s="174">
        <v>4.9570927958850997E-5</v>
      </c>
    </row>
    <row r="136" spans="1:24">
      <c r="A136" s="4">
        <v>161</v>
      </c>
      <c r="B136" s="4">
        <v>9943</v>
      </c>
      <c r="C136" s="4" t="s">
        <v>1834</v>
      </c>
      <c r="D136" s="4" t="s">
        <v>1835</v>
      </c>
      <c r="E136" s="4" t="s">
        <v>1363</v>
      </c>
      <c r="F136" s="4" t="s">
        <v>1836</v>
      </c>
      <c r="G136" s="4" t="s">
        <v>1837</v>
      </c>
      <c r="H136" s="4" t="s">
        <v>223</v>
      </c>
      <c r="I136" s="4" t="s">
        <v>978</v>
      </c>
      <c r="J136" s="4" t="s">
        <v>30</v>
      </c>
      <c r="K136" s="4" t="s">
        <v>30</v>
      </c>
      <c r="L136" s="2" t="s">
        <v>377</v>
      </c>
      <c r="M136" s="2" t="s">
        <v>31</v>
      </c>
      <c r="N136" s="4" t="s">
        <v>488</v>
      </c>
      <c r="O136" s="4" t="s">
        <v>173</v>
      </c>
      <c r="P136" s="4" t="s">
        <v>34</v>
      </c>
      <c r="Q136" s="157">
        <v>5466</v>
      </c>
      <c r="R136" s="175">
        <v>1</v>
      </c>
      <c r="S136" s="177">
        <v>1472</v>
      </c>
      <c r="U136" s="157">
        <v>80.459999999999994</v>
      </c>
      <c r="V136" s="174">
        <v>3.1000000000000001E-5</v>
      </c>
      <c r="W136" s="174">
        <v>3.51541315455738E-4</v>
      </c>
      <c r="X136" s="174">
        <v>4.4124693076415398E-5</v>
      </c>
    </row>
    <row r="137" spans="1:24">
      <c r="A137" s="4">
        <v>161</v>
      </c>
      <c r="B137" s="4">
        <v>9943</v>
      </c>
      <c r="C137" s="4" t="s">
        <v>1660</v>
      </c>
      <c r="D137" s="4" t="s">
        <v>1661</v>
      </c>
      <c r="E137" s="4" t="s">
        <v>1363</v>
      </c>
      <c r="F137" s="4" t="s">
        <v>1662</v>
      </c>
      <c r="G137" s="4" t="s">
        <v>1663</v>
      </c>
      <c r="H137" s="4" t="s">
        <v>223</v>
      </c>
      <c r="I137" s="4" t="s">
        <v>978</v>
      </c>
      <c r="J137" s="4" t="s">
        <v>30</v>
      </c>
      <c r="K137" s="4" t="s">
        <v>30</v>
      </c>
      <c r="L137" s="2" t="s">
        <v>377</v>
      </c>
      <c r="M137" s="2" t="s">
        <v>31</v>
      </c>
      <c r="N137" s="4" t="s">
        <v>495</v>
      </c>
      <c r="O137" s="4" t="s">
        <v>173</v>
      </c>
      <c r="P137" s="4" t="s">
        <v>34</v>
      </c>
      <c r="Q137" s="157">
        <v>16123</v>
      </c>
      <c r="R137" s="175">
        <v>1</v>
      </c>
      <c r="S137" s="177">
        <v>2085</v>
      </c>
      <c r="U137" s="157">
        <v>336.16500000000002</v>
      </c>
      <c r="V137" s="174">
        <v>1.2999999999999999E-5</v>
      </c>
      <c r="W137" s="174">
        <v>1.46876004376594E-3</v>
      </c>
      <c r="X137" s="174">
        <v>1.8435553172478899E-4</v>
      </c>
    </row>
    <row r="138" spans="1:24">
      <c r="A138" s="4">
        <v>161</v>
      </c>
      <c r="B138" s="4">
        <v>9943</v>
      </c>
      <c r="C138" s="4" t="s">
        <v>1838</v>
      </c>
      <c r="D138" s="4" t="s">
        <v>1839</v>
      </c>
      <c r="E138" s="4" t="s">
        <v>1363</v>
      </c>
      <c r="F138" s="4" t="s">
        <v>1840</v>
      </c>
      <c r="G138" s="4" t="s">
        <v>1841</v>
      </c>
      <c r="H138" s="4" t="s">
        <v>223</v>
      </c>
      <c r="I138" s="4" t="s">
        <v>978</v>
      </c>
      <c r="J138" s="4" t="s">
        <v>30</v>
      </c>
      <c r="K138" s="4" t="s">
        <v>30</v>
      </c>
      <c r="L138" s="2" t="s">
        <v>377</v>
      </c>
      <c r="M138" s="2" t="s">
        <v>31</v>
      </c>
      <c r="N138" s="4" t="s">
        <v>509</v>
      </c>
      <c r="O138" s="4" t="s">
        <v>173</v>
      </c>
      <c r="P138" s="4" t="s">
        <v>34</v>
      </c>
      <c r="Q138" s="157">
        <v>1950</v>
      </c>
      <c r="R138" s="175">
        <v>1</v>
      </c>
      <c r="S138" s="177">
        <v>3248</v>
      </c>
      <c r="U138" s="157">
        <v>63.335999999999999</v>
      </c>
      <c r="V138" s="174">
        <v>7.1000000000000005E-5</v>
      </c>
      <c r="W138" s="174">
        <v>2.7672574675693598E-4</v>
      </c>
      <c r="X138" s="174">
        <v>3.4734007370263298E-5</v>
      </c>
    </row>
    <row r="139" spans="1:24">
      <c r="A139" s="4">
        <v>161</v>
      </c>
      <c r="B139" s="4">
        <v>9943</v>
      </c>
      <c r="C139" s="4" t="s">
        <v>1842</v>
      </c>
      <c r="D139" s="4" t="s">
        <v>1843</v>
      </c>
      <c r="E139" s="4" t="s">
        <v>1363</v>
      </c>
      <c r="F139" s="4" t="s">
        <v>1844</v>
      </c>
      <c r="G139" s="4" t="s">
        <v>1845</v>
      </c>
      <c r="H139" s="4" t="s">
        <v>223</v>
      </c>
      <c r="I139" s="4" t="s">
        <v>978</v>
      </c>
      <c r="J139" s="4" t="s">
        <v>30</v>
      </c>
      <c r="K139" s="4" t="s">
        <v>30</v>
      </c>
      <c r="L139" s="2" t="s">
        <v>377</v>
      </c>
      <c r="M139" s="2" t="s">
        <v>31</v>
      </c>
      <c r="N139" s="4" t="s">
        <v>525</v>
      </c>
      <c r="O139" s="4" t="s">
        <v>173</v>
      </c>
      <c r="P139" s="4" t="s">
        <v>34</v>
      </c>
      <c r="Q139" s="157">
        <v>121</v>
      </c>
      <c r="R139" s="175">
        <v>1</v>
      </c>
      <c r="S139" s="177">
        <v>34100</v>
      </c>
      <c r="U139" s="157">
        <v>41.261000000000003</v>
      </c>
      <c r="V139" s="174">
        <v>2.0999999999999999E-5</v>
      </c>
      <c r="W139" s="174">
        <v>1.8027632052762901E-4</v>
      </c>
      <c r="X139" s="174">
        <v>2.2627887427441501E-5</v>
      </c>
    </row>
    <row r="140" spans="1:24">
      <c r="A140" s="4">
        <v>161</v>
      </c>
      <c r="B140" s="4">
        <v>9943</v>
      </c>
      <c r="C140" s="4" t="s">
        <v>1668</v>
      </c>
      <c r="D140" s="4" t="s">
        <v>1669</v>
      </c>
      <c r="E140" s="4" t="s">
        <v>1363</v>
      </c>
      <c r="F140" s="4" t="s">
        <v>1670</v>
      </c>
      <c r="G140" s="4" t="s">
        <v>1671</v>
      </c>
      <c r="H140" s="4" t="s">
        <v>223</v>
      </c>
      <c r="I140" s="4" t="s">
        <v>978</v>
      </c>
      <c r="J140" s="4" t="s">
        <v>30</v>
      </c>
      <c r="K140" s="4" t="s">
        <v>30</v>
      </c>
      <c r="L140" s="2" t="s">
        <v>377</v>
      </c>
      <c r="M140" s="2" t="s">
        <v>31</v>
      </c>
      <c r="N140" s="4" t="s">
        <v>492</v>
      </c>
      <c r="O140" s="4" t="s">
        <v>173</v>
      </c>
      <c r="P140" s="4" t="s">
        <v>34</v>
      </c>
      <c r="Q140" s="157">
        <v>17301</v>
      </c>
      <c r="R140" s="175">
        <v>1</v>
      </c>
      <c r="S140" s="177">
        <v>4200</v>
      </c>
      <c r="U140" s="157">
        <v>726.64200000000005</v>
      </c>
      <c r="V140" s="174">
        <v>6.8999999999999997E-5</v>
      </c>
      <c r="W140" s="174">
        <v>3.17482237708339E-3</v>
      </c>
      <c r="X140" s="174">
        <v>3.9849672514119701E-4</v>
      </c>
    </row>
    <row r="141" spans="1:24">
      <c r="A141" s="4">
        <v>161</v>
      </c>
      <c r="B141" s="4">
        <v>9943</v>
      </c>
      <c r="C141" s="4" t="s">
        <v>1846</v>
      </c>
      <c r="D141" s="4" t="s">
        <v>1847</v>
      </c>
      <c r="E141" s="4" t="s">
        <v>1363</v>
      </c>
      <c r="F141" s="4" t="s">
        <v>1848</v>
      </c>
      <c r="G141" s="4" t="s">
        <v>1849</v>
      </c>
      <c r="H141" s="4" t="s">
        <v>223</v>
      </c>
      <c r="I141" s="4" t="s">
        <v>978</v>
      </c>
      <c r="J141" s="4" t="s">
        <v>30</v>
      </c>
      <c r="K141" s="4" t="s">
        <v>30</v>
      </c>
      <c r="L141" s="2" t="s">
        <v>377</v>
      </c>
      <c r="M141" s="2" t="s">
        <v>31</v>
      </c>
      <c r="N141" s="4" t="s">
        <v>492</v>
      </c>
      <c r="O141" s="4" t="s">
        <v>173</v>
      </c>
      <c r="P141" s="4" t="s">
        <v>34</v>
      </c>
      <c r="Q141" s="157">
        <v>102064</v>
      </c>
      <c r="R141" s="175">
        <v>1</v>
      </c>
      <c r="S141" s="177">
        <v>3619</v>
      </c>
      <c r="U141" s="157">
        <v>3693.6959999999999</v>
      </c>
      <c r="V141" s="174">
        <v>4.9600000000000002E-4</v>
      </c>
      <c r="W141" s="174">
        <v>1.6138386196937402E-2</v>
      </c>
      <c r="X141" s="174">
        <v>2.025654756299E-3</v>
      </c>
    </row>
    <row r="142" spans="1:24">
      <c r="A142" s="4">
        <v>161</v>
      </c>
      <c r="B142" s="4">
        <v>9943</v>
      </c>
      <c r="C142" s="4" t="s">
        <v>1850</v>
      </c>
      <c r="D142" s="4" t="s">
        <v>1851</v>
      </c>
      <c r="E142" s="4" t="s">
        <v>1363</v>
      </c>
      <c r="F142" s="4" t="s">
        <v>1852</v>
      </c>
      <c r="G142" s="4" t="s">
        <v>1853</v>
      </c>
      <c r="H142" s="4" t="s">
        <v>223</v>
      </c>
      <c r="I142" s="4" t="s">
        <v>978</v>
      </c>
      <c r="J142" s="4" t="s">
        <v>30</v>
      </c>
      <c r="K142" s="4" t="s">
        <v>30</v>
      </c>
      <c r="L142" s="2" t="s">
        <v>377</v>
      </c>
      <c r="M142" s="2" t="s">
        <v>31</v>
      </c>
      <c r="N142" s="4" t="s">
        <v>524</v>
      </c>
      <c r="O142" s="4" t="s">
        <v>173</v>
      </c>
      <c r="P142" s="4" t="s">
        <v>34</v>
      </c>
      <c r="Q142" s="157">
        <v>1542</v>
      </c>
      <c r="R142" s="175">
        <v>1</v>
      </c>
      <c r="S142" s="177">
        <v>5029</v>
      </c>
      <c r="U142" s="157">
        <v>77.546999999999997</v>
      </c>
      <c r="V142" s="174">
        <v>2.1999999999999999E-5</v>
      </c>
      <c r="W142" s="174">
        <v>3.38816807098562E-4</v>
      </c>
      <c r="X142" s="174">
        <v>4.2527540761385799E-5</v>
      </c>
    </row>
    <row r="143" spans="1:24">
      <c r="A143" s="4">
        <v>161</v>
      </c>
      <c r="B143" s="4">
        <v>9943</v>
      </c>
      <c r="C143" s="4" t="s">
        <v>1854</v>
      </c>
      <c r="D143" s="4" t="s">
        <v>1855</v>
      </c>
      <c r="E143" s="4" t="s">
        <v>1363</v>
      </c>
      <c r="F143" s="4" t="s">
        <v>1856</v>
      </c>
      <c r="G143" s="4" t="s">
        <v>1857</v>
      </c>
      <c r="H143" s="4" t="s">
        <v>223</v>
      </c>
      <c r="I143" s="4" t="s">
        <v>978</v>
      </c>
      <c r="J143" s="4" t="s">
        <v>30</v>
      </c>
      <c r="K143" s="4" t="s">
        <v>30</v>
      </c>
      <c r="L143" s="2" t="s">
        <v>377</v>
      </c>
      <c r="M143" s="2" t="s">
        <v>31</v>
      </c>
      <c r="N143" s="4" t="s">
        <v>494</v>
      </c>
      <c r="O143" s="4" t="s">
        <v>173</v>
      </c>
      <c r="P143" s="4" t="s">
        <v>34</v>
      </c>
      <c r="Q143" s="157">
        <v>6406</v>
      </c>
      <c r="R143" s="175">
        <v>1</v>
      </c>
      <c r="S143" s="177">
        <v>1628</v>
      </c>
      <c r="U143" s="157">
        <v>104.29</v>
      </c>
      <c r="V143" s="174">
        <v>1.06E-4</v>
      </c>
      <c r="W143" s="174">
        <v>4.5565933398133599E-4</v>
      </c>
      <c r="X143" s="174">
        <v>5.7193357865390898E-5</v>
      </c>
    </row>
    <row r="144" spans="1:24">
      <c r="A144" s="4">
        <v>161</v>
      </c>
      <c r="B144" s="4">
        <v>9943</v>
      </c>
      <c r="C144" s="4" t="s">
        <v>1858</v>
      </c>
      <c r="D144" s="4" t="s">
        <v>1859</v>
      </c>
      <c r="E144" s="4" t="s">
        <v>1363</v>
      </c>
      <c r="F144" s="4" t="s">
        <v>1860</v>
      </c>
      <c r="G144" s="4" t="s">
        <v>1861</v>
      </c>
      <c r="H144" s="4" t="s">
        <v>223</v>
      </c>
      <c r="I144" s="4" t="s">
        <v>978</v>
      </c>
      <c r="J144" s="4" t="s">
        <v>30</v>
      </c>
      <c r="K144" s="4" t="s">
        <v>30</v>
      </c>
      <c r="L144" s="2" t="s">
        <v>377</v>
      </c>
      <c r="M144" s="2" t="s">
        <v>31</v>
      </c>
      <c r="N144" s="4" t="s">
        <v>524</v>
      </c>
      <c r="O144" s="4" t="s">
        <v>173</v>
      </c>
      <c r="P144" s="4" t="s">
        <v>34</v>
      </c>
      <c r="Q144" s="157">
        <v>389</v>
      </c>
      <c r="R144" s="175">
        <v>1</v>
      </c>
      <c r="S144" s="177">
        <v>19560</v>
      </c>
      <c r="U144" s="157">
        <v>76.087999999999994</v>
      </c>
      <c r="V144" s="174">
        <v>1.7E-5</v>
      </c>
      <c r="W144" s="174">
        <v>3.3244314938645397E-4</v>
      </c>
      <c r="X144" s="174">
        <v>4.1727533257413503E-5</v>
      </c>
    </row>
    <row r="145" spans="1:24">
      <c r="A145" s="4">
        <v>161</v>
      </c>
      <c r="B145" s="4">
        <v>9943</v>
      </c>
      <c r="C145" s="4" t="s">
        <v>1862</v>
      </c>
      <c r="D145" s="4" t="s">
        <v>1863</v>
      </c>
      <c r="E145" s="4" t="s">
        <v>1363</v>
      </c>
      <c r="F145" s="4" t="s">
        <v>1864</v>
      </c>
      <c r="G145" s="4" t="s">
        <v>1865</v>
      </c>
      <c r="H145" s="4" t="s">
        <v>223</v>
      </c>
      <c r="I145" s="4" t="s">
        <v>978</v>
      </c>
      <c r="J145" s="4" t="s">
        <v>30</v>
      </c>
      <c r="K145" s="4" t="s">
        <v>350</v>
      </c>
      <c r="L145" s="2" t="s">
        <v>377</v>
      </c>
      <c r="M145" s="2" t="s">
        <v>31</v>
      </c>
      <c r="N145" s="4" t="s">
        <v>505</v>
      </c>
      <c r="O145" s="4" t="s">
        <v>173</v>
      </c>
      <c r="P145" s="4" t="s">
        <v>34</v>
      </c>
      <c r="Q145" s="157">
        <v>5314</v>
      </c>
      <c r="R145" s="175">
        <v>1</v>
      </c>
      <c r="S145" s="177">
        <v>16470</v>
      </c>
      <c r="U145" s="157">
        <v>875.21600000000001</v>
      </c>
      <c r="V145" s="174">
        <v>4.8000000000000001E-5</v>
      </c>
      <c r="W145" s="174">
        <v>3.8239665565944999E-3</v>
      </c>
      <c r="X145" s="174">
        <v>4.7997587545425802E-4</v>
      </c>
    </row>
    <row r="146" spans="1:24">
      <c r="A146" s="4">
        <v>161</v>
      </c>
      <c r="B146" s="4">
        <v>9943</v>
      </c>
      <c r="C146" s="4" t="s">
        <v>1672</v>
      </c>
      <c r="D146" s="4" t="s">
        <v>1673</v>
      </c>
      <c r="E146" s="4" t="s">
        <v>1363</v>
      </c>
      <c r="F146" s="4" t="s">
        <v>1674</v>
      </c>
      <c r="G146" s="4" t="s">
        <v>1675</v>
      </c>
      <c r="H146" s="4" t="s">
        <v>223</v>
      </c>
      <c r="I146" s="4" t="s">
        <v>978</v>
      </c>
      <c r="J146" s="4" t="s">
        <v>30</v>
      </c>
      <c r="K146" s="4" t="s">
        <v>91</v>
      </c>
      <c r="L146" s="2" t="s">
        <v>377</v>
      </c>
      <c r="M146" s="2" t="s">
        <v>31</v>
      </c>
      <c r="N146" s="4" t="s">
        <v>514</v>
      </c>
      <c r="O146" s="4" t="s">
        <v>173</v>
      </c>
      <c r="P146" s="4" t="s">
        <v>34</v>
      </c>
      <c r="Q146" s="157">
        <v>79732</v>
      </c>
      <c r="R146" s="175">
        <v>1</v>
      </c>
      <c r="S146" s="177">
        <v>6629</v>
      </c>
      <c r="U146" s="157">
        <v>5285.4340000000002</v>
      </c>
      <c r="V146" s="174">
        <v>6.9999999999999994E-5</v>
      </c>
      <c r="W146" s="174">
        <v>2.3092960529046799E-2</v>
      </c>
      <c r="X146" s="174">
        <v>2.89857763730836E-3</v>
      </c>
    </row>
    <row r="147" spans="1:24">
      <c r="A147" s="4">
        <v>161</v>
      </c>
      <c r="B147" s="4">
        <v>9943</v>
      </c>
      <c r="C147" s="4" t="s">
        <v>1866</v>
      </c>
      <c r="D147" s="4" t="s">
        <v>1867</v>
      </c>
      <c r="E147" s="4" t="s">
        <v>1363</v>
      </c>
      <c r="F147" s="4" t="s">
        <v>1868</v>
      </c>
      <c r="G147" s="4" t="s">
        <v>1869</v>
      </c>
      <c r="H147" s="4" t="s">
        <v>223</v>
      </c>
      <c r="I147" s="4" t="s">
        <v>978</v>
      </c>
      <c r="J147" s="4" t="s">
        <v>30</v>
      </c>
      <c r="K147" s="4" t="s">
        <v>30</v>
      </c>
      <c r="L147" s="2" t="s">
        <v>377</v>
      </c>
      <c r="M147" s="2" t="s">
        <v>31</v>
      </c>
      <c r="N147" s="4" t="s">
        <v>523</v>
      </c>
      <c r="O147" s="4" t="s">
        <v>173</v>
      </c>
      <c r="P147" s="4" t="s">
        <v>34</v>
      </c>
      <c r="Q147" s="157">
        <v>13304</v>
      </c>
      <c r="R147" s="175">
        <v>1</v>
      </c>
      <c r="S147" s="177">
        <v>598</v>
      </c>
      <c r="U147" s="157">
        <v>79.558000000000007</v>
      </c>
      <c r="V147" s="174">
        <v>1.25E-4</v>
      </c>
      <c r="W147" s="174">
        <v>3.47602071845847E-4</v>
      </c>
      <c r="X147" s="174">
        <v>4.3630247878660097E-5</v>
      </c>
    </row>
    <row r="148" spans="1:24">
      <c r="A148" s="4">
        <v>161</v>
      </c>
      <c r="B148" s="4">
        <v>9943</v>
      </c>
      <c r="C148" s="4" t="s">
        <v>1870</v>
      </c>
      <c r="D148" s="4" t="s">
        <v>1871</v>
      </c>
      <c r="E148" s="4" t="s">
        <v>1363</v>
      </c>
      <c r="F148" s="4" t="s">
        <v>1872</v>
      </c>
      <c r="G148" s="4" t="s">
        <v>1873</v>
      </c>
      <c r="H148" s="4" t="s">
        <v>223</v>
      </c>
      <c r="I148" s="4" t="s">
        <v>978</v>
      </c>
      <c r="J148" s="4" t="s">
        <v>30</v>
      </c>
      <c r="K148" s="4" t="s">
        <v>91</v>
      </c>
      <c r="L148" s="2" t="s">
        <v>377</v>
      </c>
      <c r="M148" s="2" t="s">
        <v>31</v>
      </c>
      <c r="N148" s="4" t="s">
        <v>486</v>
      </c>
      <c r="O148" s="4" t="s">
        <v>173</v>
      </c>
      <c r="P148" s="4" t="s">
        <v>34</v>
      </c>
      <c r="Q148" s="157">
        <v>13142</v>
      </c>
      <c r="R148" s="175">
        <v>1</v>
      </c>
      <c r="S148" s="177">
        <v>17920</v>
      </c>
      <c r="U148" s="157">
        <v>2355.0459999999998</v>
      </c>
      <c r="V148" s="174">
        <v>1.8600000000000001E-3</v>
      </c>
      <c r="W148" s="174">
        <v>1.0289597917254501E-2</v>
      </c>
      <c r="X148" s="174">
        <v>1.29152770959505E-3</v>
      </c>
    </row>
    <row r="149" spans="1:24">
      <c r="A149" s="4">
        <v>161</v>
      </c>
      <c r="B149" s="4">
        <v>9943</v>
      </c>
      <c r="C149" s="4" t="s">
        <v>1874</v>
      </c>
      <c r="D149" s="4" t="s">
        <v>1875</v>
      </c>
      <c r="E149" s="4" t="s">
        <v>364</v>
      </c>
      <c r="F149" s="4" t="s">
        <v>1876</v>
      </c>
      <c r="G149" s="4" t="s">
        <v>1877</v>
      </c>
      <c r="H149" s="4" t="s">
        <v>223</v>
      </c>
      <c r="I149" s="4" t="s">
        <v>978</v>
      </c>
      <c r="J149" s="4" t="s">
        <v>30</v>
      </c>
      <c r="K149" s="4" t="s">
        <v>30</v>
      </c>
      <c r="L149" s="2" t="s">
        <v>377</v>
      </c>
      <c r="M149" s="2" t="s">
        <v>31</v>
      </c>
      <c r="N149" s="4" t="s">
        <v>501</v>
      </c>
      <c r="O149" s="4" t="s">
        <v>173</v>
      </c>
      <c r="P149" s="4" t="s">
        <v>34</v>
      </c>
      <c r="Q149" s="157">
        <v>35972</v>
      </c>
      <c r="R149" s="175">
        <v>1</v>
      </c>
      <c r="S149" s="177">
        <v>161.9</v>
      </c>
      <c r="U149" s="157">
        <v>58.238999999999997</v>
      </c>
      <c r="V149" s="174">
        <v>1.4E-5</v>
      </c>
      <c r="W149" s="174">
        <v>2.5445463705363899E-4</v>
      </c>
      <c r="X149" s="174">
        <v>3.1938586641820101E-5</v>
      </c>
    </row>
    <row r="150" spans="1:24">
      <c r="A150" s="4">
        <v>161</v>
      </c>
      <c r="B150" s="4">
        <v>9943</v>
      </c>
      <c r="C150" s="4" t="s">
        <v>1878</v>
      </c>
      <c r="D150" s="4" t="s">
        <v>1879</v>
      </c>
      <c r="E150" s="4" t="s">
        <v>1363</v>
      </c>
      <c r="F150" s="4" t="s">
        <v>1880</v>
      </c>
      <c r="G150" s="4" t="s">
        <v>1881</v>
      </c>
      <c r="H150" s="4" t="s">
        <v>223</v>
      </c>
      <c r="I150" s="4" t="s">
        <v>978</v>
      </c>
      <c r="J150" s="4" t="s">
        <v>30</v>
      </c>
      <c r="K150" s="4" t="s">
        <v>30</v>
      </c>
      <c r="L150" s="2" t="s">
        <v>377</v>
      </c>
      <c r="M150" s="2" t="s">
        <v>31</v>
      </c>
      <c r="N150" s="4" t="s">
        <v>508</v>
      </c>
      <c r="O150" s="4" t="s">
        <v>173</v>
      </c>
      <c r="P150" s="4" t="s">
        <v>34</v>
      </c>
      <c r="Q150" s="157">
        <v>649</v>
      </c>
      <c r="R150" s="175">
        <v>1</v>
      </c>
      <c r="S150" s="177">
        <v>7454</v>
      </c>
      <c r="U150" s="157">
        <v>48.375999999999998</v>
      </c>
      <c r="V150" s="174">
        <v>1.1E-5</v>
      </c>
      <c r="W150" s="174">
        <v>2.11364974405662E-4</v>
      </c>
      <c r="X150" s="174">
        <v>2.6530066915928499E-5</v>
      </c>
    </row>
    <row r="151" spans="1:24">
      <c r="A151" s="4">
        <v>161</v>
      </c>
      <c r="B151" s="4">
        <v>9943</v>
      </c>
      <c r="C151" s="4" t="s">
        <v>1882</v>
      </c>
      <c r="D151" s="4" t="s">
        <v>1883</v>
      </c>
      <c r="E151" s="4" t="s">
        <v>1363</v>
      </c>
      <c r="F151" s="4" t="s">
        <v>1884</v>
      </c>
      <c r="G151" s="4" t="s">
        <v>1885</v>
      </c>
      <c r="H151" s="4" t="s">
        <v>223</v>
      </c>
      <c r="I151" s="4" t="s">
        <v>978</v>
      </c>
      <c r="J151" s="4" t="s">
        <v>30</v>
      </c>
      <c r="K151" s="4" t="s">
        <v>30</v>
      </c>
      <c r="L151" s="2" t="s">
        <v>377</v>
      </c>
      <c r="M151" s="2" t="s">
        <v>31</v>
      </c>
      <c r="N151" s="4" t="s">
        <v>511</v>
      </c>
      <c r="O151" s="4" t="s">
        <v>173</v>
      </c>
      <c r="P151" s="4" t="s">
        <v>34</v>
      </c>
      <c r="Q151" s="157">
        <v>2834</v>
      </c>
      <c r="R151" s="175">
        <v>1</v>
      </c>
      <c r="S151" s="177">
        <v>73900</v>
      </c>
      <c r="U151" s="157">
        <v>2094.326</v>
      </c>
      <c r="V151" s="174">
        <v>5.6499999999999996E-4</v>
      </c>
      <c r="W151" s="174">
        <v>9.1504661851469406E-3</v>
      </c>
      <c r="X151" s="174">
        <v>1.1485463988842701E-3</v>
      </c>
    </row>
    <row r="152" spans="1:24">
      <c r="A152" s="4">
        <v>161</v>
      </c>
      <c r="B152" s="4">
        <v>9943</v>
      </c>
      <c r="C152" s="4" t="s">
        <v>1222</v>
      </c>
      <c r="D152" s="4" t="s">
        <v>1618</v>
      </c>
      <c r="E152" s="4" t="s">
        <v>1363</v>
      </c>
      <c r="F152" s="4" t="s">
        <v>1352</v>
      </c>
      <c r="G152" s="4" t="s">
        <v>1619</v>
      </c>
      <c r="H152" s="4" t="s">
        <v>223</v>
      </c>
      <c r="I152" s="4" t="s">
        <v>978</v>
      </c>
      <c r="J152" s="4" t="s">
        <v>30</v>
      </c>
      <c r="K152" s="4" t="s">
        <v>30</v>
      </c>
      <c r="L152" s="2" t="s">
        <v>377</v>
      </c>
      <c r="M152" s="2" t="s">
        <v>31</v>
      </c>
      <c r="N152" s="4" t="s">
        <v>495</v>
      </c>
      <c r="O152" s="4" t="s">
        <v>173</v>
      </c>
      <c r="P152" s="4" t="s">
        <v>34</v>
      </c>
      <c r="Q152" s="157">
        <v>268933</v>
      </c>
      <c r="R152" s="175">
        <v>1</v>
      </c>
      <c r="S152" s="177">
        <v>3644</v>
      </c>
      <c r="U152" s="157">
        <v>9799.9189999999999</v>
      </c>
      <c r="V152" s="174">
        <v>1.7799999999999999E-4</v>
      </c>
      <c r="W152" s="174">
        <v>4.28175093249357E-2</v>
      </c>
      <c r="X152" s="174">
        <v>5.3743596390940299E-3</v>
      </c>
    </row>
    <row r="153" spans="1:24">
      <c r="A153" s="4">
        <v>161</v>
      </c>
      <c r="B153" s="4">
        <v>9943</v>
      </c>
      <c r="C153" s="4" t="s">
        <v>1886</v>
      </c>
      <c r="D153" s="4" t="s">
        <v>1887</v>
      </c>
      <c r="E153" s="4" t="s">
        <v>1363</v>
      </c>
      <c r="F153" s="4" t="s">
        <v>1888</v>
      </c>
      <c r="G153" s="4" t="s">
        <v>1889</v>
      </c>
      <c r="H153" s="4" t="s">
        <v>223</v>
      </c>
      <c r="I153" s="4" t="s">
        <v>978</v>
      </c>
      <c r="J153" s="4" t="s">
        <v>30</v>
      </c>
      <c r="K153" s="4" t="s">
        <v>30</v>
      </c>
      <c r="L153" s="2" t="s">
        <v>377</v>
      </c>
      <c r="M153" s="2" t="s">
        <v>31</v>
      </c>
      <c r="N153" s="4" t="s">
        <v>511</v>
      </c>
      <c r="O153" s="4" t="s">
        <v>173</v>
      </c>
      <c r="P153" s="4" t="s">
        <v>34</v>
      </c>
      <c r="Q153" s="157">
        <v>11586</v>
      </c>
      <c r="R153" s="175">
        <v>1</v>
      </c>
      <c r="S153" s="177">
        <v>954</v>
      </c>
      <c r="U153" s="157">
        <v>110.53</v>
      </c>
      <c r="V153" s="174">
        <v>1.5999999999999999E-5</v>
      </c>
      <c r="W153" s="174">
        <v>4.8292627492062501E-4</v>
      </c>
      <c r="X153" s="174">
        <v>6.0615844347581803E-5</v>
      </c>
    </row>
    <row r="154" spans="1:24">
      <c r="A154" s="4">
        <v>161</v>
      </c>
      <c r="B154" s="4">
        <v>9943</v>
      </c>
      <c r="C154" s="4" t="s">
        <v>1684</v>
      </c>
      <c r="D154" s="4" t="s">
        <v>1685</v>
      </c>
      <c r="E154" s="4" t="s">
        <v>1363</v>
      </c>
      <c r="F154" s="4" t="s">
        <v>1686</v>
      </c>
      <c r="G154" s="4" t="s">
        <v>1687</v>
      </c>
      <c r="H154" s="4" t="s">
        <v>223</v>
      </c>
      <c r="I154" s="4" t="s">
        <v>978</v>
      </c>
      <c r="J154" s="4" t="s">
        <v>30</v>
      </c>
      <c r="K154" s="4" t="s">
        <v>30</v>
      </c>
      <c r="L154" s="2" t="s">
        <v>377</v>
      </c>
      <c r="M154" s="2" t="s">
        <v>31</v>
      </c>
      <c r="N154" s="4" t="s">
        <v>495</v>
      </c>
      <c r="O154" s="4" t="s">
        <v>173</v>
      </c>
      <c r="P154" s="4" t="s">
        <v>34</v>
      </c>
      <c r="Q154" s="157">
        <v>3285</v>
      </c>
      <c r="R154" s="175">
        <v>1</v>
      </c>
      <c r="S154" s="177">
        <v>14550</v>
      </c>
      <c r="U154" s="157">
        <v>477.96699999999998</v>
      </c>
      <c r="V154" s="174">
        <v>1.2999999999999999E-5</v>
      </c>
      <c r="W154" s="174">
        <v>2.0883212290489701E-3</v>
      </c>
      <c r="X154" s="174">
        <v>2.6212148963853602E-4</v>
      </c>
    </row>
    <row r="155" spans="1:24">
      <c r="A155" s="4">
        <v>161</v>
      </c>
      <c r="B155" s="4">
        <v>9943</v>
      </c>
      <c r="C155" s="4" t="s">
        <v>1688</v>
      </c>
      <c r="D155" s="4" t="s">
        <v>1689</v>
      </c>
      <c r="E155" s="4" t="s">
        <v>1363</v>
      </c>
      <c r="F155" s="4" t="s">
        <v>1690</v>
      </c>
      <c r="G155" s="4" t="s">
        <v>1691</v>
      </c>
      <c r="H155" s="4" t="s">
        <v>223</v>
      </c>
      <c r="I155" s="4" t="s">
        <v>978</v>
      </c>
      <c r="J155" s="4" t="s">
        <v>30</v>
      </c>
      <c r="K155" s="4" t="s">
        <v>30</v>
      </c>
      <c r="L155" s="2" t="s">
        <v>377</v>
      </c>
      <c r="M155" s="2" t="s">
        <v>31</v>
      </c>
      <c r="N155" s="4" t="s">
        <v>524</v>
      </c>
      <c r="O155" s="4" t="s">
        <v>173</v>
      </c>
      <c r="P155" s="4" t="s">
        <v>34</v>
      </c>
      <c r="Q155" s="157">
        <v>1147</v>
      </c>
      <c r="R155" s="175">
        <v>1</v>
      </c>
      <c r="S155" s="177">
        <v>7125</v>
      </c>
      <c r="T155" s="156">
        <v>0.94099999999999995</v>
      </c>
      <c r="U155" s="157">
        <v>82.664000000000001</v>
      </c>
      <c r="V155" s="174">
        <v>1.8E-5</v>
      </c>
      <c r="W155" s="174">
        <v>3.6117433024475702E-4</v>
      </c>
      <c r="X155" s="174">
        <v>4.5333807915207501E-5</v>
      </c>
    </row>
    <row r="156" spans="1:24">
      <c r="A156" s="4">
        <v>161</v>
      </c>
      <c r="B156" s="4">
        <v>9943</v>
      </c>
      <c r="C156" s="4" t="s">
        <v>1692</v>
      </c>
      <c r="D156" s="4" t="s">
        <v>1693</v>
      </c>
      <c r="E156" s="4" t="s">
        <v>1363</v>
      </c>
      <c r="F156" s="4" t="s">
        <v>1694</v>
      </c>
      <c r="G156" s="4" t="s">
        <v>1695</v>
      </c>
      <c r="H156" s="4" t="s">
        <v>223</v>
      </c>
      <c r="I156" s="4" t="s">
        <v>978</v>
      </c>
      <c r="J156" s="4" t="s">
        <v>30</v>
      </c>
      <c r="K156" s="4" t="s">
        <v>30</v>
      </c>
      <c r="L156" s="2" t="s">
        <v>377</v>
      </c>
      <c r="M156" s="2" t="s">
        <v>31</v>
      </c>
      <c r="N156" s="4" t="s">
        <v>511</v>
      </c>
      <c r="O156" s="4" t="s">
        <v>173</v>
      </c>
      <c r="P156" s="4" t="s">
        <v>34</v>
      </c>
      <c r="Q156" s="157">
        <v>9070</v>
      </c>
      <c r="R156" s="175">
        <v>1</v>
      </c>
      <c r="S156" s="177">
        <v>28210</v>
      </c>
      <c r="U156" s="157">
        <v>2558.6469999999999</v>
      </c>
      <c r="V156" s="174">
        <v>1.9100000000000001E-4</v>
      </c>
      <c r="W156" s="174">
        <v>1.1179163536731001E-2</v>
      </c>
      <c r="X156" s="174">
        <v>1.40318403050243E-3</v>
      </c>
    </row>
    <row r="157" spans="1:24">
      <c r="A157" s="4">
        <v>161</v>
      </c>
      <c r="B157" s="4">
        <v>9943</v>
      </c>
      <c r="C157" s="4" t="s">
        <v>1890</v>
      </c>
      <c r="D157" s="4" t="s">
        <v>1891</v>
      </c>
      <c r="E157" s="4" t="s">
        <v>1363</v>
      </c>
      <c r="F157" s="4" t="s">
        <v>1892</v>
      </c>
      <c r="G157" s="4" t="s">
        <v>1893</v>
      </c>
      <c r="H157" s="4" t="s">
        <v>223</v>
      </c>
      <c r="I157" s="4" t="s">
        <v>978</v>
      </c>
      <c r="J157" s="4" t="s">
        <v>30</v>
      </c>
      <c r="K157" s="4" t="s">
        <v>30</v>
      </c>
      <c r="L157" s="2" t="s">
        <v>377</v>
      </c>
      <c r="M157" s="2" t="s">
        <v>31</v>
      </c>
      <c r="N157" s="4" t="s">
        <v>492</v>
      </c>
      <c r="O157" s="4" t="s">
        <v>173</v>
      </c>
      <c r="P157" s="4" t="s">
        <v>34</v>
      </c>
      <c r="Q157" s="157">
        <v>1669</v>
      </c>
      <c r="R157" s="175">
        <v>1</v>
      </c>
      <c r="S157" s="177">
        <v>10880</v>
      </c>
      <c r="U157" s="157">
        <v>181.58699999999999</v>
      </c>
      <c r="V157" s="174">
        <v>2.6999999999999999E-5</v>
      </c>
      <c r="W157" s="174">
        <v>7.9338533411489598E-4</v>
      </c>
      <c r="X157" s="174">
        <v>9.9583982934594393E-5</v>
      </c>
    </row>
    <row r="158" spans="1:24">
      <c r="A158" s="4">
        <v>161</v>
      </c>
      <c r="B158" s="4">
        <v>9943</v>
      </c>
      <c r="C158" s="4" t="s">
        <v>1894</v>
      </c>
      <c r="D158" s="4" t="s">
        <v>1895</v>
      </c>
      <c r="E158" s="4" t="s">
        <v>1363</v>
      </c>
      <c r="F158" s="4" t="s">
        <v>1896</v>
      </c>
      <c r="G158" s="4" t="s">
        <v>1897</v>
      </c>
      <c r="H158" s="4" t="s">
        <v>223</v>
      </c>
      <c r="I158" s="4" t="s">
        <v>978</v>
      </c>
      <c r="J158" s="4" t="s">
        <v>30</v>
      </c>
      <c r="K158" s="4" t="s">
        <v>30</v>
      </c>
      <c r="L158" s="2" t="s">
        <v>377</v>
      </c>
      <c r="M158" s="2" t="s">
        <v>31</v>
      </c>
      <c r="N158" s="4" t="s">
        <v>487</v>
      </c>
      <c r="O158" s="4" t="s">
        <v>173</v>
      </c>
      <c r="P158" s="4" t="s">
        <v>34</v>
      </c>
      <c r="Q158" s="157">
        <v>33844</v>
      </c>
      <c r="R158" s="175">
        <v>1</v>
      </c>
      <c r="S158" s="177">
        <v>176</v>
      </c>
      <c r="U158" s="157">
        <v>59.564999999999998</v>
      </c>
      <c r="V158" s="174">
        <v>4.8000000000000001E-5</v>
      </c>
      <c r="W158" s="174">
        <v>2.6025152938148101E-4</v>
      </c>
      <c r="X158" s="174">
        <v>3.26661998227387E-5</v>
      </c>
    </row>
    <row r="159" spans="1:24">
      <c r="A159" s="4">
        <v>161</v>
      </c>
      <c r="B159" s="4">
        <v>9943</v>
      </c>
      <c r="C159" s="4" t="s">
        <v>1898</v>
      </c>
      <c r="D159" s="4" t="s">
        <v>1899</v>
      </c>
      <c r="E159" s="4" t="s">
        <v>364</v>
      </c>
      <c r="F159" s="4" t="s">
        <v>1900</v>
      </c>
      <c r="G159" s="4" t="s">
        <v>1901</v>
      </c>
      <c r="H159" s="4" t="s">
        <v>223</v>
      </c>
      <c r="I159" s="4" t="s">
        <v>978</v>
      </c>
      <c r="J159" s="4" t="s">
        <v>30</v>
      </c>
      <c r="K159" s="4" t="s">
        <v>91</v>
      </c>
      <c r="L159" s="2" t="s">
        <v>377</v>
      </c>
      <c r="M159" s="2" t="s">
        <v>31</v>
      </c>
      <c r="N159" s="4" t="s">
        <v>501</v>
      </c>
      <c r="O159" s="4" t="s">
        <v>173</v>
      </c>
      <c r="P159" s="4" t="s">
        <v>34</v>
      </c>
      <c r="Q159" s="157">
        <v>38287</v>
      </c>
      <c r="R159" s="175">
        <v>1</v>
      </c>
      <c r="S159" s="177">
        <v>5205</v>
      </c>
      <c r="U159" s="157">
        <v>1992.838</v>
      </c>
      <c r="V159" s="174">
        <v>3.8200000000000002E-4</v>
      </c>
      <c r="W159" s="174">
        <v>8.7070493963876793E-3</v>
      </c>
      <c r="X159" s="174">
        <v>1.09288969838075E-3</v>
      </c>
    </row>
    <row r="160" spans="1:24">
      <c r="A160" s="4">
        <v>161</v>
      </c>
      <c r="B160" s="4">
        <v>9943</v>
      </c>
      <c r="C160" s="4" t="s">
        <v>1696</v>
      </c>
      <c r="D160" s="4" t="s">
        <v>1697</v>
      </c>
      <c r="E160" s="4" t="s">
        <v>1363</v>
      </c>
      <c r="F160" s="4" t="s">
        <v>1698</v>
      </c>
      <c r="G160" s="4" t="s">
        <v>1699</v>
      </c>
      <c r="H160" s="4" t="s">
        <v>223</v>
      </c>
      <c r="I160" s="4" t="s">
        <v>978</v>
      </c>
      <c r="J160" s="4" t="s">
        <v>30</v>
      </c>
      <c r="K160" s="4" t="s">
        <v>350</v>
      </c>
      <c r="L160" s="2" t="s">
        <v>377</v>
      </c>
      <c r="M160" s="2" t="s">
        <v>31</v>
      </c>
      <c r="N160" s="4" t="s">
        <v>505</v>
      </c>
      <c r="O160" s="4" t="s">
        <v>173</v>
      </c>
      <c r="P160" s="4" t="s">
        <v>34</v>
      </c>
      <c r="Q160" s="157">
        <v>678</v>
      </c>
      <c r="R160" s="175">
        <v>1</v>
      </c>
      <c r="S160" s="177">
        <v>77890</v>
      </c>
      <c r="U160" s="157">
        <v>528.09400000000005</v>
      </c>
      <c r="V160" s="174">
        <v>2.3E-5</v>
      </c>
      <c r="W160" s="174">
        <v>2.3073332994348701E-3</v>
      </c>
      <c r="X160" s="174">
        <v>2.8961140323028402E-4</v>
      </c>
    </row>
    <row r="161" spans="1:24">
      <c r="A161" s="4">
        <v>161</v>
      </c>
      <c r="B161" s="4">
        <v>9943</v>
      </c>
      <c r="C161" s="4" t="s">
        <v>1379</v>
      </c>
      <c r="D161" s="4" t="s">
        <v>1380</v>
      </c>
      <c r="E161" s="4" t="s">
        <v>1363</v>
      </c>
      <c r="F161" s="4" t="s">
        <v>1902</v>
      </c>
      <c r="G161" s="4" t="s">
        <v>1383</v>
      </c>
      <c r="H161" s="4" t="s">
        <v>223</v>
      </c>
      <c r="I161" s="4" t="s">
        <v>978</v>
      </c>
      <c r="J161" s="4" t="s">
        <v>30</v>
      </c>
      <c r="K161" s="4" t="s">
        <v>30</v>
      </c>
      <c r="L161" s="2" t="s">
        <v>377</v>
      </c>
      <c r="M161" s="2" t="s">
        <v>31</v>
      </c>
      <c r="N161" s="4" t="s">
        <v>488</v>
      </c>
      <c r="O161" s="4" t="s">
        <v>173</v>
      </c>
      <c r="P161" s="4" t="s">
        <v>34</v>
      </c>
      <c r="Q161" s="157">
        <v>1981</v>
      </c>
      <c r="R161" s="175">
        <v>1</v>
      </c>
      <c r="S161" s="177">
        <v>8722</v>
      </c>
      <c r="U161" s="157">
        <v>172.78299999999999</v>
      </c>
      <c r="V161" s="174">
        <v>5.5999999999999999E-5</v>
      </c>
      <c r="W161" s="174">
        <v>7.5491750175680898E-4</v>
      </c>
      <c r="X161" s="174">
        <v>9.4755585185911199E-5</v>
      </c>
    </row>
    <row r="162" spans="1:24">
      <c r="A162" s="4">
        <v>161</v>
      </c>
      <c r="B162" s="4">
        <v>9943</v>
      </c>
      <c r="C162" s="4" t="s">
        <v>1700</v>
      </c>
      <c r="D162" s="4" t="s">
        <v>1701</v>
      </c>
      <c r="E162" s="4" t="s">
        <v>364</v>
      </c>
      <c r="F162" s="4" t="s">
        <v>1702</v>
      </c>
      <c r="G162" s="4" t="s">
        <v>1703</v>
      </c>
      <c r="H162" s="4" t="s">
        <v>223</v>
      </c>
      <c r="I162" s="4" t="s">
        <v>978</v>
      </c>
      <c r="J162" s="4" t="s">
        <v>30</v>
      </c>
      <c r="K162" s="4" t="s">
        <v>30</v>
      </c>
      <c r="L162" s="2" t="s">
        <v>377</v>
      </c>
      <c r="M162" s="2" t="s">
        <v>31</v>
      </c>
      <c r="N162" s="4" t="s">
        <v>501</v>
      </c>
      <c r="O162" s="4" t="s">
        <v>173</v>
      </c>
      <c r="P162" s="4" t="s">
        <v>34</v>
      </c>
      <c r="Q162" s="157">
        <v>413104</v>
      </c>
      <c r="R162" s="175">
        <v>1</v>
      </c>
      <c r="S162" s="177">
        <v>1025</v>
      </c>
      <c r="U162" s="157">
        <v>4234.3159999999998</v>
      </c>
      <c r="V162" s="174">
        <v>3.5199999999999999E-4</v>
      </c>
      <c r="W162" s="174">
        <v>1.85004461460282E-2</v>
      </c>
      <c r="X162" s="174">
        <v>2.3221353282812901E-3</v>
      </c>
    </row>
    <row r="163" spans="1:24">
      <c r="A163" s="4">
        <v>161</v>
      </c>
      <c r="B163" s="4">
        <v>9943</v>
      </c>
      <c r="C163" s="4" t="s">
        <v>1704</v>
      </c>
      <c r="D163" s="4" t="s">
        <v>1705</v>
      </c>
      <c r="E163" s="4" t="s">
        <v>1363</v>
      </c>
      <c r="F163" s="4" t="s">
        <v>1706</v>
      </c>
      <c r="G163" s="4" t="s">
        <v>1707</v>
      </c>
      <c r="H163" s="4" t="s">
        <v>223</v>
      </c>
      <c r="I163" s="4" t="s">
        <v>978</v>
      </c>
      <c r="J163" s="4" t="s">
        <v>30</v>
      </c>
      <c r="K163" s="4" t="s">
        <v>91</v>
      </c>
      <c r="L163" s="2" t="s">
        <v>377</v>
      </c>
      <c r="M163" s="2" t="s">
        <v>31</v>
      </c>
      <c r="N163" s="4" t="s">
        <v>528</v>
      </c>
      <c r="O163" s="4" t="s">
        <v>173</v>
      </c>
      <c r="P163" s="4" t="s">
        <v>34</v>
      </c>
      <c r="Q163" s="157">
        <v>69</v>
      </c>
      <c r="R163" s="175">
        <v>1</v>
      </c>
      <c r="S163" s="177">
        <v>64880</v>
      </c>
      <c r="U163" s="157">
        <v>44.767000000000003</v>
      </c>
      <c r="V163" s="174">
        <v>9.9999999999999995E-7</v>
      </c>
      <c r="W163" s="174">
        <v>1.95595504140096E-4</v>
      </c>
      <c r="X163" s="174">
        <v>2.4550717676298602E-5</v>
      </c>
    </row>
    <row r="164" spans="1:24">
      <c r="A164" s="4">
        <v>161</v>
      </c>
      <c r="B164" s="4">
        <v>9943</v>
      </c>
      <c r="C164" s="4" t="s">
        <v>1903</v>
      </c>
      <c r="D164" s="4" t="s">
        <v>1904</v>
      </c>
      <c r="E164" s="4" t="s">
        <v>1363</v>
      </c>
      <c r="F164" s="4" t="s">
        <v>1905</v>
      </c>
      <c r="G164" s="4" t="s">
        <v>1906</v>
      </c>
      <c r="H164" s="4" t="s">
        <v>223</v>
      </c>
      <c r="I164" s="4" t="s">
        <v>978</v>
      </c>
      <c r="J164" s="4" t="s">
        <v>30</v>
      </c>
      <c r="K164" s="4" t="s">
        <v>30</v>
      </c>
      <c r="L164" s="2" t="s">
        <v>377</v>
      </c>
      <c r="M164" s="2" t="s">
        <v>31</v>
      </c>
      <c r="N164" s="4" t="s">
        <v>511</v>
      </c>
      <c r="O164" s="4" t="s">
        <v>173</v>
      </c>
      <c r="P164" s="4" t="s">
        <v>34</v>
      </c>
      <c r="Q164" s="157">
        <v>705</v>
      </c>
      <c r="R164" s="175">
        <v>1</v>
      </c>
      <c r="S164" s="177">
        <v>25580</v>
      </c>
      <c r="U164" s="157">
        <v>180.339</v>
      </c>
      <c r="V164" s="174">
        <v>9.5000000000000005E-5</v>
      </c>
      <c r="W164" s="174">
        <v>7.8793173620688199E-4</v>
      </c>
      <c r="X164" s="174">
        <v>9.8899459314543203E-5</v>
      </c>
    </row>
    <row r="165" spans="1:24">
      <c r="A165" s="4">
        <v>161</v>
      </c>
      <c r="B165" s="4">
        <v>9943</v>
      </c>
      <c r="C165" s="4" t="s">
        <v>1708</v>
      </c>
      <c r="D165" s="4" t="s">
        <v>1709</v>
      </c>
      <c r="E165" s="4" t="s">
        <v>1363</v>
      </c>
      <c r="F165" s="4" t="s">
        <v>1708</v>
      </c>
      <c r="G165" s="4" t="s">
        <v>1710</v>
      </c>
      <c r="H165" s="4" t="s">
        <v>223</v>
      </c>
      <c r="I165" s="4" t="s">
        <v>978</v>
      </c>
      <c r="J165" s="4" t="s">
        <v>30</v>
      </c>
      <c r="K165" s="4" t="s">
        <v>30</v>
      </c>
      <c r="L165" s="2" t="s">
        <v>377</v>
      </c>
      <c r="M165" s="2" t="s">
        <v>31</v>
      </c>
      <c r="N165" s="4" t="s">
        <v>486</v>
      </c>
      <c r="O165" s="4" t="s">
        <v>173</v>
      </c>
      <c r="P165" s="4" t="s">
        <v>34</v>
      </c>
      <c r="Q165" s="157">
        <v>81831</v>
      </c>
      <c r="R165" s="175">
        <v>1</v>
      </c>
      <c r="S165" s="177">
        <v>3950</v>
      </c>
      <c r="U165" s="157">
        <v>3232.3249999999998</v>
      </c>
      <c r="V165" s="174">
        <v>1.0219999999999999E-3</v>
      </c>
      <c r="W165" s="174">
        <v>1.4122575012998E-2</v>
      </c>
      <c r="X165" s="174">
        <v>1.7726345681142301E-3</v>
      </c>
    </row>
    <row r="166" spans="1:24">
      <c r="A166" s="4">
        <v>161</v>
      </c>
      <c r="B166" s="4">
        <v>9943</v>
      </c>
      <c r="C166" s="4" t="s">
        <v>1907</v>
      </c>
      <c r="D166" s="4" t="s">
        <v>1908</v>
      </c>
      <c r="E166" s="4" t="s">
        <v>1363</v>
      </c>
      <c r="F166" s="4" t="s">
        <v>1909</v>
      </c>
      <c r="G166" s="4" t="s">
        <v>1910</v>
      </c>
      <c r="H166" s="4" t="s">
        <v>223</v>
      </c>
      <c r="I166" s="4" t="s">
        <v>978</v>
      </c>
      <c r="J166" s="4" t="s">
        <v>30</v>
      </c>
      <c r="K166" s="4" t="s">
        <v>30</v>
      </c>
      <c r="L166" s="2" t="s">
        <v>377</v>
      </c>
      <c r="M166" s="2" t="s">
        <v>31</v>
      </c>
      <c r="N166" s="4" t="s">
        <v>488</v>
      </c>
      <c r="O166" s="4" t="s">
        <v>173</v>
      </c>
      <c r="P166" s="4" t="s">
        <v>34</v>
      </c>
      <c r="Q166" s="157">
        <v>2313</v>
      </c>
      <c r="R166" s="175">
        <v>1</v>
      </c>
      <c r="S166" s="177">
        <v>3230</v>
      </c>
      <c r="U166" s="157">
        <v>74.709999999999994</v>
      </c>
      <c r="V166" s="174">
        <v>1.66E-4</v>
      </c>
      <c r="W166" s="174">
        <v>3.2642024863641501E-4</v>
      </c>
      <c r="X166" s="174">
        <v>4.0971551996204901E-5</v>
      </c>
    </row>
    <row r="167" spans="1:24">
      <c r="A167" s="4">
        <v>161</v>
      </c>
      <c r="B167" s="4">
        <v>9943</v>
      </c>
      <c r="C167" s="4" t="s">
        <v>1911</v>
      </c>
      <c r="D167" s="4" t="s">
        <v>1912</v>
      </c>
      <c r="E167" s="4" t="s">
        <v>1363</v>
      </c>
      <c r="F167" s="4" t="s">
        <v>1913</v>
      </c>
      <c r="G167" s="4" t="s">
        <v>1914</v>
      </c>
      <c r="H167" s="4" t="s">
        <v>223</v>
      </c>
      <c r="I167" s="4" t="s">
        <v>978</v>
      </c>
      <c r="J167" s="4" t="s">
        <v>30</v>
      </c>
      <c r="K167" s="4" t="s">
        <v>30</v>
      </c>
      <c r="L167" s="2" t="s">
        <v>377</v>
      </c>
      <c r="M167" s="2" t="s">
        <v>31</v>
      </c>
      <c r="N167" s="4" t="s">
        <v>511</v>
      </c>
      <c r="O167" s="4" t="s">
        <v>173</v>
      </c>
      <c r="P167" s="4" t="s">
        <v>34</v>
      </c>
      <c r="Q167" s="157">
        <v>5588</v>
      </c>
      <c r="R167" s="175">
        <v>1</v>
      </c>
      <c r="S167" s="177">
        <v>730.9</v>
      </c>
      <c r="U167" s="157">
        <v>40.843000000000004</v>
      </c>
      <c r="V167" s="174">
        <v>2.5999999999999998E-5</v>
      </c>
      <c r="W167" s="174">
        <v>1.78448661792085E-4</v>
      </c>
      <c r="X167" s="174">
        <v>2.2398483720939001E-5</v>
      </c>
    </row>
    <row r="168" spans="1:24">
      <c r="A168" s="4">
        <v>161</v>
      </c>
      <c r="B168" s="4">
        <v>9943</v>
      </c>
      <c r="C168" s="4" t="s">
        <v>1915</v>
      </c>
      <c r="D168" s="4" t="s">
        <v>1916</v>
      </c>
      <c r="E168" s="4" t="s">
        <v>1363</v>
      </c>
      <c r="F168" s="4" t="s">
        <v>1917</v>
      </c>
      <c r="G168" s="4" t="s">
        <v>1918</v>
      </c>
      <c r="H168" s="4" t="s">
        <v>223</v>
      </c>
      <c r="I168" s="4" t="s">
        <v>978</v>
      </c>
      <c r="J168" s="4" t="s">
        <v>30</v>
      </c>
      <c r="K168" s="4" t="s">
        <v>350</v>
      </c>
      <c r="L168" s="2" t="s">
        <v>377</v>
      </c>
      <c r="M168" s="2" t="s">
        <v>31</v>
      </c>
      <c r="N168" s="4" t="s">
        <v>509</v>
      </c>
      <c r="O168" s="4" t="s">
        <v>173</v>
      </c>
      <c r="P168" s="4" t="s">
        <v>34</v>
      </c>
      <c r="Q168" s="157">
        <v>11189</v>
      </c>
      <c r="R168" s="175">
        <v>1</v>
      </c>
      <c r="S168" s="177">
        <v>10710</v>
      </c>
      <c r="U168" s="157">
        <v>1198.3420000000001</v>
      </c>
      <c r="V168" s="174">
        <v>9.1799999999999998E-4</v>
      </c>
      <c r="W168" s="174">
        <v>5.2357593966721201E-3</v>
      </c>
      <c r="X168" s="174">
        <v>6.5718100901059897E-4</v>
      </c>
    </row>
    <row r="169" spans="1:24">
      <c r="A169" s="4">
        <v>161</v>
      </c>
      <c r="B169" s="4">
        <v>9943</v>
      </c>
      <c r="C169" s="4" t="s">
        <v>1711</v>
      </c>
      <c r="D169" s="4" t="s">
        <v>1712</v>
      </c>
      <c r="E169" s="4" t="s">
        <v>1363</v>
      </c>
      <c r="F169" s="4" t="s">
        <v>1713</v>
      </c>
      <c r="G169" s="4" t="s">
        <v>1714</v>
      </c>
      <c r="H169" s="4" t="s">
        <v>223</v>
      </c>
      <c r="I169" s="4" t="s">
        <v>978</v>
      </c>
      <c r="J169" s="4" t="s">
        <v>30</v>
      </c>
      <c r="K169" s="4" t="s">
        <v>30</v>
      </c>
      <c r="L169" s="2" t="s">
        <v>377</v>
      </c>
      <c r="M169" s="2" t="s">
        <v>31</v>
      </c>
      <c r="N169" s="4" t="s">
        <v>511</v>
      </c>
      <c r="O169" s="4" t="s">
        <v>173</v>
      </c>
      <c r="P169" s="4" t="s">
        <v>34</v>
      </c>
      <c r="Q169" s="157">
        <v>917</v>
      </c>
      <c r="R169" s="175">
        <v>1</v>
      </c>
      <c r="S169" s="177">
        <v>25940</v>
      </c>
      <c r="U169" s="157">
        <v>237.87</v>
      </c>
      <c r="V169" s="174">
        <v>7.9999999999999996E-6</v>
      </c>
      <c r="W169" s="174">
        <v>1.03929357767972E-3</v>
      </c>
      <c r="X169" s="174">
        <v>1.30449845054362E-4</v>
      </c>
    </row>
    <row r="170" spans="1:24">
      <c r="A170" s="4">
        <v>161</v>
      </c>
      <c r="B170" s="4">
        <v>9943</v>
      </c>
      <c r="C170" s="4" t="s">
        <v>1620</v>
      </c>
      <c r="D170" s="4" t="s">
        <v>1621</v>
      </c>
      <c r="E170" s="4" t="s">
        <v>1363</v>
      </c>
      <c r="F170" s="4" t="s">
        <v>1622</v>
      </c>
      <c r="G170" s="4" t="s">
        <v>1623</v>
      </c>
      <c r="H170" s="4" t="s">
        <v>223</v>
      </c>
      <c r="I170" s="4" t="s">
        <v>978</v>
      </c>
      <c r="J170" s="4" t="s">
        <v>30</v>
      </c>
      <c r="K170" s="4" t="s">
        <v>30</v>
      </c>
      <c r="L170" s="2" t="s">
        <v>377</v>
      </c>
      <c r="M170" s="2" t="s">
        <v>31</v>
      </c>
      <c r="N170" s="4" t="s">
        <v>495</v>
      </c>
      <c r="O170" s="4" t="s">
        <v>173</v>
      </c>
      <c r="P170" s="4" t="s">
        <v>34</v>
      </c>
      <c r="Q170" s="157">
        <v>248116</v>
      </c>
      <c r="R170" s="175">
        <v>1</v>
      </c>
      <c r="S170" s="177">
        <v>3729</v>
      </c>
      <c r="U170" s="157">
        <v>9252.2459999999992</v>
      </c>
      <c r="V170" s="174">
        <v>1.8599999999999999E-4</v>
      </c>
      <c r="W170" s="174">
        <v>4.0424633445553901E-2</v>
      </c>
      <c r="X170" s="174">
        <v>5.0740111192883403E-3</v>
      </c>
    </row>
    <row r="171" spans="1:24">
      <c r="A171" s="4">
        <v>161</v>
      </c>
      <c r="B171" s="4">
        <v>9943</v>
      </c>
      <c r="C171" s="4" t="s">
        <v>1715</v>
      </c>
      <c r="D171" s="4" t="s">
        <v>1716</v>
      </c>
      <c r="E171" s="4" t="s">
        <v>1363</v>
      </c>
      <c r="F171" s="4" t="s">
        <v>1717</v>
      </c>
      <c r="G171" s="4" t="s">
        <v>1718</v>
      </c>
      <c r="H171" s="4" t="s">
        <v>223</v>
      </c>
      <c r="I171" s="4" t="s">
        <v>978</v>
      </c>
      <c r="J171" s="4" t="s">
        <v>30</v>
      </c>
      <c r="K171" s="4" t="s">
        <v>30</v>
      </c>
      <c r="L171" s="2" t="s">
        <v>377</v>
      </c>
      <c r="M171" s="2" t="s">
        <v>31</v>
      </c>
      <c r="N171" s="4" t="s">
        <v>523</v>
      </c>
      <c r="O171" s="4" t="s">
        <v>173</v>
      </c>
      <c r="P171" s="4" t="s">
        <v>34</v>
      </c>
      <c r="Q171" s="157">
        <v>631</v>
      </c>
      <c r="R171" s="175">
        <v>1</v>
      </c>
      <c r="S171" s="177">
        <v>28150</v>
      </c>
      <c r="U171" s="157">
        <v>177.626</v>
      </c>
      <c r="V171" s="174">
        <v>4.6E-5</v>
      </c>
      <c r="W171" s="174">
        <v>7.7608036276873905E-4</v>
      </c>
      <c r="X171" s="174">
        <v>9.7411900975023205E-5</v>
      </c>
    </row>
    <row r="172" spans="1:24">
      <c r="A172" s="4">
        <v>161</v>
      </c>
      <c r="B172" s="4">
        <v>9943</v>
      </c>
      <c r="C172" s="4" t="s">
        <v>1719</v>
      </c>
      <c r="D172" s="4" t="s">
        <v>1720</v>
      </c>
      <c r="E172" s="4" t="s">
        <v>1363</v>
      </c>
      <c r="F172" s="4" t="s">
        <v>1721</v>
      </c>
      <c r="G172" s="4" t="s">
        <v>1722</v>
      </c>
      <c r="H172" s="4" t="s">
        <v>223</v>
      </c>
      <c r="I172" s="4" t="s">
        <v>978</v>
      </c>
      <c r="J172" s="4" t="s">
        <v>30</v>
      </c>
      <c r="K172" s="4" t="s">
        <v>30</v>
      </c>
      <c r="L172" s="2" t="s">
        <v>377</v>
      </c>
      <c r="M172" s="2" t="s">
        <v>31</v>
      </c>
      <c r="N172" s="4" t="s">
        <v>524</v>
      </c>
      <c r="O172" s="4" t="s">
        <v>173</v>
      </c>
      <c r="P172" s="4" t="s">
        <v>34</v>
      </c>
      <c r="Q172" s="157">
        <v>291</v>
      </c>
      <c r="R172" s="175">
        <v>1</v>
      </c>
      <c r="S172" s="177">
        <v>29830</v>
      </c>
      <c r="U172" s="157">
        <v>86.805000000000007</v>
      </c>
      <c r="V172" s="174">
        <v>1.9000000000000001E-5</v>
      </c>
      <c r="W172" s="174">
        <v>3.7926710662119199E-4</v>
      </c>
      <c r="X172" s="174">
        <v>4.7604773430243699E-5</v>
      </c>
    </row>
    <row r="173" spans="1:24">
      <c r="A173" s="4">
        <v>161</v>
      </c>
      <c r="B173" s="4">
        <v>9943</v>
      </c>
      <c r="C173" s="4" t="s">
        <v>1919</v>
      </c>
      <c r="D173" s="4" t="s">
        <v>1920</v>
      </c>
      <c r="E173" s="4" t="s">
        <v>1363</v>
      </c>
      <c r="F173" s="4" t="s">
        <v>1921</v>
      </c>
      <c r="G173" s="4" t="s">
        <v>1922</v>
      </c>
      <c r="H173" s="4" t="s">
        <v>223</v>
      </c>
      <c r="I173" s="4" t="s">
        <v>978</v>
      </c>
      <c r="J173" s="4" t="s">
        <v>30</v>
      </c>
      <c r="K173" s="4" t="s">
        <v>30</v>
      </c>
      <c r="L173" s="2" t="s">
        <v>377</v>
      </c>
      <c r="M173" s="2" t="s">
        <v>31</v>
      </c>
      <c r="N173" s="4" t="s">
        <v>487</v>
      </c>
      <c r="O173" s="4" t="s">
        <v>173</v>
      </c>
      <c r="P173" s="4" t="s">
        <v>34</v>
      </c>
      <c r="Q173" s="157">
        <v>1504</v>
      </c>
      <c r="R173" s="175">
        <v>1</v>
      </c>
      <c r="S173" s="177">
        <v>5597</v>
      </c>
      <c r="U173" s="157">
        <v>84.179000000000002</v>
      </c>
      <c r="V173" s="174">
        <v>1.2E-4</v>
      </c>
      <c r="W173" s="174">
        <v>3.6779183133071999E-4</v>
      </c>
      <c r="X173" s="174">
        <v>4.61644221033932E-5</v>
      </c>
    </row>
    <row r="174" spans="1:24">
      <c r="A174" s="4">
        <v>161</v>
      </c>
      <c r="B174" s="4">
        <v>9943</v>
      </c>
      <c r="C174" s="4" t="s">
        <v>1923</v>
      </c>
      <c r="D174" s="4" t="s">
        <v>1924</v>
      </c>
      <c r="E174" s="4" t="s">
        <v>1363</v>
      </c>
      <c r="F174" s="4" t="s">
        <v>1925</v>
      </c>
      <c r="G174" s="4" t="s">
        <v>1926</v>
      </c>
      <c r="H174" s="4" t="s">
        <v>223</v>
      </c>
      <c r="I174" s="4" t="s">
        <v>978</v>
      </c>
      <c r="J174" s="4" t="s">
        <v>30</v>
      </c>
      <c r="K174" s="4" t="s">
        <v>350</v>
      </c>
      <c r="L174" s="2" t="s">
        <v>377</v>
      </c>
      <c r="M174" s="2" t="s">
        <v>31</v>
      </c>
      <c r="N174" s="4" t="s">
        <v>505</v>
      </c>
      <c r="O174" s="4" t="s">
        <v>173</v>
      </c>
      <c r="P174" s="4" t="s">
        <v>34</v>
      </c>
      <c r="Q174" s="157">
        <v>6096</v>
      </c>
      <c r="R174" s="175">
        <v>1</v>
      </c>
      <c r="S174" s="177">
        <v>15700</v>
      </c>
      <c r="U174" s="157">
        <v>957.072</v>
      </c>
      <c r="V174" s="174">
        <v>4.7100000000000001E-4</v>
      </c>
      <c r="W174" s="174">
        <v>4.1816102043096201E-3</v>
      </c>
      <c r="X174" s="174">
        <v>5.2486651986030999E-4</v>
      </c>
    </row>
    <row r="175" spans="1:24">
      <c r="A175" s="4">
        <v>161</v>
      </c>
      <c r="B175" s="4">
        <v>9943</v>
      </c>
      <c r="C175" s="4" t="s">
        <v>1927</v>
      </c>
      <c r="D175" s="4" t="s">
        <v>1928</v>
      </c>
      <c r="E175" s="4" t="s">
        <v>1363</v>
      </c>
      <c r="F175" s="4" t="s">
        <v>1929</v>
      </c>
      <c r="G175" s="4" t="s">
        <v>1930</v>
      </c>
      <c r="H175" s="4" t="s">
        <v>223</v>
      </c>
      <c r="I175" s="4" t="s">
        <v>978</v>
      </c>
      <c r="J175" s="4" t="s">
        <v>30</v>
      </c>
      <c r="K175" s="4" t="s">
        <v>30</v>
      </c>
      <c r="L175" s="2" t="s">
        <v>377</v>
      </c>
      <c r="M175" s="2" t="s">
        <v>31</v>
      </c>
      <c r="N175" s="4" t="s">
        <v>508</v>
      </c>
      <c r="O175" s="4" t="s">
        <v>173</v>
      </c>
      <c r="P175" s="4" t="s">
        <v>34</v>
      </c>
      <c r="Q175" s="157">
        <v>286</v>
      </c>
      <c r="R175" s="175">
        <v>1</v>
      </c>
      <c r="S175" s="177">
        <v>42630</v>
      </c>
      <c r="U175" s="157">
        <v>121.922</v>
      </c>
      <c r="V175" s="174">
        <v>1.7E-5</v>
      </c>
      <c r="W175" s="174">
        <v>5.3269706250710198E-4</v>
      </c>
      <c r="X175" s="174">
        <v>6.6862964187756801E-5</v>
      </c>
    </row>
    <row r="176" spans="1:24">
      <c r="A176" s="4">
        <v>161</v>
      </c>
      <c r="B176" s="4">
        <v>9943</v>
      </c>
      <c r="C176" s="4" t="s">
        <v>1931</v>
      </c>
      <c r="D176" s="4" t="s">
        <v>1932</v>
      </c>
      <c r="E176" s="4" t="s">
        <v>1363</v>
      </c>
      <c r="F176" s="4" t="s">
        <v>1933</v>
      </c>
      <c r="G176" s="4" t="s">
        <v>1934</v>
      </c>
      <c r="H176" s="4" t="s">
        <v>223</v>
      </c>
      <c r="I176" s="4" t="s">
        <v>978</v>
      </c>
      <c r="J176" s="4" t="s">
        <v>30</v>
      </c>
      <c r="K176" s="4" t="s">
        <v>30</v>
      </c>
      <c r="L176" s="2" t="s">
        <v>377</v>
      </c>
      <c r="M176" s="2" t="s">
        <v>31</v>
      </c>
      <c r="N176" s="4" t="s">
        <v>494</v>
      </c>
      <c r="O176" s="4" t="s">
        <v>173</v>
      </c>
      <c r="P176" s="4" t="s">
        <v>34</v>
      </c>
      <c r="Q176" s="157">
        <v>40000</v>
      </c>
      <c r="R176" s="175">
        <v>1</v>
      </c>
      <c r="S176" s="177">
        <v>3498</v>
      </c>
      <c r="U176" s="157">
        <v>1399.2</v>
      </c>
      <c r="V176" s="174">
        <v>2.081E-3</v>
      </c>
      <c r="W176" s="174">
        <v>6.1133425676124899E-3</v>
      </c>
      <c r="X176" s="174">
        <v>7.6733331932032998E-4</v>
      </c>
    </row>
    <row r="177" spans="1:24">
      <c r="A177" s="4">
        <v>161</v>
      </c>
      <c r="B177" s="4">
        <v>9943</v>
      </c>
      <c r="C177" s="4" t="s">
        <v>1723</v>
      </c>
      <c r="D177" s="4" t="s">
        <v>1724</v>
      </c>
      <c r="E177" s="4" t="s">
        <v>1363</v>
      </c>
      <c r="F177" s="4" t="s">
        <v>1725</v>
      </c>
      <c r="G177" s="4" t="s">
        <v>1726</v>
      </c>
      <c r="H177" s="4" t="s">
        <v>223</v>
      </c>
      <c r="I177" s="4" t="s">
        <v>978</v>
      </c>
      <c r="J177" s="4" t="s">
        <v>30</v>
      </c>
      <c r="K177" s="4" t="s">
        <v>350</v>
      </c>
      <c r="L177" s="2" t="s">
        <v>377</v>
      </c>
      <c r="M177" s="2" t="s">
        <v>31</v>
      </c>
      <c r="N177" s="4" t="s">
        <v>505</v>
      </c>
      <c r="O177" s="4" t="s">
        <v>173</v>
      </c>
      <c r="P177" s="4" t="s">
        <v>34</v>
      </c>
      <c r="Q177" s="157">
        <v>5499</v>
      </c>
      <c r="R177" s="175">
        <v>1</v>
      </c>
      <c r="S177" s="177">
        <v>29980</v>
      </c>
      <c r="U177" s="157">
        <v>1648.6</v>
      </c>
      <c r="V177" s="174">
        <v>1.2400000000000001E-4</v>
      </c>
      <c r="W177" s="174">
        <v>7.2030144222659104E-3</v>
      </c>
      <c r="X177" s="174">
        <v>9.0410653494722595E-4</v>
      </c>
    </row>
    <row r="178" spans="1:24">
      <c r="A178" s="4">
        <v>161</v>
      </c>
      <c r="B178" s="4">
        <v>9943</v>
      </c>
      <c r="C178" s="4" t="s">
        <v>1935</v>
      </c>
      <c r="D178" s="4" t="s">
        <v>1936</v>
      </c>
      <c r="E178" s="4" t="s">
        <v>1363</v>
      </c>
      <c r="F178" s="4" t="s">
        <v>1937</v>
      </c>
      <c r="G178" s="4" t="s">
        <v>1938</v>
      </c>
      <c r="H178" s="4" t="s">
        <v>223</v>
      </c>
      <c r="I178" s="4" t="s">
        <v>978</v>
      </c>
      <c r="J178" s="4" t="s">
        <v>30</v>
      </c>
      <c r="K178" s="4" t="s">
        <v>30</v>
      </c>
      <c r="L178" s="2" t="s">
        <v>377</v>
      </c>
      <c r="M178" s="2" t="s">
        <v>31</v>
      </c>
      <c r="N178" s="4" t="s">
        <v>509</v>
      </c>
      <c r="O178" s="4" t="s">
        <v>173</v>
      </c>
      <c r="P178" s="4" t="s">
        <v>34</v>
      </c>
      <c r="Q178" s="157">
        <v>94230</v>
      </c>
      <c r="R178" s="175">
        <v>1</v>
      </c>
      <c r="S178" s="177">
        <v>1991</v>
      </c>
      <c r="U178" s="157">
        <v>1876.1189999999999</v>
      </c>
      <c r="V178" s="174">
        <v>1.031E-3</v>
      </c>
      <c r="W178" s="174">
        <v>8.1970840327396707E-3</v>
      </c>
      <c r="X178" s="174">
        <v>1.0288799670597E-3</v>
      </c>
    </row>
    <row r="179" spans="1:24">
      <c r="A179" s="4">
        <v>161</v>
      </c>
      <c r="B179" s="4">
        <v>9943</v>
      </c>
      <c r="C179" s="4" t="s">
        <v>1939</v>
      </c>
      <c r="D179" s="4" t="s">
        <v>1940</v>
      </c>
      <c r="E179" s="4" t="s">
        <v>1363</v>
      </c>
      <c r="F179" s="4" t="s">
        <v>1941</v>
      </c>
      <c r="G179" s="4" t="s">
        <v>1942</v>
      </c>
      <c r="H179" s="4" t="s">
        <v>223</v>
      </c>
      <c r="I179" s="4" t="s">
        <v>978</v>
      </c>
      <c r="J179" s="4" t="s">
        <v>30</v>
      </c>
      <c r="K179" s="4" t="s">
        <v>30</v>
      </c>
      <c r="L179" s="2" t="s">
        <v>377</v>
      </c>
      <c r="M179" s="2" t="s">
        <v>31</v>
      </c>
      <c r="N179" s="4" t="s">
        <v>511</v>
      </c>
      <c r="O179" s="4" t="s">
        <v>173</v>
      </c>
      <c r="P179" s="4" t="s">
        <v>34</v>
      </c>
      <c r="Q179" s="157">
        <v>12191</v>
      </c>
      <c r="R179" s="175">
        <v>1</v>
      </c>
      <c r="S179" s="177">
        <v>1513</v>
      </c>
      <c r="U179" s="157">
        <v>184.45</v>
      </c>
      <c r="V179" s="174">
        <v>6.3E-5</v>
      </c>
      <c r="W179" s="174">
        <v>8.0589265103479595E-4</v>
      </c>
      <c r="X179" s="174">
        <v>1.01153873857898E-4</v>
      </c>
    </row>
    <row r="180" spans="1:24">
      <c r="A180" s="4">
        <v>161</v>
      </c>
      <c r="B180" s="4">
        <v>9943</v>
      </c>
      <c r="C180" s="4" t="s">
        <v>1943</v>
      </c>
      <c r="D180" s="4" t="s">
        <v>1944</v>
      </c>
      <c r="E180" s="4" t="s">
        <v>1363</v>
      </c>
      <c r="F180" s="4" t="s">
        <v>1945</v>
      </c>
      <c r="G180" s="4" t="s">
        <v>1946</v>
      </c>
      <c r="H180" s="4" t="s">
        <v>223</v>
      </c>
      <c r="I180" s="4" t="s">
        <v>978</v>
      </c>
      <c r="J180" s="4" t="s">
        <v>30</v>
      </c>
      <c r="K180" s="4" t="s">
        <v>30</v>
      </c>
      <c r="L180" s="2" t="s">
        <v>377</v>
      </c>
      <c r="M180" s="2" t="s">
        <v>31</v>
      </c>
      <c r="N180" s="4" t="s">
        <v>523</v>
      </c>
      <c r="O180" s="4" t="s">
        <v>173</v>
      </c>
      <c r="P180" s="4" t="s">
        <v>34</v>
      </c>
      <c r="Q180" s="157">
        <v>141</v>
      </c>
      <c r="R180" s="175">
        <v>1</v>
      </c>
      <c r="S180" s="177">
        <v>20800</v>
      </c>
      <c r="U180" s="157">
        <v>29.327999999999999</v>
      </c>
      <c r="V180" s="174">
        <v>1.0000000000000001E-5</v>
      </c>
      <c r="W180" s="174">
        <v>1.2813901573966501E-4</v>
      </c>
      <c r="X180" s="174">
        <v>1.60837275507623E-5</v>
      </c>
    </row>
    <row r="181" spans="1:24">
      <c r="A181" s="4">
        <v>161</v>
      </c>
      <c r="B181" s="4">
        <v>9943</v>
      </c>
      <c r="C181" s="4" t="s">
        <v>1727</v>
      </c>
      <c r="D181" s="4" t="s">
        <v>1728</v>
      </c>
      <c r="E181" s="4" t="s">
        <v>364</v>
      </c>
      <c r="F181" s="4" t="s">
        <v>1729</v>
      </c>
      <c r="G181" s="4" t="s">
        <v>1730</v>
      </c>
      <c r="H181" s="4" t="s">
        <v>223</v>
      </c>
      <c r="I181" s="4" t="s">
        <v>978</v>
      </c>
      <c r="J181" s="4" t="s">
        <v>30</v>
      </c>
      <c r="K181" s="4" t="s">
        <v>30</v>
      </c>
      <c r="L181" s="2" t="s">
        <v>377</v>
      </c>
      <c r="M181" s="2" t="s">
        <v>31</v>
      </c>
      <c r="N181" s="4" t="s">
        <v>501</v>
      </c>
      <c r="O181" s="4" t="s">
        <v>173</v>
      </c>
      <c r="P181" s="4" t="s">
        <v>34</v>
      </c>
      <c r="Q181" s="157">
        <v>18283</v>
      </c>
      <c r="R181" s="175">
        <v>1</v>
      </c>
      <c r="S181" s="177">
        <v>303</v>
      </c>
      <c r="U181" s="157">
        <v>55.396999999999998</v>
      </c>
      <c r="V181" s="174">
        <v>1.5999999999999999E-5</v>
      </c>
      <c r="W181" s="174">
        <v>2.42041047567101E-4</v>
      </c>
      <c r="X181" s="174">
        <v>3.03804601798991E-5</v>
      </c>
    </row>
    <row r="182" spans="1:24">
      <c r="A182" s="4">
        <v>161</v>
      </c>
      <c r="B182" s="4">
        <v>9943</v>
      </c>
      <c r="C182" s="4" t="s">
        <v>1947</v>
      </c>
      <c r="D182" s="4" t="s">
        <v>1948</v>
      </c>
      <c r="E182" s="4" t="s">
        <v>1363</v>
      </c>
      <c r="F182" s="4" t="s">
        <v>1949</v>
      </c>
      <c r="G182" s="4" t="s">
        <v>1950</v>
      </c>
      <c r="H182" s="4" t="s">
        <v>223</v>
      </c>
      <c r="I182" s="4" t="s">
        <v>978</v>
      </c>
      <c r="J182" s="4" t="s">
        <v>30</v>
      </c>
      <c r="K182" s="4" t="s">
        <v>30</v>
      </c>
      <c r="L182" s="2" t="s">
        <v>377</v>
      </c>
      <c r="M182" s="2" t="s">
        <v>31</v>
      </c>
      <c r="N182" s="4" t="s">
        <v>523</v>
      </c>
      <c r="O182" s="4" t="s">
        <v>173</v>
      </c>
      <c r="P182" s="4" t="s">
        <v>34</v>
      </c>
      <c r="Q182" s="157">
        <v>8175</v>
      </c>
      <c r="R182" s="175">
        <v>1</v>
      </c>
      <c r="S182" s="177">
        <v>3310</v>
      </c>
      <c r="U182" s="157">
        <v>270.59199999999998</v>
      </c>
      <c r="V182" s="174">
        <v>3.1000000000000001E-5</v>
      </c>
      <c r="W182" s="174">
        <v>1.1822646145845401E-3</v>
      </c>
      <c r="X182" s="174">
        <v>1.4839525529458699E-4</v>
      </c>
    </row>
    <row r="183" spans="1:24">
      <c r="A183" s="4">
        <v>161</v>
      </c>
      <c r="B183" s="4">
        <v>9943</v>
      </c>
      <c r="C183" s="4" t="s">
        <v>1951</v>
      </c>
      <c r="D183" s="4" t="s">
        <v>1952</v>
      </c>
      <c r="E183" s="4" t="s">
        <v>1363</v>
      </c>
      <c r="F183" s="4" t="s">
        <v>1953</v>
      </c>
      <c r="G183" s="4" t="s">
        <v>1954</v>
      </c>
      <c r="H183" s="4" t="s">
        <v>223</v>
      </c>
      <c r="I183" s="4" t="s">
        <v>978</v>
      </c>
      <c r="J183" s="4" t="s">
        <v>30</v>
      </c>
      <c r="K183" s="4" t="s">
        <v>30</v>
      </c>
      <c r="L183" s="2" t="s">
        <v>377</v>
      </c>
      <c r="M183" s="2" t="s">
        <v>31</v>
      </c>
      <c r="N183" s="4" t="s">
        <v>494</v>
      </c>
      <c r="O183" s="4" t="s">
        <v>173</v>
      </c>
      <c r="P183" s="4" t="s">
        <v>34</v>
      </c>
      <c r="Q183" s="157">
        <v>20000</v>
      </c>
      <c r="R183" s="175">
        <v>1</v>
      </c>
      <c r="S183" s="177">
        <v>898.1</v>
      </c>
      <c r="U183" s="157">
        <v>179.62</v>
      </c>
      <c r="V183" s="174">
        <v>3.6999999999999998E-5</v>
      </c>
      <c r="W183" s="174">
        <v>7.8479030302641196E-4</v>
      </c>
      <c r="X183" s="174">
        <v>9.8505153527957105E-5</v>
      </c>
    </row>
    <row r="184" spans="1:24">
      <c r="A184" s="4">
        <v>161</v>
      </c>
      <c r="B184" s="4">
        <v>9943</v>
      </c>
      <c r="C184" s="4" t="s">
        <v>1955</v>
      </c>
      <c r="D184" s="4" t="s">
        <v>1956</v>
      </c>
      <c r="E184" s="4" t="s">
        <v>1363</v>
      </c>
      <c r="F184" s="4" t="s">
        <v>1957</v>
      </c>
      <c r="G184" s="4" t="s">
        <v>1958</v>
      </c>
      <c r="H184" s="4" t="s">
        <v>223</v>
      </c>
      <c r="I184" s="4" t="s">
        <v>978</v>
      </c>
      <c r="J184" s="4" t="s">
        <v>30</v>
      </c>
      <c r="K184" s="4" t="s">
        <v>30</v>
      </c>
      <c r="L184" s="2" t="s">
        <v>377</v>
      </c>
      <c r="M184" s="2" t="s">
        <v>31</v>
      </c>
      <c r="N184" s="4" t="s">
        <v>509</v>
      </c>
      <c r="O184" s="4" t="s">
        <v>173</v>
      </c>
      <c r="P184" s="4" t="s">
        <v>34</v>
      </c>
      <c r="Q184" s="157">
        <v>64</v>
      </c>
      <c r="R184" s="175">
        <v>1</v>
      </c>
      <c r="S184" s="177">
        <v>19990</v>
      </c>
      <c r="U184" s="157">
        <v>12.794</v>
      </c>
      <c r="V184" s="174">
        <v>6.9999999999999999E-6</v>
      </c>
      <c r="W184" s="174">
        <v>5.5897412430679801E-5</v>
      </c>
      <c r="X184" s="174">
        <v>7.0161203216527803E-6</v>
      </c>
    </row>
    <row r="185" spans="1:24">
      <c r="A185" s="4">
        <v>161</v>
      </c>
      <c r="B185" s="4">
        <v>9943</v>
      </c>
      <c r="C185" s="4" t="s">
        <v>1731</v>
      </c>
      <c r="D185" s="4" t="s">
        <v>1732</v>
      </c>
      <c r="E185" s="4" t="s">
        <v>220</v>
      </c>
      <c r="F185" s="4" t="s">
        <v>1733</v>
      </c>
      <c r="G185" s="4" t="s">
        <v>1734</v>
      </c>
      <c r="H185" s="4" t="s">
        <v>223</v>
      </c>
      <c r="I185" s="4" t="s">
        <v>978</v>
      </c>
      <c r="J185" s="4" t="s">
        <v>90</v>
      </c>
      <c r="K185" s="4" t="s">
        <v>343</v>
      </c>
      <c r="L185" s="2" t="s">
        <v>377</v>
      </c>
      <c r="M185" s="2" t="s">
        <v>396</v>
      </c>
      <c r="N185" s="4" t="s">
        <v>596</v>
      </c>
      <c r="O185" s="4" t="s">
        <v>173</v>
      </c>
      <c r="P185" s="4" t="s">
        <v>95</v>
      </c>
      <c r="Q185" s="157">
        <v>3990</v>
      </c>
      <c r="R185" s="175">
        <v>3.71</v>
      </c>
      <c r="S185" s="177">
        <v>16408</v>
      </c>
      <c r="U185" s="157">
        <v>2428.86</v>
      </c>
      <c r="V185" s="174">
        <v>1.9999999999999999E-6</v>
      </c>
      <c r="W185" s="174">
        <v>1.06121013448611E-2</v>
      </c>
      <c r="X185" s="174">
        <v>1.3320076308264599E-3</v>
      </c>
    </row>
    <row r="186" spans="1:24">
      <c r="A186" s="4">
        <v>161</v>
      </c>
      <c r="B186" s="4">
        <v>9943</v>
      </c>
      <c r="C186" s="4" t="s">
        <v>1735</v>
      </c>
      <c r="D186" s="4" t="s">
        <v>1736</v>
      </c>
      <c r="E186" s="4" t="s">
        <v>220</v>
      </c>
      <c r="F186" s="4" t="s">
        <v>1737</v>
      </c>
      <c r="G186" s="4" t="s">
        <v>1738</v>
      </c>
      <c r="H186" s="4" t="s">
        <v>223</v>
      </c>
      <c r="I186" s="4" t="s">
        <v>978</v>
      </c>
      <c r="J186" s="4" t="s">
        <v>90</v>
      </c>
      <c r="K186" s="4" t="s">
        <v>91</v>
      </c>
      <c r="L186" s="2" t="s">
        <v>377</v>
      </c>
      <c r="M186" s="2" t="s">
        <v>396</v>
      </c>
      <c r="N186" s="4" t="s">
        <v>597</v>
      </c>
      <c r="O186" s="4" t="s">
        <v>173</v>
      </c>
      <c r="P186" s="4" t="s">
        <v>95</v>
      </c>
      <c r="Q186" s="157">
        <v>7963</v>
      </c>
      <c r="R186" s="175">
        <v>3.71</v>
      </c>
      <c r="S186" s="177">
        <v>16719</v>
      </c>
      <c r="U186" s="157">
        <v>4939.2489999999998</v>
      </c>
      <c r="V186" s="174">
        <v>9.9999999999999995E-7</v>
      </c>
      <c r="W186" s="174">
        <v>2.1580418338472199E-2</v>
      </c>
      <c r="X186" s="174">
        <v>2.7087266667682099E-3</v>
      </c>
    </row>
    <row r="187" spans="1:24">
      <c r="A187" s="4">
        <v>161</v>
      </c>
      <c r="B187" s="4">
        <v>9943</v>
      </c>
      <c r="C187" s="4" t="s">
        <v>1739</v>
      </c>
      <c r="D187" s="4" t="s">
        <v>1740</v>
      </c>
      <c r="E187" s="4" t="s">
        <v>220</v>
      </c>
      <c r="F187" s="4" t="s">
        <v>1741</v>
      </c>
      <c r="G187" s="4" t="s">
        <v>1742</v>
      </c>
      <c r="H187" s="4" t="s">
        <v>223</v>
      </c>
      <c r="I187" s="4" t="s">
        <v>978</v>
      </c>
      <c r="J187" s="4" t="s">
        <v>90</v>
      </c>
      <c r="K187" s="4" t="s">
        <v>91</v>
      </c>
      <c r="L187" s="2" t="s">
        <v>377</v>
      </c>
      <c r="M187" s="2" t="s">
        <v>396</v>
      </c>
      <c r="N187" s="4" t="s">
        <v>548</v>
      </c>
      <c r="O187" s="4" t="s">
        <v>173</v>
      </c>
      <c r="P187" s="4" t="s">
        <v>95</v>
      </c>
      <c r="Q187" s="157">
        <v>3800</v>
      </c>
      <c r="R187" s="175">
        <v>3.71</v>
      </c>
      <c r="S187" s="177">
        <v>18633</v>
      </c>
      <c r="U187" s="157">
        <v>2626.88</v>
      </c>
      <c r="V187" s="174">
        <v>0</v>
      </c>
      <c r="W187" s="174">
        <v>1.1477286594158399E-2</v>
      </c>
      <c r="X187" s="174">
        <v>1.44060378126752E-3</v>
      </c>
    </row>
    <row r="188" spans="1:24">
      <c r="A188" s="4">
        <v>161</v>
      </c>
      <c r="B188" s="4">
        <v>9943</v>
      </c>
      <c r="C188" s="4" t="s">
        <v>1743</v>
      </c>
      <c r="D188" s="4" t="s">
        <v>1744</v>
      </c>
      <c r="E188" s="4" t="s">
        <v>220</v>
      </c>
      <c r="F188" s="4" t="s">
        <v>1745</v>
      </c>
      <c r="G188" s="4" t="s">
        <v>1746</v>
      </c>
      <c r="H188" s="4" t="s">
        <v>223</v>
      </c>
      <c r="I188" s="4" t="s">
        <v>978</v>
      </c>
      <c r="J188" s="4" t="s">
        <v>90</v>
      </c>
      <c r="K188" s="4" t="s">
        <v>91</v>
      </c>
      <c r="L188" s="2" t="s">
        <v>377</v>
      </c>
      <c r="M188" s="2" t="s">
        <v>396</v>
      </c>
      <c r="N188" s="4" t="s">
        <v>596</v>
      </c>
      <c r="O188" s="4" t="s">
        <v>173</v>
      </c>
      <c r="P188" s="4" t="s">
        <v>95</v>
      </c>
      <c r="Q188" s="157">
        <v>926</v>
      </c>
      <c r="R188" s="175">
        <v>3.71</v>
      </c>
      <c r="S188" s="177">
        <v>83325</v>
      </c>
      <c r="U188" s="157">
        <v>2862.5970000000002</v>
      </c>
      <c r="V188" s="174">
        <v>1.9999999999999999E-6</v>
      </c>
      <c r="W188" s="174">
        <v>1.25071729339052E-2</v>
      </c>
      <c r="X188" s="174">
        <v>1.5698728504977199E-3</v>
      </c>
    </row>
    <row r="189" spans="1:24">
      <c r="A189" s="4">
        <v>161</v>
      </c>
      <c r="B189" s="4">
        <v>9943</v>
      </c>
      <c r="C189" s="4" t="s">
        <v>1747</v>
      </c>
      <c r="D189" s="4" t="s">
        <v>1748</v>
      </c>
      <c r="E189" s="4" t="s">
        <v>220</v>
      </c>
      <c r="F189" s="4" t="s">
        <v>1749</v>
      </c>
      <c r="G189" s="4" t="s">
        <v>1750</v>
      </c>
      <c r="H189" s="4" t="s">
        <v>223</v>
      </c>
      <c r="I189" s="4" t="s">
        <v>978</v>
      </c>
      <c r="J189" s="4" t="s">
        <v>90</v>
      </c>
      <c r="K189" s="4" t="s">
        <v>91</v>
      </c>
      <c r="L189" s="2" t="s">
        <v>377</v>
      </c>
      <c r="M189" s="2" t="s">
        <v>396</v>
      </c>
      <c r="N189" s="4" t="s">
        <v>596</v>
      </c>
      <c r="O189" s="4" t="s">
        <v>173</v>
      </c>
      <c r="P189" s="4" t="s">
        <v>95</v>
      </c>
      <c r="Q189" s="157">
        <v>2000</v>
      </c>
      <c r="R189" s="175">
        <v>3.71</v>
      </c>
      <c r="S189" s="177">
        <v>17250</v>
      </c>
      <c r="T189" s="156">
        <v>1.06</v>
      </c>
      <c r="U189" s="157">
        <v>1283.883</v>
      </c>
      <c r="V189" s="174">
        <v>3.9999999999999998E-6</v>
      </c>
      <c r="W189" s="174">
        <v>5.6095012509984297E-3</v>
      </c>
      <c r="X189" s="174">
        <v>7.0409226491967899E-4</v>
      </c>
    </row>
    <row r="190" spans="1:24">
      <c r="A190" s="4">
        <v>161</v>
      </c>
      <c r="B190" s="4">
        <v>9943</v>
      </c>
      <c r="C190" s="4" t="s">
        <v>1723</v>
      </c>
      <c r="D190" s="4" t="s">
        <v>1724</v>
      </c>
      <c r="E190" s="4" t="s">
        <v>1363</v>
      </c>
      <c r="F190" s="4" t="s">
        <v>1959</v>
      </c>
      <c r="G190" s="4" t="s">
        <v>1726</v>
      </c>
      <c r="H190" s="4" t="s">
        <v>223</v>
      </c>
      <c r="I190" s="4" t="s">
        <v>978</v>
      </c>
      <c r="J190" s="4" t="s">
        <v>90</v>
      </c>
      <c r="K190" s="4" t="s">
        <v>350</v>
      </c>
      <c r="L190" s="2" t="s">
        <v>377</v>
      </c>
      <c r="M190" s="2" t="s">
        <v>396</v>
      </c>
      <c r="N190" s="4" t="s">
        <v>596</v>
      </c>
      <c r="O190" s="4" t="s">
        <v>173</v>
      </c>
      <c r="P190" s="4" t="s">
        <v>95</v>
      </c>
      <c r="Q190" s="157">
        <v>8750</v>
      </c>
      <c r="R190" s="175">
        <v>3.71</v>
      </c>
      <c r="S190" s="177">
        <v>7985</v>
      </c>
      <c r="U190" s="157">
        <v>2592.1309999999999</v>
      </c>
      <c r="V190" s="174">
        <v>2.02E-4</v>
      </c>
      <c r="W190" s="174">
        <v>1.1325459184265601E-2</v>
      </c>
      <c r="X190" s="174">
        <v>1.42154673855998E-3</v>
      </c>
    </row>
    <row r="191" spans="1:24">
      <c r="A191" s="4">
        <v>161</v>
      </c>
      <c r="B191" s="4">
        <v>9943</v>
      </c>
      <c r="C191" s="4" t="s">
        <v>1960</v>
      </c>
      <c r="D191" s="4" t="s">
        <v>1961</v>
      </c>
      <c r="E191" s="4" t="s">
        <v>220</v>
      </c>
      <c r="F191" s="4" t="s">
        <v>1962</v>
      </c>
      <c r="G191" s="4" t="s">
        <v>1963</v>
      </c>
      <c r="H191" s="4" t="s">
        <v>223</v>
      </c>
      <c r="I191" s="4" t="s">
        <v>978</v>
      </c>
      <c r="J191" s="4" t="s">
        <v>90</v>
      </c>
      <c r="K191" s="4" t="s">
        <v>91</v>
      </c>
      <c r="L191" s="2" t="s">
        <v>377</v>
      </c>
      <c r="M191" s="2" t="s">
        <v>396</v>
      </c>
      <c r="N191" s="4" t="s">
        <v>1964</v>
      </c>
      <c r="O191" s="4" t="s">
        <v>173</v>
      </c>
      <c r="P191" s="4" t="s">
        <v>95</v>
      </c>
      <c r="Q191" s="157">
        <v>540</v>
      </c>
      <c r="R191" s="175">
        <v>3.71</v>
      </c>
      <c r="S191" s="177">
        <v>88652</v>
      </c>
      <c r="U191" s="157">
        <v>1776.0540000000001</v>
      </c>
      <c r="V191" s="174">
        <v>9.9999999999999995E-7</v>
      </c>
      <c r="W191" s="174">
        <v>7.7598824668524803E-3</v>
      </c>
      <c r="X191" s="174">
        <v>9.7400338766734298E-4</v>
      </c>
    </row>
    <row r="192" spans="1:24">
      <c r="A192" s="4">
        <v>161</v>
      </c>
      <c r="B192" s="4">
        <v>9943</v>
      </c>
      <c r="C192" s="4" t="s">
        <v>1965</v>
      </c>
      <c r="D192" s="4" t="s">
        <v>1966</v>
      </c>
      <c r="E192" s="4" t="s">
        <v>220</v>
      </c>
      <c r="F192" s="4" t="s">
        <v>1967</v>
      </c>
      <c r="G192" s="4" t="s">
        <v>1968</v>
      </c>
      <c r="H192" s="4" t="s">
        <v>223</v>
      </c>
      <c r="I192" s="4" t="s">
        <v>978</v>
      </c>
      <c r="J192" s="4" t="s">
        <v>90</v>
      </c>
      <c r="K192" s="4" t="s">
        <v>322</v>
      </c>
      <c r="L192" s="2" t="s">
        <v>377</v>
      </c>
      <c r="M192" s="2" t="s">
        <v>420</v>
      </c>
      <c r="N192" s="4" t="s">
        <v>563</v>
      </c>
      <c r="O192" s="4" t="s">
        <v>173</v>
      </c>
      <c r="P192" s="4" t="s">
        <v>1226</v>
      </c>
      <c r="Q192" s="157">
        <v>380</v>
      </c>
      <c r="R192" s="175">
        <v>0.47660000000000002</v>
      </c>
      <c r="S192" s="177">
        <v>16710</v>
      </c>
      <c r="U192" s="157">
        <v>30.263000000000002</v>
      </c>
      <c r="V192" s="174">
        <v>0</v>
      </c>
      <c r="W192" s="174">
        <v>1.3222483101940101E-4</v>
      </c>
      <c r="X192" s="174">
        <v>1.6596570102288699E-5</v>
      </c>
    </row>
    <row r="193" spans="1:24">
      <c r="A193" s="4">
        <v>161</v>
      </c>
      <c r="B193" s="4">
        <v>9943</v>
      </c>
      <c r="C193" s="4" t="s">
        <v>1751</v>
      </c>
      <c r="D193" s="4" t="s">
        <v>1752</v>
      </c>
      <c r="E193" s="4" t="s">
        <v>220</v>
      </c>
      <c r="F193" s="4" t="s">
        <v>1753</v>
      </c>
      <c r="G193" s="4" t="s">
        <v>1754</v>
      </c>
      <c r="H193" s="4" t="s">
        <v>223</v>
      </c>
      <c r="I193" s="4" t="s">
        <v>978</v>
      </c>
      <c r="J193" s="4" t="s">
        <v>90</v>
      </c>
      <c r="K193" s="4" t="s">
        <v>91</v>
      </c>
      <c r="L193" s="2" t="s">
        <v>377</v>
      </c>
      <c r="M193" s="2" t="s">
        <v>394</v>
      </c>
      <c r="N193" s="4" t="s">
        <v>584</v>
      </c>
      <c r="O193" s="4" t="s">
        <v>173</v>
      </c>
      <c r="P193" s="4" t="s">
        <v>95</v>
      </c>
      <c r="Q193" s="157">
        <v>533</v>
      </c>
      <c r="R193" s="175">
        <v>3.71</v>
      </c>
      <c r="S193" s="177">
        <v>21086</v>
      </c>
      <c r="U193" s="157">
        <v>416.96100000000001</v>
      </c>
      <c r="V193" s="174">
        <v>0</v>
      </c>
      <c r="W193" s="174">
        <v>1.8217729821640399E-3</v>
      </c>
      <c r="X193" s="174">
        <v>2.2866493967766701E-4</v>
      </c>
    </row>
    <row r="194" spans="1:24">
      <c r="A194" s="4">
        <v>161</v>
      </c>
      <c r="B194" s="4">
        <v>9943</v>
      </c>
      <c r="C194" s="4" t="s">
        <v>1755</v>
      </c>
      <c r="D194" s="4" t="s">
        <v>1756</v>
      </c>
      <c r="E194" s="4" t="s">
        <v>220</v>
      </c>
      <c r="F194" s="4" t="s">
        <v>1757</v>
      </c>
      <c r="G194" s="4" t="s">
        <v>1758</v>
      </c>
      <c r="H194" s="4" t="s">
        <v>223</v>
      </c>
      <c r="I194" s="4" t="s">
        <v>978</v>
      </c>
      <c r="J194" s="4" t="s">
        <v>90</v>
      </c>
      <c r="K194" s="4" t="s">
        <v>91</v>
      </c>
      <c r="L194" s="2" t="s">
        <v>377</v>
      </c>
      <c r="M194" s="2" t="s">
        <v>394</v>
      </c>
      <c r="N194" s="4" t="s">
        <v>1759</v>
      </c>
      <c r="O194" s="4" t="s">
        <v>173</v>
      </c>
      <c r="P194" s="4" t="s">
        <v>95</v>
      </c>
      <c r="Q194" s="157">
        <v>1424</v>
      </c>
      <c r="R194" s="175">
        <v>3.71</v>
      </c>
      <c r="S194" s="177">
        <v>49380</v>
      </c>
      <c r="U194" s="157">
        <v>2608.7649999999999</v>
      </c>
      <c r="V194" s="174">
        <v>9.9999999999999995E-7</v>
      </c>
      <c r="W194" s="174">
        <v>1.13981382594523E-2</v>
      </c>
      <c r="X194" s="174">
        <v>1.43066925629743E-3</v>
      </c>
    </row>
    <row r="195" spans="1:24">
      <c r="A195" s="4">
        <v>161</v>
      </c>
      <c r="B195" s="4">
        <v>9943</v>
      </c>
      <c r="C195" s="4" t="s">
        <v>1760</v>
      </c>
      <c r="D195" s="4" t="s">
        <v>1761</v>
      </c>
      <c r="E195" s="4" t="s">
        <v>220</v>
      </c>
      <c r="F195" s="4" t="s">
        <v>1762</v>
      </c>
      <c r="G195" s="4" t="s">
        <v>1763</v>
      </c>
      <c r="H195" s="4" t="s">
        <v>223</v>
      </c>
      <c r="I195" s="4" t="s">
        <v>978</v>
      </c>
      <c r="J195" s="4" t="s">
        <v>90</v>
      </c>
      <c r="K195" s="4" t="s">
        <v>91</v>
      </c>
      <c r="L195" s="2" t="s">
        <v>377</v>
      </c>
      <c r="M195" s="2" t="s">
        <v>396</v>
      </c>
      <c r="N195" s="4" t="s">
        <v>592</v>
      </c>
      <c r="O195" s="4" t="s">
        <v>173</v>
      </c>
      <c r="P195" s="4" t="s">
        <v>95</v>
      </c>
      <c r="Q195" s="157">
        <v>1803</v>
      </c>
      <c r="R195" s="175">
        <v>3.71</v>
      </c>
      <c r="S195" s="177">
        <v>43030</v>
      </c>
      <c r="U195" s="157">
        <v>2878.3330000000001</v>
      </c>
      <c r="V195" s="174">
        <v>0</v>
      </c>
      <c r="W195" s="174">
        <v>1.25759244180582E-2</v>
      </c>
      <c r="X195" s="174">
        <v>1.5785023856431601E-3</v>
      </c>
    </row>
    <row r="196" spans="1:24">
      <c r="A196" s="4">
        <v>161</v>
      </c>
      <c r="B196" s="4">
        <v>9943</v>
      </c>
      <c r="C196" s="4" t="s">
        <v>1704</v>
      </c>
      <c r="D196" s="4" t="s">
        <v>1705</v>
      </c>
      <c r="E196" s="4" t="s">
        <v>1363</v>
      </c>
      <c r="F196" s="4" t="s">
        <v>1764</v>
      </c>
      <c r="G196" s="4" t="s">
        <v>1765</v>
      </c>
      <c r="H196" s="4" t="s">
        <v>223</v>
      </c>
      <c r="I196" s="4" t="s">
        <v>978</v>
      </c>
      <c r="J196" s="4" t="s">
        <v>90</v>
      </c>
      <c r="K196" s="4" t="s">
        <v>91</v>
      </c>
      <c r="L196" s="2" t="s">
        <v>377</v>
      </c>
      <c r="M196" s="2" t="s">
        <v>396</v>
      </c>
      <c r="N196" s="4" t="s">
        <v>528</v>
      </c>
      <c r="O196" s="4" t="s">
        <v>173</v>
      </c>
      <c r="P196" s="4" t="s">
        <v>95</v>
      </c>
      <c r="Q196" s="157">
        <v>707</v>
      </c>
      <c r="R196" s="175">
        <v>3.71</v>
      </c>
      <c r="S196" s="177">
        <v>17367</v>
      </c>
      <c r="U196" s="157">
        <v>455.53100000000001</v>
      </c>
      <c r="V196" s="174">
        <v>1.1E-5</v>
      </c>
      <c r="W196" s="174">
        <v>1.9902932212866398E-3</v>
      </c>
      <c r="X196" s="174">
        <v>2.4981722961209198E-4</v>
      </c>
    </row>
    <row r="197" spans="1:24">
      <c r="A197" s="4">
        <v>161</v>
      </c>
      <c r="B197" s="4">
        <v>9943</v>
      </c>
      <c r="C197" s="4" t="s">
        <v>1696</v>
      </c>
      <c r="D197" s="4" t="s">
        <v>1697</v>
      </c>
      <c r="E197" s="4" t="s">
        <v>1363</v>
      </c>
      <c r="F197" s="4" t="s">
        <v>1969</v>
      </c>
      <c r="G197" s="4" t="s">
        <v>1699</v>
      </c>
      <c r="H197" s="4" t="s">
        <v>223</v>
      </c>
      <c r="I197" s="4" t="s">
        <v>978</v>
      </c>
      <c r="J197" s="4" t="s">
        <v>90</v>
      </c>
      <c r="K197" s="4" t="s">
        <v>350</v>
      </c>
      <c r="L197" s="2" t="s">
        <v>377</v>
      </c>
      <c r="M197" s="2" t="s">
        <v>396</v>
      </c>
      <c r="N197" s="4" t="s">
        <v>505</v>
      </c>
      <c r="O197" s="4" t="s">
        <v>173</v>
      </c>
      <c r="P197" s="4" t="s">
        <v>95</v>
      </c>
      <c r="Q197" s="157">
        <v>3102</v>
      </c>
      <c r="R197" s="175">
        <v>3.71</v>
      </c>
      <c r="S197" s="177">
        <v>20834</v>
      </c>
      <c r="U197" s="157">
        <v>2397.6640000000002</v>
      </c>
      <c r="V197" s="174">
        <v>1.07E-4</v>
      </c>
      <c r="W197" s="174">
        <v>1.04758024271618E-2</v>
      </c>
      <c r="X197" s="174">
        <v>1.3148996903206999E-3</v>
      </c>
    </row>
    <row r="198" spans="1:24">
      <c r="A198" s="4">
        <v>161</v>
      </c>
      <c r="B198" s="4">
        <v>9943</v>
      </c>
      <c r="C198" s="4" t="s">
        <v>1766</v>
      </c>
      <c r="D198" s="4" t="s">
        <v>1767</v>
      </c>
      <c r="E198" s="4" t="s">
        <v>220</v>
      </c>
      <c r="F198" s="4" t="s">
        <v>1768</v>
      </c>
      <c r="G198" s="4" t="s">
        <v>1769</v>
      </c>
      <c r="H198" s="4" t="s">
        <v>223</v>
      </c>
      <c r="I198" s="4" t="s">
        <v>978</v>
      </c>
      <c r="J198" s="4" t="s">
        <v>90</v>
      </c>
      <c r="K198" s="4" t="s">
        <v>91</v>
      </c>
      <c r="L198" s="2" t="s">
        <v>377</v>
      </c>
      <c r="M198" s="2" t="s">
        <v>396</v>
      </c>
      <c r="N198" s="4" t="s">
        <v>596</v>
      </c>
      <c r="O198" s="4" t="s">
        <v>173</v>
      </c>
      <c r="P198" s="4" t="s">
        <v>95</v>
      </c>
      <c r="Q198" s="157">
        <v>8920</v>
      </c>
      <c r="R198" s="175">
        <v>3.71</v>
      </c>
      <c r="S198" s="177">
        <v>12144</v>
      </c>
      <c r="T198" s="156">
        <v>6.5000000000000002E-2</v>
      </c>
      <c r="U198" s="157">
        <v>4019.0810000000001</v>
      </c>
      <c r="V198" s="174">
        <v>0</v>
      </c>
      <c r="W198" s="174">
        <v>1.7560045706710499E-2</v>
      </c>
      <c r="X198" s="174">
        <v>2.20409833254432E-3</v>
      </c>
    </row>
    <row r="199" spans="1:24">
      <c r="A199" s="4">
        <v>161</v>
      </c>
      <c r="B199" s="4">
        <v>9943</v>
      </c>
      <c r="C199" s="4" t="s">
        <v>1624</v>
      </c>
      <c r="D199" s="4" t="s">
        <v>1625</v>
      </c>
      <c r="E199" s="4" t="s">
        <v>365</v>
      </c>
      <c r="F199" s="4" t="s">
        <v>1770</v>
      </c>
      <c r="G199" s="4" t="s">
        <v>1627</v>
      </c>
      <c r="H199" s="4" t="s">
        <v>223</v>
      </c>
      <c r="I199" s="4" t="s">
        <v>978</v>
      </c>
      <c r="J199" s="4" t="s">
        <v>90</v>
      </c>
      <c r="K199" s="4" t="s">
        <v>91</v>
      </c>
      <c r="L199" s="2" t="s">
        <v>377</v>
      </c>
      <c r="M199" s="2" t="s">
        <v>394</v>
      </c>
      <c r="N199" s="4" t="s">
        <v>605</v>
      </c>
      <c r="O199" s="4" t="s">
        <v>173</v>
      </c>
      <c r="P199" s="4" t="s">
        <v>95</v>
      </c>
      <c r="Q199" s="157">
        <v>12533</v>
      </c>
      <c r="R199" s="175">
        <v>3.71</v>
      </c>
      <c r="S199" s="177">
        <v>7694</v>
      </c>
      <c r="U199" s="157">
        <v>3577.5120000000002</v>
      </c>
      <c r="V199" s="174">
        <v>2.0699999999999999E-4</v>
      </c>
      <c r="W199" s="174">
        <v>1.56307590129285E-2</v>
      </c>
      <c r="X199" s="174">
        <v>1.9619385081459202E-3</v>
      </c>
    </row>
    <row r="200" spans="1:24">
      <c r="A200" s="4">
        <v>161</v>
      </c>
      <c r="B200" s="4">
        <v>9943</v>
      </c>
      <c r="C200" s="4" t="s">
        <v>1970</v>
      </c>
      <c r="D200" s="4" t="s">
        <v>1971</v>
      </c>
      <c r="E200" s="4" t="s">
        <v>220</v>
      </c>
      <c r="F200" s="4" t="s">
        <v>1972</v>
      </c>
      <c r="G200" s="4" t="s">
        <v>1973</v>
      </c>
      <c r="H200" s="4" t="s">
        <v>223</v>
      </c>
      <c r="I200" s="4" t="s">
        <v>978</v>
      </c>
      <c r="J200" s="4" t="s">
        <v>90</v>
      </c>
      <c r="K200" s="4" t="s">
        <v>343</v>
      </c>
      <c r="L200" s="2" t="s">
        <v>377</v>
      </c>
      <c r="M200" s="2" t="s">
        <v>430</v>
      </c>
      <c r="N200" s="4" t="s">
        <v>594</v>
      </c>
      <c r="O200" s="4" t="s">
        <v>173</v>
      </c>
      <c r="P200" s="4" t="s">
        <v>95</v>
      </c>
      <c r="Q200" s="157">
        <v>330</v>
      </c>
      <c r="R200" s="175">
        <v>3.71</v>
      </c>
      <c r="S200" s="177">
        <v>116900</v>
      </c>
      <c r="T200" s="156">
        <v>3.0000000000000001E-3</v>
      </c>
      <c r="U200" s="157">
        <v>1431.2170000000001</v>
      </c>
      <c r="V200" s="174">
        <v>9.9999999999999995E-7</v>
      </c>
      <c r="W200" s="174">
        <v>6.2532306657838701E-3</v>
      </c>
      <c r="X200" s="174">
        <v>7.8489176586836495E-4</v>
      </c>
    </row>
    <row r="201" spans="1:24">
      <c r="A201" s="4">
        <v>161</v>
      </c>
      <c r="B201" s="4">
        <v>9943</v>
      </c>
      <c r="C201" s="4" t="s">
        <v>1974</v>
      </c>
      <c r="D201" s="4" t="s">
        <v>1975</v>
      </c>
      <c r="E201" s="4" t="s">
        <v>220</v>
      </c>
      <c r="F201" s="4" t="s">
        <v>1974</v>
      </c>
      <c r="G201" s="4" t="s">
        <v>1976</v>
      </c>
      <c r="H201" s="4" t="s">
        <v>223</v>
      </c>
      <c r="I201" s="4" t="s">
        <v>978</v>
      </c>
      <c r="J201" s="4" t="s">
        <v>90</v>
      </c>
      <c r="K201" s="4" t="s">
        <v>91</v>
      </c>
      <c r="L201" s="2" t="s">
        <v>377</v>
      </c>
      <c r="M201" s="2" t="s">
        <v>396</v>
      </c>
      <c r="N201" s="4" t="s">
        <v>560</v>
      </c>
      <c r="O201" s="4" t="s">
        <v>173</v>
      </c>
      <c r="P201" s="4" t="s">
        <v>95</v>
      </c>
      <c r="Q201" s="157">
        <v>1400</v>
      </c>
      <c r="R201" s="175">
        <v>3.71</v>
      </c>
      <c r="S201" s="177">
        <v>26163</v>
      </c>
      <c r="U201" s="157">
        <v>1358.9059999999999</v>
      </c>
      <c r="V201" s="174">
        <v>0</v>
      </c>
      <c r="W201" s="174">
        <v>5.9372921956256297E-3</v>
      </c>
      <c r="X201" s="174">
        <v>7.4523586366326603E-4</v>
      </c>
    </row>
    <row r="202" spans="1:24">
      <c r="A202" s="4">
        <v>161</v>
      </c>
      <c r="B202" s="4">
        <v>9943</v>
      </c>
      <c r="C202" s="4" t="s">
        <v>1977</v>
      </c>
      <c r="D202" s="4" t="s">
        <v>1978</v>
      </c>
      <c r="E202" s="4" t="s">
        <v>220</v>
      </c>
      <c r="F202" s="4" t="s">
        <v>1979</v>
      </c>
      <c r="G202" s="4" t="s">
        <v>1980</v>
      </c>
      <c r="H202" s="4" t="s">
        <v>223</v>
      </c>
      <c r="I202" s="4" t="s">
        <v>978</v>
      </c>
      <c r="J202" s="4" t="s">
        <v>90</v>
      </c>
      <c r="K202" s="4" t="s">
        <v>91</v>
      </c>
      <c r="L202" s="2" t="s">
        <v>377</v>
      </c>
      <c r="M202" s="2" t="s">
        <v>394</v>
      </c>
      <c r="N202" s="4" t="s">
        <v>1759</v>
      </c>
      <c r="O202" s="4" t="s">
        <v>173</v>
      </c>
      <c r="P202" s="4" t="s">
        <v>95</v>
      </c>
      <c r="Q202" s="157">
        <v>1642</v>
      </c>
      <c r="R202" s="175">
        <v>3.71</v>
      </c>
      <c r="S202" s="177">
        <v>27495</v>
      </c>
      <c r="U202" s="157">
        <v>1674.9459999999999</v>
      </c>
      <c r="V202" s="174">
        <v>9.9999999999999995E-7</v>
      </c>
      <c r="W202" s="174">
        <v>7.3181233018425502E-3</v>
      </c>
      <c r="X202" s="174">
        <v>9.1855474845266999E-4</v>
      </c>
    </row>
    <row r="203" spans="1:24">
      <c r="A203" s="4">
        <v>161</v>
      </c>
      <c r="B203" s="4">
        <v>9943</v>
      </c>
      <c r="C203" s="4" t="s">
        <v>1735</v>
      </c>
      <c r="D203" s="4" t="s">
        <v>1736</v>
      </c>
      <c r="E203" s="4" t="s">
        <v>220</v>
      </c>
      <c r="F203" s="4" t="s">
        <v>1737</v>
      </c>
      <c r="G203" s="4" t="s">
        <v>1738</v>
      </c>
      <c r="H203" s="4" t="s">
        <v>223</v>
      </c>
      <c r="I203" s="4" t="s">
        <v>978</v>
      </c>
      <c r="J203" s="4" t="s">
        <v>90</v>
      </c>
      <c r="K203" s="4" t="s">
        <v>91</v>
      </c>
      <c r="L203" s="2" t="s">
        <v>377</v>
      </c>
      <c r="M203" s="2" t="s">
        <v>396</v>
      </c>
      <c r="N203" s="4" t="s">
        <v>597</v>
      </c>
      <c r="O203" s="4" t="s">
        <v>173</v>
      </c>
      <c r="P203" s="4" t="s">
        <v>95</v>
      </c>
      <c r="Q203" s="157">
        <v>486</v>
      </c>
      <c r="R203" s="175">
        <v>3.71</v>
      </c>
      <c r="S203" s="177">
        <v>16719</v>
      </c>
      <c r="U203" s="157">
        <v>301.45400000000001</v>
      </c>
      <c r="V203" s="174">
        <v>0</v>
      </c>
      <c r="W203" s="174">
        <v>1.31710201086243E-3</v>
      </c>
      <c r="X203" s="174">
        <v>1.6531974884457501E-4</v>
      </c>
    </row>
    <row r="204" spans="1:24">
      <c r="A204" s="4">
        <v>161</v>
      </c>
      <c r="B204" s="4">
        <v>9943</v>
      </c>
      <c r="C204" s="4" t="s">
        <v>1735</v>
      </c>
      <c r="D204" s="4" t="s">
        <v>1736</v>
      </c>
      <c r="E204" s="4" t="s">
        <v>220</v>
      </c>
      <c r="F204" s="4" t="s">
        <v>1981</v>
      </c>
      <c r="G204" s="4" t="s">
        <v>1982</v>
      </c>
      <c r="H204" s="4" t="s">
        <v>223</v>
      </c>
      <c r="I204" s="4" t="s">
        <v>978</v>
      </c>
      <c r="J204" s="4" t="s">
        <v>90</v>
      </c>
      <c r="K204" s="4" t="s">
        <v>91</v>
      </c>
      <c r="L204" s="2" t="s">
        <v>377</v>
      </c>
      <c r="M204" s="2" t="s">
        <v>396</v>
      </c>
      <c r="N204" s="4" t="s">
        <v>592</v>
      </c>
      <c r="O204" s="4" t="s">
        <v>173</v>
      </c>
      <c r="P204" s="4" t="s">
        <v>95</v>
      </c>
      <c r="Q204" s="157">
        <v>2567</v>
      </c>
      <c r="R204" s="175">
        <v>3.71</v>
      </c>
      <c r="S204" s="177">
        <v>16585</v>
      </c>
      <c r="U204" s="157">
        <v>1579.4839999999999</v>
      </c>
      <c r="V204" s="174">
        <v>0</v>
      </c>
      <c r="W204" s="174">
        <v>6.9010343686680201E-3</v>
      </c>
      <c r="X204" s="174">
        <v>8.6620266250215605E-4</v>
      </c>
    </row>
    <row r="205" spans="1:24">
      <c r="A205" s="4">
        <v>161</v>
      </c>
      <c r="B205" s="4">
        <v>9943</v>
      </c>
      <c r="C205" s="4" t="s">
        <v>1983</v>
      </c>
      <c r="D205" s="4" t="s">
        <v>1984</v>
      </c>
      <c r="E205" s="4" t="s">
        <v>220</v>
      </c>
      <c r="F205" s="4" t="s">
        <v>1985</v>
      </c>
      <c r="G205" s="4" t="s">
        <v>1986</v>
      </c>
      <c r="H205" s="4" t="s">
        <v>223</v>
      </c>
      <c r="I205" s="4" t="s">
        <v>978</v>
      </c>
      <c r="J205" s="4" t="s">
        <v>90</v>
      </c>
      <c r="K205" s="4" t="s">
        <v>91</v>
      </c>
      <c r="L205" s="2" t="s">
        <v>377</v>
      </c>
      <c r="M205" s="2" t="s">
        <v>396</v>
      </c>
      <c r="N205" s="4" t="s">
        <v>594</v>
      </c>
      <c r="O205" s="4" t="s">
        <v>173</v>
      </c>
      <c r="P205" s="4" t="s">
        <v>95</v>
      </c>
      <c r="Q205" s="157">
        <v>4445</v>
      </c>
      <c r="R205" s="175">
        <v>3.71</v>
      </c>
      <c r="S205" s="177">
        <v>23300</v>
      </c>
      <c r="U205" s="157">
        <v>3842.3910000000001</v>
      </c>
      <c r="V205" s="174">
        <v>0</v>
      </c>
      <c r="W205" s="174">
        <v>1.67880607499864E-2</v>
      </c>
      <c r="X205" s="174">
        <v>2.1072004779325499E-3</v>
      </c>
    </row>
    <row r="206" spans="1:24">
      <c r="A206" s="4">
        <v>161</v>
      </c>
      <c r="B206" s="4">
        <v>9943</v>
      </c>
      <c r="C206" s="4" t="s">
        <v>1987</v>
      </c>
      <c r="D206" s="4" t="s">
        <v>1988</v>
      </c>
      <c r="E206" s="4" t="s">
        <v>220</v>
      </c>
      <c r="F206" s="4" t="s">
        <v>1989</v>
      </c>
      <c r="G206" s="4" t="s">
        <v>1990</v>
      </c>
      <c r="H206" s="4" t="s">
        <v>223</v>
      </c>
      <c r="I206" s="4" t="s">
        <v>978</v>
      </c>
      <c r="J206" s="4" t="s">
        <v>90</v>
      </c>
      <c r="K206" s="4" t="s">
        <v>91</v>
      </c>
      <c r="L206" s="2" t="s">
        <v>377</v>
      </c>
      <c r="M206" s="2" t="s">
        <v>394</v>
      </c>
      <c r="N206" s="4" t="s">
        <v>584</v>
      </c>
      <c r="O206" s="4" t="s">
        <v>173</v>
      </c>
      <c r="P206" s="4" t="s">
        <v>95</v>
      </c>
      <c r="Q206" s="157">
        <v>21659</v>
      </c>
      <c r="R206" s="175">
        <v>3.71</v>
      </c>
      <c r="S206" s="177">
        <v>3968</v>
      </c>
      <c r="U206" s="157">
        <v>3188.482</v>
      </c>
      <c r="V206" s="174">
        <v>3.0000000000000001E-6</v>
      </c>
      <c r="W206" s="174">
        <v>1.3931019834087999E-2</v>
      </c>
      <c r="X206" s="174">
        <v>1.7485909831784299E-3</v>
      </c>
    </row>
    <row r="207" spans="1:24">
      <c r="A207" s="4">
        <v>161</v>
      </c>
      <c r="B207" s="4">
        <v>9943</v>
      </c>
      <c r="C207" s="4" t="s">
        <v>1991</v>
      </c>
      <c r="D207" s="4" t="s">
        <v>1992</v>
      </c>
      <c r="E207" s="4" t="s">
        <v>220</v>
      </c>
      <c r="F207" s="4" t="s">
        <v>1993</v>
      </c>
      <c r="G207" s="4" t="s">
        <v>1994</v>
      </c>
      <c r="H207" s="4" t="s">
        <v>223</v>
      </c>
      <c r="I207" s="4" t="s">
        <v>978</v>
      </c>
      <c r="J207" s="4" t="s">
        <v>90</v>
      </c>
      <c r="K207" s="4" t="s">
        <v>350</v>
      </c>
      <c r="L207" s="2" t="s">
        <v>377</v>
      </c>
      <c r="M207" s="2" t="s">
        <v>1995</v>
      </c>
      <c r="N207" s="4" t="s">
        <v>1996</v>
      </c>
      <c r="O207" s="4" t="s">
        <v>173</v>
      </c>
      <c r="P207" s="4" t="s">
        <v>95</v>
      </c>
      <c r="Q207" s="157">
        <v>60</v>
      </c>
      <c r="R207" s="175">
        <v>3.71</v>
      </c>
      <c r="S207" s="177">
        <v>39112</v>
      </c>
      <c r="U207" s="157">
        <v>87.063000000000002</v>
      </c>
      <c r="V207" s="174">
        <v>0</v>
      </c>
      <c r="W207" s="174">
        <v>3.8039440489345897E-4</v>
      </c>
      <c r="X207" s="174">
        <v>4.7746269431090197E-5</v>
      </c>
    </row>
    <row r="208" spans="1:24">
      <c r="A208" s="4">
        <v>161</v>
      </c>
      <c r="B208" s="4">
        <v>9943</v>
      </c>
      <c r="C208" s="4" t="s">
        <v>1997</v>
      </c>
      <c r="D208" s="4" t="s">
        <v>1998</v>
      </c>
      <c r="E208" s="4" t="s">
        <v>1363</v>
      </c>
      <c r="F208" s="4" t="s">
        <v>1999</v>
      </c>
      <c r="G208" s="4" t="s">
        <v>2000</v>
      </c>
      <c r="H208" s="4" t="s">
        <v>223</v>
      </c>
      <c r="I208" s="4" t="s">
        <v>978</v>
      </c>
      <c r="J208" s="4" t="s">
        <v>90</v>
      </c>
      <c r="K208" s="4" t="s">
        <v>30</v>
      </c>
      <c r="L208" s="2" t="s">
        <v>377</v>
      </c>
      <c r="M208" s="2" t="s">
        <v>396</v>
      </c>
      <c r="N208" s="4" t="s">
        <v>594</v>
      </c>
      <c r="O208" s="4" t="s">
        <v>173</v>
      </c>
      <c r="P208" s="4" t="s">
        <v>95</v>
      </c>
      <c r="Q208" s="157">
        <v>656</v>
      </c>
      <c r="R208" s="175">
        <v>3.71</v>
      </c>
      <c r="S208" s="177">
        <v>2654</v>
      </c>
      <c r="T208" s="156">
        <v>0.254</v>
      </c>
      <c r="U208" s="157">
        <v>65.534999999999997</v>
      </c>
      <c r="V208" s="174">
        <v>2.8E-5</v>
      </c>
      <c r="W208" s="174">
        <v>2.8633451614817299E-4</v>
      </c>
      <c r="X208" s="174">
        <v>3.5940078980027703E-5</v>
      </c>
    </row>
    <row r="209" spans="1:24">
      <c r="A209" s="4">
        <v>161</v>
      </c>
      <c r="B209" s="4">
        <v>9943</v>
      </c>
      <c r="C209" s="4" t="s">
        <v>1751</v>
      </c>
      <c r="D209" s="4" t="s">
        <v>1752</v>
      </c>
      <c r="E209" s="4" t="s">
        <v>220</v>
      </c>
      <c r="F209" s="4" t="s">
        <v>1753</v>
      </c>
      <c r="G209" s="4" t="s">
        <v>1754</v>
      </c>
      <c r="H209" s="4" t="s">
        <v>223</v>
      </c>
      <c r="I209" s="4" t="s">
        <v>978</v>
      </c>
      <c r="J209" s="4" t="s">
        <v>90</v>
      </c>
      <c r="K209" s="4" t="s">
        <v>91</v>
      </c>
      <c r="L209" s="2" t="s">
        <v>377</v>
      </c>
      <c r="M209" s="2" t="s">
        <v>394</v>
      </c>
      <c r="N209" s="4" t="s">
        <v>584</v>
      </c>
      <c r="O209" s="4" t="s">
        <v>173</v>
      </c>
      <c r="P209" s="4" t="s">
        <v>95</v>
      </c>
      <c r="Q209" s="157">
        <v>140</v>
      </c>
      <c r="R209" s="175">
        <v>3.71</v>
      </c>
      <c r="S209" s="177">
        <v>21086</v>
      </c>
      <c r="U209" s="157">
        <v>109.521</v>
      </c>
      <c r="V209" s="174">
        <v>0</v>
      </c>
      <c r="W209" s="174">
        <v>4.7851447936766398E-4</v>
      </c>
      <c r="X209" s="174">
        <v>6.00620854688057E-5</v>
      </c>
    </row>
    <row r="210" spans="1:24">
      <c r="A210" s="4">
        <v>161</v>
      </c>
      <c r="B210" s="4">
        <v>9943</v>
      </c>
      <c r="C210" s="4" t="s">
        <v>2001</v>
      </c>
      <c r="D210" s="4" t="s">
        <v>2002</v>
      </c>
      <c r="E210" s="4" t="s">
        <v>220</v>
      </c>
      <c r="F210" s="4" t="s">
        <v>2003</v>
      </c>
      <c r="G210" s="4" t="s">
        <v>2004</v>
      </c>
      <c r="H210" s="4" t="s">
        <v>223</v>
      </c>
      <c r="I210" s="4" t="s">
        <v>978</v>
      </c>
      <c r="J210" s="4" t="s">
        <v>90</v>
      </c>
      <c r="K210" s="4" t="s">
        <v>91</v>
      </c>
      <c r="L210" s="2" t="s">
        <v>377</v>
      </c>
      <c r="M210" s="2" t="s">
        <v>396</v>
      </c>
      <c r="N210" s="4" t="s">
        <v>597</v>
      </c>
      <c r="O210" s="4" t="s">
        <v>173</v>
      </c>
      <c r="P210" s="4" t="s">
        <v>95</v>
      </c>
      <c r="Q210" s="157">
        <v>1617</v>
      </c>
      <c r="R210" s="175">
        <v>3.71</v>
      </c>
      <c r="S210" s="177">
        <v>57244</v>
      </c>
      <c r="U210" s="157">
        <v>3434.1080000000002</v>
      </c>
      <c r="V210" s="174">
        <v>9.9999999999999995E-7</v>
      </c>
      <c r="W210" s="174">
        <v>1.50041998006951E-2</v>
      </c>
      <c r="X210" s="174">
        <v>1.8832941732740401E-3</v>
      </c>
    </row>
    <row r="211" spans="1:24">
      <c r="A211" s="4">
        <v>161</v>
      </c>
      <c r="B211" s="4">
        <v>9943</v>
      </c>
      <c r="C211" s="4" t="s">
        <v>1760</v>
      </c>
      <c r="D211" s="4" t="s">
        <v>1761</v>
      </c>
      <c r="E211" s="4" t="s">
        <v>220</v>
      </c>
      <c r="F211" s="4" t="s">
        <v>1762</v>
      </c>
      <c r="G211" s="4" t="s">
        <v>1763</v>
      </c>
      <c r="H211" s="4" t="s">
        <v>223</v>
      </c>
      <c r="I211" s="4" t="s">
        <v>978</v>
      </c>
      <c r="J211" s="4" t="s">
        <v>90</v>
      </c>
      <c r="K211" s="4" t="s">
        <v>91</v>
      </c>
      <c r="L211" s="2" t="s">
        <v>377</v>
      </c>
      <c r="M211" s="2" t="s">
        <v>396</v>
      </c>
      <c r="N211" s="4" t="s">
        <v>592</v>
      </c>
      <c r="O211" s="4" t="s">
        <v>173</v>
      </c>
      <c r="P211" s="4" t="s">
        <v>95</v>
      </c>
      <c r="Q211" s="157">
        <v>1903</v>
      </c>
      <c r="R211" s="175">
        <v>3.71</v>
      </c>
      <c r="S211" s="177">
        <v>43030</v>
      </c>
      <c r="U211" s="157">
        <v>3037.9740000000002</v>
      </c>
      <c r="V211" s="174">
        <v>0</v>
      </c>
      <c r="W211" s="174">
        <v>1.32734243857819E-2</v>
      </c>
      <c r="X211" s="174">
        <v>1.66605104818577E-3</v>
      </c>
    </row>
    <row r="212" spans="1:24">
      <c r="A212" s="4">
        <v>161</v>
      </c>
      <c r="B212" s="4">
        <v>9943</v>
      </c>
      <c r="C212" s="4" t="s">
        <v>2005</v>
      </c>
      <c r="D212" s="4" t="s">
        <v>2006</v>
      </c>
      <c r="E212" s="4" t="s">
        <v>220</v>
      </c>
      <c r="F212" s="4" t="s">
        <v>2007</v>
      </c>
      <c r="G212" s="4" t="s">
        <v>2008</v>
      </c>
      <c r="H212" s="4" t="s">
        <v>223</v>
      </c>
      <c r="I212" s="4" t="s">
        <v>978</v>
      </c>
      <c r="J212" s="4" t="s">
        <v>90</v>
      </c>
      <c r="K212" s="4" t="s">
        <v>350</v>
      </c>
      <c r="L212" s="2" t="s">
        <v>377</v>
      </c>
      <c r="M212" s="2" t="s">
        <v>396</v>
      </c>
      <c r="N212" s="4" t="s">
        <v>573</v>
      </c>
      <c r="O212" s="4" t="s">
        <v>173</v>
      </c>
      <c r="P212" s="4" t="s">
        <v>95</v>
      </c>
      <c r="Q212" s="157">
        <v>269</v>
      </c>
      <c r="R212" s="175">
        <v>3.71</v>
      </c>
      <c r="S212" s="177">
        <v>7367</v>
      </c>
      <c r="T212" s="156">
        <v>9.2999999999999999E-2</v>
      </c>
      <c r="U212" s="157">
        <v>73.867999999999995</v>
      </c>
      <c r="V212" s="174">
        <v>0</v>
      </c>
      <c r="W212" s="174">
        <v>3.2274051318533398E-4</v>
      </c>
      <c r="X212" s="174">
        <v>4.0509679692032401E-5</v>
      </c>
    </row>
    <row r="213" spans="1:24">
      <c r="A213" s="4">
        <v>161</v>
      </c>
      <c r="B213" s="4">
        <v>9943</v>
      </c>
      <c r="C213" s="4" t="s">
        <v>1704</v>
      </c>
      <c r="D213" s="4" t="s">
        <v>1705</v>
      </c>
      <c r="E213" s="4" t="s">
        <v>1363</v>
      </c>
      <c r="F213" s="4" t="s">
        <v>1764</v>
      </c>
      <c r="G213" s="4" t="s">
        <v>1765</v>
      </c>
      <c r="H213" s="4" t="s">
        <v>223</v>
      </c>
      <c r="I213" s="4" t="s">
        <v>978</v>
      </c>
      <c r="J213" s="4" t="s">
        <v>90</v>
      </c>
      <c r="K213" s="4" t="s">
        <v>91</v>
      </c>
      <c r="L213" s="2" t="s">
        <v>377</v>
      </c>
      <c r="M213" s="2" t="s">
        <v>396</v>
      </c>
      <c r="N213" s="4" t="s">
        <v>528</v>
      </c>
      <c r="O213" s="4" t="s">
        <v>173</v>
      </c>
      <c r="P213" s="4" t="s">
        <v>95</v>
      </c>
      <c r="Q213" s="157">
        <v>186</v>
      </c>
      <c r="R213" s="175">
        <v>3.71</v>
      </c>
      <c r="S213" s="177">
        <v>17367</v>
      </c>
      <c r="U213" s="157">
        <v>119.843</v>
      </c>
      <c r="V213" s="174">
        <v>3.0000000000000001E-6</v>
      </c>
      <c r="W213" s="174">
        <v>5.2361320956055796E-4</v>
      </c>
      <c r="X213" s="174">
        <v>6.5722778936137398E-5</v>
      </c>
    </row>
    <row r="214" spans="1:24">
      <c r="A214" s="4">
        <v>161</v>
      </c>
      <c r="B214" s="4">
        <v>9943</v>
      </c>
      <c r="C214" s="4" t="s">
        <v>1696</v>
      </c>
      <c r="D214" s="4" t="s">
        <v>1697</v>
      </c>
      <c r="E214" s="4" t="s">
        <v>1363</v>
      </c>
      <c r="F214" s="4" t="s">
        <v>1969</v>
      </c>
      <c r="G214" s="4" t="s">
        <v>1699</v>
      </c>
      <c r="H214" s="4" t="s">
        <v>223</v>
      </c>
      <c r="I214" s="4" t="s">
        <v>978</v>
      </c>
      <c r="J214" s="4" t="s">
        <v>90</v>
      </c>
      <c r="K214" s="4" t="s">
        <v>350</v>
      </c>
      <c r="L214" s="2" t="s">
        <v>377</v>
      </c>
      <c r="M214" s="2" t="s">
        <v>396</v>
      </c>
      <c r="N214" s="4" t="s">
        <v>505</v>
      </c>
      <c r="O214" s="4" t="s">
        <v>173</v>
      </c>
      <c r="P214" s="4" t="s">
        <v>95</v>
      </c>
      <c r="Q214" s="157">
        <v>4000</v>
      </c>
      <c r="R214" s="175">
        <v>3.71</v>
      </c>
      <c r="S214" s="177">
        <v>20834</v>
      </c>
      <c r="U214" s="157">
        <v>3091.7660000000001</v>
      </c>
      <c r="V214" s="174">
        <v>1.3799999999999999E-4</v>
      </c>
      <c r="W214" s="174">
        <v>1.35084492935677E-2</v>
      </c>
      <c r="X214" s="174">
        <v>1.69555085792482E-3</v>
      </c>
    </row>
    <row r="215" spans="1:24">
      <c r="A215" s="4">
        <v>161</v>
      </c>
      <c r="B215" s="4">
        <v>9943</v>
      </c>
      <c r="C215" s="4" t="s">
        <v>1624</v>
      </c>
      <c r="D215" s="4" t="s">
        <v>1625</v>
      </c>
      <c r="E215" s="4" t="s">
        <v>365</v>
      </c>
      <c r="F215" s="4" t="s">
        <v>1770</v>
      </c>
      <c r="G215" s="4" t="s">
        <v>1627</v>
      </c>
      <c r="H215" s="4" t="s">
        <v>223</v>
      </c>
      <c r="I215" s="4" t="s">
        <v>978</v>
      </c>
      <c r="J215" s="4" t="s">
        <v>90</v>
      </c>
      <c r="K215" s="4" t="s">
        <v>91</v>
      </c>
      <c r="L215" s="2" t="s">
        <v>377</v>
      </c>
      <c r="M215" s="2" t="s">
        <v>394</v>
      </c>
      <c r="N215" s="4" t="s">
        <v>605</v>
      </c>
      <c r="O215" s="4" t="s">
        <v>173</v>
      </c>
      <c r="P215" s="4" t="s">
        <v>95</v>
      </c>
      <c r="Q215" s="157">
        <v>233</v>
      </c>
      <c r="R215" s="175">
        <v>3.71</v>
      </c>
      <c r="S215" s="177">
        <v>7694</v>
      </c>
      <c r="U215" s="157">
        <v>66.509</v>
      </c>
      <c r="V215" s="174">
        <v>3.9999999999999998E-6</v>
      </c>
      <c r="W215" s="174">
        <v>2.9059018989965299E-4</v>
      </c>
      <c r="X215" s="174">
        <v>3.6474241793505103E-5</v>
      </c>
    </row>
    <row r="216" spans="1:24">
      <c r="A216" s="4">
        <v>161</v>
      </c>
      <c r="B216" s="4">
        <v>9943</v>
      </c>
      <c r="C216" s="4" t="s">
        <v>2009</v>
      </c>
      <c r="D216" s="4" t="s">
        <v>2010</v>
      </c>
      <c r="E216" s="4" t="s">
        <v>220</v>
      </c>
      <c r="F216" s="4" t="s">
        <v>2011</v>
      </c>
      <c r="G216" s="4" t="s">
        <v>2012</v>
      </c>
      <c r="H216" s="4" t="s">
        <v>223</v>
      </c>
      <c r="I216" s="4" t="s">
        <v>978</v>
      </c>
      <c r="J216" s="4" t="s">
        <v>90</v>
      </c>
      <c r="K216" s="4" t="s">
        <v>91</v>
      </c>
      <c r="L216" s="2" t="s">
        <v>377</v>
      </c>
      <c r="M216" s="2" t="s">
        <v>396</v>
      </c>
      <c r="N216" s="4" t="s">
        <v>592</v>
      </c>
      <c r="O216" s="4" t="s">
        <v>173</v>
      </c>
      <c r="P216" s="4" t="s">
        <v>95</v>
      </c>
      <c r="Q216" s="157">
        <v>115</v>
      </c>
      <c r="R216" s="175">
        <v>3.71</v>
      </c>
      <c r="S216" s="177">
        <v>34180</v>
      </c>
      <c r="U216" s="157">
        <v>145.82900000000001</v>
      </c>
      <c r="V216" s="174">
        <v>0</v>
      </c>
      <c r="W216" s="174">
        <v>6.3715155080909405E-4</v>
      </c>
      <c r="X216" s="174">
        <v>7.9973861923359605E-5</v>
      </c>
    </row>
    <row r="217" spans="1:24">
      <c r="A217" s="4">
        <v>161</v>
      </c>
      <c r="B217" s="4">
        <v>9943</v>
      </c>
      <c r="C217" s="4" t="s">
        <v>2013</v>
      </c>
      <c r="D217" s="4" t="s">
        <v>2014</v>
      </c>
      <c r="E217" s="4" t="s">
        <v>220</v>
      </c>
      <c r="F217" s="4" t="s">
        <v>2015</v>
      </c>
      <c r="G217" s="4" t="s">
        <v>2016</v>
      </c>
      <c r="H217" s="4" t="s">
        <v>223</v>
      </c>
      <c r="I217" s="4" t="s">
        <v>978</v>
      </c>
      <c r="J217" s="4" t="s">
        <v>90</v>
      </c>
      <c r="K217" s="4" t="s">
        <v>287</v>
      </c>
      <c r="L217" s="2" t="s">
        <v>377</v>
      </c>
      <c r="M217" s="2" t="s">
        <v>430</v>
      </c>
      <c r="N217" s="4" t="s">
        <v>565</v>
      </c>
      <c r="O217" s="4" t="s">
        <v>173</v>
      </c>
      <c r="P217" s="4" t="s">
        <v>1229</v>
      </c>
      <c r="Q217" s="157">
        <v>2262</v>
      </c>
      <c r="R217" s="175">
        <v>4.9748000000000001</v>
      </c>
      <c r="S217" s="177">
        <v>1230</v>
      </c>
      <c r="T217" s="156">
        <v>0.38300000000000001</v>
      </c>
      <c r="U217" s="157">
        <v>140.31899999999999</v>
      </c>
      <c r="V217" s="174">
        <v>5.1E-5</v>
      </c>
      <c r="W217" s="174">
        <v>6.1307716370164996E-4</v>
      </c>
      <c r="X217" s="174">
        <v>7.6952097779530205E-5</v>
      </c>
    </row>
    <row r="218" spans="1:24">
      <c r="A218" s="4">
        <v>161</v>
      </c>
      <c r="B218" s="4">
        <v>9943</v>
      </c>
      <c r="C218" s="4" t="s">
        <v>2017</v>
      </c>
      <c r="D218" s="4" t="s">
        <v>2018</v>
      </c>
      <c r="E218" s="4" t="s">
        <v>220</v>
      </c>
      <c r="F218" s="4" t="s">
        <v>2019</v>
      </c>
      <c r="G218" s="4" t="s">
        <v>2020</v>
      </c>
      <c r="H218" s="4" t="s">
        <v>223</v>
      </c>
      <c r="I218" s="4" t="s">
        <v>978</v>
      </c>
      <c r="J218" s="4" t="s">
        <v>90</v>
      </c>
      <c r="K218" s="4" t="s">
        <v>292</v>
      </c>
      <c r="L218" s="2" t="s">
        <v>377</v>
      </c>
      <c r="M218" s="2" t="s">
        <v>418</v>
      </c>
      <c r="N218" s="4" t="s">
        <v>605</v>
      </c>
      <c r="O218" s="4" t="s">
        <v>173</v>
      </c>
      <c r="P218" s="4" t="s">
        <v>1225</v>
      </c>
      <c r="Q218" s="157">
        <v>2502</v>
      </c>
      <c r="R218" s="175">
        <v>4.1524000000000001</v>
      </c>
      <c r="S218" s="177">
        <v>3274</v>
      </c>
      <c r="U218" s="157">
        <v>340.14600000000002</v>
      </c>
      <c r="V218" s="174">
        <v>3.0000000000000001E-6</v>
      </c>
      <c r="W218" s="174">
        <v>1.48615497261592E-3</v>
      </c>
      <c r="X218" s="174">
        <v>1.86538904952475E-4</v>
      </c>
    </row>
    <row r="219" spans="1:24">
      <c r="A219" s="4">
        <v>161</v>
      </c>
      <c r="B219" s="4">
        <v>9943</v>
      </c>
      <c r="C219" s="4" t="s">
        <v>2021</v>
      </c>
      <c r="D219" s="4" t="s">
        <v>2022</v>
      </c>
      <c r="E219" s="4" t="s">
        <v>1363</v>
      </c>
      <c r="F219" s="4" t="s">
        <v>2023</v>
      </c>
      <c r="G219" s="4" t="s">
        <v>2024</v>
      </c>
      <c r="H219" s="4" t="s">
        <v>223</v>
      </c>
      <c r="I219" s="4" t="s">
        <v>978</v>
      </c>
      <c r="J219" s="4" t="s">
        <v>90</v>
      </c>
      <c r="K219" s="4" t="s">
        <v>341</v>
      </c>
      <c r="L219" s="2" t="s">
        <v>377</v>
      </c>
      <c r="M219" s="2" t="s">
        <v>446</v>
      </c>
      <c r="N219" s="4" t="s">
        <v>578</v>
      </c>
      <c r="O219" s="4" t="s">
        <v>173</v>
      </c>
      <c r="P219" s="4" t="s">
        <v>1230</v>
      </c>
      <c r="Q219" s="157">
        <v>2803</v>
      </c>
      <c r="R219" s="175">
        <v>4.3964999999999996</v>
      </c>
      <c r="S219" s="177">
        <v>273</v>
      </c>
      <c r="U219" s="157">
        <v>33.643000000000001</v>
      </c>
      <c r="V219" s="174">
        <v>1.7100000000000001E-4</v>
      </c>
      <c r="W219" s="174">
        <v>1.4699134318810699E-4</v>
      </c>
      <c r="X219" s="174">
        <v>1.84500302465356E-5</v>
      </c>
    </row>
    <row r="220" spans="1:24">
      <c r="A220" s="4">
        <v>161</v>
      </c>
      <c r="B220" s="4">
        <v>9943</v>
      </c>
      <c r="C220" s="4" t="s">
        <v>2025</v>
      </c>
      <c r="D220" s="4" t="s">
        <v>2026</v>
      </c>
      <c r="E220" s="4" t="s">
        <v>220</v>
      </c>
      <c r="F220" s="4" t="s">
        <v>2027</v>
      </c>
      <c r="G220" s="4" t="s">
        <v>2028</v>
      </c>
      <c r="H220" s="4" t="s">
        <v>223</v>
      </c>
      <c r="I220" s="4" t="s">
        <v>978</v>
      </c>
      <c r="J220" s="4" t="s">
        <v>90</v>
      </c>
      <c r="K220" s="4" t="s">
        <v>2029</v>
      </c>
      <c r="L220" s="2" t="s">
        <v>377</v>
      </c>
      <c r="M220" s="2" t="s">
        <v>394</v>
      </c>
      <c r="N220" s="4" t="s">
        <v>596</v>
      </c>
      <c r="O220" s="4" t="s">
        <v>173</v>
      </c>
      <c r="P220" s="4" t="s">
        <v>95</v>
      </c>
      <c r="Q220" s="157">
        <v>542</v>
      </c>
      <c r="R220" s="175">
        <v>3.71</v>
      </c>
      <c r="S220" s="177">
        <v>17367</v>
      </c>
      <c r="T220" s="156">
        <v>0.26200000000000001</v>
      </c>
      <c r="U220" s="157">
        <v>350.19200000000001</v>
      </c>
      <c r="V220" s="174">
        <v>0</v>
      </c>
      <c r="W220" s="174">
        <v>1.53004633577502E-3</v>
      </c>
      <c r="X220" s="174">
        <v>1.9204805236404E-4</v>
      </c>
    </row>
    <row r="221" spans="1:24">
      <c r="A221" s="4">
        <v>161</v>
      </c>
      <c r="B221" s="4">
        <v>9943</v>
      </c>
      <c r="C221" s="4" t="s">
        <v>1672</v>
      </c>
      <c r="D221" s="4" t="s">
        <v>1673</v>
      </c>
      <c r="E221" s="4" t="s">
        <v>1363</v>
      </c>
      <c r="F221" s="4" t="s">
        <v>2030</v>
      </c>
      <c r="G221" s="4" t="s">
        <v>2031</v>
      </c>
      <c r="H221" s="4" t="s">
        <v>223</v>
      </c>
      <c r="I221" s="4" t="s">
        <v>978</v>
      </c>
      <c r="J221" s="4" t="s">
        <v>90</v>
      </c>
      <c r="K221" s="4" t="s">
        <v>91</v>
      </c>
      <c r="L221" s="2" t="s">
        <v>377</v>
      </c>
      <c r="M221" s="2" t="s">
        <v>394</v>
      </c>
      <c r="N221" s="4" t="s">
        <v>514</v>
      </c>
      <c r="O221" s="4" t="s">
        <v>173</v>
      </c>
      <c r="P221" s="4" t="s">
        <v>95</v>
      </c>
      <c r="Q221" s="157">
        <v>50000</v>
      </c>
      <c r="R221" s="175">
        <v>3.71</v>
      </c>
      <c r="S221" s="177">
        <v>1802</v>
      </c>
      <c r="U221" s="157">
        <v>3342.71</v>
      </c>
      <c r="V221" s="174">
        <v>4.3999999999999999E-5</v>
      </c>
      <c r="W221" s="174">
        <v>1.4604868020428799E-2</v>
      </c>
      <c r="X221" s="174">
        <v>1.8331709261186801E-3</v>
      </c>
    </row>
    <row r="222" spans="1:24">
      <c r="A222" s="4">
        <v>161</v>
      </c>
      <c r="B222" s="4">
        <v>9943</v>
      </c>
      <c r="C222" s="4" t="s">
        <v>1862</v>
      </c>
      <c r="D222" s="4" t="s">
        <v>1863</v>
      </c>
      <c r="E222" s="4" t="s">
        <v>1363</v>
      </c>
      <c r="F222" s="4" t="s">
        <v>2032</v>
      </c>
      <c r="G222" s="4" t="s">
        <v>1865</v>
      </c>
      <c r="H222" s="4" t="s">
        <v>223</v>
      </c>
      <c r="I222" s="4" t="s">
        <v>978</v>
      </c>
      <c r="J222" s="4" t="s">
        <v>90</v>
      </c>
      <c r="K222" s="4" t="s">
        <v>350</v>
      </c>
      <c r="L222" s="2" t="s">
        <v>377</v>
      </c>
      <c r="M222" s="2" t="s">
        <v>396</v>
      </c>
      <c r="N222" s="4" t="s">
        <v>505</v>
      </c>
      <c r="O222" s="4" t="s">
        <v>173</v>
      </c>
      <c r="P222" s="4" t="s">
        <v>95</v>
      </c>
      <c r="Q222" s="157">
        <v>5000</v>
      </c>
      <c r="R222" s="175">
        <v>3.71</v>
      </c>
      <c r="S222" s="177">
        <v>4426</v>
      </c>
      <c r="U222" s="157">
        <v>821.02300000000002</v>
      </c>
      <c r="V222" s="174">
        <v>4.5000000000000003E-5</v>
      </c>
      <c r="W222" s="174">
        <v>3.5871890043517101E-3</v>
      </c>
      <c r="X222" s="174">
        <v>4.5025607763603102E-4</v>
      </c>
    </row>
    <row r="223" spans="1:24">
      <c r="A223" s="4">
        <v>161</v>
      </c>
      <c r="B223" s="4">
        <v>9943</v>
      </c>
      <c r="C223" s="4" t="s">
        <v>2033</v>
      </c>
      <c r="D223" s="4" t="s">
        <v>2034</v>
      </c>
      <c r="E223" s="4" t="s">
        <v>220</v>
      </c>
      <c r="F223" s="4" t="s">
        <v>2035</v>
      </c>
      <c r="G223" s="4" t="s">
        <v>2036</v>
      </c>
      <c r="H223" s="4" t="s">
        <v>223</v>
      </c>
      <c r="I223" s="4" t="s">
        <v>978</v>
      </c>
      <c r="J223" s="4" t="s">
        <v>90</v>
      </c>
      <c r="K223" s="4" t="s">
        <v>326</v>
      </c>
      <c r="L223" s="2" t="s">
        <v>377</v>
      </c>
      <c r="M223" s="2" t="s">
        <v>444</v>
      </c>
      <c r="N223" s="4" t="s">
        <v>616</v>
      </c>
      <c r="O223" s="4" t="s">
        <v>173</v>
      </c>
      <c r="P223" s="4" t="s">
        <v>1225</v>
      </c>
      <c r="Q223" s="157">
        <v>865</v>
      </c>
      <c r="R223" s="175">
        <v>4.1524000000000001</v>
      </c>
      <c r="S223" s="177">
        <v>645</v>
      </c>
      <c r="U223" s="157">
        <v>23.167000000000002</v>
      </c>
      <c r="V223" s="174">
        <v>2.4000000000000001E-4</v>
      </c>
      <c r="W223" s="174">
        <v>1.01221773112571E-4</v>
      </c>
      <c r="X223" s="174">
        <v>1.27051344319303E-5</v>
      </c>
    </row>
    <row r="224" spans="1:24">
      <c r="A224" s="4">
        <v>161</v>
      </c>
      <c r="B224" s="4">
        <v>12468</v>
      </c>
      <c r="C224" s="4" t="s">
        <v>1624</v>
      </c>
      <c r="D224" s="4" t="s">
        <v>1625</v>
      </c>
      <c r="E224" s="4" t="s">
        <v>365</v>
      </c>
      <c r="F224" s="4" t="s">
        <v>1626</v>
      </c>
      <c r="G224" s="4" t="s">
        <v>1627</v>
      </c>
      <c r="H224" s="4" t="s">
        <v>223</v>
      </c>
      <c r="I224" s="4" t="s">
        <v>978</v>
      </c>
      <c r="J224" s="4" t="s">
        <v>30</v>
      </c>
      <c r="K224" s="4" t="s">
        <v>91</v>
      </c>
      <c r="L224" s="2" t="s">
        <v>377</v>
      </c>
      <c r="M224" s="2" t="s">
        <v>31</v>
      </c>
      <c r="N224" s="4" t="s">
        <v>488</v>
      </c>
      <c r="O224" s="4" t="s">
        <v>173</v>
      </c>
      <c r="P224" s="4" t="s">
        <v>34</v>
      </c>
      <c r="Q224" s="157">
        <v>200</v>
      </c>
      <c r="R224" s="175">
        <v>1</v>
      </c>
      <c r="S224" s="177">
        <v>28560</v>
      </c>
      <c r="U224" s="157">
        <v>57.12</v>
      </c>
      <c r="V224" s="174">
        <v>3.9999999999999998E-6</v>
      </c>
      <c r="W224" s="174">
        <v>2.3689563198705799E-2</v>
      </c>
      <c r="X224" s="174">
        <v>3.74453223965479E-3</v>
      </c>
    </row>
    <row r="225" spans="1:24">
      <c r="A225" s="4">
        <v>161</v>
      </c>
      <c r="B225" s="4">
        <v>12468</v>
      </c>
      <c r="C225" s="4" t="s">
        <v>1628</v>
      </c>
      <c r="D225" s="4" t="s">
        <v>1629</v>
      </c>
      <c r="E225" s="4" t="s">
        <v>1363</v>
      </c>
      <c r="F225" s="4" t="s">
        <v>1630</v>
      </c>
      <c r="G225" s="4" t="s">
        <v>1631</v>
      </c>
      <c r="H225" s="4" t="s">
        <v>223</v>
      </c>
      <c r="I225" s="4" t="s">
        <v>978</v>
      </c>
      <c r="J225" s="4" t="s">
        <v>30</v>
      </c>
      <c r="K225" s="4" t="s">
        <v>30</v>
      </c>
      <c r="L225" s="2" t="s">
        <v>377</v>
      </c>
      <c r="M225" s="2" t="s">
        <v>31</v>
      </c>
      <c r="N225" s="4" t="s">
        <v>493</v>
      </c>
      <c r="O225" s="4" t="s">
        <v>173</v>
      </c>
      <c r="P225" s="4" t="s">
        <v>34</v>
      </c>
      <c r="Q225" s="157">
        <v>110</v>
      </c>
      <c r="R225" s="175">
        <v>1</v>
      </c>
      <c r="S225" s="177">
        <v>74080</v>
      </c>
      <c r="U225" s="157">
        <v>81.488</v>
      </c>
      <c r="V225" s="174">
        <v>1.9999999999999999E-6</v>
      </c>
      <c r="W225" s="174">
        <v>3.3795783017089201E-2</v>
      </c>
      <c r="X225" s="174">
        <v>5.3419895508576599E-3</v>
      </c>
    </row>
    <row r="226" spans="1:24">
      <c r="A226" s="4">
        <v>161</v>
      </c>
      <c r="B226" s="4">
        <v>12468</v>
      </c>
      <c r="C226" s="4" t="s">
        <v>1632</v>
      </c>
      <c r="D226" s="4" t="s">
        <v>1633</v>
      </c>
      <c r="E226" s="4" t="s">
        <v>1363</v>
      </c>
      <c r="F226" s="4" t="s">
        <v>1634</v>
      </c>
      <c r="G226" s="4" t="s">
        <v>1635</v>
      </c>
      <c r="H226" s="4" t="s">
        <v>223</v>
      </c>
      <c r="I226" s="4" t="s">
        <v>978</v>
      </c>
      <c r="J226" s="4" t="s">
        <v>30</v>
      </c>
      <c r="K226" s="4" t="s">
        <v>30</v>
      </c>
      <c r="L226" s="2" t="s">
        <v>377</v>
      </c>
      <c r="M226" s="2" t="s">
        <v>31</v>
      </c>
      <c r="N226" s="4" t="s">
        <v>511</v>
      </c>
      <c r="O226" s="4" t="s">
        <v>173</v>
      </c>
      <c r="P226" s="4" t="s">
        <v>34</v>
      </c>
      <c r="Q226" s="157">
        <v>1780</v>
      </c>
      <c r="R226" s="175">
        <v>1</v>
      </c>
      <c r="S226" s="177">
        <v>2855</v>
      </c>
      <c r="U226" s="157">
        <v>50.819000000000003</v>
      </c>
      <c r="V226" s="174">
        <v>9.0000000000000002E-6</v>
      </c>
      <c r="W226" s="174">
        <v>2.1076328995010999E-2</v>
      </c>
      <c r="X226" s="174">
        <v>3.3314668047446901E-3</v>
      </c>
    </row>
    <row r="227" spans="1:24">
      <c r="A227" s="4">
        <v>161</v>
      </c>
      <c r="B227" s="4">
        <v>12468</v>
      </c>
      <c r="C227" s="4" t="s">
        <v>1636</v>
      </c>
      <c r="D227" s="4" t="s">
        <v>1637</v>
      </c>
      <c r="E227" s="4" t="s">
        <v>1363</v>
      </c>
      <c r="F227" s="4" t="s">
        <v>1638</v>
      </c>
      <c r="G227" s="4" t="s">
        <v>1639</v>
      </c>
      <c r="H227" s="4" t="s">
        <v>223</v>
      </c>
      <c r="I227" s="4" t="s">
        <v>978</v>
      </c>
      <c r="J227" s="4" t="s">
        <v>30</v>
      </c>
      <c r="K227" s="4" t="s">
        <v>30</v>
      </c>
      <c r="L227" s="2" t="s">
        <v>377</v>
      </c>
      <c r="M227" s="2" t="s">
        <v>31</v>
      </c>
      <c r="N227" s="4" t="s">
        <v>511</v>
      </c>
      <c r="O227" s="4" t="s">
        <v>173</v>
      </c>
      <c r="P227" s="4" t="s">
        <v>34</v>
      </c>
      <c r="Q227" s="157">
        <v>1999</v>
      </c>
      <c r="R227" s="175">
        <v>1</v>
      </c>
      <c r="S227" s="177">
        <v>1609</v>
      </c>
      <c r="U227" s="157">
        <v>32.164000000000001</v>
      </c>
      <c r="V227" s="174">
        <v>3.9999999999999998E-6</v>
      </c>
      <c r="W227" s="174">
        <v>1.3339442903755E-2</v>
      </c>
      <c r="X227" s="174">
        <v>2.1085223730454299E-3</v>
      </c>
    </row>
    <row r="228" spans="1:24">
      <c r="A228" s="4">
        <v>161</v>
      </c>
      <c r="B228" s="4">
        <v>12468</v>
      </c>
      <c r="C228" s="4" t="s">
        <v>1640</v>
      </c>
      <c r="D228" s="4" t="s">
        <v>1641</v>
      </c>
      <c r="E228" s="4" t="s">
        <v>1363</v>
      </c>
      <c r="F228" s="4" t="s">
        <v>1642</v>
      </c>
      <c r="G228" s="4" t="s">
        <v>1643</v>
      </c>
      <c r="H228" s="4" t="s">
        <v>223</v>
      </c>
      <c r="I228" s="4" t="s">
        <v>978</v>
      </c>
      <c r="J228" s="4" t="s">
        <v>30</v>
      </c>
      <c r="K228" s="4" t="s">
        <v>91</v>
      </c>
      <c r="L228" s="2" t="s">
        <v>377</v>
      </c>
      <c r="M228" s="2" t="s">
        <v>31</v>
      </c>
      <c r="N228" s="4" t="s">
        <v>488</v>
      </c>
      <c r="O228" s="4" t="s">
        <v>173</v>
      </c>
      <c r="P228" s="4" t="s">
        <v>34</v>
      </c>
      <c r="Q228" s="157">
        <v>895.9</v>
      </c>
      <c r="R228" s="175">
        <v>1</v>
      </c>
      <c r="S228" s="177">
        <v>6254</v>
      </c>
      <c r="U228" s="157">
        <v>56.03</v>
      </c>
      <c r="V228" s="174">
        <v>7.9999999999999996E-6</v>
      </c>
      <c r="W228" s="174">
        <v>2.3237332257428599E-2</v>
      </c>
      <c r="X228" s="174">
        <v>3.6730495649774202E-3</v>
      </c>
    </row>
    <row r="229" spans="1:24">
      <c r="A229" s="4">
        <v>161</v>
      </c>
      <c r="B229" s="4">
        <v>12468</v>
      </c>
      <c r="C229" s="4" t="s">
        <v>1644</v>
      </c>
      <c r="D229" s="4" t="s">
        <v>1645</v>
      </c>
      <c r="E229" s="4" t="s">
        <v>1363</v>
      </c>
      <c r="F229" s="4" t="s">
        <v>1646</v>
      </c>
      <c r="G229" s="4" t="s">
        <v>1647</v>
      </c>
      <c r="H229" s="4" t="s">
        <v>223</v>
      </c>
      <c r="I229" s="4" t="s">
        <v>978</v>
      </c>
      <c r="J229" s="4" t="s">
        <v>30</v>
      </c>
      <c r="K229" s="4" t="s">
        <v>30</v>
      </c>
      <c r="L229" s="2" t="s">
        <v>377</v>
      </c>
      <c r="M229" s="2" t="s">
        <v>31</v>
      </c>
      <c r="N229" s="4" t="s">
        <v>488</v>
      </c>
      <c r="O229" s="4" t="s">
        <v>173</v>
      </c>
      <c r="P229" s="4" t="s">
        <v>34</v>
      </c>
      <c r="Q229" s="157">
        <v>4524</v>
      </c>
      <c r="R229" s="175">
        <v>1</v>
      </c>
      <c r="S229" s="177">
        <v>1348</v>
      </c>
      <c r="U229" s="157">
        <v>60.984000000000002</v>
      </c>
      <c r="V229" s="174">
        <v>7.9999999999999996E-6</v>
      </c>
      <c r="W229" s="174">
        <v>2.52918934019527E-2</v>
      </c>
      <c r="X229" s="174">
        <v>3.9978073656798396E-3</v>
      </c>
    </row>
    <row r="230" spans="1:24">
      <c r="A230" s="4">
        <v>161</v>
      </c>
      <c r="B230" s="4">
        <v>12468</v>
      </c>
      <c r="C230" s="4" t="s">
        <v>1648</v>
      </c>
      <c r="D230" s="4" t="s">
        <v>1649</v>
      </c>
      <c r="E230" s="4" t="s">
        <v>1363</v>
      </c>
      <c r="F230" s="4" t="s">
        <v>1650</v>
      </c>
      <c r="G230" s="4" t="s">
        <v>1651</v>
      </c>
      <c r="H230" s="4" t="s">
        <v>223</v>
      </c>
      <c r="I230" s="4" t="s">
        <v>978</v>
      </c>
      <c r="J230" s="4" t="s">
        <v>30</v>
      </c>
      <c r="K230" s="4" t="s">
        <v>30</v>
      </c>
      <c r="L230" s="2" t="s">
        <v>377</v>
      </c>
      <c r="M230" s="2" t="s">
        <v>31</v>
      </c>
      <c r="N230" s="4" t="s">
        <v>494</v>
      </c>
      <c r="O230" s="4" t="s">
        <v>173</v>
      </c>
      <c r="P230" s="4" t="s">
        <v>34</v>
      </c>
      <c r="Q230" s="157">
        <v>49</v>
      </c>
      <c r="R230" s="175">
        <v>1</v>
      </c>
      <c r="S230" s="177">
        <v>24250</v>
      </c>
      <c r="U230" s="157">
        <v>11.882999999999999</v>
      </c>
      <c r="V230" s="174">
        <v>3.9999999999999998E-6</v>
      </c>
      <c r="W230" s="174">
        <v>4.92806783453469E-3</v>
      </c>
      <c r="X230" s="174">
        <v>7.7896366137426495E-4</v>
      </c>
    </row>
    <row r="231" spans="1:24">
      <c r="A231" s="4">
        <v>161</v>
      </c>
      <c r="B231" s="4">
        <v>12468</v>
      </c>
      <c r="C231" s="4" t="s">
        <v>1652</v>
      </c>
      <c r="D231" s="4" t="s">
        <v>1653</v>
      </c>
      <c r="E231" s="4" t="s">
        <v>1363</v>
      </c>
      <c r="F231" s="4" t="s">
        <v>1654</v>
      </c>
      <c r="G231" s="4" t="s">
        <v>1655</v>
      </c>
      <c r="H231" s="4" t="s">
        <v>223</v>
      </c>
      <c r="I231" s="4" t="s">
        <v>978</v>
      </c>
      <c r="J231" s="4" t="s">
        <v>30</v>
      </c>
      <c r="K231" s="4" t="s">
        <v>30</v>
      </c>
      <c r="L231" s="2" t="s">
        <v>377</v>
      </c>
      <c r="M231" s="2" t="s">
        <v>31</v>
      </c>
      <c r="N231" s="4" t="s">
        <v>532</v>
      </c>
      <c r="O231" s="4" t="s">
        <v>173</v>
      </c>
      <c r="P231" s="4" t="s">
        <v>34</v>
      </c>
      <c r="Q231" s="157">
        <v>16700</v>
      </c>
      <c r="R231" s="175">
        <v>1</v>
      </c>
      <c r="S231" s="177">
        <v>428.6</v>
      </c>
      <c r="T231" s="156">
        <v>2.4470000000000001</v>
      </c>
      <c r="U231" s="157">
        <v>74.022999999999996</v>
      </c>
      <c r="V231" s="174">
        <v>6.0000000000000002E-6</v>
      </c>
      <c r="W231" s="174">
        <v>3.0699898847215801E-2</v>
      </c>
      <c r="X231" s="174">
        <v>4.85263320489677E-3</v>
      </c>
    </row>
    <row r="232" spans="1:24">
      <c r="A232" s="4">
        <v>161</v>
      </c>
      <c r="B232" s="4">
        <v>12468</v>
      </c>
      <c r="C232" s="4" t="s">
        <v>1656</v>
      </c>
      <c r="D232" s="4" t="s">
        <v>1657</v>
      </c>
      <c r="E232" s="4" t="s">
        <v>1363</v>
      </c>
      <c r="F232" s="4" t="s">
        <v>1658</v>
      </c>
      <c r="G232" s="4" t="s">
        <v>1659</v>
      </c>
      <c r="H232" s="4" t="s">
        <v>223</v>
      </c>
      <c r="I232" s="4" t="s">
        <v>978</v>
      </c>
      <c r="J232" s="4" t="s">
        <v>30</v>
      </c>
      <c r="K232" s="4" t="s">
        <v>30</v>
      </c>
      <c r="L232" s="2" t="s">
        <v>377</v>
      </c>
      <c r="M232" s="2" t="s">
        <v>31</v>
      </c>
      <c r="N232" s="4" t="s">
        <v>495</v>
      </c>
      <c r="O232" s="4" t="s">
        <v>173</v>
      </c>
      <c r="P232" s="4" t="s">
        <v>34</v>
      </c>
      <c r="Q232" s="157">
        <v>737</v>
      </c>
      <c r="R232" s="175">
        <v>1</v>
      </c>
      <c r="S232" s="177">
        <v>15410</v>
      </c>
      <c r="U232" s="157">
        <v>113.572</v>
      </c>
      <c r="V232" s="174">
        <v>6.9999999999999999E-6</v>
      </c>
      <c r="W232" s="174">
        <v>4.7101960166919699E-2</v>
      </c>
      <c r="X232" s="174">
        <v>7.4452537143277599E-3</v>
      </c>
    </row>
    <row r="233" spans="1:24">
      <c r="A233" s="4">
        <v>161</v>
      </c>
      <c r="B233" s="4">
        <v>12468</v>
      </c>
      <c r="C233" s="4" t="s">
        <v>1660</v>
      </c>
      <c r="D233" s="4" t="s">
        <v>1661</v>
      </c>
      <c r="E233" s="4" t="s">
        <v>1363</v>
      </c>
      <c r="F233" s="4" t="s">
        <v>1662</v>
      </c>
      <c r="G233" s="4" t="s">
        <v>1663</v>
      </c>
      <c r="H233" s="4" t="s">
        <v>223</v>
      </c>
      <c r="I233" s="4" t="s">
        <v>978</v>
      </c>
      <c r="J233" s="4" t="s">
        <v>30</v>
      </c>
      <c r="K233" s="4" t="s">
        <v>30</v>
      </c>
      <c r="L233" s="2" t="s">
        <v>377</v>
      </c>
      <c r="M233" s="2" t="s">
        <v>31</v>
      </c>
      <c r="N233" s="4" t="s">
        <v>495</v>
      </c>
      <c r="O233" s="4" t="s">
        <v>173</v>
      </c>
      <c r="P233" s="4" t="s">
        <v>34</v>
      </c>
      <c r="Q233" s="157">
        <v>4823</v>
      </c>
      <c r="R233" s="175">
        <v>1</v>
      </c>
      <c r="S233" s="177">
        <v>2085</v>
      </c>
      <c r="U233" s="157">
        <v>100.56</v>
      </c>
      <c r="V233" s="174">
        <v>3.9999999999999998E-6</v>
      </c>
      <c r="W233" s="174">
        <v>4.1705388917339201E-2</v>
      </c>
      <c r="X233" s="174">
        <v>6.5922352412496098E-3</v>
      </c>
    </row>
    <row r="234" spans="1:24">
      <c r="A234" s="4">
        <v>161</v>
      </c>
      <c r="B234" s="4">
        <v>12468</v>
      </c>
      <c r="C234" s="4" t="s">
        <v>1664</v>
      </c>
      <c r="D234" s="4" t="s">
        <v>1665</v>
      </c>
      <c r="E234" s="4" t="s">
        <v>1363</v>
      </c>
      <c r="F234" s="4" t="s">
        <v>1666</v>
      </c>
      <c r="G234" s="4" t="s">
        <v>1667</v>
      </c>
      <c r="H234" s="4" t="s">
        <v>223</v>
      </c>
      <c r="I234" s="4" t="s">
        <v>978</v>
      </c>
      <c r="J234" s="4" t="s">
        <v>30</v>
      </c>
      <c r="K234" s="4" t="s">
        <v>30</v>
      </c>
      <c r="L234" s="2" t="s">
        <v>377</v>
      </c>
      <c r="M234" s="2" t="s">
        <v>31</v>
      </c>
      <c r="N234" s="4" t="s">
        <v>494</v>
      </c>
      <c r="O234" s="4" t="s">
        <v>173</v>
      </c>
      <c r="P234" s="4" t="s">
        <v>34</v>
      </c>
      <c r="Q234" s="157">
        <v>135</v>
      </c>
      <c r="R234" s="175">
        <v>1</v>
      </c>
      <c r="S234" s="177">
        <v>33200</v>
      </c>
      <c r="U234" s="157">
        <v>44.82</v>
      </c>
      <c r="V234" s="174">
        <v>6.9999999999999999E-6</v>
      </c>
      <c r="W234" s="174">
        <v>1.8588344232597899E-2</v>
      </c>
      <c r="X234" s="174">
        <v>2.9381991418299599E-3</v>
      </c>
    </row>
    <row r="235" spans="1:24">
      <c r="A235" s="4">
        <v>161</v>
      </c>
      <c r="B235" s="4">
        <v>12468</v>
      </c>
      <c r="C235" s="4" t="s">
        <v>1668</v>
      </c>
      <c r="D235" s="4" t="s">
        <v>1669</v>
      </c>
      <c r="E235" s="4" t="s">
        <v>1363</v>
      </c>
      <c r="F235" s="4" t="s">
        <v>1670</v>
      </c>
      <c r="G235" s="4" t="s">
        <v>1671</v>
      </c>
      <c r="H235" s="4" t="s">
        <v>223</v>
      </c>
      <c r="I235" s="4" t="s">
        <v>978</v>
      </c>
      <c r="J235" s="4" t="s">
        <v>30</v>
      </c>
      <c r="K235" s="4" t="s">
        <v>30</v>
      </c>
      <c r="L235" s="2" t="s">
        <v>377</v>
      </c>
      <c r="M235" s="2" t="s">
        <v>31</v>
      </c>
      <c r="N235" s="4" t="s">
        <v>492</v>
      </c>
      <c r="O235" s="4" t="s">
        <v>173</v>
      </c>
      <c r="P235" s="4" t="s">
        <v>34</v>
      </c>
      <c r="Q235" s="157">
        <v>1993</v>
      </c>
      <c r="R235" s="175">
        <v>1</v>
      </c>
      <c r="S235" s="177">
        <v>4200</v>
      </c>
      <c r="U235" s="157">
        <v>83.706000000000003</v>
      </c>
      <c r="V235" s="174">
        <v>7.9999999999999996E-6</v>
      </c>
      <c r="W235" s="174">
        <v>3.4715661363985698E-2</v>
      </c>
      <c r="X235" s="174">
        <v>5.4873917306117598E-3</v>
      </c>
    </row>
    <row r="236" spans="1:24">
      <c r="A236" s="4">
        <v>161</v>
      </c>
      <c r="B236" s="4">
        <v>12468</v>
      </c>
      <c r="C236" s="4" t="s">
        <v>1672</v>
      </c>
      <c r="D236" s="4" t="s">
        <v>1673</v>
      </c>
      <c r="E236" s="4" t="s">
        <v>1363</v>
      </c>
      <c r="F236" s="4" t="s">
        <v>1674</v>
      </c>
      <c r="G236" s="4" t="s">
        <v>1675</v>
      </c>
      <c r="H236" s="4" t="s">
        <v>223</v>
      </c>
      <c r="I236" s="4" t="s">
        <v>978</v>
      </c>
      <c r="J236" s="4" t="s">
        <v>30</v>
      </c>
      <c r="K236" s="4" t="s">
        <v>91</v>
      </c>
      <c r="L236" s="2" t="s">
        <v>377</v>
      </c>
      <c r="M236" s="2" t="s">
        <v>31</v>
      </c>
      <c r="N236" s="4" t="s">
        <v>514</v>
      </c>
      <c r="O236" s="4" t="s">
        <v>173</v>
      </c>
      <c r="P236" s="4" t="s">
        <v>34</v>
      </c>
      <c r="Q236" s="157">
        <v>2438</v>
      </c>
      <c r="R236" s="175">
        <v>1</v>
      </c>
      <c r="S236" s="177">
        <v>6629</v>
      </c>
      <c r="U236" s="157">
        <v>161.61500000000001</v>
      </c>
      <c r="V236" s="174">
        <v>1.9999999999999999E-6</v>
      </c>
      <c r="W236" s="174">
        <v>6.7027122376577306E-2</v>
      </c>
      <c r="X236" s="174">
        <v>1.0594759327773999E-2</v>
      </c>
    </row>
    <row r="237" spans="1:24">
      <c r="A237" s="4">
        <v>161</v>
      </c>
      <c r="B237" s="4">
        <v>12468</v>
      </c>
      <c r="C237" s="4" t="s">
        <v>1676</v>
      </c>
      <c r="D237" s="4" t="s">
        <v>1677</v>
      </c>
      <c r="E237" s="4" t="s">
        <v>1363</v>
      </c>
      <c r="F237" s="4" t="s">
        <v>1678</v>
      </c>
      <c r="G237" s="4" t="s">
        <v>1679</v>
      </c>
      <c r="H237" s="4" t="s">
        <v>223</v>
      </c>
      <c r="I237" s="4" t="s">
        <v>978</v>
      </c>
      <c r="J237" s="4" t="s">
        <v>30</v>
      </c>
      <c r="K237" s="4" t="s">
        <v>30</v>
      </c>
      <c r="L237" s="2" t="s">
        <v>377</v>
      </c>
      <c r="M237" s="2" t="s">
        <v>31</v>
      </c>
      <c r="N237" s="4" t="s">
        <v>494</v>
      </c>
      <c r="O237" s="4" t="s">
        <v>173</v>
      </c>
      <c r="P237" s="4" t="s">
        <v>34</v>
      </c>
      <c r="Q237" s="157">
        <v>3300</v>
      </c>
      <c r="R237" s="175">
        <v>1</v>
      </c>
      <c r="S237" s="177">
        <v>1373</v>
      </c>
      <c r="U237" s="157">
        <v>45.308999999999997</v>
      </c>
      <c r="V237" s="174">
        <v>1.0000000000000001E-5</v>
      </c>
      <c r="W237" s="174">
        <v>1.8791148791494398E-2</v>
      </c>
      <c r="X237" s="174">
        <v>2.9702557991337299E-3</v>
      </c>
    </row>
    <row r="238" spans="1:24">
      <c r="A238" s="4">
        <v>161</v>
      </c>
      <c r="B238" s="4">
        <v>12468</v>
      </c>
      <c r="C238" s="4" t="s">
        <v>1680</v>
      </c>
      <c r="D238" s="4" t="s">
        <v>1681</v>
      </c>
      <c r="E238" s="4" t="s">
        <v>1363</v>
      </c>
      <c r="F238" s="4" t="s">
        <v>1682</v>
      </c>
      <c r="G238" s="4" t="s">
        <v>1683</v>
      </c>
      <c r="H238" s="4" t="s">
        <v>223</v>
      </c>
      <c r="I238" s="4" t="s">
        <v>978</v>
      </c>
      <c r="J238" s="4" t="s">
        <v>30</v>
      </c>
      <c r="K238" s="4" t="s">
        <v>30</v>
      </c>
      <c r="L238" s="2" t="s">
        <v>377</v>
      </c>
      <c r="M238" s="2" t="s">
        <v>31</v>
      </c>
      <c r="N238" s="4" t="s">
        <v>492</v>
      </c>
      <c r="O238" s="4" t="s">
        <v>173</v>
      </c>
      <c r="P238" s="4" t="s">
        <v>34</v>
      </c>
      <c r="Q238" s="157">
        <v>670</v>
      </c>
      <c r="R238" s="175">
        <v>1</v>
      </c>
      <c r="S238" s="177">
        <v>6329</v>
      </c>
      <c r="U238" s="157">
        <v>42.404000000000003</v>
      </c>
      <c r="V238" s="174">
        <v>7.9999999999999996E-6</v>
      </c>
      <c r="W238" s="174">
        <v>1.7586473122319299E-2</v>
      </c>
      <c r="X238" s="174">
        <v>2.7798366325278998E-3</v>
      </c>
    </row>
    <row r="239" spans="1:24">
      <c r="A239" s="4">
        <v>161</v>
      </c>
      <c r="B239" s="4">
        <v>12468</v>
      </c>
      <c r="C239" s="4" t="s">
        <v>1222</v>
      </c>
      <c r="D239" s="4" t="s">
        <v>1618</v>
      </c>
      <c r="E239" s="4" t="s">
        <v>1363</v>
      </c>
      <c r="F239" s="4" t="s">
        <v>1352</v>
      </c>
      <c r="G239" s="4" t="s">
        <v>1619</v>
      </c>
      <c r="H239" s="4" t="s">
        <v>223</v>
      </c>
      <c r="I239" s="4" t="s">
        <v>978</v>
      </c>
      <c r="J239" s="4" t="s">
        <v>30</v>
      </c>
      <c r="K239" s="4" t="s">
        <v>30</v>
      </c>
      <c r="L239" s="2" t="s">
        <v>377</v>
      </c>
      <c r="M239" s="2" t="s">
        <v>31</v>
      </c>
      <c r="N239" s="4" t="s">
        <v>495</v>
      </c>
      <c r="O239" s="4" t="s">
        <v>173</v>
      </c>
      <c r="P239" s="4" t="s">
        <v>34</v>
      </c>
      <c r="Q239" s="157">
        <v>4954</v>
      </c>
      <c r="R239" s="175">
        <v>1</v>
      </c>
      <c r="S239" s="177">
        <v>3644</v>
      </c>
      <c r="U239" s="157">
        <v>180.524</v>
      </c>
      <c r="V239" s="174">
        <v>3.0000000000000001E-6</v>
      </c>
      <c r="W239" s="174">
        <v>7.4869205556512497E-2</v>
      </c>
      <c r="X239" s="174">
        <v>1.18343319212833E-2</v>
      </c>
    </row>
    <row r="240" spans="1:24">
      <c r="A240" s="4">
        <v>161</v>
      </c>
      <c r="B240" s="4">
        <v>12468</v>
      </c>
      <c r="C240" s="4" t="s">
        <v>1684</v>
      </c>
      <c r="D240" s="4" t="s">
        <v>1685</v>
      </c>
      <c r="E240" s="4" t="s">
        <v>1363</v>
      </c>
      <c r="F240" s="4" t="s">
        <v>1686</v>
      </c>
      <c r="G240" s="4" t="s">
        <v>1687</v>
      </c>
      <c r="H240" s="4" t="s">
        <v>223</v>
      </c>
      <c r="I240" s="4" t="s">
        <v>978</v>
      </c>
      <c r="J240" s="4" t="s">
        <v>30</v>
      </c>
      <c r="K240" s="4" t="s">
        <v>30</v>
      </c>
      <c r="L240" s="2" t="s">
        <v>377</v>
      </c>
      <c r="M240" s="2" t="s">
        <v>31</v>
      </c>
      <c r="N240" s="4" t="s">
        <v>495</v>
      </c>
      <c r="O240" s="4" t="s">
        <v>173</v>
      </c>
      <c r="P240" s="4" t="s">
        <v>34</v>
      </c>
      <c r="Q240" s="157">
        <v>760</v>
      </c>
      <c r="R240" s="175">
        <v>1</v>
      </c>
      <c r="S240" s="177">
        <v>14550</v>
      </c>
      <c r="U240" s="157">
        <v>110.58</v>
      </c>
      <c r="V240" s="174">
        <v>3.0000000000000001E-6</v>
      </c>
      <c r="W240" s="174">
        <v>4.5861202705057502E-2</v>
      </c>
      <c r="X240" s="174">
        <v>7.2491312160543799E-3</v>
      </c>
    </row>
    <row r="241" spans="1:24">
      <c r="A241" s="4">
        <v>161</v>
      </c>
      <c r="B241" s="4">
        <v>12468</v>
      </c>
      <c r="C241" s="4" t="s">
        <v>1688</v>
      </c>
      <c r="D241" s="4" t="s">
        <v>1689</v>
      </c>
      <c r="E241" s="4" t="s">
        <v>1363</v>
      </c>
      <c r="F241" s="4" t="s">
        <v>1690</v>
      </c>
      <c r="G241" s="4" t="s">
        <v>1691</v>
      </c>
      <c r="H241" s="4" t="s">
        <v>223</v>
      </c>
      <c r="I241" s="4" t="s">
        <v>978</v>
      </c>
      <c r="J241" s="4" t="s">
        <v>30</v>
      </c>
      <c r="K241" s="4" t="s">
        <v>30</v>
      </c>
      <c r="L241" s="2" t="s">
        <v>377</v>
      </c>
      <c r="M241" s="2" t="s">
        <v>31</v>
      </c>
      <c r="N241" s="4" t="s">
        <v>524</v>
      </c>
      <c r="O241" s="4" t="s">
        <v>173</v>
      </c>
      <c r="P241" s="4" t="s">
        <v>34</v>
      </c>
      <c r="Q241" s="157">
        <v>267</v>
      </c>
      <c r="R241" s="175">
        <v>1</v>
      </c>
      <c r="S241" s="177">
        <v>7125</v>
      </c>
      <c r="T241" s="156">
        <v>0.219</v>
      </c>
      <c r="U241" s="157">
        <v>19.242999999999999</v>
      </c>
      <c r="V241" s="174">
        <v>3.9999999999999998E-6</v>
      </c>
      <c r="W241" s="174">
        <v>7.9805833485312207E-3</v>
      </c>
      <c r="X241" s="174">
        <v>1.26146486489291E-3</v>
      </c>
    </row>
    <row r="242" spans="1:24">
      <c r="A242" s="4">
        <v>161</v>
      </c>
      <c r="B242" s="4">
        <v>12468</v>
      </c>
      <c r="C242" s="4" t="s">
        <v>1692</v>
      </c>
      <c r="D242" s="4" t="s">
        <v>1693</v>
      </c>
      <c r="E242" s="4" t="s">
        <v>1363</v>
      </c>
      <c r="F242" s="4" t="s">
        <v>1694</v>
      </c>
      <c r="G242" s="4" t="s">
        <v>1695</v>
      </c>
      <c r="H242" s="4" t="s">
        <v>223</v>
      </c>
      <c r="I242" s="4" t="s">
        <v>978</v>
      </c>
      <c r="J242" s="4" t="s">
        <v>30</v>
      </c>
      <c r="K242" s="4" t="s">
        <v>30</v>
      </c>
      <c r="L242" s="2" t="s">
        <v>377</v>
      </c>
      <c r="M242" s="2" t="s">
        <v>31</v>
      </c>
      <c r="N242" s="4" t="s">
        <v>511</v>
      </c>
      <c r="O242" s="4" t="s">
        <v>173</v>
      </c>
      <c r="P242" s="4" t="s">
        <v>34</v>
      </c>
      <c r="Q242" s="157">
        <v>179</v>
      </c>
      <c r="R242" s="175">
        <v>1</v>
      </c>
      <c r="S242" s="177">
        <v>28210</v>
      </c>
      <c r="U242" s="157">
        <v>50.496000000000002</v>
      </c>
      <c r="V242" s="174">
        <v>3.9999999999999998E-6</v>
      </c>
      <c r="W242" s="174">
        <v>2.0942328682169602E-2</v>
      </c>
      <c r="X242" s="174">
        <v>3.3102858109311001E-3</v>
      </c>
    </row>
    <row r="243" spans="1:24">
      <c r="A243" s="4">
        <v>161</v>
      </c>
      <c r="B243" s="4">
        <v>12468</v>
      </c>
      <c r="C243" s="4" t="s">
        <v>1696</v>
      </c>
      <c r="D243" s="4" t="s">
        <v>1697</v>
      </c>
      <c r="E243" s="4" t="s">
        <v>1363</v>
      </c>
      <c r="F243" s="4" t="s">
        <v>1698</v>
      </c>
      <c r="G243" s="4" t="s">
        <v>1699</v>
      </c>
      <c r="H243" s="4" t="s">
        <v>223</v>
      </c>
      <c r="I243" s="4" t="s">
        <v>978</v>
      </c>
      <c r="J243" s="4" t="s">
        <v>30</v>
      </c>
      <c r="K243" s="4" t="s">
        <v>350</v>
      </c>
      <c r="L243" s="2" t="s">
        <v>377</v>
      </c>
      <c r="M243" s="2" t="s">
        <v>31</v>
      </c>
      <c r="N243" s="4" t="s">
        <v>505</v>
      </c>
      <c r="O243" s="4" t="s">
        <v>173</v>
      </c>
      <c r="P243" s="4" t="s">
        <v>34</v>
      </c>
      <c r="Q243" s="157">
        <v>128</v>
      </c>
      <c r="R243" s="175">
        <v>1</v>
      </c>
      <c r="S243" s="177">
        <v>77890</v>
      </c>
      <c r="U243" s="157">
        <v>99.698999999999998</v>
      </c>
      <c r="V243" s="174">
        <v>3.9999999999999998E-6</v>
      </c>
      <c r="W243" s="174">
        <v>4.13485731663236E-2</v>
      </c>
      <c r="X243" s="174">
        <v>6.5358345355005397E-3</v>
      </c>
    </row>
    <row r="244" spans="1:24">
      <c r="A244" s="4">
        <v>161</v>
      </c>
      <c r="B244" s="4">
        <v>12468</v>
      </c>
      <c r="C244" s="4" t="s">
        <v>1700</v>
      </c>
      <c r="D244" s="4" t="s">
        <v>1701</v>
      </c>
      <c r="E244" s="4" t="s">
        <v>364</v>
      </c>
      <c r="F244" s="4" t="s">
        <v>1702</v>
      </c>
      <c r="G244" s="4" t="s">
        <v>1703</v>
      </c>
      <c r="H244" s="4" t="s">
        <v>223</v>
      </c>
      <c r="I244" s="4" t="s">
        <v>978</v>
      </c>
      <c r="J244" s="4" t="s">
        <v>30</v>
      </c>
      <c r="K244" s="4" t="s">
        <v>30</v>
      </c>
      <c r="L244" s="2" t="s">
        <v>377</v>
      </c>
      <c r="M244" s="2" t="s">
        <v>31</v>
      </c>
      <c r="N244" s="4" t="s">
        <v>501</v>
      </c>
      <c r="O244" s="4" t="s">
        <v>173</v>
      </c>
      <c r="P244" s="4" t="s">
        <v>34</v>
      </c>
      <c r="Q244" s="157">
        <v>2729</v>
      </c>
      <c r="R244" s="175">
        <v>1</v>
      </c>
      <c r="S244" s="177">
        <v>1025</v>
      </c>
      <c r="U244" s="157">
        <v>27.972000000000001</v>
      </c>
      <c r="V244" s="174">
        <v>1.9999999999999999E-6</v>
      </c>
      <c r="W244" s="174">
        <v>1.16010221320903E-2</v>
      </c>
      <c r="X244" s="174">
        <v>1.83373585330328E-3</v>
      </c>
    </row>
    <row r="245" spans="1:24">
      <c r="A245" s="4">
        <v>161</v>
      </c>
      <c r="B245" s="4">
        <v>12468</v>
      </c>
      <c r="C245" s="4" t="s">
        <v>1704</v>
      </c>
      <c r="D245" s="4" t="s">
        <v>1705</v>
      </c>
      <c r="E245" s="4" t="s">
        <v>1363</v>
      </c>
      <c r="F245" s="4" t="s">
        <v>1706</v>
      </c>
      <c r="G245" s="4" t="s">
        <v>1707</v>
      </c>
      <c r="H245" s="4" t="s">
        <v>223</v>
      </c>
      <c r="I245" s="4" t="s">
        <v>978</v>
      </c>
      <c r="J245" s="4" t="s">
        <v>30</v>
      </c>
      <c r="K245" s="4" t="s">
        <v>91</v>
      </c>
      <c r="L245" s="2" t="s">
        <v>377</v>
      </c>
      <c r="M245" s="2" t="s">
        <v>31</v>
      </c>
      <c r="N245" s="4" t="s">
        <v>528</v>
      </c>
      <c r="O245" s="4" t="s">
        <v>173</v>
      </c>
      <c r="P245" s="4" t="s">
        <v>34</v>
      </c>
      <c r="Q245" s="157">
        <v>135</v>
      </c>
      <c r="R245" s="175">
        <v>1</v>
      </c>
      <c r="S245" s="177">
        <v>64880</v>
      </c>
      <c r="U245" s="157">
        <v>87.587999999999994</v>
      </c>
      <c r="V245" s="174">
        <v>1.9999999999999999E-6</v>
      </c>
      <c r="W245" s="174">
        <v>3.6325655837679299E-2</v>
      </c>
      <c r="X245" s="174">
        <v>5.7418783229496399E-3</v>
      </c>
    </row>
    <row r="246" spans="1:24">
      <c r="A246" s="4">
        <v>161</v>
      </c>
      <c r="B246" s="4">
        <v>12468</v>
      </c>
      <c r="C246" s="4" t="s">
        <v>1708</v>
      </c>
      <c r="D246" s="4" t="s">
        <v>1709</v>
      </c>
      <c r="E246" s="4" t="s">
        <v>1363</v>
      </c>
      <c r="F246" s="4" t="s">
        <v>1708</v>
      </c>
      <c r="G246" s="4" t="s">
        <v>1710</v>
      </c>
      <c r="H246" s="4" t="s">
        <v>223</v>
      </c>
      <c r="I246" s="4" t="s">
        <v>978</v>
      </c>
      <c r="J246" s="4" t="s">
        <v>30</v>
      </c>
      <c r="K246" s="4" t="s">
        <v>30</v>
      </c>
      <c r="L246" s="2" t="s">
        <v>377</v>
      </c>
      <c r="M246" s="2" t="s">
        <v>31</v>
      </c>
      <c r="N246" s="4" t="s">
        <v>486</v>
      </c>
      <c r="O246" s="4" t="s">
        <v>173</v>
      </c>
      <c r="P246" s="4" t="s">
        <v>34</v>
      </c>
      <c r="Q246" s="157">
        <v>2123</v>
      </c>
      <c r="R246" s="175">
        <v>1</v>
      </c>
      <c r="S246" s="177">
        <v>3950</v>
      </c>
      <c r="U246" s="157">
        <v>83.858999999999995</v>
      </c>
      <c r="V246" s="174">
        <v>2.6999999999999999E-5</v>
      </c>
      <c r="W246" s="174">
        <v>3.4778908184500502E-2</v>
      </c>
      <c r="X246" s="174">
        <v>5.4973889499140604E-3</v>
      </c>
    </row>
    <row r="247" spans="1:24">
      <c r="A247" s="4">
        <v>161</v>
      </c>
      <c r="B247" s="4">
        <v>12468</v>
      </c>
      <c r="C247" s="4" t="s">
        <v>1711</v>
      </c>
      <c r="D247" s="4" t="s">
        <v>1712</v>
      </c>
      <c r="E247" s="4" t="s">
        <v>1363</v>
      </c>
      <c r="F247" s="4" t="s">
        <v>1713</v>
      </c>
      <c r="G247" s="4" t="s">
        <v>1714</v>
      </c>
      <c r="H247" s="4" t="s">
        <v>223</v>
      </c>
      <c r="I247" s="4" t="s">
        <v>978</v>
      </c>
      <c r="J247" s="4" t="s">
        <v>30</v>
      </c>
      <c r="K247" s="4" t="s">
        <v>30</v>
      </c>
      <c r="L247" s="2" t="s">
        <v>377</v>
      </c>
      <c r="M247" s="2" t="s">
        <v>31</v>
      </c>
      <c r="N247" s="4" t="s">
        <v>511</v>
      </c>
      <c r="O247" s="4" t="s">
        <v>173</v>
      </c>
      <c r="P247" s="4" t="s">
        <v>34</v>
      </c>
      <c r="Q247" s="157">
        <v>298</v>
      </c>
      <c r="R247" s="175">
        <v>1</v>
      </c>
      <c r="S247" s="177">
        <v>25940</v>
      </c>
      <c r="U247" s="157">
        <v>77.301000000000002</v>
      </c>
      <c r="V247" s="174">
        <v>1.9999999999999999E-6</v>
      </c>
      <c r="W247" s="174">
        <v>3.2059377849016003E-2</v>
      </c>
      <c r="X247" s="174">
        <v>5.0675216310224602E-3</v>
      </c>
    </row>
    <row r="248" spans="1:24">
      <c r="A248" s="4">
        <v>161</v>
      </c>
      <c r="B248" s="4">
        <v>12468</v>
      </c>
      <c r="C248" s="4" t="s">
        <v>1620</v>
      </c>
      <c r="D248" s="4" t="s">
        <v>1621</v>
      </c>
      <c r="E248" s="4" t="s">
        <v>1363</v>
      </c>
      <c r="F248" s="4" t="s">
        <v>1622</v>
      </c>
      <c r="G248" s="4" t="s">
        <v>1623</v>
      </c>
      <c r="H248" s="4" t="s">
        <v>223</v>
      </c>
      <c r="I248" s="4" t="s">
        <v>978</v>
      </c>
      <c r="J248" s="4" t="s">
        <v>30</v>
      </c>
      <c r="K248" s="4" t="s">
        <v>30</v>
      </c>
      <c r="L248" s="2" t="s">
        <v>377</v>
      </c>
      <c r="M248" s="2" t="s">
        <v>31</v>
      </c>
      <c r="N248" s="4" t="s">
        <v>495</v>
      </c>
      <c r="O248" s="4" t="s">
        <v>173</v>
      </c>
      <c r="P248" s="4" t="s">
        <v>34</v>
      </c>
      <c r="Q248" s="157">
        <v>4131</v>
      </c>
      <c r="R248" s="175">
        <v>1</v>
      </c>
      <c r="S248" s="177">
        <v>3729</v>
      </c>
      <c r="U248" s="157">
        <v>154.04499999999999</v>
      </c>
      <c r="V248" s="174">
        <v>3.0000000000000001E-6</v>
      </c>
      <c r="W248" s="174">
        <v>6.3887579237552505E-2</v>
      </c>
      <c r="X248" s="174">
        <v>1.00985019504954E-2</v>
      </c>
    </row>
    <row r="249" spans="1:24">
      <c r="A249" s="4">
        <v>161</v>
      </c>
      <c r="B249" s="4">
        <v>12468</v>
      </c>
      <c r="C249" s="4" t="s">
        <v>1715</v>
      </c>
      <c r="D249" s="4" t="s">
        <v>1716</v>
      </c>
      <c r="E249" s="4" t="s">
        <v>1363</v>
      </c>
      <c r="F249" s="4" t="s">
        <v>1717</v>
      </c>
      <c r="G249" s="4" t="s">
        <v>1718</v>
      </c>
      <c r="H249" s="4" t="s">
        <v>223</v>
      </c>
      <c r="I249" s="4" t="s">
        <v>978</v>
      </c>
      <c r="J249" s="4" t="s">
        <v>30</v>
      </c>
      <c r="K249" s="4" t="s">
        <v>30</v>
      </c>
      <c r="L249" s="2" t="s">
        <v>377</v>
      </c>
      <c r="M249" s="2" t="s">
        <v>31</v>
      </c>
      <c r="N249" s="4" t="s">
        <v>523</v>
      </c>
      <c r="O249" s="4" t="s">
        <v>173</v>
      </c>
      <c r="P249" s="4" t="s">
        <v>34</v>
      </c>
      <c r="Q249" s="157">
        <v>233</v>
      </c>
      <c r="R249" s="175">
        <v>1</v>
      </c>
      <c r="S249" s="177">
        <v>28150</v>
      </c>
      <c r="U249" s="157">
        <v>65.59</v>
      </c>
      <c r="V249" s="174">
        <v>1.7E-5</v>
      </c>
      <c r="W249" s="174">
        <v>2.7202146453457799E-2</v>
      </c>
      <c r="X249" s="174">
        <v>4.29975485526677E-3</v>
      </c>
    </row>
    <row r="250" spans="1:24">
      <c r="A250" s="4">
        <v>161</v>
      </c>
      <c r="B250" s="4">
        <v>12468</v>
      </c>
      <c r="C250" s="4" t="s">
        <v>1719</v>
      </c>
      <c r="D250" s="4" t="s">
        <v>1720</v>
      </c>
      <c r="E250" s="4" t="s">
        <v>1363</v>
      </c>
      <c r="F250" s="4" t="s">
        <v>1721</v>
      </c>
      <c r="G250" s="4" t="s">
        <v>1722</v>
      </c>
      <c r="H250" s="4" t="s">
        <v>223</v>
      </c>
      <c r="I250" s="4" t="s">
        <v>978</v>
      </c>
      <c r="J250" s="4" t="s">
        <v>30</v>
      </c>
      <c r="K250" s="4" t="s">
        <v>30</v>
      </c>
      <c r="L250" s="2" t="s">
        <v>377</v>
      </c>
      <c r="M250" s="2" t="s">
        <v>31</v>
      </c>
      <c r="N250" s="4" t="s">
        <v>524</v>
      </c>
      <c r="O250" s="4" t="s">
        <v>173</v>
      </c>
      <c r="P250" s="4" t="s">
        <v>34</v>
      </c>
      <c r="Q250" s="157">
        <v>34</v>
      </c>
      <c r="R250" s="175">
        <v>1</v>
      </c>
      <c r="S250" s="177">
        <v>29830</v>
      </c>
      <c r="U250" s="157">
        <v>10.141999999999999</v>
      </c>
      <c r="V250" s="174">
        <v>1.9999999999999999E-6</v>
      </c>
      <c r="W250" s="174">
        <v>4.2063075608178204E-3</v>
      </c>
      <c r="X250" s="174">
        <v>6.6487736136251405E-4</v>
      </c>
    </row>
    <row r="251" spans="1:24">
      <c r="A251" s="4">
        <v>161</v>
      </c>
      <c r="B251" s="4">
        <v>12468</v>
      </c>
      <c r="C251" s="4" t="s">
        <v>1723</v>
      </c>
      <c r="D251" s="4" t="s">
        <v>1724</v>
      </c>
      <c r="E251" s="4" t="s">
        <v>1363</v>
      </c>
      <c r="F251" s="4" t="s">
        <v>1725</v>
      </c>
      <c r="G251" s="4" t="s">
        <v>1726</v>
      </c>
      <c r="H251" s="4" t="s">
        <v>223</v>
      </c>
      <c r="I251" s="4" t="s">
        <v>978</v>
      </c>
      <c r="J251" s="4" t="s">
        <v>30</v>
      </c>
      <c r="K251" s="4" t="s">
        <v>350</v>
      </c>
      <c r="L251" s="2" t="s">
        <v>377</v>
      </c>
      <c r="M251" s="2" t="s">
        <v>31</v>
      </c>
      <c r="N251" s="4" t="s">
        <v>505</v>
      </c>
      <c r="O251" s="4" t="s">
        <v>173</v>
      </c>
      <c r="P251" s="4" t="s">
        <v>34</v>
      </c>
      <c r="Q251" s="157">
        <v>208</v>
      </c>
      <c r="R251" s="175">
        <v>1</v>
      </c>
      <c r="S251" s="177">
        <v>29980</v>
      </c>
      <c r="U251" s="157">
        <v>62.357999999999997</v>
      </c>
      <c r="V251" s="174">
        <v>5.0000000000000004E-6</v>
      </c>
      <c r="W251" s="174">
        <v>2.5862101851718701E-2</v>
      </c>
      <c r="X251" s="174">
        <v>4.0879383615771902E-3</v>
      </c>
    </row>
    <row r="252" spans="1:24">
      <c r="A252" s="4">
        <v>161</v>
      </c>
      <c r="B252" s="4">
        <v>12468</v>
      </c>
      <c r="C252" s="4" t="s">
        <v>1727</v>
      </c>
      <c r="D252" s="4" t="s">
        <v>1728</v>
      </c>
      <c r="E252" s="4" t="s">
        <v>364</v>
      </c>
      <c r="F252" s="4" t="s">
        <v>1729</v>
      </c>
      <c r="G252" s="4" t="s">
        <v>1730</v>
      </c>
      <c r="H252" s="4" t="s">
        <v>223</v>
      </c>
      <c r="I252" s="4" t="s">
        <v>978</v>
      </c>
      <c r="J252" s="4" t="s">
        <v>30</v>
      </c>
      <c r="K252" s="4" t="s">
        <v>30</v>
      </c>
      <c r="L252" s="2" t="s">
        <v>377</v>
      </c>
      <c r="M252" s="2" t="s">
        <v>31</v>
      </c>
      <c r="N252" s="4" t="s">
        <v>501</v>
      </c>
      <c r="O252" s="4" t="s">
        <v>173</v>
      </c>
      <c r="P252" s="4" t="s">
        <v>34</v>
      </c>
      <c r="Q252" s="157">
        <v>4548</v>
      </c>
      <c r="R252" s="175">
        <v>1</v>
      </c>
      <c r="S252" s="177">
        <v>303</v>
      </c>
      <c r="U252" s="157">
        <v>13.78</v>
      </c>
      <c r="V252" s="174">
        <v>3.9999999999999998E-6</v>
      </c>
      <c r="W252" s="174">
        <v>5.7152066576675997E-3</v>
      </c>
      <c r="X252" s="174">
        <v>9.0338413614545604E-4</v>
      </c>
    </row>
    <row r="253" spans="1:24">
      <c r="A253" s="4">
        <v>161</v>
      </c>
      <c r="B253" s="4">
        <v>12468</v>
      </c>
      <c r="C253" s="4" t="s">
        <v>1731</v>
      </c>
      <c r="D253" s="4" t="s">
        <v>1732</v>
      </c>
      <c r="E253" s="4" t="s">
        <v>220</v>
      </c>
      <c r="F253" s="4" t="s">
        <v>1733</v>
      </c>
      <c r="G253" s="4" t="s">
        <v>1734</v>
      </c>
      <c r="H253" s="4" t="s">
        <v>223</v>
      </c>
      <c r="I253" s="4" t="s">
        <v>978</v>
      </c>
      <c r="J253" s="4" t="s">
        <v>90</v>
      </c>
      <c r="K253" s="4" t="s">
        <v>343</v>
      </c>
      <c r="L253" s="2" t="s">
        <v>377</v>
      </c>
      <c r="M253" s="2" t="s">
        <v>396</v>
      </c>
      <c r="N253" s="4" t="s">
        <v>596</v>
      </c>
      <c r="O253" s="4" t="s">
        <v>173</v>
      </c>
      <c r="P253" s="4" t="s">
        <v>95</v>
      </c>
      <c r="Q253" s="157">
        <v>55</v>
      </c>
      <c r="R253" s="175">
        <v>3.71</v>
      </c>
      <c r="S253" s="177">
        <v>16408</v>
      </c>
      <c r="U253" s="157">
        <v>33.481000000000002</v>
      </c>
      <c r="V253" s="174">
        <v>0</v>
      </c>
      <c r="W253" s="174">
        <v>1.38854865060187E-2</v>
      </c>
      <c r="X253" s="174">
        <v>2.1948337100583999E-3</v>
      </c>
    </row>
    <row r="254" spans="1:24">
      <c r="A254" s="4">
        <v>161</v>
      </c>
      <c r="B254" s="4">
        <v>12468</v>
      </c>
      <c r="C254" s="4" t="s">
        <v>1735</v>
      </c>
      <c r="D254" s="4" t="s">
        <v>1736</v>
      </c>
      <c r="E254" s="4" t="s">
        <v>220</v>
      </c>
      <c r="F254" s="4" t="s">
        <v>1737</v>
      </c>
      <c r="G254" s="4" t="s">
        <v>1738</v>
      </c>
      <c r="H254" s="4" t="s">
        <v>223</v>
      </c>
      <c r="I254" s="4" t="s">
        <v>978</v>
      </c>
      <c r="J254" s="4" t="s">
        <v>90</v>
      </c>
      <c r="K254" s="4" t="s">
        <v>91</v>
      </c>
      <c r="L254" s="2" t="s">
        <v>377</v>
      </c>
      <c r="M254" s="2" t="s">
        <v>396</v>
      </c>
      <c r="N254" s="4" t="s">
        <v>597</v>
      </c>
      <c r="O254" s="4" t="s">
        <v>173</v>
      </c>
      <c r="P254" s="4" t="s">
        <v>95</v>
      </c>
      <c r="Q254" s="157">
        <v>87</v>
      </c>
      <c r="R254" s="175">
        <v>3.71</v>
      </c>
      <c r="S254" s="177">
        <v>16719</v>
      </c>
      <c r="U254" s="157">
        <v>53.963999999999999</v>
      </c>
      <c r="V254" s="174">
        <v>0</v>
      </c>
      <c r="W254" s="174">
        <v>2.23806303508144E-2</v>
      </c>
      <c r="X254" s="174">
        <v>3.5376334797510901E-3</v>
      </c>
    </row>
    <row r="255" spans="1:24">
      <c r="A255" s="4">
        <v>161</v>
      </c>
      <c r="B255" s="4">
        <v>12468</v>
      </c>
      <c r="C255" s="4" t="s">
        <v>1739</v>
      </c>
      <c r="D255" s="4" t="s">
        <v>1740</v>
      </c>
      <c r="E255" s="4" t="s">
        <v>220</v>
      </c>
      <c r="F255" s="4" t="s">
        <v>1741</v>
      </c>
      <c r="G255" s="4" t="s">
        <v>1742</v>
      </c>
      <c r="H255" s="4" t="s">
        <v>223</v>
      </c>
      <c r="I255" s="4" t="s">
        <v>978</v>
      </c>
      <c r="J255" s="4" t="s">
        <v>90</v>
      </c>
      <c r="K255" s="4" t="s">
        <v>91</v>
      </c>
      <c r="L255" s="2" t="s">
        <v>377</v>
      </c>
      <c r="M255" s="2" t="s">
        <v>396</v>
      </c>
      <c r="N255" s="4" t="s">
        <v>548</v>
      </c>
      <c r="O255" s="4" t="s">
        <v>173</v>
      </c>
      <c r="P255" s="4" t="s">
        <v>95</v>
      </c>
      <c r="Q255" s="157">
        <v>55</v>
      </c>
      <c r="R255" s="175">
        <v>3.71</v>
      </c>
      <c r="S255" s="177">
        <v>18633</v>
      </c>
      <c r="U255" s="157">
        <v>38.021000000000001</v>
      </c>
      <c r="V255" s="174">
        <v>0</v>
      </c>
      <c r="W255" s="174">
        <v>1.5768422115227099E-2</v>
      </c>
      <c r="X255" s="174">
        <v>2.4924632203509401E-3</v>
      </c>
    </row>
    <row r="256" spans="1:24">
      <c r="A256" s="4">
        <v>161</v>
      </c>
      <c r="B256" s="4">
        <v>12468</v>
      </c>
      <c r="C256" s="4" t="s">
        <v>1743</v>
      </c>
      <c r="D256" s="4" t="s">
        <v>1744</v>
      </c>
      <c r="E256" s="4" t="s">
        <v>220</v>
      </c>
      <c r="F256" s="4" t="s">
        <v>1745</v>
      </c>
      <c r="G256" s="4" t="s">
        <v>1746</v>
      </c>
      <c r="H256" s="4" t="s">
        <v>223</v>
      </c>
      <c r="I256" s="4" t="s">
        <v>978</v>
      </c>
      <c r="J256" s="4" t="s">
        <v>90</v>
      </c>
      <c r="K256" s="4" t="s">
        <v>91</v>
      </c>
      <c r="L256" s="2" t="s">
        <v>377</v>
      </c>
      <c r="M256" s="2" t="s">
        <v>396</v>
      </c>
      <c r="N256" s="4" t="s">
        <v>596</v>
      </c>
      <c r="O256" s="4" t="s">
        <v>173</v>
      </c>
      <c r="P256" s="4" t="s">
        <v>95</v>
      </c>
      <c r="Q256" s="157">
        <v>10</v>
      </c>
      <c r="R256" s="175">
        <v>3.71</v>
      </c>
      <c r="S256" s="177">
        <v>83325</v>
      </c>
      <c r="U256" s="157">
        <v>30.914000000000001</v>
      </c>
      <c r="V256" s="174">
        <v>0</v>
      </c>
      <c r="W256" s="174">
        <v>1.28208874065201E-2</v>
      </c>
      <c r="X256" s="174">
        <v>2.0265559914300802E-3</v>
      </c>
    </row>
    <row r="257" spans="1:24">
      <c r="A257" s="4">
        <v>161</v>
      </c>
      <c r="B257" s="4">
        <v>12468</v>
      </c>
      <c r="C257" s="4" t="s">
        <v>1747</v>
      </c>
      <c r="D257" s="4" t="s">
        <v>1748</v>
      </c>
      <c r="E257" s="4" t="s">
        <v>220</v>
      </c>
      <c r="F257" s="4" t="s">
        <v>1749</v>
      </c>
      <c r="G257" s="4" t="s">
        <v>1750</v>
      </c>
      <c r="H257" s="4" t="s">
        <v>223</v>
      </c>
      <c r="I257" s="4" t="s">
        <v>978</v>
      </c>
      <c r="J257" s="4" t="s">
        <v>90</v>
      </c>
      <c r="K257" s="4" t="s">
        <v>91</v>
      </c>
      <c r="L257" s="2" t="s">
        <v>377</v>
      </c>
      <c r="M257" s="2" t="s">
        <v>396</v>
      </c>
      <c r="N257" s="4" t="s">
        <v>596</v>
      </c>
      <c r="O257" s="4" t="s">
        <v>173</v>
      </c>
      <c r="P257" s="4" t="s">
        <v>95</v>
      </c>
      <c r="Q257" s="157">
        <v>50</v>
      </c>
      <c r="R257" s="175">
        <v>3.71</v>
      </c>
      <c r="S257" s="177">
        <v>17250</v>
      </c>
      <c r="T257" s="156">
        <v>2.5999999999999999E-2</v>
      </c>
      <c r="U257" s="157">
        <v>32.097000000000001</v>
      </c>
      <c r="V257" s="174">
        <v>0</v>
      </c>
      <c r="W257" s="174">
        <v>1.3311720059707099E-2</v>
      </c>
      <c r="X257" s="174">
        <v>2.1041403132141998E-3</v>
      </c>
    </row>
    <row r="258" spans="1:24">
      <c r="A258" s="4">
        <v>161</v>
      </c>
      <c r="B258" s="4">
        <v>12468</v>
      </c>
      <c r="C258" s="4" t="s">
        <v>1751</v>
      </c>
      <c r="D258" s="4" t="s">
        <v>1752</v>
      </c>
      <c r="E258" s="4" t="s">
        <v>220</v>
      </c>
      <c r="F258" s="4" t="s">
        <v>1753</v>
      </c>
      <c r="G258" s="4" t="s">
        <v>1754</v>
      </c>
      <c r="H258" s="4" t="s">
        <v>223</v>
      </c>
      <c r="I258" s="4" t="s">
        <v>978</v>
      </c>
      <c r="J258" s="4" t="s">
        <v>90</v>
      </c>
      <c r="K258" s="4" t="s">
        <v>91</v>
      </c>
      <c r="L258" s="2" t="s">
        <v>377</v>
      </c>
      <c r="M258" s="2" t="s">
        <v>394</v>
      </c>
      <c r="N258" s="4" t="s">
        <v>584</v>
      </c>
      <c r="O258" s="4" t="s">
        <v>173</v>
      </c>
      <c r="P258" s="4" t="s">
        <v>95</v>
      </c>
      <c r="Q258" s="157">
        <v>17</v>
      </c>
      <c r="R258" s="175">
        <v>3.71</v>
      </c>
      <c r="S258" s="177">
        <v>21086</v>
      </c>
      <c r="U258" s="157">
        <v>13.298999999999999</v>
      </c>
      <c r="V258" s="174">
        <v>0</v>
      </c>
      <c r="W258" s="174">
        <v>5.5155126810873404E-3</v>
      </c>
      <c r="X258" s="174">
        <v>8.7181915847585898E-4</v>
      </c>
    </row>
    <row r="259" spans="1:24">
      <c r="A259" s="4">
        <v>161</v>
      </c>
      <c r="B259" s="4">
        <v>12468</v>
      </c>
      <c r="C259" s="4" t="s">
        <v>1755</v>
      </c>
      <c r="D259" s="4" t="s">
        <v>1756</v>
      </c>
      <c r="E259" s="4" t="s">
        <v>220</v>
      </c>
      <c r="F259" s="4" t="s">
        <v>1757</v>
      </c>
      <c r="G259" s="4" t="s">
        <v>1758</v>
      </c>
      <c r="H259" s="4" t="s">
        <v>223</v>
      </c>
      <c r="I259" s="4" t="s">
        <v>978</v>
      </c>
      <c r="J259" s="4" t="s">
        <v>90</v>
      </c>
      <c r="K259" s="4" t="s">
        <v>91</v>
      </c>
      <c r="L259" s="2" t="s">
        <v>377</v>
      </c>
      <c r="M259" s="2" t="s">
        <v>394</v>
      </c>
      <c r="N259" s="4" t="s">
        <v>1759</v>
      </c>
      <c r="O259" s="4" t="s">
        <v>173</v>
      </c>
      <c r="P259" s="4" t="s">
        <v>95</v>
      </c>
      <c r="Q259" s="157">
        <v>25</v>
      </c>
      <c r="R259" s="175">
        <v>3.71</v>
      </c>
      <c r="S259" s="177">
        <v>49380</v>
      </c>
      <c r="U259" s="157">
        <v>45.8</v>
      </c>
      <c r="V259" s="174">
        <v>0</v>
      </c>
      <c r="W259" s="174">
        <v>1.8994762080227E-2</v>
      </c>
      <c r="X259" s="174">
        <v>3.0024402897335001E-3</v>
      </c>
    </row>
    <row r="260" spans="1:24">
      <c r="A260" s="4">
        <v>161</v>
      </c>
      <c r="B260" s="4">
        <v>12468</v>
      </c>
      <c r="C260" s="4" t="s">
        <v>1760</v>
      </c>
      <c r="D260" s="4" t="s">
        <v>1761</v>
      </c>
      <c r="E260" s="4" t="s">
        <v>220</v>
      </c>
      <c r="F260" s="4" t="s">
        <v>1762</v>
      </c>
      <c r="G260" s="4" t="s">
        <v>1763</v>
      </c>
      <c r="H260" s="4" t="s">
        <v>223</v>
      </c>
      <c r="I260" s="4" t="s">
        <v>978</v>
      </c>
      <c r="J260" s="4" t="s">
        <v>90</v>
      </c>
      <c r="K260" s="4" t="s">
        <v>91</v>
      </c>
      <c r="L260" s="2" t="s">
        <v>377</v>
      </c>
      <c r="M260" s="2" t="s">
        <v>396</v>
      </c>
      <c r="N260" s="4" t="s">
        <v>592</v>
      </c>
      <c r="O260" s="4" t="s">
        <v>173</v>
      </c>
      <c r="P260" s="4" t="s">
        <v>95</v>
      </c>
      <c r="Q260" s="157">
        <v>23</v>
      </c>
      <c r="R260" s="175">
        <v>3.71</v>
      </c>
      <c r="S260" s="177">
        <v>43030</v>
      </c>
      <c r="U260" s="157">
        <v>36.716999999999999</v>
      </c>
      <c r="V260" s="174">
        <v>0</v>
      </c>
      <c r="W260" s="174">
        <v>1.52279676655973E-2</v>
      </c>
      <c r="X260" s="174">
        <v>2.40703534252438E-3</v>
      </c>
    </row>
    <row r="261" spans="1:24">
      <c r="A261" s="4">
        <v>161</v>
      </c>
      <c r="B261" s="4">
        <v>12468</v>
      </c>
      <c r="C261" s="4" t="s">
        <v>1704</v>
      </c>
      <c r="D261" s="4" t="s">
        <v>1705</v>
      </c>
      <c r="E261" s="4" t="s">
        <v>1363</v>
      </c>
      <c r="F261" s="4" t="s">
        <v>1764</v>
      </c>
      <c r="G261" s="4" t="s">
        <v>1765</v>
      </c>
      <c r="H261" s="4" t="s">
        <v>223</v>
      </c>
      <c r="I261" s="4" t="s">
        <v>978</v>
      </c>
      <c r="J261" s="4" t="s">
        <v>90</v>
      </c>
      <c r="K261" s="4" t="s">
        <v>91</v>
      </c>
      <c r="L261" s="2" t="s">
        <v>377</v>
      </c>
      <c r="M261" s="2" t="s">
        <v>396</v>
      </c>
      <c r="N261" s="4" t="s">
        <v>528</v>
      </c>
      <c r="O261" s="4" t="s">
        <v>173</v>
      </c>
      <c r="P261" s="4" t="s">
        <v>95</v>
      </c>
      <c r="Q261" s="157">
        <v>22</v>
      </c>
      <c r="R261" s="175">
        <v>3.71</v>
      </c>
      <c r="S261" s="177">
        <v>17367</v>
      </c>
      <c r="U261" s="157">
        <v>14.175000000000001</v>
      </c>
      <c r="V261" s="174">
        <v>0</v>
      </c>
      <c r="W261" s="174">
        <v>5.8788211640669399E-3</v>
      </c>
      <c r="X261" s="174">
        <v>9.2924614925851397E-4</v>
      </c>
    </row>
    <row r="262" spans="1:24">
      <c r="A262" s="4">
        <v>161</v>
      </c>
      <c r="B262" s="4">
        <v>12468</v>
      </c>
      <c r="C262" s="4" t="s">
        <v>1766</v>
      </c>
      <c r="D262" s="4" t="s">
        <v>1767</v>
      </c>
      <c r="E262" s="4" t="s">
        <v>220</v>
      </c>
      <c r="F262" s="4" t="s">
        <v>1768</v>
      </c>
      <c r="G262" s="4" t="s">
        <v>1769</v>
      </c>
      <c r="H262" s="4" t="s">
        <v>223</v>
      </c>
      <c r="I262" s="4" t="s">
        <v>978</v>
      </c>
      <c r="J262" s="4" t="s">
        <v>90</v>
      </c>
      <c r="K262" s="4" t="s">
        <v>91</v>
      </c>
      <c r="L262" s="2" t="s">
        <v>377</v>
      </c>
      <c r="M262" s="2" t="s">
        <v>396</v>
      </c>
      <c r="N262" s="4" t="s">
        <v>596</v>
      </c>
      <c r="O262" s="4" t="s">
        <v>173</v>
      </c>
      <c r="P262" s="4" t="s">
        <v>95</v>
      </c>
      <c r="Q262" s="157">
        <v>100</v>
      </c>
      <c r="R262" s="175">
        <v>3.71</v>
      </c>
      <c r="S262" s="177">
        <v>12144</v>
      </c>
      <c r="T262" s="156">
        <v>1E-3</v>
      </c>
      <c r="U262" s="157">
        <v>45.055999999999997</v>
      </c>
      <c r="V262" s="174">
        <v>0</v>
      </c>
      <c r="W262" s="174">
        <v>1.8686414545121498E-2</v>
      </c>
      <c r="X262" s="174">
        <v>2.9537007973023401E-3</v>
      </c>
    </row>
    <row r="263" spans="1:24">
      <c r="A263" s="4">
        <v>161</v>
      </c>
      <c r="B263" s="4">
        <v>12468</v>
      </c>
      <c r="C263" s="4" t="s">
        <v>1624</v>
      </c>
      <c r="D263" s="4" t="s">
        <v>1625</v>
      </c>
      <c r="E263" s="4" t="s">
        <v>365</v>
      </c>
      <c r="F263" s="4" t="s">
        <v>1770</v>
      </c>
      <c r="G263" s="4" t="s">
        <v>1627</v>
      </c>
      <c r="H263" s="4" t="s">
        <v>223</v>
      </c>
      <c r="I263" s="4" t="s">
        <v>978</v>
      </c>
      <c r="J263" s="4" t="s">
        <v>90</v>
      </c>
      <c r="K263" s="4" t="s">
        <v>91</v>
      </c>
      <c r="L263" s="2" t="s">
        <v>377</v>
      </c>
      <c r="M263" s="2" t="s">
        <v>394</v>
      </c>
      <c r="N263" s="4" t="s">
        <v>605</v>
      </c>
      <c r="O263" s="4" t="s">
        <v>173</v>
      </c>
      <c r="P263" s="4" t="s">
        <v>95</v>
      </c>
      <c r="Q263" s="157">
        <v>28</v>
      </c>
      <c r="R263" s="175">
        <v>3.71</v>
      </c>
      <c r="S263" s="177">
        <v>7694</v>
      </c>
      <c r="U263" s="157">
        <v>7.9930000000000003</v>
      </c>
      <c r="V263" s="174">
        <v>0</v>
      </c>
      <c r="W263" s="174">
        <v>3.3147667755913002E-3</v>
      </c>
      <c r="X263" s="174">
        <v>5.2395440785570405E-4</v>
      </c>
    </row>
  </sheetData>
  <sheetProtection formatColumns="0"/>
  <autoFilter ref="A1:AA263" xr:uid="{194E1274-612E-449A-9F27-98110E290417}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75"/>
  <sheetViews>
    <sheetView rightToLeft="1" tabSelected="1" zoomScale="70" zoomScaleNormal="70" workbookViewId="0">
      <selection activeCell="J7" sqref="J7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618</v>
      </c>
      <c r="N1" s="22" t="s">
        <v>159</v>
      </c>
      <c r="O1" s="22" t="s">
        <v>11</v>
      </c>
      <c r="P1" s="22" t="s">
        <v>17</v>
      </c>
      <c r="Q1" s="165" t="s">
        <v>18</v>
      </c>
      <c r="R1" s="176" t="s">
        <v>19</v>
      </c>
      <c r="S1" s="22" t="s">
        <v>16</v>
      </c>
      <c r="T1" s="22" t="s">
        <v>20</v>
      </c>
      <c r="U1" s="171" t="s">
        <v>23</v>
      </c>
      <c r="V1" s="171" t="s">
        <v>24</v>
      </c>
      <c r="W1" s="171" t="s">
        <v>25</v>
      </c>
    </row>
    <row r="2" spans="1:23">
      <c r="A2" s="23">
        <v>14076</v>
      </c>
      <c r="B2" s="23">
        <v>14077</v>
      </c>
      <c r="C2" s="23" t="s">
        <v>1394</v>
      </c>
      <c r="D2" s="23" t="s">
        <v>1395</v>
      </c>
      <c r="E2" s="21" t="s">
        <v>1363</v>
      </c>
      <c r="F2" s="23" t="s">
        <v>1421</v>
      </c>
      <c r="G2" s="23" t="s">
        <v>1422</v>
      </c>
      <c r="H2" s="21" t="s">
        <v>223</v>
      </c>
      <c r="I2" s="23" t="s">
        <v>1027</v>
      </c>
      <c r="J2" s="21" t="s">
        <v>30</v>
      </c>
      <c r="K2" s="21" t="s">
        <v>30</v>
      </c>
      <c r="L2" s="21" t="s">
        <v>31</v>
      </c>
      <c r="M2" s="23" t="s">
        <v>1398</v>
      </c>
      <c r="N2" s="23" t="s">
        <v>173</v>
      </c>
      <c r="O2" s="21" t="s">
        <v>34</v>
      </c>
      <c r="P2" s="159">
        <v>14739</v>
      </c>
      <c r="Q2" s="181">
        <v>1</v>
      </c>
      <c r="R2" s="182">
        <v>3265</v>
      </c>
      <c r="S2" s="135"/>
      <c r="T2" s="158">
        <v>481.22800000000001</v>
      </c>
      <c r="U2" s="180">
        <v>3.68E-4</v>
      </c>
      <c r="V2" s="180">
        <v>5.6983471726665902E-2</v>
      </c>
      <c r="W2" s="180">
        <v>4.1000011748538102E-2</v>
      </c>
    </row>
    <row r="3" spans="1:23">
      <c r="A3" s="23">
        <v>14076</v>
      </c>
      <c r="B3" s="23">
        <v>14077</v>
      </c>
      <c r="C3" s="23" t="s">
        <v>1394</v>
      </c>
      <c r="D3" s="23" t="s">
        <v>1395</v>
      </c>
      <c r="E3" s="21" t="s">
        <v>1363</v>
      </c>
      <c r="F3" s="23" t="s">
        <v>1423</v>
      </c>
      <c r="G3" s="23" t="s">
        <v>1424</v>
      </c>
      <c r="H3" s="21" t="s">
        <v>223</v>
      </c>
      <c r="I3" s="23" t="s">
        <v>1029</v>
      </c>
      <c r="J3" s="21" t="s">
        <v>30</v>
      </c>
      <c r="K3" s="21" t="s">
        <v>30</v>
      </c>
      <c r="L3" s="21" t="s">
        <v>31</v>
      </c>
      <c r="M3" s="23" t="s">
        <v>1425</v>
      </c>
      <c r="N3" s="23" t="s">
        <v>173</v>
      </c>
      <c r="O3" s="21" t="s">
        <v>34</v>
      </c>
      <c r="P3" s="159">
        <v>50801</v>
      </c>
      <c r="Q3" s="181">
        <v>1</v>
      </c>
      <c r="R3" s="182">
        <v>465.93</v>
      </c>
      <c r="S3" s="135"/>
      <c r="T3" s="158">
        <v>236.697</v>
      </c>
      <c r="U3" s="180">
        <v>3.5100000000000002E-4</v>
      </c>
      <c r="V3" s="180">
        <v>2.8027904976390901E-2</v>
      </c>
      <c r="W3" s="180">
        <v>2.0166276263950102E-2</v>
      </c>
    </row>
    <row r="4" spans="1:23">
      <c r="A4" s="23">
        <v>14076</v>
      </c>
      <c r="B4" s="23">
        <v>14077</v>
      </c>
      <c r="C4" s="23" t="s">
        <v>1394</v>
      </c>
      <c r="D4" s="23" t="s">
        <v>1395</v>
      </c>
      <c r="E4" s="21" t="s">
        <v>1363</v>
      </c>
      <c r="F4" s="23" t="s">
        <v>1426</v>
      </c>
      <c r="G4" s="23" t="s">
        <v>1427</v>
      </c>
      <c r="H4" s="21" t="s">
        <v>223</v>
      </c>
      <c r="I4" s="23" t="s">
        <v>1028</v>
      </c>
      <c r="J4" s="21" t="s">
        <v>30</v>
      </c>
      <c r="K4" s="21" t="s">
        <v>91</v>
      </c>
      <c r="L4" s="21" t="s">
        <v>31</v>
      </c>
      <c r="M4" s="23" t="s">
        <v>1428</v>
      </c>
      <c r="N4" s="23" t="s">
        <v>173</v>
      </c>
      <c r="O4" s="21" t="s">
        <v>34</v>
      </c>
      <c r="P4" s="159">
        <v>6350</v>
      </c>
      <c r="Q4" s="181">
        <v>1</v>
      </c>
      <c r="R4" s="182">
        <v>7341</v>
      </c>
      <c r="S4" s="135"/>
      <c r="T4" s="158">
        <v>466.154</v>
      </c>
      <c r="U4" s="180">
        <v>2.61E-4</v>
      </c>
      <c r="V4" s="180">
        <v>5.51984204329116E-2</v>
      </c>
      <c r="W4" s="180">
        <v>3.9715654692044099E-2</v>
      </c>
    </row>
    <row r="5" spans="1:23">
      <c r="A5" s="23">
        <v>14076</v>
      </c>
      <c r="B5" s="23">
        <v>14077</v>
      </c>
      <c r="C5" s="23" t="s">
        <v>1429</v>
      </c>
      <c r="D5" s="23" t="s">
        <v>1430</v>
      </c>
      <c r="E5" s="21" t="s">
        <v>1363</v>
      </c>
      <c r="F5" s="23" t="s">
        <v>1431</v>
      </c>
      <c r="G5" s="23" t="s">
        <v>1432</v>
      </c>
      <c r="H5" s="21" t="s">
        <v>223</v>
      </c>
      <c r="I5" s="23" t="s">
        <v>1027</v>
      </c>
      <c r="J5" s="21" t="s">
        <v>30</v>
      </c>
      <c r="K5" s="21" t="s">
        <v>30</v>
      </c>
      <c r="L5" s="21" t="s">
        <v>31</v>
      </c>
      <c r="M5" s="23" t="s">
        <v>1398</v>
      </c>
      <c r="N5" s="23" t="s">
        <v>173</v>
      </c>
      <c r="O5" s="21" t="s">
        <v>34</v>
      </c>
      <c r="P5" s="159">
        <v>11872</v>
      </c>
      <c r="Q5" s="181">
        <v>1</v>
      </c>
      <c r="R5" s="182">
        <v>2013</v>
      </c>
      <c r="S5" s="135"/>
      <c r="T5" s="158">
        <v>238.983</v>
      </c>
      <c r="U5" s="180">
        <v>2.43E-4</v>
      </c>
      <c r="V5" s="180">
        <v>2.8298626915275502E-2</v>
      </c>
      <c r="W5" s="180">
        <v>2.0361062617580802E-2</v>
      </c>
    </row>
    <row r="6" spans="1:23">
      <c r="A6" s="23">
        <v>14076</v>
      </c>
      <c r="B6" s="23">
        <v>14077</v>
      </c>
      <c r="C6" s="23" t="s">
        <v>1429</v>
      </c>
      <c r="D6" s="23" t="s">
        <v>1430</v>
      </c>
      <c r="E6" s="21" t="s">
        <v>1363</v>
      </c>
      <c r="F6" s="23" t="s">
        <v>1433</v>
      </c>
      <c r="G6" s="23" t="s">
        <v>1434</v>
      </c>
      <c r="H6" s="21" t="s">
        <v>223</v>
      </c>
      <c r="I6" s="23" t="s">
        <v>1027</v>
      </c>
      <c r="J6" s="21" t="s">
        <v>30</v>
      </c>
      <c r="K6" s="21" t="s">
        <v>30</v>
      </c>
      <c r="L6" s="21" t="s">
        <v>31</v>
      </c>
      <c r="M6" s="23" t="s">
        <v>1398</v>
      </c>
      <c r="N6" s="23" t="s">
        <v>173</v>
      </c>
      <c r="O6" s="21" t="s">
        <v>34</v>
      </c>
      <c r="P6" s="159">
        <v>26377</v>
      </c>
      <c r="Q6" s="181">
        <v>1</v>
      </c>
      <c r="R6" s="182">
        <v>923.2</v>
      </c>
      <c r="S6" s="135"/>
      <c r="T6" s="158">
        <v>243.512</v>
      </c>
      <c r="U6" s="180">
        <v>1.4920000000000001E-3</v>
      </c>
      <c r="V6" s="180">
        <v>2.88349296283869E-2</v>
      </c>
      <c r="W6" s="180">
        <v>2.0746936220435601E-2</v>
      </c>
    </row>
    <row r="7" spans="1:23">
      <c r="A7" s="23">
        <v>14076</v>
      </c>
      <c r="B7" s="23">
        <v>14077</v>
      </c>
      <c r="C7" s="23" t="s">
        <v>1429</v>
      </c>
      <c r="D7" s="23" t="s">
        <v>1430</v>
      </c>
      <c r="E7" s="21" t="s">
        <v>1363</v>
      </c>
      <c r="F7" s="23" t="s">
        <v>1435</v>
      </c>
      <c r="G7" s="23" t="s">
        <v>1436</v>
      </c>
      <c r="H7" s="21" t="s">
        <v>223</v>
      </c>
      <c r="I7" s="23" t="s">
        <v>1027</v>
      </c>
      <c r="J7" s="21" t="s">
        <v>30</v>
      </c>
      <c r="K7" s="21" t="s">
        <v>30</v>
      </c>
      <c r="L7" s="21" t="s">
        <v>31</v>
      </c>
      <c r="M7" s="23" t="s">
        <v>1398</v>
      </c>
      <c r="N7" s="23" t="s">
        <v>173</v>
      </c>
      <c r="O7" s="21" t="s">
        <v>34</v>
      </c>
      <c r="P7" s="159">
        <v>23140</v>
      </c>
      <c r="Q7" s="181">
        <v>1</v>
      </c>
      <c r="R7" s="182">
        <v>2076</v>
      </c>
      <c r="S7" s="135"/>
      <c r="T7" s="158">
        <v>480.38600000000002</v>
      </c>
      <c r="U7" s="180">
        <v>3.21E-4</v>
      </c>
      <c r="V7" s="180">
        <v>5.6883774287767599E-2</v>
      </c>
      <c r="W7" s="180">
        <v>4.0928278734696101E-2</v>
      </c>
    </row>
    <row r="8" spans="1:23">
      <c r="A8" s="23">
        <v>14076</v>
      </c>
      <c r="B8" s="23">
        <v>14077</v>
      </c>
      <c r="C8" s="23" t="s">
        <v>1437</v>
      </c>
      <c r="D8" s="23" t="s">
        <v>1438</v>
      </c>
      <c r="E8" s="21" t="s">
        <v>1363</v>
      </c>
      <c r="F8" s="23" t="s">
        <v>1439</v>
      </c>
      <c r="G8" s="23" t="s">
        <v>1440</v>
      </c>
      <c r="H8" s="21" t="s">
        <v>223</v>
      </c>
      <c r="I8" s="23" t="s">
        <v>1028</v>
      </c>
      <c r="J8" s="21" t="s">
        <v>30</v>
      </c>
      <c r="K8" s="21" t="s">
        <v>91</v>
      </c>
      <c r="L8" s="21" t="s">
        <v>31</v>
      </c>
      <c r="M8" s="23" t="s">
        <v>1428</v>
      </c>
      <c r="N8" s="19" t="s">
        <v>173</v>
      </c>
      <c r="O8" s="21" t="s">
        <v>34</v>
      </c>
      <c r="P8" s="159">
        <v>10375</v>
      </c>
      <c r="Q8" s="181">
        <v>1</v>
      </c>
      <c r="R8" s="182">
        <v>9006</v>
      </c>
      <c r="S8" s="135"/>
      <c r="T8" s="158">
        <v>934.37199999999996</v>
      </c>
      <c r="U8" s="180">
        <v>7.6900000000000004E-4</v>
      </c>
      <c r="V8" s="180">
        <v>0.110641421969267</v>
      </c>
      <c r="W8" s="180">
        <v>7.9607287221359402E-2</v>
      </c>
    </row>
    <row r="9" spans="1:23">
      <c r="A9" s="23">
        <v>14076</v>
      </c>
      <c r="B9" s="23">
        <v>14077</v>
      </c>
      <c r="C9" s="23" t="s">
        <v>1437</v>
      </c>
      <c r="D9" s="23" t="s">
        <v>1438</v>
      </c>
      <c r="E9" s="21" t="s">
        <v>1363</v>
      </c>
      <c r="F9" s="23" t="s">
        <v>1441</v>
      </c>
      <c r="G9" s="23" t="s">
        <v>1442</v>
      </c>
      <c r="H9" s="21" t="s">
        <v>223</v>
      </c>
      <c r="I9" s="23" t="s">
        <v>1027</v>
      </c>
      <c r="J9" s="21" t="s">
        <v>30</v>
      </c>
      <c r="K9" s="21" t="s">
        <v>30</v>
      </c>
      <c r="L9" s="21" t="s">
        <v>31</v>
      </c>
      <c r="M9" s="23" t="s">
        <v>1398</v>
      </c>
      <c r="N9" s="19" t="s">
        <v>173</v>
      </c>
      <c r="O9" s="21" t="s">
        <v>34</v>
      </c>
      <c r="P9" s="159">
        <v>3886</v>
      </c>
      <c r="Q9" s="181">
        <v>1</v>
      </c>
      <c r="R9" s="182">
        <v>6285</v>
      </c>
      <c r="S9" s="135"/>
      <c r="T9" s="158">
        <v>244.23500000000001</v>
      </c>
      <c r="U9" s="180">
        <v>1.18E-4</v>
      </c>
      <c r="V9" s="180">
        <v>2.8920498793367898E-2</v>
      </c>
      <c r="W9" s="180">
        <v>2.08085038410671E-2</v>
      </c>
    </row>
    <row r="10" spans="1:23">
      <c r="A10" s="23">
        <v>14076</v>
      </c>
      <c r="B10" s="23">
        <v>14077</v>
      </c>
      <c r="C10" s="23" t="s">
        <v>1399</v>
      </c>
      <c r="D10" s="23" t="s">
        <v>1400</v>
      </c>
      <c r="E10" s="21" t="s">
        <v>1363</v>
      </c>
      <c r="F10" s="23" t="s">
        <v>1443</v>
      </c>
      <c r="G10" s="23" t="s">
        <v>1444</v>
      </c>
      <c r="H10" s="21" t="s">
        <v>223</v>
      </c>
      <c r="I10" s="23" t="s">
        <v>1029</v>
      </c>
      <c r="J10" s="21" t="s">
        <v>30</v>
      </c>
      <c r="K10" s="21" t="s">
        <v>30</v>
      </c>
      <c r="L10" s="21" t="s">
        <v>31</v>
      </c>
      <c r="M10" s="23" t="s">
        <v>1425</v>
      </c>
      <c r="N10" s="23" t="s">
        <v>173</v>
      </c>
      <c r="O10" s="21" t="s">
        <v>34</v>
      </c>
      <c r="P10" s="159">
        <v>19338</v>
      </c>
      <c r="Q10" s="181">
        <v>1</v>
      </c>
      <c r="R10" s="182">
        <v>3637.39</v>
      </c>
      <c r="S10" s="135"/>
      <c r="T10" s="158">
        <v>703.39800000000002</v>
      </c>
      <c r="U10" s="180">
        <v>8.5899999999999995E-4</v>
      </c>
      <c r="V10" s="180">
        <v>8.3291201142014007E-2</v>
      </c>
      <c r="W10" s="180">
        <v>5.99286095054537E-2</v>
      </c>
    </row>
    <row r="11" spans="1:23">
      <c r="A11" s="23">
        <v>14076</v>
      </c>
      <c r="B11" s="23">
        <v>14077</v>
      </c>
      <c r="C11" s="23" t="s">
        <v>1399</v>
      </c>
      <c r="D11" s="23" t="s">
        <v>1400</v>
      </c>
      <c r="E11" s="21" t="s">
        <v>1363</v>
      </c>
      <c r="F11" s="23" t="s">
        <v>1445</v>
      </c>
      <c r="G11" s="23" t="s">
        <v>1446</v>
      </c>
      <c r="H11" s="21" t="s">
        <v>223</v>
      </c>
      <c r="I11" s="23" t="s">
        <v>1029</v>
      </c>
      <c r="J11" s="21" t="s">
        <v>30</v>
      </c>
      <c r="K11" s="21" t="s">
        <v>30</v>
      </c>
      <c r="L11" s="21" t="s">
        <v>31</v>
      </c>
      <c r="M11" s="23" t="s">
        <v>1425</v>
      </c>
      <c r="N11" s="23" t="s">
        <v>173</v>
      </c>
      <c r="O11" s="21" t="s">
        <v>34</v>
      </c>
      <c r="P11" s="159">
        <v>18079</v>
      </c>
      <c r="Q11" s="181">
        <v>1</v>
      </c>
      <c r="R11" s="182">
        <v>3880.51</v>
      </c>
      <c r="S11" s="135"/>
      <c r="T11" s="158">
        <v>701.55700000000002</v>
      </c>
      <c r="U11" s="180">
        <v>5.1699999999999999E-4</v>
      </c>
      <c r="V11" s="180">
        <v>8.3073194737561307E-2</v>
      </c>
      <c r="W11" s="180">
        <v>5.9771752352441102E-2</v>
      </c>
    </row>
    <row r="12" spans="1:23">
      <c r="A12" s="23">
        <v>14076</v>
      </c>
      <c r="B12" s="23">
        <v>14077</v>
      </c>
      <c r="C12" s="23" t="s">
        <v>1447</v>
      </c>
      <c r="D12" s="23" t="s">
        <v>1448</v>
      </c>
      <c r="E12" s="21" t="s">
        <v>1363</v>
      </c>
      <c r="F12" s="23" t="s">
        <v>1449</v>
      </c>
      <c r="G12" s="23" t="s">
        <v>1450</v>
      </c>
      <c r="H12" s="21" t="s">
        <v>223</v>
      </c>
      <c r="I12" s="23" t="s">
        <v>1029</v>
      </c>
      <c r="J12" s="21" t="s">
        <v>30</v>
      </c>
      <c r="K12" s="21" t="s">
        <v>30</v>
      </c>
      <c r="L12" s="21" t="s">
        <v>31</v>
      </c>
      <c r="M12" s="23" t="s">
        <v>1425</v>
      </c>
      <c r="N12" s="23" t="s">
        <v>173</v>
      </c>
      <c r="O12" s="21" t="s">
        <v>34</v>
      </c>
      <c r="P12" s="159">
        <v>160065</v>
      </c>
      <c r="Q12" s="181">
        <v>1</v>
      </c>
      <c r="R12" s="182">
        <v>365.33</v>
      </c>
      <c r="S12" s="135"/>
      <c r="T12" s="158">
        <v>584.76499999999999</v>
      </c>
      <c r="U12" s="180">
        <v>4.0200000000000001E-4</v>
      </c>
      <c r="V12" s="180">
        <v>6.9243564542833799E-2</v>
      </c>
      <c r="W12" s="180">
        <v>4.9821235416906202E-2</v>
      </c>
    </row>
    <row r="13" spans="1:23">
      <c r="A13" s="23">
        <v>14076</v>
      </c>
      <c r="B13" s="23">
        <v>14077</v>
      </c>
      <c r="C13" s="23" t="s">
        <v>1447</v>
      </c>
      <c r="D13" s="23" t="s">
        <v>1448</v>
      </c>
      <c r="E13" s="21" t="s">
        <v>1363</v>
      </c>
      <c r="F13" s="23" t="s">
        <v>1451</v>
      </c>
      <c r="G13" s="23" t="s">
        <v>1452</v>
      </c>
      <c r="H13" s="21" t="s">
        <v>223</v>
      </c>
      <c r="I13" s="23" t="s">
        <v>1029</v>
      </c>
      <c r="J13" s="21" t="s">
        <v>30</v>
      </c>
      <c r="K13" s="21" t="s">
        <v>30</v>
      </c>
      <c r="L13" s="21" t="s">
        <v>31</v>
      </c>
      <c r="M13" s="23" t="s">
        <v>1425</v>
      </c>
      <c r="N13" s="23" t="s">
        <v>173</v>
      </c>
      <c r="O13" s="21" t="s">
        <v>34</v>
      </c>
      <c r="P13" s="159">
        <v>179729</v>
      </c>
      <c r="Q13" s="181">
        <v>1</v>
      </c>
      <c r="R13" s="182">
        <v>390.51</v>
      </c>
      <c r="S13" s="135"/>
      <c r="T13" s="158">
        <v>701.86</v>
      </c>
      <c r="U13" s="180">
        <v>6.1399999999999996E-4</v>
      </c>
      <c r="V13" s="180">
        <v>8.3108992624894906E-2</v>
      </c>
      <c r="W13" s="180">
        <v>5.9797509186076798E-2</v>
      </c>
    </row>
    <row r="14" spans="1:23">
      <c r="A14" s="23">
        <v>14076</v>
      </c>
      <c r="B14" s="23">
        <v>14077</v>
      </c>
      <c r="C14" s="23" t="s">
        <v>1453</v>
      </c>
      <c r="D14" s="23" t="s">
        <v>1454</v>
      </c>
      <c r="E14" s="21" t="s">
        <v>220</v>
      </c>
      <c r="F14" s="23" t="s">
        <v>1455</v>
      </c>
      <c r="G14" s="23" t="s">
        <v>1456</v>
      </c>
      <c r="H14" s="21" t="s">
        <v>223</v>
      </c>
      <c r="I14" s="23" t="s">
        <v>1028</v>
      </c>
      <c r="J14" s="21" t="s">
        <v>90</v>
      </c>
      <c r="K14" s="21" t="s">
        <v>91</v>
      </c>
      <c r="L14" s="21" t="s">
        <v>394</v>
      </c>
      <c r="M14" s="23" t="s">
        <v>784</v>
      </c>
      <c r="N14" s="23" t="s">
        <v>173</v>
      </c>
      <c r="O14" s="21" t="s">
        <v>95</v>
      </c>
      <c r="P14" s="159">
        <v>686</v>
      </c>
      <c r="Q14" s="181">
        <v>3.71</v>
      </c>
      <c r="R14" s="182">
        <v>22576</v>
      </c>
      <c r="S14" s="135"/>
      <c r="T14" s="158">
        <v>574.57299999999998</v>
      </c>
      <c r="U14" s="180">
        <v>1.9999999999999999E-6</v>
      </c>
      <c r="V14" s="180">
        <v>6.8036618798145196E-2</v>
      </c>
      <c r="W14" s="180">
        <v>4.8952829399992299E-2</v>
      </c>
    </row>
    <row r="15" spans="1:23">
      <c r="A15" s="23">
        <v>14076</v>
      </c>
      <c r="B15" s="23">
        <v>14077</v>
      </c>
      <c r="C15" s="23" t="s">
        <v>1457</v>
      </c>
      <c r="D15" s="23" t="s">
        <v>1458</v>
      </c>
      <c r="E15" s="21" t="s">
        <v>220</v>
      </c>
      <c r="F15" s="23" t="s">
        <v>1459</v>
      </c>
      <c r="G15" s="23" t="s">
        <v>1460</v>
      </c>
      <c r="H15" s="21" t="s">
        <v>223</v>
      </c>
      <c r="I15" s="23" t="s">
        <v>1028</v>
      </c>
      <c r="J15" s="21" t="s">
        <v>90</v>
      </c>
      <c r="K15" s="21" t="s">
        <v>347</v>
      </c>
      <c r="L15" s="21" t="s">
        <v>418</v>
      </c>
      <c r="M15" s="23" t="s">
        <v>784</v>
      </c>
      <c r="N15" s="23" t="s">
        <v>173</v>
      </c>
      <c r="O15" s="21" t="s">
        <v>1225</v>
      </c>
      <c r="P15" s="159">
        <v>1679</v>
      </c>
      <c r="Q15" s="181">
        <v>4.1524000000000001</v>
      </c>
      <c r="R15" s="182">
        <v>5031</v>
      </c>
      <c r="S15" s="135"/>
      <c r="T15" s="158">
        <v>350.755</v>
      </c>
      <c r="U15" s="180">
        <v>1.2E-5</v>
      </c>
      <c r="V15" s="180">
        <v>4.1533821923993297E-2</v>
      </c>
      <c r="W15" s="180">
        <v>2.9883879224026501E-2</v>
      </c>
    </row>
    <row r="16" spans="1:23">
      <c r="A16" s="23">
        <v>14076</v>
      </c>
      <c r="B16" s="23">
        <v>14077</v>
      </c>
      <c r="C16" s="23" t="s">
        <v>1457</v>
      </c>
      <c r="D16" s="23" t="s">
        <v>1458</v>
      </c>
      <c r="E16" s="21" t="s">
        <v>220</v>
      </c>
      <c r="F16" s="23" t="s">
        <v>1461</v>
      </c>
      <c r="G16" s="23" t="s">
        <v>1462</v>
      </c>
      <c r="H16" s="21" t="s">
        <v>223</v>
      </c>
      <c r="I16" s="23" t="s">
        <v>1028</v>
      </c>
      <c r="J16" s="21" t="s">
        <v>90</v>
      </c>
      <c r="K16" s="21" t="s">
        <v>91</v>
      </c>
      <c r="L16" s="21" t="s">
        <v>394</v>
      </c>
      <c r="M16" s="23" t="s">
        <v>784</v>
      </c>
      <c r="N16" s="23" t="s">
        <v>173</v>
      </c>
      <c r="O16" s="21" t="s">
        <v>95</v>
      </c>
      <c r="P16" s="159">
        <v>216</v>
      </c>
      <c r="Q16" s="181">
        <v>3.71</v>
      </c>
      <c r="R16" s="182">
        <v>57682</v>
      </c>
      <c r="S16" s="160">
        <v>0.48299999999999998</v>
      </c>
      <c r="T16" s="158">
        <v>464.03100000000001</v>
      </c>
      <c r="U16" s="180">
        <v>0</v>
      </c>
      <c r="V16" s="180">
        <v>5.4947115628564601E-2</v>
      </c>
      <c r="W16" s="180">
        <v>3.9534839104322199E-2</v>
      </c>
    </row>
    <row r="17" spans="1:23">
      <c r="A17" s="23">
        <v>14076</v>
      </c>
      <c r="B17" s="23">
        <v>14077</v>
      </c>
      <c r="C17" s="23" t="s">
        <v>1453</v>
      </c>
      <c r="D17" s="23" t="s">
        <v>1454</v>
      </c>
      <c r="E17" s="21" t="s">
        <v>220</v>
      </c>
      <c r="F17" s="23" t="s">
        <v>1463</v>
      </c>
      <c r="G17" s="23" t="s">
        <v>1464</v>
      </c>
      <c r="H17" s="21" t="s">
        <v>223</v>
      </c>
      <c r="I17" s="23" t="s">
        <v>1028</v>
      </c>
      <c r="J17" s="21" t="s">
        <v>90</v>
      </c>
      <c r="K17" s="21" t="s">
        <v>91</v>
      </c>
      <c r="L17" s="21" t="s">
        <v>394</v>
      </c>
      <c r="M17" s="23" t="s">
        <v>784</v>
      </c>
      <c r="N17" s="23" t="s">
        <v>173</v>
      </c>
      <c r="O17" s="21" t="s">
        <v>95</v>
      </c>
      <c r="P17" s="159">
        <v>2304</v>
      </c>
      <c r="Q17" s="181">
        <v>3.71</v>
      </c>
      <c r="R17" s="182">
        <v>6751</v>
      </c>
      <c r="S17" s="135"/>
      <c r="T17" s="158">
        <v>577.06500000000005</v>
      </c>
      <c r="U17" s="180">
        <v>7.9999999999999996E-6</v>
      </c>
      <c r="V17" s="180">
        <v>6.8331694893004405E-2</v>
      </c>
      <c r="W17" s="180">
        <v>4.9165138741444403E-2</v>
      </c>
    </row>
    <row r="18" spans="1:23">
      <c r="A18" s="23">
        <v>14076</v>
      </c>
      <c r="B18" s="23">
        <v>14077</v>
      </c>
      <c r="C18" s="23" t="s">
        <v>1465</v>
      </c>
      <c r="D18" s="23" t="s">
        <v>1466</v>
      </c>
      <c r="E18" s="21" t="s">
        <v>220</v>
      </c>
      <c r="F18" s="23" t="s">
        <v>1467</v>
      </c>
      <c r="G18" s="23" t="s">
        <v>1468</v>
      </c>
      <c r="H18" s="21" t="s">
        <v>223</v>
      </c>
      <c r="I18" s="23" t="s">
        <v>1028</v>
      </c>
      <c r="J18" s="21" t="s">
        <v>90</v>
      </c>
      <c r="K18" s="21" t="s">
        <v>91</v>
      </c>
      <c r="L18" s="21" t="s">
        <v>394</v>
      </c>
      <c r="M18" s="23" t="s">
        <v>784</v>
      </c>
      <c r="N18" s="23" t="s">
        <v>173</v>
      </c>
      <c r="O18" s="21" t="s">
        <v>95</v>
      </c>
      <c r="P18" s="159">
        <v>235</v>
      </c>
      <c r="Q18" s="181">
        <v>3.71</v>
      </c>
      <c r="R18" s="182">
        <v>52767</v>
      </c>
      <c r="S18" s="160">
        <v>0.38500000000000001</v>
      </c>
      <c r="T18" s="158">
        <v>461.47800000000001</v>
      </c>
      <c r="U18" s="180">
        <v>0</v>
      </c>
      <c r="V18" s="180">
        <v>5.4644746978955099E-2</v>
      </c>
      <c r="W18" s="180">
        <v>3.9317282718045E-2</v>
      </c>
    </row>
    <row r="19" spans="1:23">
      <c r="A19" s="23">
        <v>14076</v>
      </c>
      <c r="B19" s="23">
        <v>14078</v>
      </c>
      <c r="C19" s="23" t="s">
        <v>1394</v>
      </c>
      <c r="D19" s="23" t="s">
        <v>1395</v>
      </c>
      <c r="E19" s="21" t="s">
        <v>1363</v>
      </c>
      <c r="F19" s="23" t="s">
        <v>1421</v>
      </c>
      <c r="G19" s="23" t="s">
        <v>1422</v>
      </c>
      <c r="H19" s="21" t="s">
        <v>223</v>
      </c>
      <c r="I19" s="23" t="s">
        <v>1027</v>
      </c>
      <c r="J19" s="21" t="s">
        <v>30</v>
      </c>
      <c r="K19" s="21" t="s">
        <v>30</v>
      </c>
      <c r="L19" s="21" t="s">
        <v>31</v>
      </c>
      <c r="M19" s="23" t="s">
        <v>1398</v>
      </c>
      <c r="N19" s="23" t="s">
        <v>173</v>
      </c>
      <c r="O19" s="21" t="s">
        <v>34</v>
      </c>
      <c r="P19" s="159">
        <v>1697</v>
      </c>
      <c r="Q19" s="181">
        <v>1</v>
      </c>
      <c r="R19" s="182">
        <v>3265</v>
      </c>
      <c r="S19" s="135"/>
      <c r="T19" s="158">
        <v>55.406999999999996</v>
      </c>
      <c r="U19" s="180">
        <v>4.1999999999999998E-5</v>
      </c>
      <c r="V19" s="180">
        <v>7.1565562768398594E-2</v>
      </c>
      <c r="W19" s="180">
        <v>4.5319843941152099E-2</v>
      </c>
    </row>
    <row r="20" spans="1:23">
      <c r="A20" s="2">
        <v>14076</v>
      </c>
      <c r="B20" s="2">
        <v>14078</v>
      </c>
      <c r="C20" s="2" t="s">
        <v>1394</v>
      </c>
      <c r="D20" s="2" t="s">
        <v>1395</v>
      </c>
      <c r="E20" s="21" t="s">
        <v>1363</v>
      </c>
      <c r="F20" s="2" t="s">
        <v>1469</v>
      </c>
      <c r="G20" s="2" t="s">
        <v>1470</v>
      </c>
      <c r="H20" s="21" t="s">
        <v>223</v>
      </c>
      <c r="I20" s="23" t="s">
        <v>1029</v>
      </c>
      <c r="J20" s="21" t="s">
        <v>30</v>
      </c>
      <c r="K20" s="21" t="s">
        <v>30</v>
      </c>
      <c r="L20" s="21" t="s">
        <v>31</v>
      </c>
      <c r="M20" s="23" t="s">
        <v>1425</v>
      </c>
      <c r="N20" s="23" t="s">
        <v>173</v>
      </c>
      <c r="O20" s="2" t="s">
        <v>34</v>
      </c>
      <c r="P20" s="159">
        <v>16125</v>
      </c>
      <c r="Q20" s="166">
        <v>1</v>
      </c>
      <c r="R20" s="183">
        <v>452.06</v>
      </c>
      <c r="T20" s="156">
        <v>72.894999999999996</v>
      </c>
      <c r="U20" s="172">
        <v>6.4999999999999994E-5</v>
      </c>
      <c r="V20" s="172">
        <v>9.4153152697978304E-2</v>
      </c>
      <c r="W20" s="172">
        <v>5.9623735519956401E-2</v>
      </c>
    </row>
    <row r="21" spans="1:23">
      <c r="A21" s="2">
        <v>14076</v>
      </c>
      <c r="B21" s="2">
        <v>14078</v>
      </c>
      <c r="C21" s="2" t="s">
        <v>1429</v>
      </c>
      <c r="D21" s="2" t="s">
        <v>1430</v>
      </c>
      <c r="E21" s="4" t="s">
        <v>1363</v>
      </c>
      <c r="F21" s="2" t="s">
        <v>1431</v>
      </c>
      <c r="G21" s="2" t="s">
        <v>1432</v>
      </c>
      <c r="H21" s="4" t="s">
        <v>223</v>
      </c>
      <c r="I21" s="2" t="s">
        <v>1027</v>
      </c>
      <c r="J21" s="2" t="s">
        <v>30</v>
      </c>
      <c r="K21" s="2" t="s">
        <v>30</v>
      </c>
      <c r="L21" s="4" t="s">
        <v>31</v>
      </c>
      <c r="M21" s="2" t="s">
        <v>1398</v>
      </c>
      <c r="N21" s="2" t="s">
        <v>173</v>
      </c>
      <c r="O21" s="2" t="s">
        <v>34</v>
      </c>
      <c r="P21" s="157">
        <v>764</v>
      </c>
      <c r="Q21" s="166">
        <v>1</v>
      </c>
      <c r="R21" s="183">
        <v>2013</v>
      </c>
      <c r="T21" s="156">
        <v>15.379</v>
      </c>
      <c r="U21" s="172">
        <v>1.5999999999999999E-5</v>
      </c>
      <c r="V21" s="172">
        <v>1.9864434052982199E-2</v>
      </c>
      <c r="W21" s="172">
        <v>1.25794169211506E-2</v>
      </c>
    </row>
    <row r="22" spans="1:23">
      <c r="A22" s="2">
        <v>14076</v>
      </c>
      <c r="B22" s="2">
        <v>14078</v>
      </c>
      <c r="C22" s="2" t="s">
        <v>1429</v>
      </c>
      <c r="D22" s="2" t="s">
        <v>1430</v>
      </c>
      <c r="E22" s="4" t="s">
        <v>1363</v>
      </c>
      <c r="F22" s="2" t="s">
        <v>1471</v>
      </c>
      <c r="G22" s="2" t="s">
        <v>1472</v>
      </c>
      <c r="H22" s="2" t="s">
        <v>223</v>
      </c>
      <c r="I22" s="2" t="s">
        <v>1029</v>
      </c>
      <c r="J22" s="2" t="s">
        <v>30</v>
      </c>
      <c r="K22" s="2" t="s">
        <v>30</v>
      </c>
      <c r="L22" s="4" t="s">
        <v>31</v>
      </c>
      <c r="M22" s="2" t="s">
        <v>1425</v>
      </c>
      <c r="N22" s="2" t="s">
        <v>173</v>
      </c>
      <c r="O22" s="2" t="s">
        <v>34</v>
      </c>
      <c r="P22" s="157">
        <v>20052</v>
      </c>
      <c r="Q22" s="166">
        <v>1</v>
      </c>
      <c r="R22" s="183">
        <v>364.41</v>
      </c>
      <c r="T22" s="156">
        <v>73.070999999999998</v>
      </c>
      <c r="U22" s="172">
        <v>1.07E-4</v>
      </c>
      <c r="V22" s="172">
        <v>9.4381536883577297E-2</v>
      </c>
      <c r="W22" s="172">
        <v>5.9768362841388499E-2</v>
      </c>
    </row>
    <row r="23" spans="1:23">
      <c r="A23" s="2">
        <v>14076</v>
      </c>
      <c r="B23" s="2">
        <v>14078</v>
      </c>
      <c r="C23" s="2" t="s">
        <v>1429</v>
      </c>
      <c r="D23" s="2" t="s">
        <v>1430</v>
      </c>
      <c r="E23" s="4" t="s">
        <v>1363</v>
      </c>
      <c r="F23" s="2" t="s">
        <v>1473</v>
      </c>
      <c r="G23" s="2" t="s">
        <v>1474</v>
      </c>
      <c r="H23" s="2" t="s">
        <v>223</v>
      </c>
      <c r="I23" s="2" t="s">
        <v>1029</v>
      </c>
      <c r="J23" s="2" t="s">
        <v>30</v>
      </c>
      <c r="K23" s="2" t="s">
        <v>30</v>
      </c>
      <c r="L23" s="2" t="s">
        <v>31</v>
      </c>
      <c r="M23" s="2" t="s">
        <v>1425</v>
      </c>
      <c r="N23" s="2" t="s">
        <v>173</v>
      </c>
      <c r="O23" s="2" t="s">
        <v>34</v>
      </c>
      <c r="P23" s="157">
        <v>15606</v>
      </c>
      <c r="Q23" s="166">
        <v>1</v>
      </c>
      <c r="R23" s="183">
        <v>389.18</v>
      </c>
      <c r="T23" s="156">
        <v>60.734999999999999</v>
      </c>
      <c r="U23" s="172">
        <v>6.7999999999999999E-5</v>
      </c>
      <c r="V23" s="172">
        <v>7.8447874145675098E-2</v>
      </c>
      <c r="W23" s="172">
        <v>4.9678159107092702E-2</v>
      </c>
    </row>
    <row r="24" spans="1:23">
      <c r="A24" s="2">
        <v>14076</v>
      </c>
      <c r="B24" s="2">
        <v>14078</v>
      </c>
      <c r="C24" s="2" t="s">
        <v>1437</v>
      </c>
      <c r="D24" s="2" t="s">
        <v>1438</v>
      </c>
      <c r="E24" s="4" t="s">
        <v>1363</v>
      </c>
      <c r="F24" s="2" t="s">
        <v>1475</v>
      </c>
      <c r="G24" s="2" t="s">
        <v>1476</v>
      </c>
      <c r="H24" s="2" t="s">
        <v>223</v>
      </c>
      <c r="I24" s="2" t="s">
        <v>1028</v>
      </c>
      <c r="J24" s="2" t="s">
        <v>30</v>
      </c>
      <c r="K24" s="2" t="s">
        <v>91</v>
      </c>
      <c r="L24" s="2" t="s">
        <v>31</v>
      </c>
      <c r="M24" s="2" t="s">
        <v>1477</v>
      </c>
      <c r="N24" s="19" t="s">
        <v>173</v>
      </c>
      <c r="O24" s="2" t="s">
        <v>34</v>
      </c>
      <c r="P24" s="157">
        <v>254</v>
      </c>
      <c r="Q24" s="166">
        <v>1</v>
      </c>
      <c r="R24" s="183">
        <v>11220</v>
      </c>
      <c r="T24" s="156">
        <v>28.498999999999999</v>
      </c>
      <c r="U24" s="172">
        <v>3.1000000000000001E-5</v>
      </c>
      <c r="V24" s="172">
        <v>3.68099846540113E-2</v>
      </c>
      <c r="W24" s="172">
        <v>2.3310412095755101E-2</v>
      </c>
    </row>
    <row r="25" spans="1:23">
      <c r="A25" s="2">
        <v>14076</v>
      </c>
      <c r="B25" s="2">
        <v>14078</v>
      </c>
      <c r="C25" s="2" t="s">
        <v>1399</v>
      </c>
      <c r="D25" s="2" t="s">
        <v>1400</v>
      </c>
      <c r="E25" s="4" t="s">
        <v>1363</v>
      </c>
      <c r="F25" s="2" t="s">
        <v>1443</v>
      </c>
      <c r="G25" s="2" t="s">
        <v>1444</v>
      </c>
      <c r="H25" s="2" t="s">
        <v>223</v>
      </c>
      <c r="I25" s="2" t="s">
        <v>1029</v>
      </c>
      <c r="J25" s="2" t="s">
        <v>30</v>
      </c>
      <c r="K25" s="2" t="s">
        <v>30</v>
      </c>
      <c r="L25" s="2" t="s">
        <v>31</v>
      </c>
      <c r="M25" s="2" t="s">
        <v>1425</v>
      </c>
      <c r="N25" s="2" t="s">
        <v>173</v>
      </c>
      <c r="O25" s="2" t="s">
        <v>34</v>
      </c>
      <c r="P25" s="157">
        <v>2010</v>
      </c>
      <c r="Q25" s="166">
        <v>1</v>
      </c>
      <c r="R25" s="183">
        <v>3637.39</v>
      </c>
      <c r="T25" s="156">
        <v>73.111999999999995</v>
      </c>
      <c r="U25" s="172">
        <v>8.8999999999999995E-5</v>
      </c>
      <c r="V25" s="172">
        <v>9.44332613520973E-2</v>
      </c>
      <c r="W25" s="172">
        <v>5.9801118048650001E-2</v>
      </c>
    </row>
    <row r="26" spans="1:23">
      <c r="A26" s="2">
        <v>14076</v>
      </c>
      <c r="B26" s="2">
        <v>14078</v>
      </c>
      <c r="C26" s="2" t="s">
        <v>1399</v>
      </c>
      <c r="D26" s="2" t="s">
        <v>1400</v>
      </c>
      <c r="E26" s="4" t="s">
        <v>1363</v>
      </c>
      <c r="F26" s="2" t="s">
        <v>1445</v>
      </c>
      <c r="G26" s="11" t="s">
        <v>1446</v>
      </c>
      <c r="H26" s="2" t="s">
        <v>223</v>
      </c>
      <c r="I26" s="2" t="s">
        <v>1029</v>
      </c>
      <c r="J26" s="2" t="s">
        <v>30</v>
      </c>
      <c r="K26" s="2" t="s">
        <v>30</v>
      </c>
      <c r="L26" s="2" t="s">
        <v>31</v>
      </c>
      <c r="M26" s="2" t="s">
        <v>1425</v>
      </c>
      <c r="N26" s="2" t="s">
        <v>173</v>
      </c>
      <c r="O26" s="2" t="s">
        <v>34</v>
      </c>
      <c r="P26" s="157">
        <v>1877</v>
      </c>
      <c r="Q26" s="166">
        <v>1</v>
      </c>
      <c r="R26" s="183">
        <v>3880.51</v>
      </c>
      <c r="T26" s="156">
        <v>72.837000000000003</v>
      </c>
      <c r="U26" s="172">
        <v>5.3999999999999998E-5</v>
      </c>
      <c r="V26" s="172">
        <v>9.4078880841599405E-2</v>
      </c>
      <c r="W26" s="172">
        <v>5.9576701879611803E-2</v>
      </c>
    </row>
    <row r="27" spans="1:23">
      <c r="A27" s="2">
        <v>14076</v>
      </c>
      <c r="B27" s="2">
        <v>14078</v>
      </c>
      <c r="C27" s="2" t="s">
        <v>1447</v>
      </c>
      <c r="D27" s="2" t="s">
        <v>1448</v>
      </c>
      <c r="E27" s="4" t="s">
        <v>1363</v>
      </c>
      <c r="F27" s="2" t="s">
        <v>1449</v>
      </c>
      <c r="G27" s="2" t="s">
        <v>1450</v>
      </c>
      <c r="H27" s="2" t="s">
        <v>223</v>
      </c>
      <c r="I27" s="2" t="s">
        <v>1029</v>
      </c>
      <c r="J27" s="2" t="s">
        <v>30</v>
      </c>
      <c r="K27" s="2" t="s">
        <v>30</v>
      </c>
      <c r="L27" s="2" t="s">
        <v>31</v>
      </c>
      <c r="M27" s="2" t="s">
        <v>1425</v>
      </c>
      <c r="N27" s="2" t="s">
        <v>173</v>
      </c>
      <c r="O27" s="2" t="s">
        <v>34</v>
      </c>
      <c r="P27" s="157">
        <v>20014</v>
      </c>
      <c r="Q27" s="166">
        <v>1</v>
      </c>
      <c r="R27" s="183">
        <v>365.33</v>
      </c>
      <c r="T27" s="156">
        <v>73.117000000000004</v>
      </c>
      <c r="U27" s="172">
        <v>5.0000000000000002E-5</v>
      </c>
      <c r="V27" s="172">
        <v>9.4440503795496802E-2</v>
      </c>
      <c r="W27" s="172">
        <v>5.9805704422206202E-2</v>
      </c>
    </row>
    <row r="28" spans="1:23">
      <c r="A28" s="2">
        <v>14076</v>
      </c>
      <c r="B28" s="2">
        <v>14078</v>
      </c>
      <c r="C28" s="2" t="s">
        <v>1447</v>
      </c>
      <c r="D28" s="2" t="s">
        <v>1448</v>
      </c>
      <c r="E28" s="4" t="s">
        <v>1363</v>
      </c>
      <c r="F28" s="2" t="s">
        <v>1451</v>
      </c>
      <c r="G28" s="2" t="s">
        <v>1452</v>
      </c>
      <c r="H28" s="2" t="s">
        <v>223</v>
      </c>
      <c r="I28" s="2" t="s">
        <v>1029</v>
      </c>
      <c r="J28" s="2" t="s">
        <v>30</v>
      </c>
      <c r="K28" s="2" t="s">
        <v>30</v>
      </c>
      <c r="L28" s="2" t="s">
        <v>31</v>
      </c>
      <c r="M28" s="2" t="s">
        <v>1425</v>
      </c>
      <c r="N28" s="2" t="s">
        <v>173</v>
      </c>
      <c r="O28" s="2" t="s">
        <v>34</v>
      </c>
      <c r="P28" s="157">
        <v>15551</v>
      </c>
      <c r="Q28" s="166">
        <v>1</v>
      </c>
      <c r="R28" s="183">
        <v>390.51</v>
      </c>
      <c r="T28" s="156">
        <v>60.728000000000002</v>
      </c>
      <c r="U28" s="172">
        <v>5.3000000000000001E-5</v>
      </c>
      <c r="V28" s="172">
        <v>7.8438547652763493E-2</v>
      </c>
      <c r="W28" s="172">
        <v>4.9672252981479703E-2</v>
      </c>
    </row>
    <row r="29" spans="1:23">
      <c r="A29" s="2">
        <v>14076</v>
      </c>
      <c r="B29" s="2">
        <v>14078</v>
      </c>
      <c r="C29" s="2" t="s">
        <v>1453</v>
      </c>
      <c r="D29" s="2" t="s">
        <v>1454</v>
      </c>
      <c r="E29" s="4" t="s">
        <v>220</v>
      </c>
      <c r="F29" s="2" t="s">
        <v>1463</v>
      </c>
      <c r="G29" s="2" t="s">
        <v>1464</v>
      </c>
      <c r="H29" s="2" t="s">
        <v>223</v>
      </c>
      <c r="I29" s="2" t="s">
        <v>1028</v>
      </c>
      <c r="J29" s="2" t="s">
        <v>90</v>
      </c>
      <c r="K29" s="2" t="s">
        <v>91</v>
      </c>
      <c r="L29" s="2" t="s">
        <v>394</v>
      </c>
      <c r="M29" s="2" t="s">
        <v>784</v>
      </c>
      <c r="N29" s="2" t="s">
        <v>173</v>
      </c>
      <c r="O29" s="2" t="s">
        <v>95</v>
      </c>
      <c r="P29" s="157">
        <v>376</v>
      </c>
      <c r="Q29" s="166">
        <v>3.71</v>
      </c>
      <c r="R29" s="183">
        <v>6751</v>
      </c>
      <c r="T29" s="156">
        <v>94.174000000000007</v>
      </c>
      <c r="U29" s="172">
        <v>9.9999999999999995E-7</v>
      </c>
      <c r="V29" s="172">
        <v>0.121637903265636</v>
      </c>
      <c r="W29" s="172">
        <v>7.7028819170577301E-2</v>
      </c>
    </row>
    <row r="30" spans="1:23">
      <c r="A30" s="2">
        <v>14076</v>
      </c>
      <c r="B30" s="2">
        <v>14078</v>
      </c>
      <c r="C30" s="2" t="s">
        <v>1465</v>
      </c>
      <c r="D30" s="2" t="s">
        <v>1466</v>
      </c>
      <c r="E30" s="4" t="s">
        <v>220</v>
      </c>
      <c r="F30" s="2" t="s">
        <v>1467</v>
      </c>
      <c r="G30" s="2" t="s">
        <v>1468</v>
      </c>
      <c r="H30" s="2" t="s">
        <v>223</v>
      </c>
      <c r="I30" s="2" t="s">
        <v>1028</v>
      </c>
      <c r="J30" s="2" t="s">
        <v>90</v>
      </c>
      <c r="K30" s="2" t="s">
        <v>91</v>
      </c>
      <c r="L30" s="2" t="s">
        <v>394</v>
      </c>
      <c r="M30" s="2" t="s">
        <v>784</v>
      </c>
      <c r="N30" s="2" t="s">
        <v>173</v>
      </c>
      <c r="O30" s="2" t="s">
        <v>95</v>
      </c>
      <c r="P30" s="157">
        <v>48</v>
      </c>
      <c r="Q30" s="166">
        <v>3.71</v>
      </c>
      <c r="R30" s="183">
        <v>52767</v>
      </c>
      <c r="S30" s="161">
        <v>7.9000000000000001E-2</v>
      </c>
      <c r="T30" s="156">
        <v>94.259</v>
      </c>
      <c r="U30" s="172">
        <v>0</v>
      </c>
      <c r="V30" s="172">
        <v>0.121748357889784</v>
      </c>
      <c r="W30" s="172">
        <v>7.7098766029587998E-2</v>
      </c>
    </row>
    <row r="31" spans="1:23">
      <c r="A31" s="2">
        <v>14076</v>
      </c>
      <c r="B31" s="2">
        <v>14079</v>
      </c>
      <c r="C31" s="2" t="s">
        <v>1399</v>
      </c>
      <c r="D31" s="2" t="s">
        <v>1400</v>
      </c>
      <c r="E31" s="4" t="s">
        <v>1363</v>
      </c>
      <c r="F31" s="2" t="s">
        <v>1478</v>
      </c>
      <c r="G31" s="2" t="s">
        <v>1479</v>
      </c>
      <c r="H31" s="2" t="s">
        <v>223</v>
      </c>
      <c r="I31" s="2" t="s">
        <v>1028</v>
      </c>
      <c r="J31" s="2" t="s">
        <v>30</v>
      </c>
      <c r="K31" s="2" t="s">
        <v>1480</v>
      </c>
      <c r="L31" s="2" t="s">
        <v>31</v>
      </c>
      <c r="M31" s="2" t="s">
        <v>1477</v>
      </c>
      <c r="N31" s="2" t="s">
        <v>173</v>
      </c>
      <c r="O31" s="2" t="s">
        <v>34</v>
      </c>
      <c r="P31" s="157">
        <v>2713</v>
      </c>
      <c r="Q31" s="166">
        <v>1</v>
      </c>
      <c r="R31" s="183">
        <v>4272</v>
      </c>
      <c r="T31" s="156">
        <v>115.899</v>
      </c>
      <c r="U31" s="172">
        <v>7.8999999999999996E-5</v>
      </c>
      <c r="V31" s="172">
        <v>3.26982479385605E-2</v>
      </c>
      <c r="W31" s="172">
        <v>3.04253583647747E-2</v>
      </c>
    </row>
    <row r="32" spans="1:23">
      <c r="A32" s="2">
        <v>14076</v>
      </c>
      <c r="B32" s="2">
        <v>14079</v>
      </c>
      <c r="C32" s="2" t="s">
        <v>1394</v>
      </c>
      <c r="D32" s="2" t="s">
        <v>1395</v>
      </c>
      <c r="E32" s="4" t="s">
        <v>1363</v>
      </c>
      <c r="F32" s="2" t="s">
        <v>1421</v>
      </c>
      <c r="G32" s="2" t="s">
        <v>1422</v>
      </c>
      <c r="H32" s="2" t="s">
        <v>223</v>
      </c>
      <c r="I32" s="2" t="s">
        <v>1027</v>
      </c>
      <c r="J32" s="2" t="s">
        <v>30</v>
      </c>
      <c r="K32" s="2" t="s">
        <v>30</v>
      </c>
      <c r="L32" s="2" t="s">
        <v>31</v>
      </c>
      <c r="M32" s="2" t="s">
        <v>1398</v>
      </c>
      <c r="N32" s="2" t="s">
        <v>173</v>
      </c>
      <c r="O32" s="2" t="s">
        <v>34</v>
      </c>
      <c r="P32" s="157">
        <v>8356</v>
      </c>
      <c r="Q32" s="166">
        <v>1</v>
      </c>
      <c r="R32" s="183">
        <v>3265</v>
      </c>
      <c r="T32" s="156">
        <v>272.82299999999998</v>
      </c>
      <c r="U32" s="172">
        <v>2.0900000000000001E-4</v>
      </c>
      <c r="V32" s="172">
        <v>7.6970633631118099E-2</v>
      </c>
      <c r="W32" s="172">
        <v>7.1620324006071101E-2</v>
      </c>
    </row>
    <row r="33" spans="1:23">
      <c r="A33" s="2">
        <v>14076</v>
      </c>
      <c r="B33" s="2">
        <v>14079</v>
      </c>
      <c r="C33" s="2" t="s">
        <v>1394</v>
      </c>
      <c r="D33" s="2" t="s">
        <v>1395</v>
      </c>
      <c r="E33" s="4" t="s">
        <v>1363</v>
      </c>
      <c r="F33" s="2" t="s">
        <v>1426</v>
      </c>
      <c r="G33" s="2" t="s">
        <v>1427</v>
      </c>
      <c r="H33" s="2" t="s">
        <v>223</v>
      </c>
      <c r="I33" s="2" t="s">
        <v>1028</v>
      </c>
      <c r="J33" s="2" t="s">
        <v>30</v>
      </c>
      <c r="K33" s="2" t="s">
        <v>91</v>
      </c>
      <c r="L33" s="2" t="s">
        <v>31</v>
      </c>
      <c r="M33" s="2" t="s">
        <v>1428</v>
      </c>
      <c r="N33" s="2" t="s">
        <v>173</v>
      </c>
      <c r="O33" s="2" t="s">
        <v>34</v>
      </c>
      <c r="P33" s="157">
        <v>3086</v>
      </c>
      <c r="Q33" s="166">
        <v>1</v>
      </c>
      <c r="R33" s="183">
        <v>7341</v>
      </c>
      <c r="T33" s="156">
        <v>226.54300000000001</v>
      </c>
      <c r="U33" s="172">
        <v>1.27E-4</v>
      </c>
      <c r="V33" s="172">
        <v>6.3913792831037E-2</v>
      </c>
      <c r="W33" s="172">
        <v>5.9471077930234699E-2</v>
      </c>
    </row>
    <row r="34" spans="1:23">
      <c r="A34" s="2">
        <v>14076</v>
      </c>
      <c r="B34" s="2">
        <v>14079</v>
      </c>
      <c r="C34" s="2" t="s">
        <v>1429</v>
      </c>
      <c r="D34" s="2" t="s">
        <v>1430</v>
      </c>
      <c r="E34" s="4" t="s">
        <v>1363</v>
      </c>
      <c r="F34" s="2" t="s">
        <v>1481</v>
      </c>
      <c r="G34" s="2" t="s">
        <v>1482</v>
      </c>
      <c r="H34" s="2" t="s">
        <v>223</v>
      </c>
      <c r="I34" s="2" t="s">
        <v>1028</v>
      </c>
      <c r="J34" s="2" t="s">
        <v>30</v>
      </c>
      <c r="K34" s="2" t="s">
        <v>91</v>
      </c>
      <c r="L34" s="2" t="s">
        <v>31</v>
      </c>
      <c r="M34" s="2" t="s">
        <v>1428</v>
      </c>
      <c r="N34" s="2" t="s">
        <v>173</v>
      </c>
      <c r="O34" s="2" t="s">
        <v>34</v>
      </c>
      <c r="P34" s="157">
        <v>4406</v>
      </c>
      <c r="Q34" s="166">
        <v>1</v>
      </c>
      <c r="R34" s="183">
        <v>5590</v>
      </c>
      <c r="T34" s="156">
        <v>246.29499999999999</v>
      </c>
      <c r="U34" s="172">
        <v>3.6000000000000001E-5</v>
      </c>
      <c r="V34" s="172">
        <v>6.9486389358206405E-2</v>
      </c>
      <c r="W34" s="172">
        <v>6.4656317417072298E-2</v>
      </c>
    </row>
    <row r="35" spans="1:23">
      <c r="A35" s="2">
        <v>14076</v>
      </c>
      <c r="B35" s="2">
        <v>14079</v>
      </c>
      <c r="C35" s="2" t="s">
        <v>1429</v>
      </c>
      <c r="D35" s="2" t="s">
        <v>1430</v>
      </c>
      <c r="E35" s="4" t="s">
        <v>1363</v>
      </c>
      <c r="F35" s="2" t="s">
        <v>1433</v>
      </c>
      <c r="G35" s="2" t="s">
        <v>1434</v>
      </c>
      <c r="H35" s="2" t="s">
        <v>223</v>
      </c>
      <c r="I35" s="2" t="s">
        <v>1027</v>
      </c>
      <c r="J35" s="2" t="s">
        <v>30</v>
      </c>
      <c r="K35" s="2" t="s">
        <v>30</v>
      </c>
      <c r="L35" s="2" t="s">
        <v>31</v>
      </c>
      <c r="M35" s="2" t="s">
        <v>1398</v>
      </c>
      <c r="N35" s="2" t="s">
        <v>173</v>
      </c>
      <c r="O35" s="2" t="s">
        <v>34</v>
      </c>
      <c r="P35" s="157">
        <v>8531</v>
      </c>
      <c r="Q35" s="166">
        <v>1</v>
      </c>
      <c r="R35" s="183">
        <v>923.2</v>
      </c>
      <c r="T35" s="156">
        <v>78.757999999999996</v>
      </c>
      <c r="U35" s="172">
        <v>4.8299999999999998E-4</v>
      </c>
      <c r="V35" s="172">
        <v>2.2219750732089899E-2</v>
      </c>
      <c r="W35" s="172">
        <v>2.0675232510013301E-2</v>
      </c>
    </row>
    <row r="36" spans="1:23">
      <c r="A36" s="2">
        <v>14076</v>
      </c>
      <c r="B36" s="2">
        <v>14079</v>
      </c>
      <c r="C36" s="2" t="s">
        <v>1429</v>
      </c>
      <c r="D36" s="2" t="s">
        <v>1430</v>
      </c>
      <c r="E36" s="4" t="s">
        <v>1363</v>
      </c>
      <c r="F36" s="2" t="s">
        <v>1435</v>
      </c>
      <c r="G36" s="2" t="s">
        <v>1436</v>
      </c>
      <c r="H36" s="2" t="s">
        <v>223</v>
      </c>
      <c r="I36" s="2" t="s">
        <v>1027</v>
      </c>
      <c r="J36" s="2" t="s">
        <v>30</v>
      </c>
      <c r="K36" s="2" t="s">
        <v>30</v>
      </c>
      <c r="L36" s="2" t="s">
        <v>31</v>
      </c>
      <c r="M36" s="2" t="s">
        <v>1398</v>
      </c>
      <c r="N36" s="2" t="s">
        <v>173</v>
      </c>
      <c r="O36" s="2" t="s">
        <v>34</v>
      </c>
      <c r="P36" s="157">
        <v>7496</v>
      </c>
      <c r="Q36" s="166">
        <v>1</v>
      </c>
      <c r="R36" s="183">
        <v>2076</v>
      </c>
      <c r="T36" s="156">
        <v>155.61699999999999</v>
      </c>
      <c r="U36" s="172">
        <v>1.0399999999999999E-4</v>
      </c>
      <c r="V36" s="172">
        <v>4.3903624157415999E-2</v>
      </c>
      <c r="W36" s="172">
        <v>4.08518371079599E-2</v>
      </c>
    </row>
    <row r="37" spans="1:23">
      <c r="A37" s="2">
        <v>14076</v>
      </c>
      <c r="B37" s="2">
        <v>14079</v>
      </c>
      <c r="C37" s="2" t="s">
        <v>1483</v>
      </c>
      <c r="D37" s="2" t="s">
        <v>1484</v>
      </c>
      <c r="E37" s="4" t="s">
        <v>1363</v>
      </c>
      <c r="F37" s="2" t="s">
        <v>1485</v>
      </c>
      <c r="G37" s="2" t="s">
        <v>1486</v>
      </c>
      <c r="H37" s="2" t="s">
        <v>223</v>
      </c>
      <c r="I37" s="2" t="s">
        <v>1028</v>
      </c>
      <c r="J37" s="2" t="s">
        <v>30</v>
      </c>
      <c r="K37" s="2" t="s">
        <v>91</v>
      </c>
      <c r="L37" s="2" t="s">
        <v>55</v>
      </c>
      <c r="M37" s="2" t="s">
        <v>1428</v>
      </c>
      <c r="N37" s="2" t="s">
        <v>173</v>
      </c>
      <c r="O37" s="2" t="s">
        <v>34</v>
      </c>
      <c r="P37" s="157">
        <v>4582</v>
      </c>
      <c r="Q37" s="166">
        <v>1</v>
      </c>
      <c r="R37" s="183">
        <v>5775</v>
      </c>
      <c r="T37" s="156">
        <v>264.61099999999999</v>
      </c>
      <c r="U37" s="172">
        <v>0</v>
      </c>
      <c r="V37" s="172">
        <v>7.4653559227130004E-2</v>
      </c>
      <c r="W37" s="172">
        <v>6.9464311878704194E-2</v>
      </c>
    </row>
    <row r="38" spans="1:23">
      <c r="A38" s="2">
        <v>14076</v>
      </c>
      <c r="B38" s="2">
        <v>14079</v>
      </c>
      <c r="C38" s="2" t="s">
        <v>1437</v>
      </c>
      <c r="D38" s="2" t="s">
        <v>1438</v>
      </c>
      <c r="E38" s="4" t="s">
        <v>1363</v>
      </c>
      <c r="F38" s="2" t="s">
        <v>1487</v>
      </c>
      <c r="G38" s="2" t="s">
        <v>1488</v>
      </c>
      <c r="H38" s="2" t="s">
        <v>223</v>
      </c>
      <c r="I38" s="2" t="s">
        <v>1028</v>
      </c>
      <c r="J38" s="2" t="s">
        <v>30</v>
      </c>
      <c r="K38" s="2" t="s">
        <v>91</v>
      </c>
      <c r="L38" s="2" t="s">
        <v>31</v>
      </c>
      <c r="M38" s="2" t="s">
        <v>1477</v>
      </c>
      <c r="N38" s="19" t="s">
        <v>173</v>
      </c>
      <c r="O38" s="2" t="s">
        <v>34</v>
      </c>
      <c r="P38" s="157">
        <v>714</v>
      </c>
      <c r="Q38" s="166">
        <v>1</v>
      </c>
      <c r="R38" s="183">
        <v>10530</v>
      </c>
      <c r="T38" s="156">
        <v>75.183999999999997</v>
      </c>
      <c r="U38" s="172">
        <v>1.2E-5</v>
      </c>
      <c r="V38" s="172">
        <v>2.1211433891113098E-2</v>
      </c>
      <c r="W38" s="172">
        <v>1.9737004832199999E-2</v>
      </c>
    </row>
    <row r="39" spans="1:23">
      <c r="A39" s="2">
        <v>14076</v>
      </c>
      <c r="B39" s="2">
        <v>14079</v>
      </c>
      <c r="C39" s="2" t="s">
        <v>1437</v>
      </c>
      <c r="D39" s="2" t="s">
        <v>1438</v>
      </c>
      <c r="E39" s="4" t="s">
        <v>1363</v>
      </c>
      <c r="F39" s="2" t="s">
        <v>1439</v>
      </c>
      <c r="G39" s="2" t="s">
        <v>1440</v>
      </c>
      <c r="H39" s="2" t="s">
        <v>223</v>
      </c>
      <c r="I39" s="2" t="s">
        <v>1028</v>
      </c>
      <c r="J39" s="2" t="s">
        <v>30</v>
      </c>
      <c r="K39" s="2" t="s">
        <v>91</v>
      </c>
      <c r="L39" s="2" t="s">
        <v>31</v>
      </c>
      <c r="M39" s="2" t="s">
        <v>1428</v>
      </c>
      <c r="N39" s="19" t="s">
        <v>173</v>
      </c>
      <c r="O39" s="2" t="s">
        <v>34</v>
      </c>
      <c r="P39" s="157">
        <v>3361</v>
      </c>
      <c r="Q39" s="166">
        <v>1</v>
      </c>
      <c r="R39" s="183">
        <v>9006</v>
      </c>
      <c r="T39" s="156">
        <v>302.69200000000001</v>
      </c>
      <c r="U39" s="172">
        <v>2.4899999999999998E-4</v>
      </c>
      <c r="V39" s="172">
        <v>8.5397252820157601E-2</v>
      </c>
      <c r="W39" s="172">
        <v>7.9461200040522498E-2</v>
      </c>
    </row>
    <row r="40" spans="1:23">
      <c r="A40" s="2">
        <v>14076</v>
      </c>
      <c r="B40" s="2">
        <v>14079</v>
      </c>
      <c r="C40" s="2" t="s">
        <v>1399</v>
      </c>
      <c r="D40" s="2" t="s">
        <v>1400</v>
      </c>
      <c r="E40" s="4" t="s">
        <v>1363</v>
      </c>
      <c r="F40" s="2" t="s">
        <v>1489</v>
      </c>
      <c r="G40" s="2" t="s">
        <v>1490</v>
      </c>
      <c r="H40" s="2" t="s">
        <v>223</v>
      </c>
      <c r="I40" s="2" t="s">
        <v>1028</v>
      </c>
      <c r="J40" s="2" t="s">
        <v>30</v>
      </c>
      <c r="K40" s="2" t="s">
        <v>292</v>
      </c>
      <c r="L40" s="2" t="s">
        <v>31</v>
      </c>
      <c r="M40" s="2" t="s">
        <v>1428</v>
      </c>
      <c r="N40" s="2" t="s">
        <v>173</v>
      </c>
      <c r="O40" s="2" t="s">
        <v>34</v>
      </c>
      <c r="P40" s="157">
        <v>702</v>
      </c>
      <c r="Q40" s="166">
        <v>1</v>
      </c>
      <c r="R40" s="183">
        <v>16630</v>
      </c>
      <c r="T40" s="156">
        <v>116.74299999999999</v>
      </c>
      <c r="U40" s="172">
        <v>1.34E-4</v>
      </c>
      <c r="V40" s="172">
        <v>3.2936148049412799E-2</v>
      </c>
      <c r="W40" s="172">
        <v>3.0646721788934302E-2</v>
      </c>
    </row>
    <row r="41" spans="1:23">
      <c r="A41" s="2">
        <v>14076</v>
      </c>
      <c r="B41" s="2">
        <v>14079</v>
      </c>
      <c r="C41" s="2" t="s">
        <v>1399</v>
      </c>
      <c r="D41" s="2" t="s">
        <v>1400</v>
      </c>
      <c r="E41" s="4" t="s">
        <v>1363</v>
      </c>
      <c r="F41" s="2" t="s">
        <v>1491</v>
      </c>
      <c r="G41" s="2" t="s">
        <v>1492</v>
      </c>
      <c r="H41" s="2" t="s">
        <v>223</v>
      </c>
      <c r="I41" s="2" t="s">
        <v>1027</v>
      </c>
      <c r="J41" s="2" t="s">
        <v>30</v>
      </c>
      <c r="K41" s="2" t="s">
        <v>30</v>
      </c>
      <c r="L41" s="2" t="s">
        <v>31</v>
      </c>
      <c r="M41" s="2" t="s">
        <v>1398</v>
      </c>
      <c r="N41" s="2" t="s">
        <v>173</v>
      </c>
      <c r="O41" s="2" t="s">
        <v>34</v>
      </c>
      <c r="P41" s="157">
        <v>1222</v>
      </c>
      <c r="Q41" s="166">
        <v>1</v>
      </c>
      <c r="R41" s="183">
        <v>20710</v>
      </c>
      <c r="T41" s="156">
        <v>253.07599999999999</v>
      </c>
      <c r="U41" s="172">
        <v>4.6999999999999997E-5</v>
      </c>
      <c r="V41" s="172">
        <v>7.1399430807458503E-2</v>
      </c>
      <c r="W41" s="172">
        <v>6.6436381344947795E-2</v>
      </c>
    </row>
    <row r="42" spans="1:23">
      <c r="A42" s="2">
        <v>14076</v>
      </c>
      <c r="B42" s="2">
        <v>14079</v>
      </c>
      <c r="C42" s="2" t="s">
        <v>1447</v>
      </c>
      <c r="D42" s="2" t="s">
        <v>1448</v>
      </c>
      <c r="E42" s="4" t="s">
        <v>1363</v>
      </c>
      <c r="F42" s="2" t="s">
        <v>1493</v>
      </c>
      <c r="G42" s="2" t="s">
        <v>1494</v>
      </c>
      <c r="H42" s="2" t="s">
        <v>223</v>
      </c>
      <c r="I42" s="2" t="s">
        <v>1028</v>
      </c>
      <c r="J42" s="2" t="s">
        <v>30</v>
      </c>
      <c r="K42" s="2" t="s">
        <v>91</v>
      </c>
      <c r="L42" s="2" t="s">
        <v>31</v>
      </c>
      <c r="M42" s="2" t="s">
        <v>1428</v>
      </c>
      <c r="N42" s="2" t="s">
        <v>173</v>
      </c>
      <c r="O42" s="2" t="s">
        <v>34</v>
      </c>
      <c r="P42" s="157">
        <v>3732</v>
      </c>
      <c r="Q42" s="166">
        <v>1</v>
      </c>
      <c r="R42" s="183">
        <v>5069</v>
      </c>
      <c r="T42" s="156">
        <v>189.17500000000001</v>
      </c>
      <c r="U42" s="172">
        <v>2.9E-5</v>
      </c>
      <c r="V42" s="172">
        <v>5.3371249587892598E-2</v>
      </c>
      <c r="W42" s="172">
        <v>4.9661357946108799E-2</v>
      </c>
    </row>
    <row r="43" spans="1:23">
      <c r="A43" s="2">
        <v>14076</v>
      </c>
      <c r="B43" s="2">
        <v>14079</v>
      </c>
      <c r="C43" s="2" t="s">
        <v>1447</v>
      </c>
      <c r="D43" s="2" t="s">
        <v>1448</v>
      </c>
      <c r="E43" s="4" t="s">
        <v>1363</v>
      </c>
      <c r="F43" s="2" t="s">
        <v>1495</v>
      </c>
      <c r="G43" s="2" t="s">
        <v>1496</v>
      </c>
      <c r="H43" s="2" t="s">
        <v>223</v>
      </c>
      <c r="I43" s="2" t="s">
        <v>1027</v>
      </c>
      <c r="J43" s="2" t="s">
        <v>30</v>
      </c>
      <c r="K43" s="2" t="s">
        <v>30</v>
      </c>
      <c r="L43" s="2" t="s">
        <v>31</v>
      </c>
      <c r="M43" s="2" t="s">
        <v>1398</v>
      </c>
      <c r="N43" s="2" t="s">
        <v>173</v>
      </c>
      <c r="O43" s="2" t="s">
        <v>34</v>
      </c>
      <c r="P43" s="157">
        <v>13632</v>
      </c>
      <c r="Q43" s="166">
        <v>1</v>
      </c>
      <c r="R43" s="183">
        <v>2003</v>
      </c>
      <c r="T43" s="156">
        <v>273.04899999999998</v>
      </c>
      <c r="U43" s="172">
        <v>2.4499999999999999E-4</v>
      </c>
      <c r="V43" s="172">
        <v>7.70342700205255E-2</v>
      </c>
      <c r="W43" s="172">
        <v>7.1679536963181106E-2</v>
      </c>
    </row>
    <row r="44" spans="1:23">
      <c r="A44" s="2">
        <v>14076</v>
      </c>
      <c r="B44" s="2">
        <v>14079</v>
      </c>
      <c r="C44" s="2" t="s">
        <v>1457</v>
      </c>
      <c r="D44" s="2" t="s">
        <v>1458</v>
      </c>
      <c r="E44" s="4" t="s">
        <v>220</v>
      </c>
      <c r="F44" s="2" t="s">
        <v>1497</v>
      </c>
      <c r="G44" s="2" t="s">
        <v>1498</v>
      </c>
      <c r="H44" s="2" t="s">
        <v>223</v>
      </c>
      <c r="I44" s="2" t="s">
        <v>1028</v>
      </c>
      <c r="J44" s="2" t="s">
        <v>90</v>
      </c>
      <c r="K44" s="2" t="s">
        <v>91</v>
      </c>
      <c r="L44" s="2" t="s">
        <v>394</v>
      </c>
      <c r="M44" s="2" t="s">
        <v>784</v>
      </c>
      <c r="N44" s="2" t="s">
        <v>173</v>
      </c>
      <c r="O44" s="2" t="s">
        <v>95</v>
      </c>
      <c r="P44" s="157">
        <v>45</v>
      </c>
      <c r="Q44" s="166">
        <v>3.71</v>
      </c>
      <c r="R44" s="183">
        <v>22089</v>
      </c>
      <c r="T44" s="156">
        <v>36.878</v>
      </c>
      <c r="U44" s="172">
        <v>0</v>
      </c>
      <c r="V44" s="172">
        <v>1.0404133672994101E-2</v>
      </c>
      <c r="W44" s="172">
        <v>9.6809314086386596E-3</v>
      </c>
    </row>
    <row r="45" spans="1:23">
      <c r="A45" s="2">
        <v>14076</v>
      </c>
      <c r="B45" s="2">
        <v>14079</v>
      </c>
      <c r="C45" s="2" t="s">
        <v>1411</v>
      </c>
      <c r="D45" s="2" t="s">
        <v>1412</v>
      </c>
      <c r="E45" s="4" t="s">
        <v>220</v>
      </c>
      <c r="F45" s="2" t="s">
        <v>1499</v>
      </c>
      <c r="G45" s="2" t="s">
        <v>1500</v>
      </c>
      <c r="H45" s="2" t="s">
        <v>223</v>
      </c>
      <c r="I45" s="2" t="s">
        <v>1028</v>
      </c>
      <c r="J45" s="2" t="s">
        <v>90</v>
      </c>
      <c r="K45" s="2" t="s">
        <v>91</v>
      </c>
      <c r="L45" s="2" t="s">
        <v>396</v>
      </c>
      <c r="M45" s="2" t="s">
        <v>784</v>
      </c>
      <c r="N45" s="2" t="s">
        <v>173</v>
      </c>
      <c r="O45" s="2" t="s">
        <v>95</v>
      </c>
      <c r="P45" s="157">
        <v>124</v>
      </c>
      <c r="Q45" s="166">
        <v>3.71</v>
      </c>
      <c r="R45" s="183">
        <v>48807</v>
      </c>
      <c r="S45" s="161">
        <v>0.06</v>
      </c>
      <c r="T45" s="156">
        <v>224.75399999999999</v>
      </c>
      <c r="U45" s="172">
        <v>0</v>
      </c>
      <c r="V45" s="172">
        <v>6.3408908810132197E-2</v>
      </c>
      <c r="W45" s="172">
        <v>5.9001288928159097E-2</v>
      </c>
    </row>
    <row r="46" spans="1:23">
      <c r="A46" s="2">
        <v>14076</v>
      </c>
      <c r="B46" s="2">
        <v>14079</v>
      </c>
      <c r="C46" s="2" t="s">
        <v>1457</v>
      </c>
      <c r="D46" s="2" t="s">
        <v>1458</v>
      </c>
      <c r="E46" s="4" t="s">
        <v>220</v>
      </c>
      <c r="F46" s="2" t="s">
        <v>1459</v>
      </c>
      <c r="G46" s="2" t="s">
        <v>1460</v>
      </c>
      <c r="H46" s="2" t="s">
        <v>223</v>
      </c>
      <c r="I46" s="2" t="s">
        <v>1028</v>
      </c>
      <c r="J46" s="2" t="s">
        <v>90</v>
      </c>
      <c r="K46" s="2" t="s">
        <v>347</v>
      </c>
      <c r="L46" s="2" t="s">
        <v>418</v>
      </c>
      <c r="M46" s="2" t="s">
        <v>784</v>
      </c>
      <c r="N46" s="2" t="s">
        <v>173</v>
      </c>
      <c r="O46" s="2" t="s">
        <v>1225</v>
      </c>
      <c r="P46" s="157">
        <v>725</v>
      </c>
      <c r="Q46" s="166">
        <v>4.1524000000000001</v>
      </c>
      <c r="R46" s="183">
        <v>5031</v>
      </c>
      <c r="T46" s="156">
        <v>151.458</v>
      </c>
      <c r="U46" s="172">
        <v>5.0000000000000004E-6</v>
      </c>
      <c r="V46" s="172">
        <v>4.2730202512276001E-2</v>
      </c>
      <c r="W46" s="172">
        <v>3.9759981234414397E-2</v>
      </c>
    </row>
    <row r="47" spans="1:23">
      <c r="A47" s="2">
        <v>14076</v>
      </c>
      <c r="B47" s="2">
        <v>14079</v>
      </c>
      <c r="C47" s="2" t="s">
        <v>1501</v>
      </c>
      <c r="D47" s="2" t="s">
        <v>1502</v>
      </c>
      <c r="E47" s="4" t="s">
        <v>220</v>
      </c>
      <c r="F47" s="2" t="s">
        <v>1503</v>
      </c>
      <c r="G47" s="2" t="s">
        <v>1504</v>
      </c>
      <c r="H47" s="2" t="s">
        <v>223</v>
      </c>
      <c r="I47" s="2" t="s">
        <v>1028</v>
      </c>
      <c r="J47" s="2" t="s">
        <v>90</v>
      </c>
      <c r="K47" s="2" t="s">
        <v>91</v>
      </c>
      <c r="L47" s="2" t="s">
        <v>430</v>
      </c>
      <c r="M47" s="2" t="s">
        <v>784</v>
      </c>
      <c r="N47" s="2" t="s">
        <v>173</v>
      </c>
      <c r="O47" s="2" t="s">
        <v>95</v>
      </c>
      <c r="P47" s="157">
        <v>148</v>
      </c>
      <c r="Q47" s="166">
        <v>3.71</v>
      </c>
      <c r="R47" s="183">
        <v>40841</v>
      </c>
      <c r="T47" s="156">
        <v>224.25</v>
      </c>
      <c r="U47" s="172">
        <v>1.7E-5</v>
      </c>
      <c r="V47" s="172">
        <v>6.3266737143309396E-2</v>
      </c>
      <c r="W47" s="172">
        <v>5.8868999763292199E-2</v>
      </c>
    </row>
    <row r="48" spans="1:23">
      <c r="A48" s="2">
        <v>14076</v>
      </c>
      <c r="B48" s="2">
        <v>14079</v>
      </c>
      <c r="C48" s="2" t="s">
        <v>1411</v>
      </c>
      <c r="D48" s="2" t="s">
        <v>1412</v>
      </c>
      <c r="E48" s="4" t="s">
        <v>220</v>
      </c>
      <c r="F48" s="2" t="s">
        <v>1505</v>
      </c>
      <c r="G48" s="2" t="s">
        <v>1506</v>
      </c>
      <c r="H48" s="2" t="s">
        <v>223</v>
      </c>
      <c r="I48" s="2" t="s">
        <v>1028</v>
      </c>
      <c r="J48" s="2" t="s">
        <v>90</v>
      </c>
      <c r="K48" s="2" t="s">
        <v>91</v>
      </c>
      <c r="L48" s="2" t="s">
        <v>430</v>
      </c>
      <c r="M48" s="2" t="s">
        <v>784</v>
      </c>
      <c r="N48" s="2" t="s">
        <v>173</v>
      </c>
      <c r="O48" s="2" t="s">
        <v>95</v>
      </c>
      <c r="P48" s="157">
        <v>36</v>
      </c>
      <c r="Q48" s="166">
        <v>3.71</v>
      </c>
      <c r="R48" s="183">
        <v>112716</v>
      </c>
      <c r="T48" s="156">
        <v>150.54300000000001</v>
      </c>
      <c r="U48" s="172">
        <v>1.9999999999999999E-6</v>
      </c>
      <c r="V48" s="172">
        <v>4.2472265148633302E-2</v>
      </c>
      <c r="W48" s="172">
        <v>3.9519973367961099E-2</v>
      </c>
    </row>
    <row r="49" spans="1:23">
      <c r="A49" s="2">
        <v>14076</v>
      </c>
      <c r="B49" s="2">
        <v>14079</v>
      </c>
      <c r="C49" s="2" t="s">
        <v>1507</v>
      </c>
      <c r="D49" s="2" t="s">
        <v>1454</v>
      </c>
      <c r="E49" s="4" t="s">
        <v>220</v>
      </c>
      <c r="F49" s="2" t="s">
        <v>1508</v>
      </c>
      <c r="G49" s="2" t="s">
        <v>1509</v>
      </c>
      <c r="H49" s="2" t="s">
        <v>223</v>
      </c>
      <c r="I49" s="2" t="s">
        <v>1028</v>
      </c>
      <c r="J49" s="2" t="s">
        <v>90</v>
      </c>
      <c r="K49" s="2" t="s">
        <v>91</v>
      </c>
      <c r="L49" s="2" t="s">
        <v>430</v>
      </c>
      <c r="M49" s="2" t="s">
        <v>784</v>
      </c>
      <c r="N49" s="2" t="s">
        <v>173</v>
      </c>
      <c r="O49" s="2" t="s">
        <v>95</v>
      </c>
      <c r="P49" s="157">
        <v>1442</v>
      </c>
      <c r="Q49" s="166">
        <v>3.71</v>
      </c>
      <c r="R49" s="183">
        <v>1392.6</v>
      </c>
      <c r="T49" s="156">
        <v>74.501999999999995</v>
      </c>
      <c r="U49" s="172">
        <v>0</v>
      </c>
      <c r="V49" s="172">
        <v>2.1018852651085902E-2</v>
      </c>
      <c r="W49" s="172">
        <v>1.9557810116533E-2</v>
      </c>
    </row>
    <row r="50" spans="1:23">
      <c r="A50" s="2">
        <v>14076</v>
      </c>
      <c r="B50" s="2">
        <v>14079</v>
      </c>
      <c r="C50" s="2" t="s">
        <v>1453</v>
      </c>
      <c r="D50" s="2" t="s">
        <v>1454</v>
      </c>
      <c r="E50" s="4" t="s">
        <v>220</v>
      </c>
      <c r="F50" s="2" t="s">
        <v>1510</v>
      </c>
      <c r="G50" s="2" t="s">
        <v>1511</v>
      </c>
      <c r="H50" s="2" t="s">
        <v>223</v>
      </c>
      <c r="I50" s="2" t="s">
        <v>1028</v>
      </c>
      <c r="J50" s="2" t="s">
        <v>90</v>
      </c>
      <c r="K50" s="2" t="s">
        <v>91</v>
      </c>
      <c r="L50" s="2" t="s">
        <v>430</v>
      </c>
      <c r="M50" s="2" t="s">
        <v>784</v>
      </c>
      <c r="N50" s="2" t="s">
        <v>173</v>
      </c>
      <c r="O50" s="2" t="s">
        <v>95</v>
      </c>
      <c r="P50" s="157">
        <v>382</v>
      </c>
      <c r="Q50" s="166">
        <v>3.71</v>
      </c>
      <c r="R50" s="183">
        <v>5244.62</v>
      </c>
      <c r="T50" s="156">
        <v>74.328000000000003</v>
      </c>
      <c r="U50" s="172">
        <v>9.9999999999999995E-7</v>
      </c>
      <c r="V50" s="172">
        <v>2.0969822004748701E-2</v>
      </c>
      <c r="W50" s="172">
        <v>1.9512187641944501E-2</v>
      </c>
    </row>
    <row r="51" spans="1:23">
      <c r="A51" s="2">
        <v>14076</v>
      </c>
      <c r="B51" s="2">
        <v>14079</v>
      </c>
      <c r="C51" s="2" t="s">
        <v>1512</v>
      </c>
      <c r="D51" s="2" t="s">
        <v>1513</v>
      </c>
      <c r="E51" s="4" t="s">
        <v>220</v>
      </c>
      <c r="F51" s="2" t="s">
        <v>1514</v>
      </c>
      <c r="G51" s="2" t="s">
        <v>1515</v>
      </c>
      <c r="H51" s="2" t="s">
        <v>223</v>
      </c>
      <c r="I51" s="2" t="s">
        <v>1028</v>
      </c>
      <c r="J51" s="2" t="s">
        <v>90</v>
      </c>
      <c r="K51" s="2" t="s">
        <v>91</v>
      </c>
      <c r="L51" s="2" t="s">
        <v>396</v>
      </c>
      <c r="M51" s="2" t="s">
        <v>784</v>
      </c>
      <c r="N51" s="2" t="s">
        <v>173</v>
      </c>
      <c r="O51" s="2" t="s">
        <v>95</v>
      </c>
      <c r="P51" s="157">
        <v>41</v>
      </c>
      <c r="Q51" s="166">
        <v>3.71</v>
      </c>
      <c r="R51" s="183">
        <v>24545</v>
      </c>
      <c r="T51" s="156">
        <v>37.335000000000001</v>
      </c>
      <c r="U51" s="172">
        <v>9.9999999999999995E-7</v>
      </c>
      <c r="V51" s="172">
        <v>1.05332950047024E-2</v>
      </c>
      <c r="W51" s="172">
        <v>9.8011146004562E-3</v>
      </c>
    </row>
    <row r="52" spans="1:23">
      <c r="A52" s="2">
        <v>14076</v>
      </c>
      <c r="B52" s="2">
        <v>15394</v>
      </c>
      <c r="C52" s="2" t="s">
        <v>1411</v>
      </c>
      <c r="D52" s="2" t="s">
        <v>1412</v>
      </c>
      <c r="E52" s="4" t="s">
        <v>220</v>
      </c>
      <c r="F52" s="2" t="s">
        <v>1516</v>
      </c>
      <c r="G52" s="2" t="s">
        <v>1506</v>
      </c>
      <c r="H52" s="2" t="s">
        <v>223</v>
      </c>
      <c r="I52" s="2" t="s">
        <v>1028</v>
      </c>
      <c r="J52" s="2" t="s">
        <v>30</v>
      </c>
      <c r="K52" s="2" t="s">
        <v>91</v>
      </c>
      <c r="L52" s="2" t="s">
        <v>430</v>
      </c>
      <c r="M52" s="2" t="s">
        <v>784</v>
      </c>
      <c r="N52" s="2" t="s">
        <v>173</v>
      </c>
      <c r="O52" s="2" t="s">
        <v>34</v>
      </c>
      <c r="P52" s="157">
        <v>32</v>
      </c>
      <c r="Q52" s="166">
        <v>1</v>
      </c>
      <c r="R52" s="183">
        <v>418000</v>
      </c>
      <c r="T52" s="156">
        <v>133.76</v>
      </c>
      <c r="U52" s="172">
        <v>1.9999999999999999E-6</v>
      </c>
      <c r="V52" s="172">
        <v>0.12625074458773999</v>
      </c>
      <c r="W52" s="172">
        <v>0.125441649371627</v>
      </c>
    </row>
    <row r="53" spans="1:23">
      <c r="A53" s="2">
        <v>14076</v>
      </c>
      <c r="B53" s="2">
        <v>15394</v>
      </c>
      <c r="C53" s="2" t="s">
        <v>1394</v>
      </c>
      <c r="D53" s="2" t="s">
        <v>1395</v>
      </c>
      <c r="E53" s="4" t="s">
        <v>1363</v>
      </c>
      <c r="F53" s="2" t="s">
        <v>1517</v>
      </c>
      <c r="G53" s="2" t="s">
        <v>1518</v>
      </c>
      <c r="H53" s="2" t="s">
        <v>223</v>
      </c>
      <c r="I53" s="2" t="s">
        <v>1028</v>
      </c>
      <c r="J53" s="2" t="s">
        <v>30</v>
      </c>
      <c r="K53" s="2" t="s">
        <v>91</v>
      </c>
      <c r="L53" s="2" t="s">
        <v>31</v>
      </c>
      <c r="M53" s="2" t="s">
        <v>1477</v>
      </c>
      <c r="N53" s="2" t="s">
        <v>173</v>
      </c>
      <c r="O53" s="2" t="s">
        <v>34</v>
      </c>
      <c r="P53" s="157">
        <v>1462</v>
      </c>
      <c r="Q53" s="166">
        <v>1</v>
      </c>
      <c r="R53" s="183">
        <v>9106</v>
      </c>
      <c r="T53" s="156">
        <v>133.13</v>
      </c>
      <c r="U53" s="172">
        <v>2.0000000000000002E-5</v>
      </c>
      <c r="V53" s="172">
        <v>0.125655848360925</v>
      </c>
      <c r="W53" s="172">
        <v>0.124850565618892</v>
      </c>
    </row>
    <row r="54" spans="1:23">
      <c r="A54" s="2">
        <v>14076</v>
      </c>
      <c r="B54" s="2">
        <v>15394</v>
      </c>
      <c r="C54" s="2" t="s">
        <v>1457</v>
      </c>
      <c r="D54" s="2" t="s">
        <v>1458</v>
      </c>
      <c r="E54" s="4" t="s">
        <v>220</v>
      </c>
      <c r="F54" s="2" t="s">
        <v>1519</v>
      </c>
      <c r="G54" s="2" t="s">
        <v>1520</v>
      </c>
      <c r="H54" s="2" t="s">
        <v>223</v>
      </c>
      <c r="I54" s="2" t="s">
        <v>1028</v>
      </c>
      <c r="J54" s="2" t="s">
        <v>30</v>
      </c>
      <c r="K54" s="2" t="s">
        <v>91</v>
      </c>
      <c r="L54" s="2" t="s">
        <v>31</v>
      </c>
      <c r="M54" s="2" t="s">
        <v>1477</v>
      </c>
      <c r="N54" s="2" t="s">
        <v>173</v>
      </c>
      <c r="O54" s="2" t="s">
        <v>34</v>
      </c>
      <c r="P54" s="157">
        <v>59</v>
      </c>
      <c r="Q54" s="166">
        <v>1</v>
      </c>
      <c r="R54" s="183">
        <v>225000</v>
      </c>
      <c r="T54" s="156">
        <v>132.75</v>
      </c>
      <c r="U54" s="172">
        <v>9.8999999999999994E-5</v>
      </c>
      <c r="V54" s="172">
        <v>0.12529744575375701</v>
      </c>
      <c r="W54" s="172">
        <v>0.124494459883998</v>
      </c>
    </row>
    <row r="55" spans="1:23">
      <c r="A55" s="2">
        <v>14076</v>
      </c>
      <c r="B55" s="2">
        <v>15394</v>
      </c>
      <c r="C55" s="2" t="s">
        <v>1429</v>
      </c>
      <c r="D55" s="2" t="s">
        <v>1430</v>
      </c>
      <c r="E55" s="4" t="s">
        <v>1363</v>
      </c>
      <c r="F55" s="2" t="s">
        <v>1521</v>
      </c>
      <c r="G55" s="2" t="s">
        <v>1522</v>
      </c>
      <c r="H55" s="2" t="s">
        <v>223</v>
      </c>
      <c r="I55" s="2" t="s">
        <v>1028</v>
      </c>
      <c r="J55" s="2" t="s">
        <v>30</v>
      </c>
      <c r="K55" s="2" t="s">
        <v>91</v>
      </c>
      <c r="L55" s="2" t="s">
        <v>31</v>
      </c>
      <c r="M55" s="2" t="s">
        <v>1477</v>
      </c>
      <c r="N55" s="2" t="s">
        <v>173</v>
      </c>
      <c r="O55" s="2" t="s">
        <v>34</v>
      </c>
      <c r="P55" s="157">
        <v>5360</v>
      </c>
      <c r="Q55" s="166">
        <v>1</v>
      </c>
      <c r="R55" s="183">
        <v>2470</v>
      </c>
      <c r="T55" s="156">
        <v>132.392</v>
      </c>
      <c r="U55" s="172">
        <v>1.4E-5</v>
      </c>
      <c r="V55" s="172">
        <v>0.12495954379082</v>
      </c>
      <c r="W55" s="172">
        <v>0.124158723412145</v>
      </c>
    </row>
    <row r="56" spans="1:23">
      <c r="A56" s="2">
        <v>14076</v>
      </c>
      <c r="B56" s="2">
        <v>15394</v>
      </c>
      <c r="C56" s="2" t="s">
        <v>1483</v>
      </c>
      <c r="D56" s="2" t="s">
        <v>1484</v>
      </c>
      <c r="E56" s="4" t="s">
        <v>1363</v>
      </c>
      <c r="F56" s="2" t="s">
        <v>1523</v>
      </c>
      <c r="G56" s="2" t="s">
        <v>1524</v>
      </c>
      <c r="H56" s="2" t="s">
        <v>223</v>
      </c>
      <c r="I56" s="2" t="s">
        <v>1028</v>
      </c>
      <c r="J56" s="2" t="s">
        <v>30</v>
      </c>
      <c r="K56" s="2" t="s">
        <v>91</v>
      </c>
      <c r="L56" s="2" t="s">
        <v>55</v>
      </c>
      <c r="M56" s="2" t="s">
        <v>1477</v>
      </c>
      <c r="N56" s="2" t="s">
        <v>173</v>
      </c>
      <c r="O56" s="2" t="s">
        <v>34</v>
      </c>
      <c r="P56" s="157">
        <v>2239</v>
      </c>
      <c r="Q56" s="166">
        <v>1</v>
      </c>
      <c r="R56" s="183">
        <v>5932</v>
      </c>
      <c r="T56" s="156">
        <v>132.81700000000001</v>
      </c>
      <c r="U56" s="172">
        <v>3.7300000000000001E-4</v>
      </c>
      <c r="V56" s="172">
        <v>0.12536113744218999</v>
      </c>
      <c r="W56" s="172">
        <v>0.124557743395508</v>
      </c>
    </row>
    <row r="57" spans="1:23">
      <c r="A57" s="2">
        <v>14076</v>
      </c>
      <c r="B57" s="2">
        <v>15394</v>
      </c>
      <c r="C57" s="2" t="s">
        <v>1437</v>
      </c>
      <c r="D57" s="2" t="s">
        <v>1438</v>
      </c>
      <c r="E57" s="4" t="s">
        <v>1363</v>
      </c>
      <c r="F57" s="2" t="s">
        <v>1487</v>
      </c>
      <c r="G57" s="2" t="s">
        <v>1488</v>
      </c>
      <c r="H57" s="2" t="s">
        <v>223</v>
      </c>
      <c r="I57" s="2" t="s">
        <v>1028</v>
      </c>
      <c r="J57" s="2" t="s">
        <v>30</v>
      </c>
      <c r="K57" s="2" t="s">
        <v>91</v>
      </c>
      <c r="L57" s="2" t="s">
        <v>31</v>
      </c>
      <c r="M57" s="2" t="s">
        <v>1477</v>
      </c>
      <c r="N57" s="19" t="s">
        <v>173</v>
      </c>
      <c r="O57" s="2" t="s">
        <v>34</v>
      </c>
      <c r="P57" s="157">
        <v>1263</v>
      </c>
      <c r="Q57" s="166">
        <v>1</v>
      </c>
      <c r="R57" s="183">
        <v>10530</v>
      </c>
      <c r="T57" s="156">
        <v>132.994</v>
      </c>
      <c r="U57" s="172">
        <v>2.1999999999999999E-5</v>
      </c>
      <c r="V57" s="172">
        <v>0.12552765326425999</v>
      </c>
      <c r="W57" s="172">
        <v>0.12472319207809</v>
      </c>
    </row>
    <row r="58" spans="1:23">
      <c r="A58" s="2">
        <v>14076</v>
      </c>
      <c r="B58" s="2">
        <v>15394</v>
      </c>
      <c r="C58" s="2" t="s">
        <v>1399</v>
      </c>
      <c r="D58" s="2" t="s">
        <v>1400</v>
      </c>
      <c r="E58" s="4" t="s">
        <v>1363</v>
      </c>
      <c r="F58" s="2" t="s">
        <v>1525</v>
      </c>
      <c r="G58" s="2" t="s">
        <v>1526</v>
      </c>
      <c r="H58" s="2" t="s">
        <v>223</v>
      </c>
      <c r="I58" s="2" t="s">
        <v>1028</v>
      </c>
      <c r="J58" s="2" t="s">
        <v>30</v>
      </c>
      <c r="K58" s="2" t="s">
        <v>91</v>
      </c>
      <c r="L58" s="2" t="s">
        <v>31</v>
      </c>
      <c r="M58" s="2" t="s">
        <v>1477</v>
      </c>
      <c r="N58" s="2" t="s">
        <v>173</v>
      </c>
      <c r="O58" s="2" t="s">
        <v>34</v>
      </c>
      <c r="P58" s="157">
        <v>570</v>
      </c>
      <c r="Q58" s="166">
        <v>1</v>
      </c>
      <c r="R58" s="183">
        <v>23280</v>
      </c>
      <c r="T58" s="156">
        <v>132.696</v>
      </c>
      <c r="U58" s="172">
        <v>2.8E-5</v>
      </c>
      <c r="V58" s="172">
        <v>0.12524647730124699</v>
      </c>
      <c r="W58" s="172">
        <v>0.124443818069808</v>
      </c>
    </row>
    <row r="59" spans="1:23">
      <c r="A59" s="2">
        <v>14076</v>
      </c>
      <c r="B59" s="2">
        <v>15394</v>
      </c>
      <c r="C59" s="2" t="s">
        <v>1447</v>
      </c>
      <c r="D59" s="2" t="s">
        <v>1448</v>
      </c>
      <c r="E59" s="4" t="s">
        <v>1363</v>
      </c>
      <c r="F59" s="2" t="s">
        <v>1527</v>
      </c>
      <c r="G59" s="2" t="s">
        <v>1528</v>
      </c>
      <c r="H59" s="2" t="s">
        <v>223</v>
      </c>
      <c r="I59" s="2" t="s">
        <v>1028</v>
      </c>
      <c r="J59" s="2" t="s">
        <v>30</v>
      </c>
      <c r="K59" s="2" t="s">
        <v>91</v>
      </c>
      <c r="L59" s="2" t="s">
        <v>31</v>
      </c>
      <c r="M59" s="2" t="s">
        <v>1477</v>
      </c>
      <c r="N59" s="2" t="s">
        <v>173</v>
      </c>
      <c r="O59" s="2" t="s">
        <v>34</v>
      </c>
      <c r="P59" s="157">
        <v>517</v>
      </c>
      <c r="Q59" s="166">
        <v>1</v>
      </c>
      <c r="R59" s="183">
        <v>24940</v>
      </c>
      <c r="T59" s="156">
        <v>128.94</v>
      </c>
      <c r="U59" s="172">
        <v>1.7E-5</v>
      </c>
      <c r="V59" s="172">
        <v>0.12170114949906</v>
      </c>
      <c r="W59" s="172">
        <v>0.120921210987199</v>
      </c>
    </row>
    <row r="60" spans="1:23">
      <c r="A60" s="2">
        <v>161</v>
      </c>
      <c r="B60" s="2">
        <v>1434</v>
      </c>
      <c r="C60" s="2" t="s">
        <v>1394</v>
      </c>
      <c r="D60" s="2" t="s">
        <v>1395</v>
      </c>
      <c r="E60" s="4" t="s">
        <v>1363</v>
      </c>
      <c r="F60" s="2" t="s">
        <v>1423</v>
      </c>
      <c r="G60" s="2" t="s">
        <v>1424</v>
      </c>
      <c r="H60" s="2" t="s">
        <v>223</v>
      </c>
      <c r="I60" s="2" t="s">
        <v>1029</v>
      </c>
      <c r="J60" s="2" t="s">
        <v>30</v>
      </c>
      <c r="K60" s="2" t="s">
        <v>30</v>
      </c>
      <c r="L60" s="2" t="s">
        <v>31</v>
      </c>
      <c r="M60" s="2" t="s">
        <v>1425</v>
      </c>
      <c r="N60" s="2" t="s">
        <v>173</v>
      </c>
      <c r="O60" s="2" t="s">
        <v>34</v>
      </c>
      <c r="P60" s="157">
        <v>25000</v>
      </c>
      <c r="Q60" s="166">
        <v>1</v>
      </c>
      <c r="R60" s="183">
        <v>465.93</v>
      </c>
      <c r="T60" s="156">
        <v>116.483</v>
      </c>
      <c r="U60" s="172">
        <v>1.73E-4</v>
      </c>
      <c r="V60" s="172">
        <v>5.8383849633537398E-2</v>
      </c>
      <c r="W60" s="172">
        <v>5.1740182571110996E-3</v>
      </c>
    </row>
    <row r="61" spans="1:23">
      <c r="A61" s="2">
        <v>161</v>
      </c>
      <c r="B61" s="2">
        <v>1434</v>
      </c>
      <c r="C61" s="2" t="s">
        <v>1394</v>
      </c>
      <c r="D61" s="2" t="s">
        <v>1395</v>
      </c>
      <c r="E61" s="4" t="s">
        <v>1363</v>
      </c>
      <c r="F61" s="2" t="s">
        <v>1469</v>
      </c>
      <c r="G61" s="2" t="s">
        <v>1470</v>
      </c>
      <c r="H61" s="2" t="s">
        <v>223</v>
      </c>
      <c r="I61" s="2" t="s">
        <v>1029</v>
      </c>
      <c r="J61" s="2" t="s">
        <v>30</v>
      </c>
      <c r="K61" s="2" t="s">
        <v>30</v>
      </c>
      <c r="L61" s="2" t="s">
        <v>31</v>
      </c>
      <c r="M61" s="2" t="s">
        <v>1425</v>
      </c>
      <c r="N61" s="2" t="s">
        <v>173</v>
      </c>
      <c r="O61" s="2" t="s">
        <v>34</v>
      </c>
      <c r="P61" s="157">
        <v>40000</v>
      </c>
      <c r="Q61" s="166">
        <v>1</v>
      </c>
      <c r="R61" s="183">
        <v>452.06</v>
      </c>
      <c r="T61" s="156">
        <v>180.82400000000001</v>
      </c>
      <c r="U61" s="172">
        <v>1.6200000000000001E-4</v>
      </c>
      <c r="V61" s="172">
        <v>9.0633367468373097E-2</v>
      </c>
      <c r="W61" s="172">
        <v>8.0319934524401299E-3</v>
      </c>
    </row>
    <row r="62" spans="1:23">
      <c r="A62" s="2">
        <v>161</v>
      </c>
      <c r="B62" s="2">
        <v>1434</v>
      </c>
      <c r="C62" s="2" t="s">
        <v>1429</v>
      </c>
      <c r="D62" s="2" t="s">
        <v>1430</v>
      </c>
      <c r="E62" s="4" t="s">
        <v>1363</v>
      </c>
      <c r="F62" s="2" t="s">
        <v>1473</v>
      </c>
      <c r="G62" s="2" t="s">
        <v>1474</v>
      </c>
      <c r="H62" s="2" t="s">
        <v>223</v>
      </c>
      <c r="I62" s="2" t="s">
        <v>1029</v>
      </c>
      <c r="J62" s="2" t="s">
        <v>30</v>
      </c>
      <c r="K62" s="2" t="s">
        <v>30</v>
      </c>
      <c r="L62" s="2" t="s">
        <v>31</v>
      </c>
      <c r="M62" s="2" t="s">
        <v>1425</v>
      </c>
      <c r="N62" s="2" t="s">
        <v>173</v>
      </c>
      <c r="O62" s="2" t="s">
        <v>34</v>
      </c>
      <c r="P62" s="157">
        <v>183000</v>
      </c>
      <c r="Q62" s="166">
        <v>1</v>
      </c>
      <c r="R62" s="183">
        <v>389.18</v>
      </c>
      <c r="T62" s="156">
        <v>712.19899999999996</v>
      </c>
      <c r="U62" s="172">
        <v>8.03E-4</v>
      </c>
      <c r="V62" s="172">
        <v>0.35697158524839001</v>
      </c>
      <c r="W62" s="172">
        <v>3.1635075640577499E-2</v>
      </c>
    </row>
    <row r="63" spans="1:23">
      <c r="A63" s="2">
        <v>161</v>
      </c>
      <c r="B63" s="2">
        <v>1434</v>
      </c>
      <c r="C63" s="2" t="s">
        <v>1399</v>
      </c>
      <c r="D63" s="2" t="s">
        <v>1400</v>
      </c>
      <c r="E63" s="4" t="s">
        <v>1363</v>
      </c>
      <c r="F63" s="2" t="s">
        <v>1443</v>
      </c>
      <c r="G63" s="2" t="s">
        <v>1444</v>
      </c>
      <c r="H63" s="2" t="s">
        <v>223</v>
      </c>
      <c r="I63" s="2" t="s">
        <v>1029</v>
      </c>
      <c r="J63" s="2" t="s">
        <v>30</v>
      </c>
      <c r="K63" s="2" t="s">
        <v>30</v>
      </c>
      <c r="L63" s="2" t="s">
        <v>31</v>
      </c>
      <c r="M63" s="2" t="s">
        <v>1425</v>
      </c>
      <c r="N63" s="2" t="s">
        <v>173</v>
      </c>
      <c r="O63" s="2" t="s">
        <v>34</v>
      </c>
      <c r="P63" s="157">
        <v>3700</v>
      </c>
      <c r="Q63" s="166">
        <v>1</v>
      </c>
      <c r="R63" s="183">
        <v>3637.39</v>
      </c>
      <c r="T63" s="156">
        <v>134.583</v>
      </c>
      <c r="U63" s="172">
        <v>1.64E-4</v>
      </c>
      <c r="V63" s="172">
        <v>6.7456474065080194E-2</v>
      </c>
      <c r="W63" s="172">
        <v>5.9780406835759298E-3</v>
      </c>
    </row>
    <row r="64" spans="1:23">
      <c r="A64" s="2">
        <v>161</v>
      </c>
      <c r="B64" s="2">
        <v>1434</v>
      </c>
      <c r="C64" s="2" t="s">
        <v>1457</v>
      </c>
      <c r="D64" s="2" t="s">
        <v>1458</v>
      </c>
      <c r="E64" s="4" t="s">
        <v>220</v>
      </c>
      <c r="F64" s="2" t="s">
        <v>1529</v>
      </c>
      <c r="G64" s="2" t="s">
        <v>1530</v>
      </c>
      <c r="H64" s="2" t="s">
        <v>223</v>
      </c>
      <c r="I64" s="2" t="s">
        <v>1030</v>
      </c>
      <c r="J64" s="2" t="s">
        <v>90</v>
      </c>
      <c r="K64" s="2" t="s">
        <v>350</v>
      </c>
      <c r="L64" s="2" t="s">
        <v>430</v>
      </c>
      <c r="M64" s="2" t="s">
        <v>781</v>
      </c>
      <c r="N64" s="2" t="s">
        <v>173</v>
      </c>
      <c r="O64" s="2" t="s">
        <v>95</v>
      </c>
      <c r="P64" s="157">
        <v>23000</v>
      </c>
      <c r="Q64" s="166">
        <v>3.71</v>
      </c>
      <c r="R64" s="183">
        <v>608.9</v>
      </c>
      <c r="T64" s="156">
        <v>519.57399999999996</v>
      </c>
      <c r="U64" s="172">
        <v>6.7999999999999999E-5</v>
      </c>
      <c r="V64" s="172">
        <v>0.260423255781083</v>
      </c>
      <c r="W64" s="172">
        <v>2.3078894051097799E-2</v>
      </c>
    </row>
    <row r="65" spans="1:23">
      <c r="A65" s="2">
        <v>161</v>
      </c>
      <c r="B65" s="2">
        <v>1434</v>
      </c>
      <c r="C65" s="2" t="s">
        <v>1457</v>
      </c>
      <c r="D65" s="2" t="s">
        <v>1458</v>
      </c>
      <c r="E65" s="4" t="s">
        <v>220</v>
      </c>
      <c r="F65" s="2" t="s">
        <v>1531</v>
      </c>
      <c r="G65" s="2" t="s">
        <v>1532</v>
      </c>
      <c r="H65" s="2" t="s">
        <v>223</v>
      </c>
      <c r="I65" s="2" t="s">
        <v>1030</v>
      </c>
      <c r="J65" s="2" t="s">
        <v>90</v>
      </c>
      <c r="K65" s="2" t="s">
        <v>91</v>
      </c>
      <c r="L65" s="2" t="s">
        <v>430</v>
      </c>
      <c r="M65" s="2" t="s">
        <v>781</v>
      </c>
      <c r="N65" s="2" t="s">
        <v>173</v>
      </c>
      <c r="O65" s="2" t="s">
        <v>95</v>
      </c>
      <c r="P65" s="157">
        <v>15000</v>
      </c>
      <c r="Q65" s="166">
        <v>3.71</v>
      </c>
      <c r="R65" s="183">
        <v>595.6</v>
      </c>
      <c r="T65" s="156">
        <v>331.45100000000002</v>
      </c>
      <c r="U65" s="172">
        <v>0</v>
      </c>
      <c r="V65" s="172">
        <v>0.16613146780353699</v>
      </c>
      <c r="W65" s="172">
        <v>1.4722688772519799E-2</v>
      </c>
    </row>
    <row r="66" spans="1:23">
      <c r="A66" s="2">
        <v>161</v>
      </c>
      <c r="B66" s="2">
        <v>9938</v>
      </c>
      <c r="C66" s="2" t="s">
        <v>1394</v>
      </c>
      <c r="D66" s="2" t="s">
        <v>1395</v>
      </c>
      <c r="E66" s="4" t="s">
        <v>1363</v>
      </c>
      <c r="F66" s="2" t="s">
        <v>1469</v>
      </c>
      <c r="G66" s="2" t="s">
        <v>1470</v>
      </c>
      <c r="H66" s="2" t="s">
        <v>223</v>
      </c>
      <c r="I66" s="2" t="s">
        <v>1029</v>
      </c>
      <c r="J66" s="2" t="s">
        <v>30</v>
      </c>
      <c r="K66" s="2" t="s">
        <v>30</v>
      </c>
      <c r="L66" s="2" t="s">
        <v>31</v>
      </c>
      <c r="M66" s="2" t="s">
        <v>1425</v>
      </c>
      <c r="N66" s="2" t="s">
        <v>173</v>
      </c>
      <c r="O66" s="2" t="s">
        <v>34</v>
      </c>
      <c r="P66" s="157">
        <v>130000</v>
      </c>
      <c r="Q66" s="166">
        <v>1</v>
      </c>
      <c r="R66" s="183">
        <v>452.06</v>
      </c>
      <c r="T66" s="156">
        <v>587.678</v>
      </c>
      <c r="U66" s="172">
        <v>5.2800000000000004E-4</v>
      </c>
      <c r="V66" s="172">
        <v>4.7490738834307301E-2</v>
      </c>
      <c r="W66" s="172">
        <v>8.8614108788344203E-3</v>
      </c>
    </row>
    <row r="67" spans="1:23">
      <c r="A67" s="2">
        <v>161</v>
      </c>
      <c r="B67" s="2">
        <v>9938</v>
      </c>
      <c r="C67" s="2" t="s">
        <v>1429</v>
      </c>
      <c r="D67" s="2" t="s">
        <v>1430</v>
      </c>
      <c r="E67" s="4" t="s">
        <v>1363</v>
      </c>
      <c r="F67" s="2" t="s">
        <v>1431</v>
      </c>
      <c r="G67" s="2" t="s">
        <v>1432</v>
      </c>
      <c r="H67" s="2" t="s">
        <v>223</v>
      </c>
      <c r="I67" s="2" t="s">
        <v>1027</v>
      </c>
      <c r="J67" s="2" t="s">
        <v>30</v>
      </c>
      <c r="K67" s="2" t="s">
        <v>30</v>
      </c>
      <c r="L67" s="2" t="s">
        <v>31</v>
      </c>
      <c r="M67" s="2" t="s">
        <v>1398</v>
      </c>
      <c r="N67" s="2" t="s">
        <v>173</v>
      </c>
      <c r="O67" s="2" t="s">
        <v>34</v>
      </c>
      <c r="P67" s="157">
        <v>43500</v>
      </c>
      <c r="Q67" s="166">
        <v>1</v>
      </c>
      <c r="R67" s="183">
        <v>2013</v>
      </c>
      <c r="T67" s="156">
        <v>875.65499999999997</v>
      </c>
      <c r="U67" s="172">
        <v>8.92E-4</v>
      </c>
      <c r="V67" s="172">
        <v>7.0762395246981094E-2</v>
      </c>
      <c r="W67" s="172">
        <v>1.3203725072413399E-2</v>
      </c>
    </row>
    <row r="68" spans="1:23">
      <c r="A68" s="2">
        <v>161</v>
      </c>
      <c r="B68" s="2">
        <v>9938</v>
      </c>
      <c r="C68" s="2" t="s">
        <v>1429</v>
      </c>
      <c r="D68" s="2" t="s">
        <v>1430</v>
      </c>
      <c r="E68" s="4" t="s">
        <v>1363</v>
      </c>
      <c r="F68" s="2" t="s">
        <v>1473</v>
      </c>
      <c r="G68" s="2" t="s">
        <v>1474</v>
      </c>
      <c r="H68" s="2" t="s">
        <v>223</v>
      </c>
      <c r="I68" s="2" t="s">
        <v>1029</v>
      </c>
      <c r="J68" s="2" t="s">
        <v>30</v>
      </c>
      <c r="K68" s="2" t="s">
        <v>30</v>
      </c>
      <c r="L68" s="2" t="s">
        <v>31</v>
      </c>
      <c r="M68" s="2" t="s">
        <v>1425</v>
      </c>
      <c r="N68" s="2" t="s">
        <v>173</v>
      </c>
      <c r="O68" s="2" t="s">
        <v>34</v>
      </c>
      <c r="P68" s="157">
        <v>60000</v>
      </c>
      <c r="Q68" s="166">
        <v>1</v>
      </c>
      <c r="R68" s="183">
        <v>389.18</v>
      </c>
      <c r="T68" s="156">
        <v>233.50800000000001</v>
      </c>
      <c r="U68" s="172">
        <v>2.63E-4</v>
      </c>
      <c r="V68" s="172">
        <v>1.88699720658616E-2</v>
      </c>
      <c r="W68" s="172">
        <v>3.5209933526435702E-3</v>
      </c>
    </row>
    <row r="69" spans="1:23">
      <c r="A69" s="2">
        <v>161</v>
      </c>
      <c r="B69" s="2">
        <v>9938</v>
      </c>
      <c r="C69" s="2" t="s">
        <v>1399</v>
      </c>
      <c r="D69" s="2" t="s">
        <v>1400</v>
      </c>
      <c r="E69" s="4" t="s">
        <v>1363</v>
      </c>
      <c r="F69" s="2" t="s">
        <v>1533</v>
      </c>
      <c r="G69" s="2" t="s">
        <v>1534</v>
      </c>
      <c r="H69" s="2" t="s">
        <v>223</v>
      </c>
      <c r="I69" s="2" t="s">
        <v>1028</v>
      </c>
      <c r="J69" s="2" t="s">
        <v>30</v>
      </c>
      <c r="K69" s="2" t="s">
        <v>91</v>
      </c>
      <c r="L69" s="2" t="s">
        <v>31</v>
      </c>
      <c r="M69" s="2" t="s">
        <v>1428</v>
      </c>
      <c r="N69" s="2" t="s">
        <v>173</v>
      </c>
      <c r="O69" s="2" t="s">
        <v>34</v>
      </c>
      <c r="P69" s="157">
        <v>39000</v>
      </c>
      <c r="Q69" s="166">
        <v>1</v>
      </c>
      <c r="R69" s="183">
        <v>5505</v>
      </c>
      <c r="T69" s="156">
        <v>2146.9499999999998</v>
      </c>
      <c r="U69" s="172">
        <v>5.6099999999999998E-4</v>
      </c>
      <c r="V69" s="172">
        <v>0.173496781809624</v>
      </c>
      <c r="W69" s="172">
        <v>3.2373180698126502E-2</v>
      </c>
    </row>
    <row r="70" spans="1:23">
      <c r="A70" s="2">
        <v>161</v>
      </c>
      <c r="B70" s="2">
        <v>9938</v>
      </c>
      <c r="C70" s="2" t="s">
        <v>1399</v>
      </c>
      <c r="D70" s="2" t="s">
        <v>1400</v>
      </c>
      <c r="E70" s="4" t="s">
        <v>1363</v>
      </c>
      <c r="F70" s="2" t="s">
        <v>1443</v>
      </c>
      <c r="G70" s="2" t="s">
        <v>1444</v>
      </c>
      <c r="H70" s="2" t="s">
        <v>223</v>
      </c>
      <c r="I70" s="2" t="s">
        <v>1029</v>
      </c>
      <c r="J70" s="2" t="s">
        <v>30</v>
      </c>
      <c r="K70" s="2" t="s">
        <v>30</v>
      </c>
      <c r="L70" s="2" t="s">
        <v>31</v>
      </c>
      <c r="M70" s="2" t="s">
        <v>1425</v>
      </c>
      <c r="N70" s="2" t="s">
        <v>173</v>
      </c>
      <c r="O70" s="2" t="s">
        <v>34</v>
      </c>
      <c r="P70" s="157">
        <v>8900</v>
      </c>
      <c r="Q70" s="166">
        <v>1</v>
      </c>
      <c r="R70" s="183">
        <v>3637.39</v>
      </c>
      <c r="T70" s="156">
        <v>323.72800000000001</v>
      </c>
      <c r="U70" s="172">
        <v>3.9500000000000001E-4</v>
      </c>
      <c r="V70" s="172">
        <v>2.6160700466987701E-2</v>
      </c>
      <c r="W70" s="172">
        <v>4.8813878538487999E-3</v>
      </c>
    </row>
    <row r="71" spans="1:23">
      <c r="A71" s="2">
        <v>161</v>
      </c>
      <c r="B71" s="2">
        <v>9938</v>
      </c>
      <c r="C71" s="2" t="s">
        <v>1457</v>
      </c>
      <c r="D71" s="2" t="s">
        <v>1458</v>
      </c>
      <c r="E71" s="4" t="s">
        <v>220</v>
      </c>
      <c r="F71" s="2" t="s">
        <v>1529</v>
      </c>
      <c r="G71" s="2" t="s">
        <v>1530</v>
      </c>
      <c r="H71" s="2" t="s">
        <v>223</v>
      </c>
      <c r="I71" s="2" t="s">
        <v>1030</v>
      </c>
      <c r="J71" s="2" t="s">
        <v>90</v>
      </c>
      <c r="K71" s="2" t="s">
        <v>350</v>
      </c>
      <c r="L71" s="2" t="s">
        <v>430</v>
      </c>
      <c r="M71" s="2" t="s">
        <v>781</v>
      </c>
      <c r="N71" s="2" t="s">
        <v>173</v>
      </c>
      <c r="O71" s="2" t="s">
        <v>95</v>
      </c>
      <c r="P71" s="157">
        <v>44000</v>
      </c>
      <c r="Q71" s="166">
        <v>3.71</v>
      </c>
      <c r="R71" s="183">
        <v>608.9</v>
      </c>
      <c r="T71" s="156">
        <v>993.96799999999996</v>
      </c>
      <c r="U71" s="172">
        <v>1.2999999999999999E-4</v>
      </c>
      <c r="V71" s="172">
        <v>8.0323394434239095E-2</v>
      </c>
      <c r="W71" s="172">
        <v>1.49877348454787E-2</v>
      </c>
    </row>
    <row r="72" spans="1:23">
      <c r="A72" s="2">
        <v>161</v>
      </c>
      <c r="B72" s="2">
        <v>9938</v>
      </c>
      <c r="C72" s="2" t="s">
        <v>1457</v>
      </c>
      <c r="D72" s="2" t="s">
        <v>1458</v>
      </c>
      <c r="E72" s="4" t="s">
        <v>220</v>
      </c>
      <c r="F72" s="2" t="s">
        <v>1531</v>
      </c>
      <c r="G72" s="2" t="s">
        <v>1532</v>
      </c>
      <c r="H72" s="2" t="s">
        <v>223</v>
      </c>
      <c r="I72" s="2" t="s">
        <v>1030</v>
      </c>
      <c r="J72" s="2" t="s">
        <v>90</v>
      </c>
      <c r="K72" s="2" t="s">
        <v>91</v>
      </c>
      <c r="L72" s="2" t="s">
        <v>430</v>
      </c>
      <c r="M72" s="2" t="s">
        <v>781</v>
      </c>
      <c r="N72" s="2" t="s">
        <v>173</v>
      </c>
      <c r="O72" s="2" t="s">
        <v>95</v>
      </c>
      <c r="P72" s="157">
        <v>54800</v>
      </c>
      <c r="Q72" s="166">
        <v>3.71</v>
      </c>
      <c r="R72" s="183">
        <v>595.6</v>
      </c>
      <c r="T72" s="156">
        <v>1210.902</v>
      </c>
      <c r="U72" s="172">
        <v>0</v>
      </c>
      <c r="V72" s="172">
        <v>9.7854015143992806E-2</v>
      </c>
      <c r="W72" s="172">
        <v>1.8258815415779402E-2</v>
      </c>
    </row>
    <row r="73" spans="1:23">
      <c r="A73" s="2">
        <v>161</v>
      </c>
      <c r="B73" s="2">
        <v>9938</v>
      </c>
      <c r="C73" s="2" t="s">
        <v>1457</v>
      </c>
      <c r="D73" s="2" t="s">
        <v>1458</v>
      </c>
      <c r="E73" s="4" t="s">
        <v>220</v>
      </c>
      <c r="F73" s="2" t="s">
        <v>1535</v>
      </c>
      <c r="G73" s="2" t="s">
        <v>1536</v>
      </c>
      <c r="H73" s="2" t="s">
        <v>223</v>
      </c>
      <c r="I73" s="2" t="s">
        <v>1028</v>
      </c>
      <c r="J73" s="2" t="s">
        <v>90</v>
      </c>
      <c r="K73" s="2" t="s">
        <v>91</v>
      </c>
      <c r="L73" s="2" t="s">
        <v>394</v>
      </c>
      <c r="M73" s="2" t="s">
        <v>784</v>
      </c>
      <c r="N73" s="2" t="s">
        <v>173</v>
      </c>
      <c r="O73" s="2" t="s">
        <v>95</v>
      </c>
      <c r="P73" s="157">
        <v>440</v>
      </c>
      <c r="Q73" s="166">
        <v>3.71</v>
      </c>
      <c r="R73" s="183">
        <v>12710</v>
      </c>
      <c r="T73" s="156">
        <v>207.47800000000001</v>
      </c>
      <c r="U73" s="172">
        <v>1.7E-5</v>
      </c>
      <c r="V73" s="172">
        <v>1.6766469752983699E-2</v>
      </c>
      <c r="W73" s="172">
        <v>3.1284958102485399E-3</v>
      </c>
    </row>
    <row r="74" spans="1:23">
      <c r="A74" s="2">
        <v>161</v>
      </c>
      <c r="B74" s="2">
        <v>9938</v>
      </c>
      <c r="C74" s="2" t="s">
        <v>1457</v>
      </c>
      <c r="D74" s="2" t="s">
        <v>1458</v>
      </c>
      <c r="E74" s="4" t="s">
        <v>220</v>
      </c>
      <c r="F74" s="2" t="s">
        <v>1537</v>
      </c>
      <c r="G74" s="2" t="s">
        <v>1538</v>
      </c>
      <c r="H74" s="2" t="s">
        <v>223</v>
      </c>
      <c r="I74" s="2" t="s">
        <v>1028</v>
      </c>
      <c r="J74" s="2" t="s">
        <v>90</v>
      </c>
      <c r="K74" s="2" t="s">
        <v>91</v>
      </c>
      <c r="L74" s="2" t="s">
        <v>430</v>
      </c>
      <c r="M74" s="2" t="s">
        <v>784</v>
      </c>
      <c r="N74" s="2" t="s">
        <v>173</v>
      </c>
      <c r="O74" s="2" t="s">
        <v>95</v>
      </c>
      <c r="P74" s="157">
        <v>15</v>
      </c>
      <c r="Q74" s="166">
        <v>3.71</v>
      </c>
      <c r="R74" s="183">
        <v>114221</v>
      </c>
      <c r="T74" s="156">
        <v>63.564</v>
      </c>
      <c r="U74" s="172">
        <v>9.9999999999999995E-7</v>
      </c>
      <c r="V74" s="172">
        <v>5.1366576290739702E-3</v>
      </c>
      <c r="W74" s="172">
        <v>9.5846126871038996E-4</v>
      </c>
    </row>
    <row r="75" spans="1:23">
      <c r="A75" s="2">
        <v>161</v>
      </c>
      <c r="B75" s="2">
        <v>9938</v>
      </c>
      <c r="C75" s="2" t="s">
        <v>1501</v>
      </c>
      <c r="D75" s="2" t="s">
        <v>1502</v>
      </c>
      <c r="E75" s="4" t="s">
        <v>220</v>
      </c>
      <c r="F75" s="2" t="s">
        <v>1539</v>
      </c>
      <c r="G75" s="2" t="s">
        <v>1540</v>
      </c>
      <c r="H75" s="2" t="s">
        <v>223</v>
      </c>
      <c r="I75" s="2" t="s">
        <v>1028</v>
      </c>
      <c r="J75" s="2" t="s">
        <v>90</v>
      </c>
      <c r="K75" s="2" t="s">
        <v>347</v>
      </c>
      <c r="L75" s="2" t="s">
        <v>145</v>
      </c>
      <c r="M75" s="2" t="s">
        <v>784</v>
      </c>
      <c r="N75" s="2" t="s">
        <v>173</v>
      </c>
      <c r="O75" s="2" t="s">
        <v>1225</v>
      </c>
      <c r="P75" s="157">
        <v>1640</v>
      </c>
      <c r="Q75" s="166">
        <v>4.1524000000000001</v>
      </c>
      <c r="R75" s="183">
        <v>24366</v>
      </c>
      <c r="T75" s="156">
        <v>1659.309</v>
      </c>
      <c r="U75" s="172">
        <v>4.8000000000000001E-5</v>
      </c>
      <c r="V75" s="172">
        <v>0.13409011505954299</v>
      </c>
      <c r="W75" s="172">
        <v>2.50201962213824E-2</v>
      </c>
    </row>
    <row r="76" spans="1:23">
      <c r="A76" s="2">
        <v>161</v>
      </c>
      <c r="B76" s="2">
        <v>9938</v>
      </c>
      <c r="C76" s="2" t="s">
        <v>1411</v>
      </c>
      <c r="D76" s="2" t="s">
        <v>1412</v>
      </c>
      <c r="E76" s="4" t="s">
        <v>220</v>
      </c>
      <c r="F76" s="2" t="s">
        <v>1505</v>
      </c>
      <c r="G76" s="2" t="s">
        <v>1506</v>
      </c>
      <c r="H76" s="2" t="s">
        <v>223</v>
      </c>
      <c r="I76" s="2" t="s">
        <v>1028</v>
      </c>
      <c r="J76" s="2" t="s">
        <v>90</v>
      </c>
      <c r="K76" s="2" t="s">
        <v>91</v>
      </c>
      <c r="L76" s="2" t="s">
        <v>430</v>
      </c>
      <c r="M76" s="2" t="s">
        <v>784</v>
      </c>
      <c r="N76" s="2" t="s">
        <v>173</v>
      </c>
      <c r="O76" s="2" t="s">
        <v>95</v>
      </c>
      <c r="P76" s="157">
        <v>360</v>
      </c>
      <c r="Q76" s="166">
        <v>3.71</v>
      </c>
      <c r="R76" s="183">
        <v>112716</v>
      </c>
      <c r="T76" s="156">
        <v>1505.4349999999999</v>
      </c>
      <c r="U76" s="172">
        <v>1.7E-5</v>
      </c>
      <c r="V76" s="172">
        <v>0.121655422660009</v>
      </c>
      <c r="W76" s="172">
        <v>2.2699977138486298E-2</v>
      </c>
    </row>
    <row r="77" spans="1:23">
      <c r="A77" s="2">
        <v>161</v>
      </c>
      <c r="B77" s="2">
        <v>9938</v>
      </c>
      <c r="C77" s="2" t="s">
        <v>1453</v>
      </c>
      <c r="D77" s="2" t="s">
        <v>1454</v>
      </c>
      <c r="E77" s="4" t="s">
        <v>220</v>
      </c>
      <c r="F77" s="2" t="s">
        <v>1541</v>
      </c>
      <c r="G77" s="2" t="s">
        <v>1542</v>
      </c>
      <c r="H77" s="2" t="s">
        <v>223</v>
      </c>
      <c r="I77" s="2" t="s">
        <v>1028</v>
      </c>
      <c r="J77" s="2" t="s">
        <v>90</v>
      </c>
      <c r="K77" s="2" t="s">
        <v>91</v>
      </c>
      <c r="L77" s="2" t="s">
        <v>394</v>
      </c>
      <c r="M77" s="2" t="s">
        <v>784</v>
      </c>
      <c r="N77" s="2" t="s">
        <v>173</v>
      </c>
      <c r="O77" s="2" t="s">
        <v>95</v>
      </c>
      <c r="P77" s="157">
        <v>500</v>
      </c>
      <c r="Q77" s="166">
        <v>3.71</v>
      </c>
      <c r="R77" s="183">
        <v>57376</v>
      </c>
      <c r="S77" s="161">
        <v>0.65300000000000002</v>
      </c>
      <c r="T77" s="156">
        <v>1066.7470000000001</v>
      </c>
      <c r="U77" s="172">
        <v>0</v>
      </c>
      <c r="V77" s="172">
        <v>8.6204727484085003E-2</v>
      </c>
      <c r="W77" s="172">
        <v>1.6085146887261901E-2</v>
      </c>
    </row>
    <row r="78" spans="1:23">
      <c r="A78" s="2">
        <v>161</v>
      </c>
      <c r="B78" s="2">
        <v>9938</v>
      </c>
      <c r="C78" s="2" t="s">
        <v>1507</v>
      </c>
      <c r="D78" s="2" t="s">
        <v>1454</v>
      </c>
      <c r="E78" s="4" t="s">
        <v>220</v>
      </c>
      <c r="F78" s="2" t="s">
        <v>1508</v>
      </c>
      <c r="G78" s="2" t="s">
        <v>1509</v>
      </c>
      <c r="H78" s="2" t="s">
        <v>223</v>
      </c>
      <c r="I78" s="2" t="s">
        <v>1028</v>
      </c>
      <c r="J78" s="2" t="s">
        <v>90</v>
      </c>
      <c r="K78" s="2" t="s">
        <v>91</v>
      </c>
      <c r="L78" s="2" t="s">
        <v>430</v>
      </c>
      <c r="M78" s="2" t="s">
        <v>784</v>
      </c>
      <c r="N78" s="2" t="s">
        <v>173</v>
      </c>
      <c r="O78" s="2" t="s">
        <v>95</v>
      </c>
      <c r="P78" s="157">
        <v>1280</v>
      </c>
      <c r="Q78" s="166">
        <v>3.71</v>
      </c>
      <c r="R78" s="183">
        <v>1392.6</v>
      </c>
      <c r="T78" s="156">
        <v>66.132000000000005</v>
      </c>
      <c r="U78" s="172">
        <v>0</v>
      </c>
      <c r="V78" s="172">
        <v>5.3441638287401796E-3</v>
      </c>
      <c r="W78" s="172">
        <v>9.971803482674191E-4</v>
      </c>
    </row>
    <row r="79" spans="1:23">
      <c r="A79" s="2">
        <v>161</v>
      </c>
      <c r="B79" s="2">
        <v>9938</v>
      </c>
      <c r="C79" s="2" t="s">
        <v>1465</v>
      </c>
      <c r="D79" s="2" t="s">
        <v>1466</v>
      </c>
      <c r="E79" s="4" t="s">
        <v>220</v>
      </c>
      <c r="F79" s="2" t="s">
        <v>1467</v>
      </c>
      <c r="G79" s="2" t="s">
        <v>1468</v>
      </c>
      <c r="H79" s="2" t="s">
        <v>223</v>
      </c>
      <c r="I79" s="2" t="s">
        <v>1028</v>
      </c>
      <c r="J79" s="2" t="s">
        <v>90</v>
      </c>
      <c r="K79" s="2" t="s">
        <v>91</v>
      </c>
      <c r="L79" s="2" t="s">
        <v>394</v>
      </c>
      <c r="M79" s="2" t="s">
        <v>784</v>
      </c>
      <c r="N79" s="2" t="s">
        <v>173</v>
      </c>
      <c r="O79" s="2" t="s">
        <v>95</v>
      </c>
      <c r="P79" s="157">
        <v>730</v>
      </c>
      <c r="Q79" s="166">
        <v>3.71</v>
      </c>
      <c r="R79" s="183">
        <v>52767</v>
      </c>
      <c r="S79" s="161">
        <v>1.196</v>
      </c>
      <c r="T79" s="156">
        <v>1433.5260000000001</v>
      </c>
      <c r="U79" s="172">
        <v>9.9999999999999995E-7</v>
      </c>
      <c r="V79" s="172">
        <v>0.115844445583572</v>
      </c>
      <c r="W79" s="172">
        <v>2.1615692986549799E-2</v>
      </c>
    </row>
    <row r="80" spans="1:23">
      <c r="A80" s="2">
        <v>161</v>
      </c>
      <c r="B80" s="2">
        <v>9942</v>
      </c>
      <c r="C80" s="2" t="s">
        <v>1394</v>
      </c>
      <c r="D80" s="2" t="s">
        <v>1395</v>
      </c>
      <c r="E80" s="4" t="s">
        <v>1363</v>
      </c>
      <c r="F80" s="2" t="s">
        <v>1469</v>
      </c>
      <c r="G80" s="2" t="s">
        <v>1470</v>
      </c>
      <c r="H80" s="2" t="s">
        <v>223</v>
      </c>
      <c r="I80" s="2" t="s">
        <v>1029</v>
      </c>
      <c r="J80" s="2" t="s">
        <v>30</v>
      </c>
      <c r="K80" s="2" t="s">
        <v>30</v>
      </c>
      <c r="L80" s="2" t="s">
        <v>31</v>
      </c>
      <c r="M80" s="2" t="s">
        <v>1425</v>
      </c>
      <c r="N80" s="2" t="s">
        <v>173</v>
      </c>
      <c r="O80" s="2" t="s">
        <v>34</v>
      </c>
      <c r="P80" s="157">
        <v>140000</v>
      </c>
      <c r="Q80" s="166">
        <v>1</v>
      </c>
      <c r="R80" s="183">
        <v>452.06</v>
      </c>
      <c r="T80" s="156">
        <v>632.88400000000001</v>
      </c>
      <c r="U80" s="172">
        <v>5.6899999999999995E-4</v>
      </c>
      <c r="V80" s="172">
        <v>5.1177954915571797E-2</v>
      </c>
      <c r="W80" s="172">
        <v>6.9052523437139503E-3</v>
      </c>
    </row>
    <row r="81" spans="1:23">
      <c r="A81" s="2">
        <v>161</v>
      </c>
      <c r="B81" s="2">
        <v>9942</v>
      </c>
      <c r="C81" s="2" t="s">
        <v>1429</v>
      </c>
      <c r="D81" s="2" t="s">
        <v>1430</v>
      </c>
      <c r="E81" s="4" t="s">
        <v>1363</v>
      </c>
      <c r="F81" s="2" t="s">
        <v>1431</v>
      </c>
      <c r="G81" s="2" t="s">
        <v>1432</v>
      </c>
      <c r="H81" s="2" t="s">
        <v>223</v>
      </c>
      <c r="I81" s="2" t="s">
        <v>1027</v>
      </c>
      <c r="J81" s="2" t="s">
        <v>30</v>
      </c>
      <c r="K81" s="2" t="s">
        <v>30</v>
      </c>
      <c r="L81" s="2" t="s">
        <v>31</v>
      </c>
      <c r="M81" s="2" t="s">
        <v>1398</v>
      </c>
      <c r="N81" s="2" t="s">
        <v>173</v>
      </c>
      <c r="O81" s="2" t="s">
        <v>34</v>
      </c>
      <c r="P81" s="157">
        <v>23600</v>
      </c>
      <c r="Q81" s="166">
        <v>1</v>
      </c>
      <c r="R81" s="183">
        <v>2013</v>
      </c>
      <c r="T81" s="156">
        <v>475.06799999999998</v>
      </c>
      <c r="U81" s="172">
        <v>4.84E-4</v>
      </c>
      <c r="V81" s="172">
        <v>3.8416216377457603E-2</v>
      </c>
      <c r="W81" s="172">
        <v>5.1833581200085603E-3</v>
      </c>
    </row>
    <row r="82" spans="1:23">
      <c r="A82" s="2">
        <v>161</v>
      </c>
      <c r="B82" s="2">
        <v>9942</v>
      </c>
      <c r="C82" s="2" t="s">
        <v>1429</v>
      </c>
      <c r="D82" s="2" t="s">
        <v>1430</v>
      </c>
      <c r="E82" s="4" t="s">
        <v>1363</v>
      </c>
      <c r="F82" s="2" t="s">
        <v>1473</v>
      </c>
      <c r="G82" s="2" t="s">
        <v>1474</v>
      </c>
      <c r="H82" s="2" t="s">
        <v>223</v>
      </c>
      <c r="I82" s="2" t="s">
        <v>1029</v>
      </c>
      <c r="J82" s="2" t="s">
        <v>30</v>
      </c>
      <c r="K82" s="2" t="s">
        <v>30</v>
      </c>
      <c r="L82" s="2" t="s">
        <v>31</v>
      </c>
      <c r="M82" s="2" t="s">
        <v>1425</v>
      </c>
      <c r="N82" s="2" t="s">
        <v>173</v>
      </c>
      <c r="O82" s="2" t="s">
        <v>34</v>
      </c>
      <c r="P82" s="157">
        <v>183000</v>
      </c>
      <c r="Q82" s="166">
        <v>1</v>
      </c>
      <c r="R82" s="183">
        <v>389.18</v>
      </c>
      <c r="T82" s="156">
        <v>712.19899999999996</v>
      </c>
      <c r="U82" s="172">
        <v>8.03E-4</v>
      </c>
      <c r="V82" s="172">
        <v>5.7591768450612299E-2</v>
      </c>
      <c r="W82" s="172">
        <v>7.7706445036399502E-3</v>
      </c>
    </row>
    <row r="83" spans="1:23">
      <c r="A83" s="2">
        <v>161</v>
      </c>
      <c r="B83" s="2">
        <v>9942</v>
      </c>
      <c r="C83" s="2" t="s">
        <v>1399</v>
      </c>
      <c r="D83" s="2" t="s">
        <v>1400</v>
      </c>
      <c r="E83" s="4" t="s">
        <v>1363</v>
      </c>
      <c r="F83" s="2" t="s">
        <v>1491</v>
      </c>
      <c r="G83" s="2" t="s">
        <v>1492</v>
      </c>
      <c r="H83" s="2" t="s">
        <v>223</v>
      </c>
      <c r="I83" s="2" t="s">
        <v>1027</v>
      </c>
      <c r="J83" s="2" t="s">
        <v>30</v>
      </c>
      <c r="K83" s="2" t="s">
        <v>30</v>
      </c>
      <c r="L83" s="2" t="s">
        <v>31</v>
      </c>
      <c r="M83" s="2" t="s">
        <v>1398</v>
      </c>
      <c r="N83" s="2" t="s">
        <v>173</v>
      </c>
      <c r="O83" s="2" t="s">
        <v>34</v>
      </c>
      <c r="P83" s="157">
        <v>4400</v>
      </c>
      <c r="Q83" s="166">
        <v>1</v>
      </c>
      <c r="R83" s="183">
        <v>20710</v>
      </c>
      <c r="T83" s="156">
        <v>911.24</v>
      </c>
      <c r="U83" s="172">
        <v>1.6799999999999999E-4</v>
      </c>
      <c r="V83" s="172">
        <v>7.3687120605459594E-2</v>
      </c>
      <c r="W83" s="172">
        <v>9.9423308942648194E-3</v>
      </c>
    </row>
    <row r="84" spans="1:23">
      <c r="A84" s="2">
        <v>161</v>
      </c>
      <c r="B84" s="2">
        <v>9942</v>
      </c>
      <c r="C84" s="2" t="s">
        <v>1457</v>
      </c>
      <c r="D84" s="2" t="s">
        <v>1458</v>
      </c>
      <c r="E84" s="4" t="s">
        <v>220</v>
      </c>
      <c r="F84" s="2" t="s">
        <v>1529</v>
      </c>
      <c r="G84" s="2" t="s">
        <v>1530</v>
      </c>
      <c r="H84" s="2" t="s">
        <v>223</v>
      </c>
      <c r="I84" s="2" t="s">
        <v>1030</v>
      </c>
      <c r="J84" s="2" t="s">
        <v>90</v>
      </c>
      <c r="K84" s="2" t="s">
        <v>350</v>
      </c>
      <c r="L84" s="2" t="s">
        <v>430</v>
      </c>
      <c r="M84" s="2" t="s">
        <v>781</v>
      </c>
      <c r="N84" s="2" t="s">
        <v>173</v>
      </c>
      <c r="O84" s="2" t="s">
        <v>95</v>
      </c>
      <c r="P84" s="157">
        <v>70000</v>
      </c>
      <c r="Q84" s="166">
        <v>3.71</v>
      </c>
      <c r="R84" s="183">
        <v>608.9</v>
      </c>
      <c r="T84" s="156">
        <v>1581.3130000000001</v>
      </c>
      <c r="U84" s="172">
        <v>2.0599999999999999E-4</v>
      </c>
      <c r="V84" s="172">
        <v>0.12787237594060499</v>
      </c>
      <c r="W84" s="172">
        <v>1.72533471709998E-2</v>
      </c>
    </row>
    <row r="85" spans="1:23">
      <c r="A85" s="2">
        <v>161</v>
      </c>
      <c r="B85" s="2">
        <v>9942</v>
      </c>
      <c r="C85" s="2" t="s">
        <v>1457</v>
      </c>
      <c r="D85" s="2" t="s">
        <v>1458</v>
      </c>
      <c r="E85" s="4" t="s">
        <v>220</v>
      </c>
      <c r="F85" s="2" t="s">
        <v>1531</v>
      </c>
      <c r="G85" s="2" t="s">
        <v>1532</v>
      </c>
      <c r="H85" s="2" t="s">
        <v>223</v>
      </c>
      <c r="I85" s="2" t="s">
        <v>1030</v>
      </c>
      <c r="J85" s="2" t="s">
        <v>90</v>
      </c>
      <c r="K85" s="2" t="s">
        <v>91</v>
      </c>
      <c r="L85" s="2" t="s">
        <v>430</v>
      </c>
      <c r="M85" s="2" t="s">
        <v>781</v>
      </c>
      <c r="N85" s="2" t="s">
        <v>173</v>
      </c>
      <c r="O85" s="2" t="s">
        <v>95</v>
      </c>
      <c r="P85" s="157">
        <v>67400</v>
      </c>
      <c r="Q85" s="166">
        <v>3.71</v>
      </c>
      <c r="R85" s="183">
        <v>595.6</v>
      </c>
      <c r="T85" s="156">
        <v>1489.3219999999999</v>
      </c>
      <c r="U85" s="172">
        <v>0</v>
      </c>
      <c r="V85" s="172">
        <v>0.12043349954787599</v>
      </c>
      <c r="W85" s="172">
        <v>1.6249647067503498E-2</v>
      </c>
    </row>
    <row r="86" spans="1:23">
      <c r="A86" s="2">
        <v>161</v>
      </c>
      <c r="B86" s="2">
        <v>9942</v>
      </c>
      <c r="C86" s="2" t="s">
        <v>1457</v>
      </c>
      <c r="D86" s="2" t="s">
        <v>1458</v>
      </c>
      <c r="E86" s="4" t="s">
        <v>220</v>
      </c>
      <c r="F86" s="2" t="s">
        <v>1535</v>
      </c>
      <c r="G86" s="2" t="s">
        <v>1536</v>
      </c>
      <c r="H86" s="2" t="s">
        <v>223</v>
      </c>
      <c r="I86" s="2" t="s">
        <v>1028</v>
      </c>
      <c r="J86" s="2" t="s">
        <v>90</v>
      </c>
      <c r="K86" s="2" t="s">
        <v>91</v>
      </c>
      <c r="L86" s="2" t="s">
        <v>394</v>
      </c>
      <c r="M86" s="2" t="s">
        <v>784</v>
      </c>
      <c r="N86" s="2" t="s">
        <v>173</v>
      </c>
      <c r="O86" s="2" t="s">
        <v>95</v>
      </c>
      <c r="P86" s="157">
        <v>510</v>
      </c>
      <c r="Q86" s="166">
        <v>3.71</v>
      </c>
      <c r="R86" s="183">
        <v>12710</v>
      </c>
      <c r="T86" s="156">
        <v>240.48599999999999</v>
      </c>
      <c r="U86" s="172">
        <v>2.0000000000000002E-5</v>
      </c>
      <c r="V86" s="172">
        <v>1.9446813412584699E-2</v>
      </c>
      <c r="W86" s="172">
        <v>2.6238866737943799E-3</v>
      </c>
    </row>
    <row r="87" spans="1:23">
      <c r="A87" s="2">
        <v>161</v>
      </c>
      <c r="B87" s="2">
        <v>9942</v>
      </c>
      <c r="C87" s="2" t="s">
        <v>1457</v>
      </c>
      <c r="D87" s="2" t="s">
        <v>1458</v>
      </c>
      <c r="E87" s="4" t="s">
        <v>220</v>
      </c>
      <c r="F87" s="2" t="s">
        <v>1537</v>
      </c>
      <c r="G87" s="2" t="s">
        <v>1538</v>
      </c>
      <c r="H87" s="2" t="s">
        <v>223</v>
      </c>
      <c r="I87" s="2" t="s">
        <v>1028</v>
      </c>
      <c r="J87" s="2" t="s">
        <v>90</v>
      </c>
      <c r="K87" s="2" t="s">
        <v>91</v>
      </c>
      <c r="L87" s="2" t="s">
        <v>430</v>
      </c>
      <c r="M87" s="2" t="s">
        <v>784</v>
      </c>
      <c r="N87" s="2" t="s">
        <v>173</v>
      </c>
      <c r="O87" s="2" t="s">
        <v>95</v>
      </c>
      <c r="P87" s="157">
        <v>6</v>
      </c>
      <c r="Q87" s="166">
        <v>3.71</v>
      </c>
      <c r="R87" s="183">
        <v>114221</v>
      </c>
      <c r="T87" s="156">
        <v>25.425999999999998</v>
      </c>
      <c r="U87" s="172">
        <v>9.9999999999999995E-7</v>
      </c>
      <c r="V87" s="172">
        <v>2.05603228101897E-3</v>
      </c>
      <c r="W87" s="172">
        <v>2.7741283821675202E-4</v>
      </c>
    </row>
    <row r="88" spans="1:23">
      <c r="A88" s="2">
        <v>161</v>
      </c>
      <c r="B88" s="2">
        <v>9942</v>
      </c>
      <c r="C88" s="2" t="s">
        <v>1501</v>
      </c>
      <c r="D88" s="2" t="s">
        <v>1502</v>
      </c>
      <c r="E88" s="4" t="s">
        <v>220</v>
      </c>
      <c r="F88" s="2" t="s">
        <v>1539</v>
      </c>
      <c r="G88" s="2" t="s">
        <v>1540</v>
      </c>
      <c r="H88" s="2" t="s">
        <v>223</v>
      </c>
      <c r="I88" s="2" t="s">
        <v>1028</v>
      </c>
      <c r="J88" s="2" t="s">
        <v>90</v>
      </c>
      <c r="K88" s="2" t="s">
        <v>347</v>
      </c>
      <c r="L88" s="2" t="s">
        <v>145</v>
      </c>
      <c r="M88" s="2" t="s">
        <v>784</v>
      </c>
      <c r="N88" s="2" t="s">
        <v>173</v>
      </c>
      <c r="O88" s="2" t="s">
        <v>1225</v>
      </c>
      <c r="P88" s="157">
        <v>960</v>
      </c>
      <c r="Q88" s="166">
        <v>4.1524000000000001</v>
      </c>
      <c r="R88" s="183">
        <v>24366</v>
      </c>
      <c r="T88" s="156">
        <v>971.303</v>
      </c>
      <c r="U88" s="172">
        <v>2.8E-5</v>
      </c>
      <c r="V88" s="172">
        <v>7.8544081661437407E-2</v>
      </c>
      <c r="W88" s="172">
        <v>1.05976627020802E-2</v>
      </c>
    </row>
    <row r="89" spans="1:23">
      <c r="A89" s="2">
        <v>161</v>
      </c>
      <c r="B89" s="2">
        <v>9942</v>
      </c>
      <c r="C89" s="2" t="s">
        <v>1411</v>
      </c>
      <c r="D89" s="2" t="s">
        <v>1412</v>
      </c>
      <c r="E89" s="4" t="s">
        <v>220</v>
      </c>
      <c r="F89" s="2" t="s">
        <v>1505</v>
      </c>
      <c r="G89" s="2" t="s">
        <v>1506</v>
      </c>
      <c r="H89" s="2" t="s">
        <v>223</v>
      </c>
      <c r="I89" s="2" t="s">
        <v>1028</v>
      </c>
      <c r="J89" s="2" t="s">
        <v>90</v>
      </c>
      <c r="K89" s="2" t="s">
        <v>91</v>
      </c>
      <c r="L89" s="2" t="s">
        <v>430</v>
      </c>
      <c r="M89" s="2" t="s">
        <v>784</v>
      </c>
      <c r="N89" s="2" t="s">
        <v>173</v>
      </c>
      <c r="O89" s="2" t="s">
        <v>95</v>
      </c>
      <c r="P89" s="157">
        <v>730</v>
      </c>
      <c r="Q89" s="166">
        <v>3.71</v>
      </c>
      <c r="R89" s="183">
        <v>112716</v>
      </c>
      <c r="T89" s="156">
        <v>3052.6869999999999</v>
      </c>
      <c r="U89" s="172">
        <v>3.4E-5</v>
      </c>
      <c r="V89" s="172">
        <v>0.24685455717243099</v>
      </c>
      <c r="W89" s="172">
        <v>3.3307173221037503E-2</v>
      </c>
    </row>
    <row r="90" spans="1:23">
      <c r="A90" s="2">
        <v>161</v>
      </c>
      <c r="B90" s="2">
        <v>9942</v>
      </c>
      <c r="C90" s="2" t="s">
        <v>1507</v>
      </c>
      <c r="D90" s="2" t="s">
        <v>1454</v>
      </c>
      <c r="E90" s="4" t="s">
        <v>220</v>
      </c>
      <c r="F90" s="2" t="s">
        <v>1508</v>
      </c>
      <c r="G90" s="2" t="s">
        <v>1509</v>
      </c>
      <c r="H90" s="2" t="s">
        <v>223</v>
      </c>
      <c r="I90" s="2" t="s">
        <v>1028</v>
      </c>
      <c r="J90" s="2" t="s">
        <v>90</v>
      </c>
      <c r="K90" s="2" t="s">
        <v>91</v>
      </c>
      <c r="L90" s="2" t="s">
        <v>430</v>
      </c>
      <c r="M90" s="2" t="s">
        <v>784</v>
      </c>
      <c r="N90" s="2" t="s">
        <v>173</v>
      </c>
      <c r="O90" s="2" t="s">
        <v>95</v>
      </c>
      <c r="P90" s="157">
        <v>540</v>
      </c>
      <c r="Q90" s="166">
        <v>3.71</v>
      </c>
      <c r="R90" s="183">
        <v>1392.6</v>
      </c>
      <c r="T90" s="156">
        <v>27.899000000000001</v>
      </c>
      <c r="U90" s="172">
        <v>0</v>
      </c>
      <c r="V90" s="172">
        <v>2.2560715622278798E-3</v>
      </c>
      <c r="W90" s="172">
        <v>3.0440339924408199E-4</v>
      </c>
    </row>
    <row r="91" spans="1:23">
      <c r="A91" s="2">
        <v>161</v>
      </c>
      <c r="B91" s="2">
        <v>9942</v>
      </c>
      <c r="C91" s="2" t="s">
        <v>1465</v>
      </c>
      <c r="D91" s="2" t="s">
        <v>1466</v>
      </c>
      <c r="E91" s="4" t="s">
        <v>220</v>
      </c>
      <c r="F91" s="2" t="s">
        <v>1467</v>
      </c>
      <c r="G91" s="2" t="s">
        <v>1468</v>
      </c>
      <c r="H91" s="2" t="s">
        <v>223</v>
      </c>
      <c r="I91" s="2" t="s">
        <v>1028</v>
      </c>
      <c r="J91" s="2" t="s">
        <v>90</v>
      </c>
      <c r="K91" s="2" t="s">
        <v>91</v>
      </c>
      <c r="L91" s="2" t="s">
        <v>394</v>
      </c>
      <c r="M91" s="2" t="s">
        <v>784</v>
      </c>
      <c r="N91" s="2" t="s">
        <v>173</v>
      </c>
      <c r="O91" s="2" t="s">
        <v>95</v>
      </c>
      <c r="P91" s="157">
        <v>1144</v>
      </c>
      <c r="Q91" s="166">
        <v>3.71</v>
      </c>
      <c r="R91" s="183">
        <v>52767</v>
      </c>
      <c r="S91" s="161">
        <v>1.875</v>
      </c>
      <c r="T91" s="156">
        <v>2246.5129999999999</v>
      </c>
      <c r="U91" s="172">
        <v>9.9999999999999995E-7</v>
      </c>
      <c r="V91" s="172">
        <v>0.181663508072716</v>
      </c>
      <c r="W91" s="172">
        <v>2.45111858603154E-2</v>
      </c>
    </row>
    <row r="92" spans="1:23">
      <c r="A92" s="2">
        <v>161</v>
      </c>
      <c r="B92" s="2">
        <v>9943</v>
      </c>
      <c r="C92" s="2" t="s">
        <v>1394</v>
      </c>
      <c r="D92" s="2" t="s">
        <v>1395</v>
      </c>
      <c r="E92" s="4" t="s">
        <v>1363</v>
      </c>
      <c r="F92" s="2" t="s">
        <v>1543</v>
      </c>
      <c r="G92" s="2" t="s">
        <v>1544</v>
      </c>
      <c r="H92" s="2" t="s">
        <v>223</v>
      </c>
      <c r="I92" s="2" t="s">
        <v>1027</v>
      </c>
      <c r="J92" s="2" t="s">
        <v>30</v>
      </c>
      <c r="K92" s="2" t="s">
        <v>30</v>
      </c>
      <c r="L92" s="2" t="s">
        <v>31</v>
      </c>
      <c r="M92" s="2" t="s">
        <v>1398</v>
      </c>
      <c r="N92" s="2" t="s">
        <v>173</v>
      </c>
      <c r="O92" s="2" t="s">
        <v>34</v>
      </c>
      <c r="P92" s="157">
        <v>236000</v>
      </c>
      <c r="Q92" s="166">
        <v>1</v>
      </c>
      <c r="R92" s="183">
        <v>3034</v>
      </c>
      <c r="T92" s="156">
        <v>7160.24</v>
      </c>
      <c r="U92" s="172">
        <v>6.5519999999999997E-3</v>
      </c>
      <c r="V92" s="172">
        <v>1.3220184231101899E-2</v>
      </c>
      <c r="W92" s="172">
        <v>3.9267372257934504E-3</v>
      </c>
    </row>
    <row r="93" spans="1:23">
      <c r="A93" s="2">
        <v>161</v>
      </c>
      <c r="B93" s="2">
        <v>9943</v>
      </c>
      <c r="C93" s="2" t="s">
        <v>1394</v>
      </c>
      <c r="D93" s="2" t="s">
        <v>1395</v>
      </c>
      <c r="E93" s="4" t="s">
        <v>1363</v>
      </c>
      <c r="F93" s="2" t="s">
        <v>1469</v>
      </c>
      <c r="G93" s="2" t="s">
        <v>1470</v>
      </c>
      <c r="H93" s="2" t="s">
        <v>223</v>
      </c>
      <c r="I93" s="2" t="s">
        <v>1029</v>
      </c>
      <c r="J93" s="2" t="s">
        <v>30</v>
      </c>
      <c r="K93" s="2" t="s">
        <v>30</v>
      </c>
      <c r="L93" s="2" t="s">
        <v>31</v>
      </c>
      <c r="M93" s="2" t="s">
        <v>1425</v>
      </c>
      <c r="N93" s="2" t="s">
        <v>173</v>
      </c>
      <c r="O93" s="2" t="s">
        <v>34</v>
      </c>
      <c r="P93" s="157">
        <v>400000</v>
      </c>
      <c r="Q93" s="166">
        <v>1</v>
      </c>
      <c r="R93" s="183">
        <v>452.06</v>
      </c>
      <c r="T93" s="156">
        <v>1808.24</v>
      </c>
      <c r="U93" s="172">
        <v>1.624E-3</v>
      </c>
      <c r="V93" s="172">
        <v>3.3386123836697699E-3</v>
      </c>
      <c r="W93" s="172">
        <v>9.9165437487692401E-4</v>
      </c>
    </row>
    <row r="94" spans="1:23">
      <c r="A94" s="2">
        <v>161</v>
      </c>
      <c r="B94" s="2">
        <v>9943</v>
      </c>
      <c r="C94" s="2" t="s">
        <v>1429</v>
      </c>
      <c r="D94" s="2" t="s">
        <v>1430</v>
      </c>
      <c r="E94" s="4" t="s">
        <v>1363</v>
      </c>
      <c r="F94" s="2" t="s">
        <v>1431</v>
      </c>
      <c r="G94" s="2" t="s">
        <v>1432</v>
      </c>
      <c r="H94" s="2" t="s">
        <v>223</v>
      </c>
      <c r="I94" s="2" t="s">
        <v>1027</v>
      </c>
      <c r="J94" s="2" t="s">
        <v>30</v>
      </c>
      <c r="K94" s="2" t="s">
        <v>30</v>
      </c>
      <c r="L94" s="2" t="s">
        <v>31</v>
      </c>
      <c r="M94" s="2" t="s">
        <v>1398</v>
      </c>
      <c r="N94" s="2" t="s">
        <v>173</v>
      </c>
      <c r="O94" s="2" t="s">
        <v>34</v>
      </c>
      <c r="P94" s="157">
        <v>260700</v>
      </c>
      <c r="Q94" s="166">
        <v>1</v>
      </c>
      <c r="R94" s="183">
        <v>2013</v>
      </c>
      <c r="T94" s="156">
        <v>5247.8909999999996</v>
      </c>
      <c r="U94" s="172">
        <v>5.3439999999999998E-3</v>
      </c>
      <c r="V94" s="172">
        <v>9.68935201120932E-3</v>
      </c>
      <c r="W94" s="172">
        <v>2.8779885795177798E-3</v>
      </c>
    </row>
    <row r="95" spans="1:23">
      <c r="A95" s="2">
        <v>161</v>
      </c>
      <c r="B95" s="2">
        <v>9943</v>
      </c>
      <c r="C95" s="2" t="s">
        <v>1429</v>
      </c>
      <c r="D95" s="2" t="s">
        <v>1430</v>
      </c>
      <c r="E95" s="4" t="s">
        <v>1363</v>
      </c>
      <c r="F95" s="2" t="s">
        <v>1473</v>
      </c>
      <c r="G95" s="2" t="s">
        <v>1474</v>
      </c>
      <c r="H95" s="2" t="s">
        <v>223</v>
      </c>
      <c r="I95" s="2" t="s">
        <v>1029</v>
      </c>
      <c r="J95" s="2" t="s">
        <v>30</v>
      </c>
      <c r="K95" s="2" t="s">
        <v>30</v>
      </c>
      <c r="L95" s="2" t="s">
        <v>31</v>
      </c>
      <c r="M95" s="2" t="s">
        <v>1425</v>
      </c>
      <c r="N95" s="2" t="s">
        <v>173</v>
      </c>
      <c r="O95" s="2" t="s">
        <v>34</v>
      </c>
      <c r="P95" s="157">
        <v>830000</v>
      </c>
      <c r="Q95" s="166">
        <v>1</v>
      </c>
      <c r="R95" s="183">
        <v>389.18</v>
      </c>
      <c r="T95" s="156">
        <v>3230.194</v>
      </c>
      <c r="U95" s="172">
        <v>3.6410000000000001E-3</v>
      </c>
      <c r="V95" s="172">
        <v>5.9640123490553197E-3</v>
      </c>
      <c r="W95" s="172">
        <v>1.7714661835824799E-3</v>
      </c>
    </row>
    <row r="96" spans="1:23">
      <c r="A96" s="2">
        <v>161</v>
      </c>
      <c r="B96" s="2">
        <v>9943</v>
      </c>
      <c r="C96" s="2" t="s">
        <v>1429</v>
      </c>
      <c r="D96" s="2" t="s">
        <v>1430</v>
      </c>
      <c r="E96" s="4" t="s">
        <v>1363</v>
      </c>
      <c r="F96" s="2" t="s">
        <v>1435</v>
      </c>
      <c r="G96" s="2" t="s">
        <v>1436</v>
      </c>
      <c r="H96" s="2" t="s">
        <v>223</v>
      </c>
      <c r="I96" s="2" t="s">
        <v>1027</v>
      </c>
      <c r="J96" s="2" t="s">
        <v>30</v>
      </c>
      <c r="K96" s="2" t="s">
        <v>30</v>
      </c>
      <c r="L96" s="2" t="s">
        <v>31</v>
      </c>
      <c r="M96" s="2" t="s">
        <v>1398</v>
      </c>
      <c r="N96" s="2" t="s">
        <v>173</v>
      </c>
      <c r="O96" s="2" t="s">
        <v>34</v>
      </c>
      <c r="P96" s="157">
        <v>224853</v>
      </c>
      <c r="Q96" s="166">
        <v>1</v>
      </c>
      <c r="R96" s="183">
        <v>2076</v>
      </c>
      <c r="T96" s="156">
        <v>4667.9480000000003</v>
      </c>
      <c r="U96" s="172">
        <v>3.117E-3</v>
      </c>
      <c r="V96" s="172">
        <v>8.6185848858215796E-3</v>
      </c>
      <c r="W96" s="172">
        <v>2.5599430017924701E-3</v>
      </c>
    </row>
    <row r="97" spans="1:23">
      <c r="A97" s="2">
        <v>161</v>
      </c>
      <c r="B97" s="2">
        <v>9943</v>
      </c>
      <c r="C97" s="2" t="s">
        <v>1437</v>
      </c>
      <c r="D97" s="2" t="s">
        <v>1438</v>
      </c>
      <c r="E97" s="4" t="s">
        <v>1363</v>
      </c>
      <c r="F97" s="2" t="s">
        <v>1439</v>
      </c>
      <c r="G97" s="2" t="s">
        <v>1440</v>
      </c>
      <c r="H97" s="2" t="s">
        <v>223</v>
      </c>
      <c r="I97" s="2" t="s">
        <v>1028</v>
      </c>
      <c r="J97" s="2" t="s">
        <v>30</v>
      </c>
      <c r="K97" s="2" t="s">
        <v>91</v>
      </c>
      <c r="L97" s="2" t="s">
        <v>31</v>
      </c>
      <c r="M97" s="2" t="s">
        <v>1428</v>
      </c>
      <c r="N97" s="19" t="s">
        <v>173</v>
      </c>
      <c r="O97" s="2" t="s">
        <v>34</v>
      </c>
      <c r="P97" s="157">
        <v>359330</v>
      </c>
      <c r="Q97" s="166">
        <v>1</v>
      </c>
      <c r="R97" s="183">
        <v>9006</v>
      </c>
      <c r="T97" s="156">
        <v>32361.26</v>
      </c>
      <c r="U97" s="172">
        <v>2.6616999999999998E-2</v>
      </c>
      <c r="V97" s="172">
        <v>5.9749647568594202E-2</v>
      </c>
      <c r="W97" s="172">
        <v>1.7747193324558E-2</v>
      </c>
    </row>
    <row r="98" spans="1:23">
      <c r="A98" s="2">
        <v>161</v>
      </c>
      <c r="B98" s="2">
        <v>9943</v>
      </c>
      <c r="C98" s="2" t="s">
        <v>1399</v>
      </c>
      <c r="D98" s="2" t="s">
        <v>1400</v>
      </c>
      <c r="E98" s="4" t="s">
        <v>1363</v>
      </c>
      <c r="F98" s="2" t="s">
        <v>1491</v>
      </c>
      <c r="G98" s="2" t="s">
        <v>1492</v>
      </c>
      <c r="H98" s="2" t="s">
        <v>223</v>
      </c>
      <c r="I98" s="2" t="s">
        <v>1027</v>
      </c>
      <c r="J98" s="2" t="s">
        <v>30</v>
      </c>
      <c r="K98" s="2" t="s">
        <v>30</v>
      </c>
      <c r="L98" s="2" t="s">
        <v>31</v>
      </c>
      <c r="M98" s="2" t="s">
        <v>1398</v>
      </c>
      <c r="N98" s="2" t="s">
        <v>173</v>
      </c>
      <c r="O98" s="2" t="s">
        <v>34</v>
      </c>
      <c r="P98" s="157">
        <v>63000</v>
      </c>
      <c r="Q98" s="166">
        <v>1</v>
      </c>
      <c r="R98" s="183">
        <v>20710</v>
      </c>
      <c r="T98" s="156">
        <v>13047.3</v>
      </c>
      <c r="U98" s="172">
        <v>2.398E-3</v>
      </c>
      <c r="V98" s="172">
        <v>2.4089654776719101E-2</v>
      </c>
      <c r="W98" s="172">
        <v>7.1552515845970102E-3</v>
      </c>
    </row>
    <row r="99" spans="1:23">
      <c r="A99" s="2">
        <v>161</v>
      </c>
      <c r="B99" s="2">
        <v>9943</v>
      </c>
      <c r="C99" s="2" t="s">
        <v>1394</v>
      </c>
      <c r="D99" s="2" t="s">
        <v>1395</v>
      </c>
      <c r="E99" s="4" t="s">
        <v>1363</v>
      </c>
      <c r="F99" s="2" t="s">
        <v>1545</v>
      </c>
      <c r="G99" s="2" t="s">
        <v>1546</v>
      </c>
      <c r="H99" s="2" t="s">
        <v>223</v>
      </c>
      <c r="I99" s="2" t="s">
        <v>1028</v>
      </c>
      <c r="J99" s="2" t="s">
        <v>30</v>
      </c>
      <c r="K99" s="2" t="s">
        <v>91</v>
      </c>
      <c r="L99" s="2" t="s">
        <v>55</v>
      </c>
      <c r="M99" s="2" t="s">
        <v>1477</v>
      </c>
      <c r="N99" s="2" t="s">
        <v>173</v>
      </c>
      <c r="O99" s="2" t="s">
        <v>34</v>
      </c>
      <c r="P99" s="157">
        <v>150000</v>
      </c>
      <c r="Q99" s="166">
        <v>1</v>
      </c>
      <c r="R99" s="183">
        <v>2332</v>
      </c>
      <c r="T99" s="156">
        <v>3498</v>
      </c>
      <c r="U99" s="172">
        <v>0</v>
      </c>
      <c r="V99" s="172">
        <v>6.4584712859337597E-3</v>
      </c>
      <c r="W99" s="172">
        <v>1.91833329830082E-3</v>
      </c>
    </row>
    <row r="100" spans="1:23">
      <c r="A100" s="2">
        <v>161</v>
      </c>
      <c r="B100" s="2">
        <v>9943</v>
      </c>
      <c r="C100" s="2" t="s">
        <v>1394</v>
      </c>
      <c r="D100" s="2" t="s">
        <v>1395</v>
      </c>
      <c r="E100" s="4" t="s">
        <v>1363</v>
      </c>
      <c r="F100" s="2" t="s">
        <v>1547</v>
      </c>
      <c r="G100" s="2" t="s">
        <v>1548</v>
      </c>
      <c r="H100" s="2" t="s">
        <v>223</v>
      </c>
      <c r="I100" s="2" t="s">
        <v>1028</v>
      </c>
      <c r="J100" s="2" t="s">
        <v>30</v>
      </c>
      <c r="K100" s="2" t="s">
        <v>91</v>
      </c>
      <c r="L100" s="2" t="s">
        <v>55</v>
      </c>
      <c r="M100" s="2" t="s">
        <v>1477</v>
      </c>
      <c r="N100" s="2" t="s">
        <v>173</v>
      </c>
      <c r="O100" s="2" t="s">
        <v>34</v>
      </c>
      <c r="P100" s="157">
        <v>50000</v>
      </c>
      <c r="Q100" s="166">
        <v>1</v>
      </c>
      <c r="R100" s="183">
        <v>2544</v>
      </c>
      <c r="T100" s="156">
        <v>1272</v>
      </c>
      <c r="U100" s="172">
        <v>0</v>
      </c>
      <c r="V100" s="172">
        <v>2.3485350130668199E-3</v>
      </c>
      <c r="W100" s="172">
        <v>6.9757574483666302E-4</v>
      </c>
    </row>
    <row r="101" spans="1:23">
      <c r="A101" s="2">
        <v>161</v>
      </c>
      <c r="B101" s="2">
        <v>9943</v>
      </c>
      <c r="C101" s="2" t="s">
        <v>1394</v>
      </c>
      <c r="D101" s="2" t="s">
        <v>1395</v>
      </c>
      <c r="E101" s="4" t="s">
        <v>1363</v>
      </c>
      <c r="F101" s="2" t="s">
        <v>1517</v>
      </c>
      <c r="G101" s="2" t="s">
        <v>1518</v>
      </c>
      <c r="H101" s="2" t="s">
        <v>223</v>
      </c>
      <c r="I101" s="2" t="s">
        <v>1028</v>
      </c>
      <c r="J101" s="2" t="s">
        <v>30</v>
      </c>
      <c r="K101" s="2" t="s">
        <v>91</v>
      </c>
      <c r="L101" s="2" t="s">
        <v>31</v>
      </c>
      <c r="M101" s="2" t="s">
        <v>1477</v>
      </c>
      <c r="N101" s="2" t="s">
        <v>173</v>
      </c>
      <c r="O101" s="2" t="s">
        <v>34</v>
      </c>
      <c r="P101" s="157">
        <v>40000</v>
      </c>
      <c r="Q101" s="166">
        <v>1</v>
      </c>
      <c r="R101" s="183">
        <v>9106</v>
      </c>
      <c r="T101" s="156">
        <v>3642.4</v>
      </c>
      <c r="U101" s="172">
        <v>5.3700000000000004E-4</v>
      </c>
      <c r="V101" s="172">
        <v>6.7250817072284502E-3</v>
      </c>
      <c r="W101" s="172">
        <v>1.99752350078071E-3</v>
      </c>
    </row>
    <row r="102" spans="1:23">
      <c r="A102" s="2">
        <v>161</v>
      </c>
      <c r="B102" s="2">
        <v>9943</v>
      </c>
      <c r="C102" s="2" t="s">
        <v>1394</v>
      </c>
      <c r="D102" s="2" t="s">
        <v>1395</v>
      </c>
      <c r="E102" s="4" t="s">
        <v>1363</v>
      </c>
      <c r="F102" s="2" t="s">
        <v>1549</v>
      </c>
      <c r="G102" s="2" t="s">
        <v>1550</v>
      </c>
      <c r="H102" s="2" t="s">
        <v>223</v>
      </c>
      <c r="I102" s="2" t="s">
        <v>1029</v>
      </c>
      <c r="J102" s="2" t="s">
        <v>30</v>
      </c>
      <c r="K102" s="2" t="s">
        <v>30</v>
      </c>
      <c r="L102" s="2" t="s">
        <v>31</v>
      </c>
      <c r="M102" s="2" t="s">
        <v>1425</v>
      </c>
      <c r="N102" s="2" t="s">
        <v>173</v>
      </c>
      <c r="O102" s="2" t="s">
        <v>34</v>
      </c>
      <c r="P102" s="157">
        <v>775000</v>
      </c>
      <c r="Q102" s="166">
        <v>1</v>
      </c>
      <c r="R102" s="183">
        <v>388.63</v>
      </c>
      <c r="T102" s="156">
        <v>3011.8829999999998</v>
      </c>
      <c r="U102" s="172">
        <v>1.0473E-2</v>
      </c>
      <c r="V102" s="172">
        <v>5.5609367189412198E-3</v>
      </c>
      <c r="W102" s="172">
        <v>1.6517422785361699E-3</v>
      </c>
    </row>
    <row r="103" spans="1:23">
      <c r="A103" s="2">
        <v>161</v>
      </c>
      <c r="B103" s="2">
        <v>9943</v>
      </c>
      <c r="C103" s="2" t="s">
        <v>1394</v>
      </c>
      <c r="D103" s="2" t="s">
        <v>1395</v>
      </c>
      <c r="E103" s="4" t="s">
        <v>1363</v>
      </c>
      <c r="F103" s="2" t="s">
        <v>1551</v>
      </c>
      <c r="G103" s="2" t="s">
        <v>1552</v>
      </c>
      <c r="H103" s="2" t="s">
        <v>223</v>
      </c>
      <c r="I103" s="2" t="s">
        <v>1028</v>
      </c>
      <c r="J103" s="2" t="s">
        <v>30</v>
      </c>
      <c r="K103" s="2" t="s">
        <v>91</v>
      </c>
      <c r="L103" s="2" t="s">
        <v>31</v>
      </c>
      <c r="M103" s="2" t="s">
        <v>1477</v>
      </c>
      <c r="N103" s="2" t="s">
        <v>173</v>
      </c>
      <c r="O103" s="2" t="s">
        <v>34</v>
      </c>
      <c r="P103" s="157">
        <v>140000</v>
      </c>
      <c r="Q103" s="166">
        <v>1</v>
      </c>
      <c r="R103" s="183">
        <v>2992</v>
      </c>
      <c r="T103" s="156">
        <v>4188.8</v>
      </c>
      <c r="U103" s="172">
        <v>0</v>
      </c>
      <c r="V103" s="172">
        <v>7.7339178166150203E-3</v>
      </c>
      <c r="W103" s="172">
        <v>2.2971739622419901E-3</v>
      </c>
    </row>
    <row r="104" spans="1:23">
      <c r="A104" s="2">
        <v>161</v>
      </c>
      <c r="B104" s="2">
        <v>9943</v>
      </c>
      <c r="C104" s="2" t="s">
        <v>1394</v>
      </c>
      <c r="D104" s="2" t="s">
        <v>1395</v>
      </c>
      <c r="E104" s="4" t="s">
        <v>1363</v>
      </c>
      <c r="F104" s="2" t="s">
        <v>1553</v>
      </c>
      <c r="G104" s="2" t="s">
        <v>1554</v>
      </c>
      <c r="H104" s="2" t="s">
        <v>223</v>
      </c>
      <c r="I104" s="2" t="s">
        <v>1028</v>
      </c>
      <c r="J104" s="2" t="s">
        <v>30</v>
      </c>
      <c r="K104" s="2" t="s">
        <v>91</v>
      </c>
      <c r="L104" s="2" t="s">
        <v>31</v>
      </c>
      <c r="M104" s="2" t="s">
        <v>1428</v>
      </c>
      <c r="N104" s="2" t="s">
        <v>173</v>
      </c>
      <c r="O104" s="2" t="s">
        <v>34</v>
      </c>
      <c r="P104" s="157">
        <v>85000</v>
      </c>
      <c r="Q104" s="166">
        <v>1</v>
      </c>
      <c r="R104" s="183">
        <v>7969</v>
      </c>
      <c r="T104" s="156">
        <v>6773.65</v>
      </c>
      <c r="U104" s="172">
        <v>2.1007999999999999E-2</v>
      </c>
      <c r="V104" s="172">
        <v>1.25064105277202E-2</v>
      </c>
      <c r="W104" s="172">
        <v>3.7147279434063402E-3</v>
      </c>
    </row>
    <row r="105" spans="1:23">
      <c r="A105" s="2">
        <v>161</v>
      </c>
      <c r="B105" s="2">
        <v>9943</v>
      </c>
      <c r="C105" s="2" t="s">
        <v>1394</v>
      </c>
      <c r="D105" s="2" t="s">
        <v>1395</v>
      </c>
      <c r="E105" s="4" t="s">
        <v>1363</v>
      </c>
      <c r="F105" s="2" t="s">
        <v>1543</v>
      </c>
      <c r="G105" s="2" t="s">
        <v>1544</v>
      </c>
      <c r="H105" s="2" t="s">
        <v>223</v>
      </c>
      <c r="I105" s="2" t="s">
        <v>1027</v>
      </c>
      <c r="J105" s="2" t="s">
        <v>30</v>
      </c>
      <c r="K105" s="2" t="s">
        <v>30</v>
      </c>
      <c r="L105" s="2" t="s">
        <v>31</v>
      </c>
      <c r="M105" s="2" t="s">
        <v>1398</v>
      </c>
      <c r="N105" s="2" t="s">
        <v>173</v>
      </c>
      <c r="O105" s="2" t="s">
        <v>34</v>
      </c>
      <c r="P105" s="157">
        <v>183000</v>
      </c>
      <c r="Q105" s="166">
        <v>1</v>
      </c>
      <c r="R105" s="183">
        <v>3034</v>
      </c>
      <c r="T105" s="156">
        <v>5552.22</v>
      </c>
      <c r="U105" s="172">
        <v>5.0800000000000003E-3</v>
      </c>
      <c r="V105" s="172">
        <v>1.02512445520832E-2</v>
      </c>
      <c r="W105" s="172">
        <v>3.04488522169577E-3</v>
      </c>
    </row>
    <row r="106" spans="1:23">
      <c r="A106" s="2">
        <v>161</v>
      </c>
      <c r="B106" s="2">
        <v>9943</v>
      </c>
      <c r="C106" s="2" t="s">
        <v>1394</v>
      </c>
      <c r="D106" s="2" t="s">
        <v>1395</v>
      </c>
      <c r="E106" s="4" t="s">
        <v>1363</v>
      </c>
      <c r="F106" s="2" t="s">
        <v>1555</v>
      </c>
      <c r="G106" s="2" t="s">
        <v>1556</v>
      </c>
      <c r="H106" s="2" t="s">
        <v>223</v>
      </c>
      <c r="I106" s="2" t="s">
        <v>1029</v>
      </c>
      <c r="J106" s="2" t="s">
        <v>30</v>
      </c>
      <c r="K106" s="2" t="s">
        <v>30</v>
      </c>
      <c r="L106" s="2" t="s">
        <v>31</v>
      </c>
      <c r="M106" s="2" t="s">
        <v>1425</v>
      </c>
      <c r="N106" s="2" t="s">
        <v>173</v>
      </c>
      <c r="O106" s="2" t="s">
        <v>34</v>
      </c>
      <c r="P106" s="157">
        <v>420879</v>
      </c>
      <c r="Q106" s="166">
        <v>1</v>
      </c>
      <c r="R106" s="183">
        <v>312.45999999999998</v>
      </c>
      <c r="T106" s="156">
        <v>1315.079</v>
      </c>
      <c r="U106" s="172">
        <v>1.684E-3</v>
      </c>
      <c r="V106" s="172">
        <v>2.4280722933467899E-3</v>
      </c>
      <c r="W106" s="172">
        <v>7.2120037773541995E-4</v>
      </c>
    </row>
    <row r="107" spans="1:23">
      <c r="A107" s="2">
        <v>161</v>
      </c>
      <c r="B107" s="2">
        <v>9943</v>
      </c>
      <c r="C107" s="2" t="s">
        <v>1394</v>
      </c>
      <c r="D107" s="2" t="s">
        <v>1395</v>
      </c>
      <c r="E107" s="4" t="s">
        <v>1363</v>
      </c>
      <c r="F107" s="2" t="s">
        <v>1423</v>
      </c>
      <c r="G107" s="2" t="s">
        <v>1424</v>
      </c>
      <c r="H107" s="2" t="s">
        <v>223</v>
      </c>
      <c r="I107" s="2" t="s">
        <v>1029</v>
      </c>
      <c r="J107" s="2" t="s">
        <v>30</v>
      </c>
      <c r="K107" s="2" t="s">
        <v>30</v>
      </c>
      <c r="L107" s="2" t="s">
        <v>31</v>
      </c>
      <c r="M107" s="2" t="s">
        <v>1425</v>
      </c>
      <c r="N107" s="2" t="s">
        <v>173</v>
      </c>
      <c r="O107" s="2" t="s">
        <v>34</v>
      </c>
      <c r="P107" s="157">
        <v>603900</v>
      </c>
      <c r="Q107" s="166">
        <v>1</v>
      </c>
      <c r="R107" s="183">
        <v>465.93</v>
      </c>
      <c r="T107" s="156">
        <v>2813.7510000000002</v>
      </c>
      <c r="U107" s="172">
        <v>4.169E-3</v>
      </c>
      <c r="V107" s="172">
        <v>5.1951205783461003E-3</v>
      </c>
      <c r="W107" s="172">
        <v>1.5430854071976101E-3</v>
      </c>
    </row>
    <row r="108" spans="1:23">
      <c r="A108" s="2">
        <v>161</v>
      </c>
      <c r="B108" s="2">
        <v>9943</v>
      </c>
      <c r="C108" s="2" t="s">
        <v>1394</v>
      </c>
      <c r="D108" s="2" t="s">
        <v>1395</v>
      </c>
      <c r="E108" s="4" t="s">
        <v>1363</v>
      </c>
      <c r="F108" s="2" t="s">
        <v>1426</v>
      </c>
      <c r="G108" s="2" t="s">
        <v>1427</v>
      </c>
      <c r="H108" s="2" t="s">
        <v>223</v>
      </c>
      <c r="I108" s="2" t="s">
        <v>1028</v>
      </c>
      <c r="J108" s="2" t="s">
        <v>30</v>
      </c>
      <c r="K108" s="2" t="s">
        <v>91</v>
      </c>
      <c r="L108" s="2" t="s">
        <v>31</v>
      </c>
      <c r="M108" s="2" t="s">
        <v>1428</v>
      </c>
      <c r="N108" s="2" t="s">
        <v>173</v>
      </c>
      <c r="O108" s="2" t="s">
        <v>34</v>
      </c>
      <c r="P108" s="157">
        <v>103000</v>
      </c>
      <c r="Q108" s="166">
        <v>1</v>
      </c>
      <c r="R108" s="183">
        <v>7341</v>
      </c>
      <c r="T108" s="156">
        <v>7561.23</v>
      </c>
      <c r="U108" s="172">
        <v>4.2259999999999997E-3</v>
      </c>
      <c r="V108" s="172">
        <v>1.39605451233107E-2</v>
      </c>
      <c r="W108" s="172">
        <v>4.1466435920843696E-3</v>
      </c>
    </row>
    <row r="109" spans="1:23">
      <c r="A109" s="2">
        <v>161</v>
      </c>
      <c r="B109" s="2">
        <v>9943</v>
      </c>
      <c r="C109" s="2" t="s">
        <v>1429</v>
      </c>
      <c r="D109" s="2" t="s">
        <v>1430</v>
      </c>
      <c r="E109" s="4" t="s">
        <v>1363</v>
      </c>
      <c r="F109" s="2" t="s">
        <v>1481</v>
      </c>
      <c r="G109" s="2" t="s">
        <v>1482</v>
      </c>
      <c r="H109" s="2" t="s">
        <v>223</v>
      </c>
      <c r="I109" s="2" t="s">
        <v>1028</v>
      </c>
      <c r="J109" s="2" t="s">
        <v>30</v>
      </c>
      <c r="K109" s="2" t="s">
        <v>91</v>
      </c>
      <c r="L109" s="2" t="s">
        <v>31</v>
      </c>
      <c r="M109" s="2" t="s">
        <v>1428</v>
      </c>
      <c r="N109" s="2" t="s">
        <v>173</v>
      </c>
      <c r="O109" s="2" t="s">
        <v>34</v>
      </c>
      <c r="P109" s="157">
        <v>325840</v>
      </c>
      <c r="Q109" s="166">
        <v>1</v>
      </c>
      <c r="R109" s="183">
        <v>5590</v>
      </c>
      <c r="T109" s="156">
        <v>18214.455999999998</v>
      </c>
      <c r="U109" s="172">
        <v>2.6819999999999999E-3</v>
      </c>
      <c r="V109" s="172">
        <v>3.36299431289033E-2</v>
      </c>
      <c r="W109" s="172">
        <v>9.9889643954360306E-3</v>
      </c>
    </row>
    <row r="110" spans="1:23">
      <c r="A110" s="2">
        <v>161</v>
      </c>
      <c r="B110" s="2">
        <v>9943</v>
      </c>
      <c r="C110" s="2" t="s">
        <v>1437</v>
      </c>
      <c r="D110" s="2" t="s">
        <v>1438</v>
      </c>
      <c r="E110" s="4" t="s">
        <v>1363</v>
      </c>
      <c r="F110" s="2" t="s">
        <v>1557</v>
      </c>
      <c r="G110" s="2" t="s">
        <v>1558</v>
      </c>
      <c r="H110" s="2" t="s">
        <v>223</v>
      </c>
      <c r="I110" s="2" t="s">
        <v>1028</v>
      </c>
      <c r="J110" s="2" t="s">
        <v>30</v>
      </c>
      <c r="K110" s="2" t="s">
        <v>91</v>
      </c>
      <c r="L110" s="2" t="s">
        <v>31</v>
      </c>
      <c r="M110" s="2" t="s">
        <v>1428</v>
      </c>
      <c r="N110" s="19" t="s">
        <v>173</v>
      </c>
      <c r="O110" s="2" t="s">
        <v>34</v>
      </c>
      <c r="P110" s="157">
        <v>162955</v>
      </c>
      <c r="Q110" s="166">
        <v>1</v>
      </c>
      <c r="R110" s="183">
        <v>9469</v>
      </c>
      <c r="T110" s="156">
        <v>15430.209000000001</v>
      </c>
      <c r="U110" s="172">
        <v>1.2252000000000001E-2</v>
      </c>
      <c r="V110" s="172">
        <v>2.8489297152525201E-2</v>
      </c>
      <c r="W110" s="172">
        <v>8.4620593563534598E-3</v>
      </c>
    </row>
    <row r="111" spans="1:23">
      <c r="A111" s="2">
        <v>161</v>
      </c>
      <c r="B111" s="2">
        <v>9943</v>
      </c>
      <c r="C111" s="2" t="s">
        <v>1437</v>
      </c>
      <c r="D111" s="2" t="s">
        <v>1438</v>
      </c>
      <c r="E111" s="4" t="s">
        <v>1363</v>
      </c>
      <c r="F111" s="2" t="s">
        <v>1487</v>
      </c>
      <c r="G111" s="2" t="s">
        <v>1488</v>
      </c>
      <c r="H111" s="2" t="s">
        <v>223</v>
      </c>
      <c r="I111" s="2" t="s">
        <v>1028</v>
      </c>
      <c r="J111" s="2" t="s">
        <v>30</v>
      </c>
      <c r="K111" s="2" t="s">
        <v>91</v>
      </c>
      <c r="L111" s="2" t="s">
        <v>31</v>
      </c>
      <c r="M111" s="2" t="s">
        <v>1477</v>
      </c>
      <c r="N111" s="19" t="s">
        <v>173</v>
      </c>
      <c r="O111" s="2" t="s">
        <v>34</v>
      </c>
      <c r="P111" s="157">
        <v>71592</v>
      </c>
      <c r="Q111" s="166">
        <v>1</v>
      </c>
      <c r="R111" s="183">
        <v>10530</v>
      </c>
      <c r="T111" s="156">
        <v>7538.6379999999999</v>
      </c>
      <c r="U111" s="172">
        <v>1.25E-3</v>
      </c>
      <c r="V111" s="172">
        <v>1.391883203964E-2</v>
      </c>
      <c r="W111" s="172">
        <v>4.1342537255296199E-3</v>
      </c>
    </row>
    <row r="112" spans="1:23">
      <c r="A112" s="2">
        <v>161</v>
      </c>
      <c r="B112" s="2">
        <v>9943</v>
      </c>
      <c r="C112" s="2" t="s">
        <v>1437</v>
      </c>
      <c r="D112" s="2" t="s">
        <v>1438</v>
      </c>
      <c r="E112" s="4" t="s">
        <v>1363</v>
      </c>
      <c r="F112" s="2" t="s">
        <v>1439</v>
      </c>
      <c r="G112" s="2" t="s">
        <v>1440</v>
      </c>
      <c r="H112" s="2" t="s">
        <v>223</v>
      </c>
      <c r="I112" s="2" t="s">
        <v>1028</v>
      </c>
      <c r="J112" s="2" t="s">
        <v>30</v>
      </c>
      <c r="K112" s="2" t="s">
        <v>91</v>
      </c>
      <c r="L112" s="2" t="s">
        <v>31</v>
      </c>
      <c r="M112" s="2" t="s">
        <v>1428</v>
      </c>
      <c r="N112" s="19" t="s">
        <v>173</v>
      </c>
      <c r="O112" s="2" t="s">
        <v>34</v>
      </c>
      <c r="P112" s="157">
        <v>208920</v>
      </c>
      <c r="Q112" s="166">
        <v>1</v>
      </c>
      <c r="R112" s="183">
        <v>9006</v>
      </c>
      <c r="T112" s="156">
        <v>18815.334999999999</v>
      </c>
      <c r="U112" s="172">
        <v>1.5476E-2</v>
      </c>
      <c r="V112" s="172">
        <v>3.47393659589533E-2</v>
      </c>
      <c r="W112" s="172">
        <v>1.0318491718939799E-2</v>
      </c>
    </row>
    <row r="113" spans="1:23">
      <c r="A113" s="2">
        <v>161</v>
      </c>
      <c r="B113" s="2">
        <v>9943</v>
      </c>
      <c r="C113" s="2" t="s">
        <v>1399</v>
      </c>
      <c r="D113" s="2" t="s">
        <v>1400</v>
      </c>
      <c r="E113" s="4" t="s">
        <v>1363</v>
      </c>
      <c r="F113" s="2" t="s">
        <v>1533</v>
      </c>
      <c r="G113" s="2" t="s">
        <v>1534</v>
      </c>
      <c r="H113" s="2" t="s">
        <v>223</v>
      </c>
      <c r="I113" s="2" t="s">
        <v>1028</v>
      </c>
      <c r="J113" s="2" t="s">
        <v>30</v>
      </c>
      <c r="K113" s="2" t="s">
        <v>91</v>
      </c>
      <c r="L113" s="2" t="s">
        <v>31</v>
      </c>
      <c r="M113" s="2" t="s">
        <v>1428</v>
      </c>
      <c r="N113" s="2" t="s">
        <v>173</v>
      </c>
      <c r="O113" s="2" t="s">
        <v>34</v>
      </c>
      <c r="P113" s="157">
        <v>122112</v>
      </c>
      <c r="Q113" s="166">
        <v>1</v>
      </c>
      <c r="R113" s="183">
        <v>5505</v>
      </c>
      <c r="T113" s="156">
        <v>6722.2659999999996</v>
      </c>
      <c r="U113" s="172">
        <v>1.755E-3</v>
      </c>
      <c r="V113" s="172">
        <v>1.24115378370555E-2</v>
      </c>
      <c r="W113" s="172">
        <v>3.6865482963127998E-3</v>
      </c>
    </row>
    <row r="114" spans="1:23">
      <c r="A114" s="2">
        <v>161</v>
      </c>
      <c r="B114" s="2">
        <v>9943</v>
      </c>
      <c r="C114" s="2" t="s">
        <v>1399</v>
      </c>
      <c r="D114" s="2" t="s">
        <v>1400</v>
      </c>
      <c r="E114" s="4" t="s">
        <v>1363</v>
      </c>
      <c r="F114" s="2" t="s">
        <v>1559</v>
      </c>
      <c r="G114" s="2" t="s">
        <v>1560</v>
      </c>
      <c r="H114" s="2" t="s">
        <v>223</v>
      </c>
      <c r="I114" s="2" t="s">
        <v>1027</v>
      </c>
      <c r="J114" s="2" t="s">
        <v>30</v>
      </c>
      <c r="K114" s="2" t="s">
        <v>30</v>
      </c>
      <c r="L114" s="2" t="s">
        <v>31</v>
      </c>
      <c r="M114" s="2" t="s">
        <v>1398</v>
      </c>
      <c r="N114" s="2" t="s">
        <v>173</v>
      </c>
      <c r="O114" s="2" t="s">
        <v>34</v>
      </c>
      <c r="P114" s="157">
        <v>3000</v>
      </c>
      <c r="Q114" s="166">
        <v>1</v>
      </c>
      <c r="R114" s="183">
        <v>38300</v>
      </c>
      <c r="T114" s="156">
        <v>1149</v>
      </c>
      <c r="U114" s="172">
        <v>6.3400000000000001E-4</v>
      </c>
      <c r="V114" s="172">
        <v>2.1214361085014001E-3</v>
      </c>
      <c r="W114" s="172">
        <v>6.3012148649160805E-4</v>
      </c>
    </row>
    <row r="115" spans="1:23">
      <c r="A115" s="2">
        <v>161</v>
      </c>
      <c r="B115" s="2">
        <v>9943</v>
      </c>
      <c r="C115" s="2" t="s">
        <v>1399</v>
      </c>
      <c r="D115" s="2" t="s">
        <v>1400</v>
      </c>
      <c r="E115" s="4" t="s">
        <v>1363</v>
      </c>
      <c r="F115" s="2" t="s">
        <v>1561</v>
      </c>
      <c r="G115" s="2" t="s">
        <v>1562</v>
      </c>
      <c r="H115" s="2" t="s">
        <v>223</v>
      </c>
      <c r="I115" s="2" t="s">
        <v>1028</v>
      </c>
      <c r="J115" s="2" t="s">
        <v>30</v>
      </c>
      <c r="K115" s="2" t="s">
        <v>91</v>
      </c>
      <c r="L115" s="2" t="s">
        <v>31</v>
      </c>
      <c r="M115" s="2" t="s">
        <v>1428</v>
      </c>
      <c r="N115" s="2" t="s">
        <v>173</v>
      </c>
      <c r="O115" s="2" t="s">
        <v>34</v>
      </c>
      <c r="P115" s="157">
        <v>132070</v>
      </c>
      <c r="Q115" s="166">
        <v>1</v>
      </c>
      <c r="R115" s="183">
        <v>16780</v>
      </c>
      <c r="T115" s="156">
        <v>22161.346000000001</v>
      </c>
      <c r="U115" s="172">
        <v>1.627E-2</v>
      </c>
      <c r="V115" s="172">
        <v>4.0917214636547503E-2</v>
      </c>
      <c r="W115" s="172">
        <v>1.215347283218E-2</v>
      </c>
    </row>
    <row r="116" spans="1:23">
      <c r="A116" s="2">
        <v>161</v>
      </c>
      <c r="B116" s="2">
        <v>9943</v>
      </c>
      <c r="C116" s="2" t="s">
        <v>1399</v>
      </c>
      <c r="D116" s="2" t="s">
        <v>1400</v>
      </c>
      <c r="E116" s="4" t="s">
        <v>1363</v>
      </c>
      <c r="F116" s="2" t="s">
        <v>1563</v>
      </c>
      <c r="G116" s="2" t="s">
        <v>1564</v>
      </c>
      <c r="H116" s="2" t="s">
        <v>223</v>
      </c>
      <c r="I116" s="2" t="s">
        <v>1029</v>
      </c>
      <c r="J116" s="2" t="s">
        <v>30</v>
      </c>
      <c r="K116" s="2" t="s">
        <v>30</v>
      </c>
      <c r="L116" s="2" t="s">
        <v>31</v>
      </c>
      <c r="M116" s="2" t="s">
        <v>1425</v>
      </c>
      <c r="N116" s="2" t="s">
        <v>173</v>
      </c>
      <c r="O116" s="2" t="s">
        <v>34</v>
      </c>
      <c r="P116" s="157">
        <v>249393</v>
      </c>
      <c r="Q116" s="166">
        <v>1</v>
      </c>
      <c r="R116" s="183">
        <v>3902.52</v>
      </c>
      <c r="T116" s="156">
        <v>9732.6119999999992</v>
      </c>
      <c r="U116" s="172">
        <v>1.0704E-2</v>
      </c>
      <c r="V116" s="172">
        <v>1.7969637857302299E-2</v>
      </c>
      <c r="W116" s="172">
        <v>5.3374480018433899E-3</v>
      </c>
    </row>
    <row r="117" spans="1:23">
      <c r="A117" s="2">
        <v>161</v>
      </c>
      <c r="B117" s="2">
        <v>9943</v>
      </c>
      <c r="C117" s="2" t="s">
        <v>1447</v>
      </c>
      <c r="D117" s="2" t="s">
        <v>1448</v>
      </c>
      <c r="E117" s="4" t="s">
        <v>1363</v>
      </c>
      <c r="F117" s="2" t="s">
        <v>1527</v>
      </c>
      <c r="G117" s="2" t="s">
        <v>1528</v>
      </c>
      <c r="H117" s="2" t="s">
        <v>223</v>
      </c>
      <c r="I117" s="2" t="s">
        <v>1028</v>
      </c>
      <c r="J117" s="2" t="s">
        <v>30</v>
      </c>
      <c r="K117" s="2" t="s">
        <v>91</v>
      </c>
      <c r="L117" s="2" t="s">
        <v>31</v>
      </c>
      <c r="M117" s="2" t="s">
        <v>1477</v>
      </c>
      <c r="N117" s="2" t="s">
        <v>173</v>
      </c>
      <c r="O117" s="2" t="s">
        <v>34</v>
      </c>
      <c r="P117" s="157">
        <v>16500</v>
      </c>
      <c r="Q117" s="166">
        <v>1</v>
      </c>
      <c r="R117" s="183">
        <v>24940</v>
      </c>
      <c r="T117" s="156">
        <v>4115.1000000000004</v>
      </c>
      <c r="U117" s="172">
        <v>5.5000000000000003E-4</v>
      </c>
      <c r="V117" s="172">
        <v>7.5978431071315102E-3</v>
      </c>
      <c r="W117" s="172">
        <v>2.2567562480954001E-3</v>
      </c>
    </row>
    <row r="118" spans="1:23">
      <c r="A118" s="2">
        <v>161</v>
      </c>
      <c r="B118" s="2">
        <v>9943</v>
      </c>
      <c r="C118" s="2" t="s">
        <v>1447</v>
      </c>
      <c r="D118" s="2" t="s">
        <v>1448</v>
      </c>
      <c r="E118" s="4" t="s">
        <v>1363</v>
      </c>
      <c r="F118" s="2" t="s">
        <v>1565</v>
      </c>
      <c r="G118" s="2" t="s">
        <v>1566</v>
      </c>
      <c r="H118" s="2" t="s">
        <v>223</v>
      </c>
      <c r="I118" s="2" t="s">
        <v>1029</v>
      </c>
      <c r="J118" s="2" t="s">
        <v>30</v>
      </c>
      <c r="K118" s="2" t="s">
        <v>30</v>
      </c>
      <c r="L118" s="2" t="s">
        <v>31</v>
      </c>
      <c r="M118" s="2" t="s">
        <v>1425</v>
      </c>
      <c r="N118" s="2" t="s">
        <v>173</v>
      </c>
      <c r="O118" s="2" t="s">
        <v>34</v>
      </c>
      <c r="P118" s="157">
        <v>215000</v>
      </c>
      <c r="Q118" s="166">
        <v>1</v>
      </c>
      <c r="R118" s="183">
        <v>3836.85</v>
      </c>
      <c r="T118" s="156">
        <v>8249.2279999999992</v>
      </c>
      <c r="U118" s="172">
        <v>2.7415999999999999E-2</v>
      </c>
      <c r="V118" s="172">
        <v>1.52308173069998E-2</v>
      </c>
      <c r="W118" s="172">
        <v>4.5239473409116196E-3</v>
      </c>
    </row>
    <row r="119" spans="1:23">
      <c r="A119" s="2">
        <v>161</v>
      </c>
      <c r="B119" s="2">
        <v>9943</v>
      </c>
      <c r="C119" s="2" t="s">
        <v>1447</v>
      </c>
      <c r="D119" s="2" t="s">
        <v>1448</v>
      </c>
      <c r="E119" s="4" t="s">
        <v>1363</v>
      </c>
      <c r="F119" s="2" t="s">
        <v>1567</v>
      </c>
      <c r="G119" s="2" t="s">
        <v>1568</v>
      </c>
      <c r="H119" s="2" t="s">
        <v>223</v>
      </c>
      <c r="I119" s="2" t="s">
        <v>1029</v>
      </c>
      <c r="J119" s="2" t="s">
        <v>30</v>
      </c>
      <c r="K119" s="2" t="s">
        <v>30</v>
      </c>
      <c r="L119" s="2" t="s">
        <v>31</v>
      </c>
      <c r="M119" s="2" t="s">
        <v>1425</v>
      </c>
      <c r="N119" s="2" t="s">
        <v>173</v>
      </c>
      <c r="O119" s="2" t="s">
        <v>34</v>
      </c>
      <c r="P119" s="157">
        <v>52760</v>
      </c>
      <c r="Q119" s="166">
        <v>1</v>
      </c>
      <c r="R119" s="183">
        <v>4108.29</v>
      </c>
      <c r="T119" s="156">
        <v>2167.5340000000001</v>
      </c>
      <c r="U119" s="172">
        <v>3.434E-3</v>
      </c>
      <c r="V119" s="172">
        <v>4.0019882316823302E-3</v>
      </c>
      <c r="W119" s="172">
        <v>1.1886941885093901E-3</v>
      </c>
    </row>
    <row r="120" spans="1:23">
      <c r="A120" s="2">
        <v>161</v>
      </c>
      <c r="B120" s="2">
        <v>9943</v>
      </c>
      <c r="C120" s="2" t="s">
        <v>1447</v>
      </c>
      <c r="D120" s="2" t="s">
        <v>1448</v>
      </c>
      <c r="E120" s="4" t="s">
        <v>1363</v>
      </c>
      <c r="F120" s="2" t="s">
        <v>1449</v>
      </c>
      <c r="G120" s="2" t="s">
        <v>1450</v>
      </c>
      <c r="H120" s="2" t="s">
        <v>223</v>
      </c>
      <c r="I120" s="2" t="s">
        <v>1029</v>
      </c>
      <c r="J120" s="2" t="s">
        <v>30</v>
      </c>
      <c r="K120" s="2" t="s">
        <v>30</v>
      </c>
      <c r="L120" s="2" t="s">
        <v>31</v>
      </c>
      <c r="M120" s="2" t="s">
        <v>1425</v>
      </c>
      <c r="N120" s="2" t="s">
        <v>173</v>
      </c>
      <c r="O120" s="2" t="s">
        <v>34</v>
      </c>
      <c r="P120" s="157">
        <v>780000</v>
      </c>
      <c r="Q120" s="166">
        <v>1</v>
      </c>
      <c r="R120" s="183">
        <v>365.33</v>
      </c>
      <c r="T120" s="156">
        <v>2849.5740000000001</v>
      </c>
      <c r="U120" s="172">
        <v>1.9610000000000001E-3</v>
      </c>
      <c r="V120" s="172">
        <v>5.2612612510415701E-3</v>
      </c>
      <c r="W120" s="172">
        <v>1.5627309005638299E-3</v>
      </c>
    </row>
    <row r="121" spans="1:23">
      <c r="A121" s="2">
        <v>161</v>
      </c>
      <c r="B121" s="2">
        <v>9943</v>
      </c>
      <c r="C121" s="2" t="s">
        <v>1569</v>
      </c>
      <c r="D121" s="2" t="s">
        <v>1570</v>
      </c>
      <c r="E121" s="4" t="s">
        <v>220</v>
      </c>
      <c r="F121" s="2" t="s">
        <v>1571</v>
      </c>
      <c r="G121" s="2" t="s">
        <v>1572</v>
      </c>
      <c r="H121" s="2" t="s">
        <v>223</v>
      </c>
      <c r="I121" s="2" t="s">
        <v>1028</v>
      </c>
      <c r="J121" s="2" t="s">
        <v>90</v>
      </c>
      <c r="K121" s="2" t="s">
        <v>91</v>
      </c>
      <c r="L121" s="2" t="s">
        <v>414</v>
      </c>
      <c r="M121" s="2" t="s">
        <v>784</v>
      </c>
      <c r="N121" s="2" t="s">
        <v>173</v>
      </c>
      <c r="O121" s="2" t="s">
        <v>95</v>
      </c>
      <c r="P121" s="157">
        <v>31450</v>
      </c>
      <c r="Q121" s="166">
        <v>3.71</v>
      </c>
      <c r="R121" s="183">
        <v>11230.77</v>
      </c>
      <c r="T121" s="156">
        <v>13104.005999999999</v>
      </c>
      <c r="U121" s="172">
        <v>6.7400000000000001E-4</v>
      </c>
      <c r="V121" s="172">
        <v>2.4194353431664199E-2</v>
      </c>
      <c r="W121" s="172">
        <v>7.1863497976533798E-3</v>
      </c>
    </row>
    <row r="122" spans="1:23">
      <c r="A122" s="2">
        <v>161</v>
      </c>
      <c r="B122" s="2">
        <v>9943</v>
      </c>
      <c r="C122" s="2" t="s">
        <v>1411</v>
      </c>
      <c r="D122" s="2" t="s">
        <v>1412</v>
      </c>
      <c r="E122" s="4" t="s">
        <v>220</v>
      </c>
      <c r="F122" s="2" t="s">
        <v>1499</v>
      </c>
      <c r="G122" s="2" t="s">
        <v>1500</v>
      </c>
      <c r="H122" s="2" t="s">
        <v>223</v>
      </c>
      <c r="I122" s="2" t="s">
        <v>1028</v>
      </c>
      <c r="J122" s="2" t="s">
        <v>90</v>
      </c>
      <c r="K122" s="2" t="s">
        <v>91</v>
      </c>
      <c r="L122" s="2" t="s">
        <v>396</v>
      </c>
      <c r="M122" s="2" t="s">
        <v>784</v>
      </c>
      <c r="N122" s="2" t="s">
        <v>173</v>
      </c>
      <c r="O122" s="2" t="s">
        <v>95</v>
      </c>
      <c r="P122" s="157">
        <v>1425</v>
      </c>
      <c r="Q122" s="166">
        <v>3.71</v>
      </c>
      <c r="R122" s="183">
        <v>48807</v>
      </c>
      <c r="S122" s="161">
        <v>0.72199999999999998</v>
      </c>
      <c r="T122" s="156">
        <v>2582.982</v>
      </c>
      <c r="U122" s="172">
        <v>3.0000000000000001E-6</v>
      </c>
      <c r="V122" s="172">
        <v>4.7690437389933402E-3</v>
      </c>
      <c r="W122" s="172">
        <v>1.416529547091E-3</v>
      </c>
    </row>
    <row r="123" spans="1:23">
      <c r="A123" s="2">
        <v>161</v>
      </c>
      <c r="B123" s="2">
        <v>9943</v>
      </c>
      <c r="C123" s="2" t="s">
        <v>1457</v>
      </c>
      <c r="D123" s="2" t="s">
        <v>1458</v>
      </c>
      <c r="E123" s="4" t="s">
        <v>220</v>
      </c>
      <c r="F123" s="2" t="s">
        <v>1529</v>
      </c>
      <c r="G123" s="2" t="s">
        <v>1530</v>
      </c>
      <c r="H123" s="2" t="s">
        <v>223</v>
      </c>
      <c r="I123" s="2" t="s">
        <v>1030</v>
      </c>
      <c r="J123" s="2" t="s">
        <v>90</v>
      </c>
      <c r="K123" s="2" t="s">
        <v>350</v>
      </c>
      <c r="L123" s="2" t="s">
        <v>430</v>
      </c>
      <c r="M123" s="2" t="s">
        <v>781</v>
      </c>
      <c r="N123" s="2" t="s">
        <v>173</v>
      </c>
      <c r="O123" s="2" t="s">
        <v>95</v>
      </c>
      <c r="P123" s="157">
        <v>421300</v>
      </c>
      <c r="Q123" s="166">
        <v>3.71</v>
      </c>
      <c r="R123" s="183">
        <v>608.9</v>
      </c>
      <c r="T123" s="156">
        <v>9517.2469999999994</v>
      </c>
      <c r="U123" s="172">
        <v>1.243E-3</v>
      </c>
      <c r="V123" s="172">
        <v>1.7572003080099301E-2</v>
      </c>
      <c r="W123" s="172">
        <v>5.2193401710735497E-3</v>
      </c>
    </row>
    <row r="124" spans="1:23">
      <c r="A124" s="2">
        <v>161</v>
      </c>
      <c r="B124" s="2">
        <v>9943</v>
      </c>
      <c r="C124" s="2" t="s">
        <v>1457</v>
      </c>
      <c r="D124" s="2" t="s">
        <v>1458</v>
      </c>
      <c r="E124" s="4" t="s">
        <v>220</v>
      </c>
      <c r="F124" s="2" t="s">
        <v>1459</v>
      </c>
      <c r="G124" s="2" t="s">
        <v>1460</v>
      </c>
      <c r="H124" s="2" t="s">
        <v>223</v>
      </c>
      <c r="I124" s="2" t="s">
        <v>1028</v>
      </c>
      <c r="J124" s="2" t="s">
        <v>90</v>
      </c>
      <c r="K124" s="2" t="s">
        <v>347</v>
      </c>
      <c r="L124" s="2" t="s">
        <v>418</v>
      </c>
      <c r="M124" s="2" t="s">
        <v>784</v>
      </c>
      <c r="N124" s="2" t="s">
        <v>173</v>
      </c>
      <c r="O124" s="2" t="s">
        <v>1225</v>
      </c>
      <c r="P124" s="157">
        <v>53406</v>
      </c>
      <c r="Q124" s="166">
        <v>4.1524000000000001</v>
      </c>
      <c r="R124" s="183">
        <v>5031</v>
      </c>
      <c r="T124" s="156">
        <v>11156.9</v>
      </c>
      <c r="U124" s="172">
        <v>3.7599999999999998E-4</v>
      </c>
      <c r="V124" s="172">
        <v>2.0599348214296799E-2</v>
      </c>
      <c r="W124" s="172">
        <v>6.1185401085306502E-3</v>
      </c>
    </row>
    <row r="125" spans="1:23">
      <c r="A125" s="2">
        <v>161</v>
      </c>
      <c r="B125" s="2">
        <v>9943</v>
      </c>
      <c r="C125" s="2" t="s">
        <v>1457</v>
      </c>
      <c r="D125" s="2" t="s">
        <v>1458</v>
      </c>
      <c r="E125" s="4" t="s">
        <v>220</v>
      </c>
      <c r="F125" s="2" t="s">
        <v>1531</v>
      </c>
      <c r="G125" s="2" t="s">
        <v>1532</v>
      </c>
      <c r="H125" s="2" t="s">
        <v>223</v>
      </c>
      <c r="I125" s="2" t="s">
        <v>1030</v>
      </c>
      <c r="J125" s="2" t="s">
        <v>90</v>
      </c>
      <c r="K125" s="2" t="s">
        <v>91</v>
      </c>
      <c r="L125" s="2" t="s">
        <v>430</v>
      </c>
      <c r="M125" s="2" t="s">
        <v>781</v>
      </c>
      <c r="N125" s="2" t="s">
        <v>173</v>
      </c>
      <c r="O125" s="2" t="s">
        <v>95</v>
      </c>
      <c r="P125" s="157">
        <v>406300</v>
      </c>
      <c r="Q125" s="166">
        <v>3.71</v>
      </c>
      <c r="R125" s="183">
        <v>595.6</v>
      </c>
      <c r="T125" s="156">
        <v>8977.9140000000007</v>
      </c>
      <c r="U125" s="172">
        <v>0</v>
      </c>
      <c r="V125" s="172">
        <v>1.6576214155429501E-2</v>
      </c>
      <c r="W125" s="172">
        <v>4.9235650615002402E-3</v>
      </c>
    </row>
    <row r="126" spans="1:23">
      <c r="A126" s="2">
        <v>161</v>
      </c>
      <c r="B126" s="2">
        <v>9943</v>
      </c>
      <c r="C126" s="2" t="s">
        <v>1457</v>
      </c>
      <c r="D126" s="2" t="s">
        <v>1458</v>
      </c>
      <c r="E126" s="4" t="s">
        <v>220</v>
      </c>
      <c r="F126" s="2" t="s">
        <v>1461</v>
      </c>
      <c r="G126" s="2" t="s">
        <v>1462</v>
      </c>
      <c r="H126" s="2" t="s">
        <v>223</v>
      </c>
      <c r="I126" s="2" t="s">
        <v>1028</v>
      </c>
      <c r="J126" s="2" t="s">
        <v>90</v>
      </c>
      <c r="K126" s="2" t="s">
        <v>91</v>
      </c>
      <c r="L126" s="2" t="s">
        <v>394</v>
      </c>
      <c r="M126" s="2" t="s">
        <v>784</v>
      </c>
      <c r="N126" s="2" t="s">
        <v>173</v>
      </c>
      <c r="O126" s="2" t="s">
        <v>95</v>
      </c>
      <c r="P126" s="157">
        <v>2695</v>
      </c>
      <c r="Q126" s="166">
        <v>3.71</v>
      </c>
      <c r="R126" s="183">
        <v>57682</v>
      </c>
      <c r="S126" s="161">
        <v>6.0220000000000002</v>
      </c>
      <c r="T126" s="156">
        <v>5789.6490000000003</v>
      </c>
      <c r="U126" s="172">
        <v>3.0000000000000001E-6</v>
      </c>
      <c r="V126" s="172">
        <v>1.0689616615307001E-2</v>
      </c>
      <c r="W126" s="172">
        <v>3.1750930818373099E-3</v>
      </c>
    </row>
    <row r="127" spans="1:23">
      <c r="A127" s="2">
        <v>161</v>
      </c>
      <c r="B127" s="2">
        <v>9943</v>
      </c>
      <c r="C127" s="2" t="s">
        <v>1457</v>
      </c>
      <c r="D127" s="2" t="s">
        <v>1458</v>
      </c>
      <c r="E127" s="4" t="s">
        <v>220</v>
      </c>
      <c r="F127" s="2" t="s">
        <v>1535</v>
      </c>
      <c r="G127" s="2" t="s">
        <v>1536</v>
      </c>
      <c r="H127" s="2" t="s">
        <v>223</v>
      </c>
      <c r="I127" s="2" t="s">
        <v>1028</v>
      </c>
      <c r="J127" s="2" t="s">
        <v>90</v>
      </c>
      <c r="K127" s="2" t="s">
        <v>91</v>
      </c>
      <c r="L127" s="2" t="s">
        <v>394</v>
      </c>
      <c r="M127" s="2" t="s">
        <v>784</v>
      </c>
      <c r="N127" s="2" t="s">
        <v>173</v>
      </c>
      <c r="O127" s="2" t="s">
        <v>95</v>
      </c>
      <c r="P127" s="157">
        <v>8500</v>
      </c>
      <c r="Q127" s="166">
        <v>3.71</v>
      </c>
      <c r="R127" s="183">
        <v>12710</v>
      </c>
      <c r="T127" s="156">
        <v>4008.0990000000002</v>
      </c>
      <c r="U127" s="172">
        <v>3.3199999999999999E-4</v>
      </c>
      <c r="V127" s="172">
        <v>7.4002827539863302E-3</v>
      </c>
      <c r="W127" s="172">
        <v>2.19807570480834E-3</v>
      </c>
    </row>
    <row r="128" spans="1:23">
      <c r="A128" s="2">
        <v>161</v>
      </c>
      <c r="B128" s="2">
        <v>9943</v>
      </c>
      <c r="C128" s="2" t="s">
        <v>1457</v>
      </c>
      <c r="D128" s="2" t="s">
        <v>1458</v>
      </c>
      <c r="E128" s="4" t="s">
        <v>220</v>
      </c>
      <c r="F128" s="2" t="s">
        <v>1537</v>
      </c>
      <c r="G128" s="2" t="s">
        <v>1538</v>
      </c>
      <c r="H128" s="2" t="s">
        <v>223</v>
      </c>
      <c r="I128" s="2" t="s">
        <v>1028</v>
      </c>
      <c r="J128" s="2" t="s">
        <v>90</v>
      </c>
      <c r="K128" s="2" t="s">
        <v>91</v>
      </c>
      <c r="L128" s="2" t="s">
        <v>430</v>
      </c>
      <c r="M128" s="2" t="s">
        <v>784</v>
      </c>
      <c r="N128" s="2" t="s">
        <v>173</v>
      </c>
      <c r="O128" s="2" t="s">
        <v>95</v>
      </c>
      <c r="P128" s="157">
        <v>560</v>
      </c>
      <c r="Q128" s="166">
        <v>3.71</v>
      </c>
      <c r="R128" s="183">
        <v>114221</v>
      </c>
      <c r="T128" s="156">
        <v>2373.0549999999998</v>
      </c>
      <c r="U128" s="172">
        <v>5.3000000000000001E-5</v>
      </c>
      <c r="V128" s="172">
        <v>4.3814496228825901E-3</v>
      </c>
      <c r="W128" s="172">
        <v>1.30140405279948E-3</v>
      </c>
    </row>
    <row r="129" spans="1:23">
      <c r="A129" s="2">
        <v>161</v>
      </c>
      <c r="B129" s="2">
        <v>9943</v>
      </c>
      <c r="C129" s="2" t="s">
        <v>1573</v>
      </c>
      <c r="D129" s="2" t="s">
        <v>1574</v>
      </c>
      <c r="E129" s="4" t="s">
        <v>220</v>
      </c>
      <c r="F129" s="2" t="s">
        <v>1575</v>
      </c>
      <c r="G129" s="2" t="s">
        <v>1576</v>
      </c>
      <c r="H129" s="2" t="s">
        <v>223</v>
      </c>
      <c r="I129" s="2" t="s">
        <v>1028</v>
      </c>
      <c r="J129" s="2" t="s">
        <v>90</v>
      </c>
      <c r="K129" s="2" t="s">
        <v>322</v>
      </c>
      <c r="L129" s="2" t="s">
        <v>394</v>
      </c>
      <c r="M129" s="2" t="s">
        <v>784</v>
      </c>
      <c r="N129" s="2" t="s">
        <v>173</v>
      </c>
      <c r="O129" s="2" t="s">
        <v>95</v>
      </c>
      <c r="P129" s="157">
        <v>17000</v>
      </c>
      <c r="Q129" s="166">
        <v>3.71</v>
      </c>
      <c r="R129" s="183">
        <v>3402</v>
      </c>
      <c r="T129" s="156">
        <v>2145.6410000000001</v>
      </c>
      <c r="U129" s="172">
        <v>6.8999999999999997E-5</v>
      </c>
      <c r="V129" s="172">
        <v>3.9615675734164402E-3</v>
      </c>
      <c r="W129" s="172">
        <v>1.1766882057841E-3</v>
      </c>
    </row>
    <row r="130" spans="1:23">
      <c r="A130" s="2">
        <v>161</v>
      </c>
      <c r="B130" s="2">
        <v>9943</v>
      </c>
      <c r="C130" s="2" t="s">
        <v>1501</v>
      </c>
      <c r="D130" s="2" t="s">
        <v>1502</v>
      </c>
      <c r="E130" s="4" t="s">
        <v>220</v>
      </c>
      <c r="F130" s="2" t="s">
        <v>1503</v>
      </c>
      <c r="G130" s="2" t="s">
        <v>1504</v>
      </c>
      <c r="H130" s="2" t="s">
        <v>223</v>
      </c>
      <c r="I130" s="2" t="s">
        <v>1028</v>
      </c>
      <c r="J130" s="2" t="s">
        <v>90</v>
      </c>
      <c r="K130" s="2" t="s">
        <v>91</v>
      </c>
      <c r="L130" s="2" t="s">
        <v>430</v>
      </c>
      <c r="M130" s="2" t="s">
        <v>784</v>
      </c>
      <c r="N130" s="2" t="s">
        <v>173</v>
      </c>
      <c r="O130" s="2" t="s">
        <v>95</v>
      </c>
      <c r="P130" s="157">
        <v>3400</v>
      </c>
      <c r="Q130" s="166">
        <v>3.71</v>
      </c>
      <c r="R130" s="183">
        <v>40841</v>
      </c>
      <c r="T130" s="156">
        <v>5151.6840000000002</v>
      </c>
      <c r="U130" s="172">
        <v>3.8299999999999999E-4</v>
      </c>
      <c r="V130" s="172">
        <v>9.51172141480899E-3</v>
      </c>
      <c r="W130" s="172">
        <v>2.8252276903250198E-3</v>
      </c>
    </row>
    <row r="131" spans="1:23">
      <c r="A131" s="2">
        <v>161</v>
      </c>
      <c r="B131" s="2">
        <v>9943</v>
      </c>
      <c r="C131" s="2" t="s">
        <v>1411</v>
      </c>
      <c r="D131" s="2" t="s">
        <v>1412</v>
      </c>
      <c r="E131" s="4" t="s">
        <v>220</v>
      </c>
      <c r="F131" s="2" t="s">
        <v>1505</v>
      </c>
      <c r="G131" s="2" t="s">
        <v>1506</v>
      </c>
      <c r="H131" s="2" t="s">
        <v>223</v>
      </c>
      <c r="I131" s="2" t="s">
        <v>1028</v>
      </c>
      <c r="J131" s="2" t="s">
        <v>90</v>
      </c>
      <c r="K131" s="2" t="s">
        <v>91</v>
      </c>
      <c r="L131" s="2" t="s">
        <v>430</v>
      </c>
      <c r="M131" s="2" t="s">
        <v>784</v>
      </c>
      <c r="N131" s="2" t="s">
        <v>173</v>
      </c>
      <c r="O131" s="2" t="s">
        <v>95</v>
      </c>
      <c r="P131" s="157">
        <v>6110</v>
      </c>
      <c r="Q131" s="166">
        <v>3.71</v>
      </c>
      <c r="R131" s="183">
        <v>112716</v>
      </c>
      <c r="T131" s="156">
        <v>25550.576000000001</v>
      </c>
      <c r="U131" s="172">
        <v>2.81E-4</v>
      </c>
      <c r="V131" s="172">
        <v>4.7174859584289797E-2</v>
      </c>
      <c r="W131" s="172">
        <v>1.40121555050198E-2</v>
      </c>
    </row>
    <row r="132" spans="1:23">
      <c r="A132" s="2">
        <v>161</v>
      </c>
      <c r="B132" s="2">
        <v>9943</v>
      </c>
      <c r="C132" s="2" t="s">
        <v>1453</v>
      </c>
      <c r="D132" s="2" t="s">
        <v>1454</v>
      </c>
      <c r="E132" s="4" t="s">
        <v>220</v>
      </c>
      <c r="F132" s="2" t="s">
        <v>1577</v>
      </c>
      <c r="G132" s="2" t="s">
        <v>1578</v>
      </c>
      <c r="H132" s="2" t="s">
        <v>223</v>
      </c>
      <c r="I132" s="2" t="s">
        <v>1030</v>
      </c>
      <c r="J132" s="2" t="s">
        <v>90</v>
      </c>
      <c r="K132" s="2" t="s">
        <v>91</v>
      </c>
      <c r="L132" s="2" t="s">
        <v>1579</v>
      </c>
      <c r="M132" s="2" t="s">
        <v>781</v>
      </c>
      <c r="N132" s="2" t="s">
        <v>173</v>
      </c>
      <c r="O132" s="2" t="s">
        <v>95</v>
      </c>
      <c r="P132" s="157">
        <v>33490</v>
      </c>
      <c r="Q132" s="166">
        <v>3.71</v>
      </c>
      <c r="R132" s="183">
        <v>1075.2</v>
      </c>
      <c r="T132" s="156">
        <v>1335.913</v>
      </c>
      <c r="U132" s="172">
        <v>2.055E-3</v>
      </c>
      <c r="V132" s="172">
        <v>2.4665404427473801E-3</v>
      </c>
      <c r="W132" s="172">
        <v>7.3262641474202404E-4</v>
      </c>
    </row>
    <row r="133" spans="1:23">
      <c r="A133" s="2">
        <v>161</v>
      </c>
      <c r="B133" s="2">
        <v>9943</v>
      </c>
      <c r="C133" s="2" t="s">
        <v>1453</v>
      </c>
      <c r="D133" s="2" t="s">
        <v>1454</v>
      </c>
      <c r="E133" s="4" t="s">
        <v>220</v>
      </c>
      <c r="F133" s="2" t="s">
        <v>1463</v>
      </c>
      <c r="G133" s="2" t="s">
        <v>1464</v>
      </c>
      <c r="H133" s="2" t="s">
        <v>223</v>
      </c>
      <c r="I133" s="2" t="s">
        <v>1028</v>
      </c>
      <c r="J133" s="2" t="s">
        <v>90</v>
      </c>
      <c r="K133" s="2" t="s">
        <v>91</v>
      </c>
      <c r="L133" s="2" t="s">
        <v>394</v>
      </c>
      <c r="M133" s="2" t="s">
        <v>784</v>
      </c>
      <c r="N133" s="2" t="s">
        <v>173</v>
      </c>
      <c r="O133" s="2" t="s">
        <v>95</v>
      </c>
      <c r="P133" s="157">
        <v>125882</v>
      </c>
      <c r="Q133" s="166">
        <v>3.71</v>
      </c>
      <c r="R133" s="183">
        <v>6751</v>
      </c>
      <c r="T133" s="156">
        <v>31528.67</v>
      </c>
      <c r="U133" s="172">
        <v>4.17E-4</v>
      </c>
      <c r="V133" s="172">
        <v>5.8212410047164903E-2</v>
      </c>
      <c r="W133" s="172">
        <v>1.7290593953871301E-2</v>
      </c>
    </row>
    <row r="134" spans="1:23">
      <c r="A134" s="2">
        <v>161</v>
      </c>
      <c r="B134" s="2">
        <v>9943</v>
      </c>
      <c r="C134" s="2" t="s">
        <v>1507</v>
      </c>
      <c r="D134" s="2" t="s">
        <v>1454</v>
      </c>
      <c r="E134" s="4" t="s">
        <v>220</v>
      </c>
      <c r="F134" s="2" t="s">
        <v>1508</v>
      </c>
      <c r="G134" s="2" t="s">
        <v>1509</v>
      </c>
      <c r="H134" s="2" t="s">
        <v>223</v>
      </c>
      <c r="I134" s="2" t="s">
        <v>1028</v>
      </c>
      <c r="J134" s="2" t="s">
        <v>90</v>
      </c>
      <c r="K134" s="2" t="s">
        <v>91</v>
      </c>
      <c r="L134" s="2" t="s">
        <v>430</v>
      </c>
      <c r="M134" s="2" t="s">
        <v>784</v>
      </c>
      <c r="N134" s="2" t="s">
        <v>173</v>
      </c>
      <c r="O134" s="2" t="s">
        <v>95</v>
      </c>
      <c r="P134" s="157">
        <v>359740</v>
      </c>
      <c r="Q134" s="166">
        <v>3.71</v>
      </c>
      <c r="R134" s="183">
        <v>1392.6</v>
      </c>
      <c r="T134" s="156">
        <v>18586.133000000002</v>
      </c>
      <c r="U134" s="172">
        <v>0</v>
      </c>
      <c r="V134" s="172">
        <v>3.4316181700134799E-2</v>
      </c>
      <c r="W134" s="172">
        <v>1.0192795030193E-2</v>
      </c>
    </row>
    <row r="135" spans="1:23">
      <c r="A135" s="2">
        <v>161</v>
      </c>
      <c r="B135" s="2">
        <v>9943</v>
      </c>
      <c r="C135" s="2" t="s">
        <v>1453</v>
      </c>
      <c r="D135" s="2" t="s">
        <v>1454</v>
      </c>
      <c r="E135" s="4" t="s">
        <v>220</v>
      </c>
      <c r="F135" s="2" t="s">
        <v>1580</v>
      </c>
      <c r="G135" s="2" t="s">
        <v>1581</v>
      </c>
      <c r="H135" s="2" t="s">
        <v>223</v>
      </c>
      <c r="I135" s="2" t="s">
        <v>1030</v>
      </c>
      <c r="J135" s="2" t="s">
        <v>90</v>
      </c>
      <c r="K135" s="2" t="s">
        <v>91</v>
      </c>
      <c r="L135" s="2" t="s">
        <v>430</v>
      </c>
      <c r="M135" s="2" t="s">
        <v>781</v>
      </c>
      <c r="N135" s="2" t="s">
        <v>173</v>
      </c>
      <c r="O135" s="2" t="s">
        <v>95</v>
      </c>
      <c r="P135" s="157">
        <v>38440</v>
      </c>
      <c r="Q135" s="166">
        <v>3.71</v>
      </c>
      <c r="R135" s="183">
        <v>2915.25</v>
      </c>
      <c r="T135" s="156">
        <v>4157.5079999999998</v>
      </c>
      <c r="U135" s="172">
        <v>1.55E-4</v>
      </c>
      <c r="V135" s="172">
        <v>7.6761423616105396E-3</v>
      </c>
      <c r="W135" s="172">
        <v>2.2800131552564501E-3</v>
      </c>
    </row>
    <row r="136" spans="1:23">
      <c r="A136" s="2">
        <v>161</v>
      </c>
      <c r="B136" s="2">
        <v>9943</v>
      </c>
      <c r="C136" s="2" t="s">
        <v>1582</v>
      </c>
      <c r="D136" s="2" t="s">
        <v>1583</v>
      </c>
      <c r="E136" s="4" t="s">
        <v>220</v>
      </c>
      <c r="F136" s="2" t="s">
        <v>1584</v>
      </c>
      <c r="G136" s="2" t="s">
        <v>1585</v>
      </c>
      <c r="H136" s="2" t="s">
        <v>223</v>
      </c>
      <c r="I136" s="2" t="s">
        <v>1028</v>
      </c>
      <c r="J136" s="2" t="s">
        <v>90</v>
      </c>
      <c r="K136" s="2" t="s">
        <v>91</v>
      </c>
      <c r="L136" s="2" t="s">
        <v>430</v>
      </c>
      <c r="M136" s="2" t="s">
        <v>784</v>
      </c>
      <c r="N136" s="2" t="s">
        <v>173</v>
      </c>
      <c r="O136" s="2" t="s">
        <v>95</v>
      </c>
      <c r="P136" s="157">
        <v>27930</v>
      </c>
      <c r="Q136" s="166">
        <v>3.71</v>
      </c>
      <c r="R136" s="183">
        <v>3353.75</v>
      </c>
      <c r="T136" s="156">
        <v>3475.1660000000002</v>
      </c>
      <c r="U136" s="172">
        <v>0</v>
      </c>
      <c r="V136" s="172">
        <v>6.4163117798218504E-3</v>
      </c>
      <c r="W136" s="172">
        <v>1.9058108327151099E-3</v>
      </c>
    </row>
    <row r="137" spans="1:23">
      <c r="A137" s="2">
        <v>161</v>
      </c>
      <c r="B137" s="2">
        <v>9943</v>
      </c>
      <c r="C137" s="2" t="s">
        <v>1453</v>
      </c>
      <c r="D137" s="2" t="s">
        <v>1454</v>
      </c>
      <c r="E137" s="4" t="s">
        <v>220</v>
      </c>
      <c r="F137" s="2" t="s">
        <v>1510</v>
      </c>
      <c r="G137" s="2" t="s">
        <v>1511</v>
      </c>
      <c r="H137" s="2" t="s">
        <v>223</v>
      </c>
      <c r="I137" s="2" t="s">
        <v>1028</v>
      </c>
      <c r="J137" s="2" t="s">
        <v>90</v>
      </c>
      <c r="K137" s="2" t="s">
        <v>91</v>
      </c>
      <c r="L137" s="2" t="s">
        <v>430</v>
      </c>
      <c r="M137" s="2" t="s">
        <v>784</v>
      </c>
      <c r="N137" s="2" t="s">
        <v>173</v>
      </c>
      <c r="O137" s="2" t="s">
        <v>95</v>
      </c>
      <c r="P137" s="157">
        <v>11580</v>
      </c>
      <c r="Q137" s="166">
        <v>3.71</v>
      </c>
      <c r="R137" s="183">
        <v>5244.62</v>
      </c>
      <c r="T137" s="156">
        <v>2253.183</v>
      </c>
      <c r="U137" s="172">
        <v>3.4999999999999997E-5</v>
      </c>
      <c r="V137" s="172">
        <v>4.1601254172528596E-3</v>
      </c>
      <c r="W137" s="172">
        <v>1.2356650296495E-3</v>
      </c>
    </row>
    <row r="138" spans="1:23">
      <c r="A138" s="2">
        <v>161</v>
      </c>
      <c r="B138" s="2">
        <v>9943</v>
      </c>
      <c r="C138" s="2" t="s">
        <v>1586</v>
      </c>
      <c r="D138" s="2" t="s">
        <v>1454</v>
      </c>
      <c r="E138" s="4" t="s">
        <v>220</v>
      </c>
      <c r="F138" s="2" t="s">
        <v>1587</v>
      </c>
      <c r="G138" s="2" t="s">
        <v>1588</v>
      </c>
      <c r="H138" s="2" t="s">
        <v>223</v>
      </c>
      <c r="I138" s="2" t="s">
        <v>1028</v>
      </c>
      <c r="J138" s="2" t="s">
        <v>90</v>
      </c>
      <c r="K138" s="2" t="s">
        <v>91</v>
      </c>
      <c r="L138" s="2" t="s">
        <v>430</v>
      </c>
      <c r="M138" s="2" t="s">
        <v>784</v>
      </c>
      <c r="N138" s="2" t="s">
        <v>173</v>
      </c>
      <c r="O138" s="2" t="s">
        <v>95</v>
      </c>
      <c r="P138" s="157">
        <v>8800</v>
      </c>
      <c r="Q138" s="166">
        <v>3.71</v>
      </c>
      <c r="R138" s="183">
        <v>11772.5</v>
      </c>
      <c r="T138" s="156">
        <v>3843.4859999999999</v>
      </c>
      <c r="U138" s="172">
        <v>0</v>
      </c>
      <c r="V138" s="172">
        <v>7.09635296660782E-3</v>
      </c>
      <c r="W138" s="172">
        <v>2.1078006837296701E-3</v>
      </c>
    </row>
    <row r="139" spans="1:23">
      <c r="A139" s="2">
        <v>161</v>
      </c>
      <c r="B139" s="2">
        <v>9943</v>
      </c>
      <c r="C139" s="2" t="s">
        <v>1465</v>
      </c>
      <c r="D139" s="2" t="s">
        <v>1466</v>
      </c>
      <c r="E139" s="4" t="s">
        <v>220</v>
      </c>
      <c r="F139" s="2" t="s">
        <v>1589</v>
      </c>
      <c r="G139" s="2" t="s">
        <v>1590</v>
      </c>
      <c r="H139" s="2" t="s">
        <v>223</v>
      </c>
      <c r="I139" s="2" t="s">
        <v>1030</v>
      </c>
      <c r="J139" s="2" t="s">
        <v>90</v>
      </c>
      <c r="K139" s="2" t="s">
        <v>91</v>
      </c>
      <c r="L139" s="2" t="s">
        <v>430</v>
      </c>
      <c r="M139" s="2" t="s">
        <v>781</v>
      </c>
      <c r="N139" s="2" t="s">
        <v>173</v>
      </c>
      <c r="O139" s="2" t="s">
        <v>95</v>
      </c>
      <c r="P139" s="157">
        <v>21100</v>
      </c>
      <c r="Q139" s="166">
        <v>3.71</v>
      </c>
      <c r="R139" s="183">
        <v>5844</v>
      </c>
      <c r="T139" s="156">
        <v>4574.7420000000002</v>
      </c>
      <c r="U139" s="172">
        <v>0</v>
      </c>
      <c r="V139" s="172">
        <v>8.4464944318197593E-3</v>
      </c>
      <c r="W139" s="172">
        <v>2.5088276784263298E-3</v>
      </c>
    </row>
    <row r="140" spans="1:23">
      <c r="A140" s="2">
        <v>161</v>
      </c>
      <c r="B140" s="2">
        <v>9943</v>
      </c>
      <c r="C140" s="2" t="s">
        <v>1465</v>
      </c>
      <c r="D140" s="2" t="s">
        <v>1466</v>
      </c>
      <c r="E140" s="4" t="s">
        <v>220</v>
      </c>
      <c r="F140" s="2" t="s">
        <v>1591</v>
      </c>
      <c r="G140" s="2" t="s">
        <v>1592</v>
      </c>
      <c r="H140" s="2" t="s">
        <v>223</v>
      </c>
      <c r="I140" s="2" t="s">
        <v>1028</v>
      </c>
      <c r="J140" s="2" t="s">
        <v>90</v>
      </c>
      <c r="K140" s="2" t="s">
        <v>1480</v>
      </c>
      <c r="L140" s="2" t="s">
        <v>430</v>
      </c>
      <c r="M140" s="2" t="s">
        <v>784</v>
      </c>
      <c r="N140" s="2" t="s">
        <v>173</v>
      </c>
      <c r="O140" s="2" t="s">
        <v>95</v>
      </c>
      <c r="P140" s="157">
        <v>8550</v>
      </c>
      <c r="Q140" s="166">
        <v>3.71</v>
      </c>
      <c r="R140" s="183">
        <v>6639</v>
      </c>
      <c r="T140" s="156">
        <v>2105.924</v>
      </c>
      <c r="U140" s="172">
        <v>0</v>
      </c>
      <c r="V140" s="172">
        <v>3.8882360354678099E-3</v>
      </c>
      <c r="W140" s="172">
        <v>1.1549068391364201E-3</v>
      </c>
    </row>
    <row r="141" spans="1:23">
      <c r="A141" s="2">
        <v>161</v>
      </c>
      <c r="B141" s="2">
        <v>9943</v>
      </c>
      <c r="C141" s="2" t="s">
        <v>1465</v>
      </c>
      <c r="D141" s="2" t="s">
        <v>1466</v>
      </c>
      <c r="E141" s="4" t="s">
        <v>220</v>
      </c>
      <c r="F141" s="2" t="s">
        <v>1593</v>
      </c>
      <c r="G141" s="2" t="s">
        <v>1592</v>
      </c>
      <c r="H141" s="2" t="s">
        <v>223</v>
      </c>
      <c r="I141" s="2" t="s">
        <v>1028</v>
      </c>
      <c r="J141" s="2" t="s">
        <v>90</v>
      </c>
      <c r="K141" s="2" t="s">
        <v>347</v>
      </c>
      <c r="L141" s="2" t="s">
        <v>145</v>
      </c>
      <c r="M141" s="2" t="s">
        <v>784</v>
      </c>
      <c r="N141" s="2" t="s">
        <v>173</v>
      </c>
      <c r="O141" s="2" t="s">
        <v>1225</v>
      </c>
      <c r="P141" s="157">
        <v>23850</v>
      </c>
      <c r="Q141" s="166">
        <v>4.1524000000000001</v>
      </c>
      <c r="R141" s="183">
        <v>5964</v>
      </c>
      <c r="T141" s="156">
        <v>5906.4319999999998</v>
      </c>
      <c r="U141" s="172">
        <v>0</v>
      </c>
      <c r="V141" s="172">
        <v>1.09052375034703E-2</v>
      </c>
      <c r="W141" s="172">
        <v>3.2391380719379299E-3</v>
      </c>
    </row>
    <row r="142" spans="1:23">
      <c r="A142" s="2">
        <v>161</v>
      </c>
      <c r="B142" s="2">
        <v>9943</v>
      </c>
      <c r="C142" s="2" t="s">
        <v>1465</v>
      </c>
      <c r="D142" s="2" t="s">
        <v>1466</v>
      </c>
      <c r="E142" s="4" t="s">
        <v>220</v>
      </c>
      <c r="F142" s="2" t="s">
        <v>1467</v>
      </c>
      <c r="G142" s="2" t="s">
        <v>1468</v>
      </c>
      <c r="H142" s="2" t="s">
        <v>223</v>
      </c>
      <c r="I142" s="2" t="s">
        <v>1028</v>
      </c>
      <c r="J142" s="2" t="s">
        <v>90</v>
      </c>
      <c r="K142" s="2" t="s">
        <v>91</v>
      </c>
      <c r="L142" s="2" t="s">
        <v>394</v>
      </c>
      <c r="M142" s="2" t="s">
        <v>784</v>
      </c>
      <c r="N142" s="2" t="s">
        <v>173</v>
      </c>
      <c r="O142" s="2" t="s">
        <v>95</v>
      </c>
      <c r="P142" s="157">
        <v>22317</v>
      </c>
      <c r="Q142" s="166">
        <v>3.71</v>
      </c>
      <c r="R142" s="183">
        <v>52767</v>
      </c>
      <c r="S142" s="161">
        <v>36.569000000000003</v>
      </c>
      <c r="T142" s="156">
        <v>43824.671999999999</v>
      </c>
      <c r="U142" s="172">
        <v>2.5999999999999998E-5</v>
      </c>
      <c r="V142" s="172">
        <v>8.0914918569067698E-2</v>
      </c>
      <c r="W142" s="172">
        <v>2.40338271625373E-2</v>
      </c>
    </row>
    <row r="143" spans="1:23">
      <c r="A143" s="2">
        <v>161</v>
      </c>
      <c r="B143" s="2">
        <v>9943</v>
      </c>
      <c r="C143" s="2" t="s">
        <v>1594</v>
      </c>
      <c r="D143" s="2" t="s">
        <v>1595</v>
      </c>
      <c r="E143" s="4" t="s">
        <v>220</v>
      </c>
      <c r="F143" s="2" t="s">
        <v>1596</v>
      </c>
      <c r="G143" s="2" t="s">
        <v>1597</v>
      </c>
      <c r="H143" s="2" t="s">
        <v>223</v>
      </c>
      <c r="I143" s="2" t="s">
        <v>1028</v>
      </c>
      <c r="J143" s="2" t="s">
        <v>90</v>
      </c>
      <c r="K143" s="2" t="s">
        <v>305</v>
      </c>
      <c r="L143" s="2" t="s">
        <v>394</v>
      </c>
      <c r="M143" s="2" t="s">
        <v>784</v>
      </c>
      <c r="N143" s="2" t="s">
        <v>173</v>
      </c>
      <c r="O143" s="2" t="s">
        <v>95</v>
      </c>
      <c r="P143" s="157">
        <v>4400</v>
      </c>
      <c r="Q143" s="166">
        <v>3.71</v>
      </c>
      <c r="R143" s="183">
        <v>10600</v>
      </c>
      <c r="T143" s="156">
        <v>1730.3440000000001</v>
      </c>
      <c r="U143" s="172">
        <v>1.3899999999999999E-4</v>
      </c>
      <c r="V143" s="172">
        <v>3.1947904627752299E-3</v>
      </c>
      <c r="W143" s="172">
        <v>9.4893553822614099E-4</v>
      </c>
    </row>
    <row r="144" spans="1:23">
      <c r="A144" s="2">
        <v>161</v>
      </c>
      <c r="B144" s="2">
        <v>9943</v>
      </c>
      <c r="C144" s="2" t="s">
        <v>1598</v>
      </c>
      <c r="D144" s="2" t="s">
        <v>1599</v>
      </c>
      <c r="E144" s="4" t="s">
        <v>220</v>
      </c>
      <c r="F144" s="2" t="s">
        <v>1600</v>
      </c>
      <c r="G144" s="2" t="s">
        <v>1601</v>
      </c>
      <c r="H144" s="2" t="s">
        <v>223</v>
      </c>
      <c r="I144" s="2" t="s">
        <v>1028</v>
      </c>
      <c r="J144" s="2" t="s">
        <v>90</v>
      </c>
      <c r="K144" s="2" t="s">
        <v>91</v>
      </c>
      <c r="L144" s="2" t="s">
        <v>430</v>
      </c>
      <c r="M144" s="2" t="s">
        <v>784</v>
      </c>
      <c r="N144" s="2" t="s">
        <v>173</v>
      </c>
      <c r="O144" s="2" t="s">
        <v>95</v>
      </c>
      <c r="P144" s="157">
        <v>14200</v>
      </c>
      <c r="Q144" s="166">
        <v>3.71</v>
      </c>
      <c r="R144" s="183">
        <v>4011.5</v>
      </c>
      <c r="T144" s="156">
        <v>2113.3380000000002</v>
      </c>
      <c r="U144" s="172">
        <v>0</v>
      </c>
      <c r="V144" s="172">
        <v>3.90192554820336E-3</v>
      </c>
      <c r="W144" s="172">
        <v>1.1589729790874199E-3</v>
      </c>
    </row>
    <row r="145" spans="1:23">
      <c r="A145" s="2">
        <v>161</v>
      </c>
      <c r="B145" s="2">
        <v>9943</v>
      </c>
      <c r="C145" s="2" t="s">
        <v>1453</v>
      </c>
      <c r="D145" s="2" t="s">
        <v>1454</v>
      </c>
      <c r="E145" s="4" t="s">
        <v>220</v>
      </c>
      <c r="F145" s="2" t="s">
        <v>1602</v>
      </c>
      <c r="G145" s="2" t="s">
        <v>1603</v>
      </c>
      <c r="H145" s="2" t="s">
        <v>223</v>
      </c>
      <c r="I145" s="2" t="s">
        <v>1028</v>
      </c>
      <c r="J145" s="2" t="s">
        <v>90</v>
      </c>
      <c r="K145" s="2" t="s">
        <v>91</v>
      </c>
      <c r="L145" s="2" t="s">
        <v>394</v>
      </c>
      <c r="M145" s="2" t="s">
        <v>784</v>
      </c>
      <c r="N145" s="2" t="s">
        <v>173</v>
      </c>
      <c r="O145" s="2" t="s">
        <v>95</v>
      </c>
      <c r="P145" s="157">
        <v>12500</v>
      </c>
      <c r="Q145" s="166">
        <v>3.71</v>
      </c>
      <c r="R145" s="183">
        <v>8780</v>
      </c>
      <c r="T145" s="156">
        <v>4071.7249999999999</v>
      </c>
      <c r="U145" s="172">
        <v>3.0000000000000001E-5</v>
      </c>
      <c r="V145" s="172">
        <v>7.5177584324524404E-3</v>
      </c>
      <c r="W145" s="172">
        <v>2.2329690248781898E-3</v>
      </c>
    </row>
    <row r="146" spans="1:23">
      <c r="A146" s="2">
        <v>161</v>
      </c>
      <c r="B146" s="2">
        <v>9943</v>
      </c>
      <c r="C146" s="2" t="s">
        <v>1453</v>
      </c>
      <c r="D146" s="2" t="s">
        <v>1454</v>
      </c>
      <c r="E146" s="4" t="s">
        <v>220</v>
      </c>
      <c r="F146" s="2" t="s">
        <v>1604</v>
      </c>
      <c r="G146" s="2" t="s">
        <v>1605</v>
      </c>
      <c r="H146" s="2" t="s">
        <v>223</v>
      </c>
      <c r="I146" s="2" t="s">
        <v>1028</v>
      </c>
      <c r="J146" s="2" t="s">
        <v>90</v>
      </c>
      <c r="K146" s="2" t="s">
        <v>91</v>
      </c>
      <c r="L146" s="2" t="s">
        <v>394</v>
      </c>
      <c r="M146" s="2" t="s">
        <v>784</v>
      </c>
      <c r="N146" s="2" t="s">
        <v>173</v>
      </c>
      <c r="O146" s="2" t="s">
        <v>95</v>
      </c>
      <c r="P146" s="157">
        <v>51980</v>
      </c>
      <c r="Q146" s="166">
        <v>3.71</v>
      </c>
      <c r="R146" s="183">
        <v>4532</v>
      </c>
      <c r="T146" s="156">
        <v>8739.7720000000008</v>
      </c>
      <c r="U146" s="172">
        <v>5.8E-5</v>
      </c>
      <c r="V146" s="172">
        <v>1.61365249530857E-2</v>
      </c>
      <c r="W146" s="172">
        <v>4.79296597691553E-3</v>
      </c>
    </row>
    <row r="147" spans="1:23">
      <c r="A147" s="2">
        <v>161</v>
      </c>
      <c r="B147" s="2">
        <v>9943</v>
      </c>
      <c r="C147" s="2" t="s">
        <v>1453</v>
      </c>
      <c r="D147" s="2" t="s">
        <v>1454</v>
      </c>
      <c r="E147" s="4" t="s">
        <v>220</v>
      </c>
      <c r="F147" s="2" t="s">
        <v>1606</v>
      </c>
      <c r="G147" s="2" t="s">
        <v>1607</v>
      </c>
      <c r="H147" s="2" t="s">
        <v>223</v>
      </c>
      <c r="I147" s="2" t="s">
        <v>1028</v>
      </c>
      <c r="J147" s="2" t="s">
        <v>90</v>
      </c>
      <c r="K147" s="2" t="s">
        <v>91</v>
      </c>
      <c r="L147" s="2" t="s">
        <v>394</v>
      </c>
      <c r="M147" s="2" t="s">
        <v>784</v>
      </c>
      <c r="N147" s="2" t="s">
        <v>173</v>
      </c>
      <c r="O147" s="2" t="s">
        <v>95</v>
      </c>
      <c r="P147" s="157">
        <v>3609</v>
      </c>
      <c r="Q147" s="166">
        <v>3.71</v>
      </c>
      <c r="R147" s="183">
        <v>13544</v>
      </c>
      <c r="T147" s="156">
        <v>1813.4590000000001</v>
      </c>
      <c r="U147" s="172">
        <v>2.5999999999999998E-5</v>
      </c>
      <c r="V147" s="172">
        <v>3.3482483593145402E-3</v>
      </c>
      <c r="W147" s="172">
        <v>9.9451650929273296E-4</v>
      </c>
    </row>
    <row r="148" spans="1:23">
      <c r="A148" s="2">
        <v>161</v>
      </c>
      <c r="B148" s="2">
        <v>9943</v>
      </c>
      <c r="C148" s="2" t="s">
        <v>1411</v>
      </c>
      <c r="D148" s="2" t="s">
        <v>1412</v>
      </c>
      <c r="E148" s="4" t="s">
        <v>220</v>
      </c>
      <c r="F148" s="2" t="s">
        <v>1499</v>
      </c>
      <c r="G148" s="2" t="s">
        <v>1500</v>
      </c>
      <c r="H148" s="2" t="s">
        <v>223</v>
      </c>
      <c r="I148" s="2" t="s">
        <v>1028</v>
      </c>
      <c r="J148" s="2" t="s">
        <v>90</v>
      </c>
      <c r="K148" s="2" t="s">
        <v>91</v>
      </c>
      <c r="L148" s="2" t="s">
        <v>396</v>
      </c>
      <c r="M148" s="2" t="s">
        <v>784</v>
      </c>
      <c r="N148" s="2" t="s">
        <v>173</v>
      </c>
      <c r="O148" s="2" t="s">
        <v>95</v>
      </c>
      <c r="P148" s="157">
        <v>9573</v>
      </c>
      <c r="Q148" s="166">
        <v>3.71</v>
      </c>
      <c r="R148" s="183">
        <v>48807</v>
      </c>
      <c r="S148" s="161">
        <v>4.8529999999999998</v>
      </c>
      <c r="T148" s="156">
        <v>17352.217000000001</v>
      </c>
      <c r="U148" s="172">
        <v>1.7E-5</v>
      </c>
      <c r="V148" s="172">
        <v>3.2037962304851703E-2</v>
      </c>
      <c r="W148" s="172">
        <v>9.5161048455784693E-3</v>
      </c>
    </row>
    <row r="149" spans="1:23">
      <c r="A149" s="2">
        <v>161</v>
      </c>
      <c r="B149" s="2">
        <v>9943</v>
      </c>
      <c r="C149" s="2" t="s">
        <v>1411</v>
      </c>
      <c r="D149" s="2" t="s">
        <v>1412</v>
      </c>
      <c r="E149" s="4" t="s">
        <v>220</v>
      </c>
      <c r="F149" s="2" t="s">
        <v>1608</v>
      </c>
      <c r="G149" s="2" t="s">
        <v>1609</v>
      </c>
      <c r="H149" s="2" t="s">
        <v>223</v>
      </c>
      <c r="I149" s="2" t="s">
        <v>1028</v>
      </c>
      <c r="J149" s="2" t="s">
        <v>90</v>
      </c>
      <c r="K149" s="2" t="s">
        <v>350</v>
      </c>
      <c r="L149" s="2" t="s">
        <v>394</v>
      </c>
      <c r="M149" s="2" t="s">
        <v>784</v>
      </c>
      <c r="N149" s="2" t="s">
        <v>173</v>
      </c>
      <c r="O149" s="2" t="s">
        <v>95</v>
      </c>
      <c r="P149" s="157">
        <v>30000</v>
      </c>
      <c r="Q149" s="166">
        <v>3.71</v>
      </c>
      <c r="R149" s="183">
        <v>4311</v>
      </c>
      <c r="T149" s="156">
        <v>4798.143</v>
      </c>
      <c r="U149" s="172">
        <v>8.8000000000000003E-4</v>
      </c>
      <c r="V149" s="172">
        <v>8.8589676361646892E-3</v>
      </c>
      <c r="W149" s="172">
        <v>2.631342906492E-3</v>
      </c>
    </row>
    <row r="150" spans="1:23">
      <c r="A150" s="2">
        <v>161</v>
      </c>
      <c r="B150" s="2">
        <v>9943</v>
      </c>
      <c r="C150" s="2" t="s">
        <v>1457</v>
      </c>
      <c r="D150" s="2" t="s">
        <v>1458</v>
      </c>
      <c r="E150" s="4" t="s">
        <v>220</v>
      </c>
      <c r="F150" s="2" t="s">
        <v>1610</v>
      </c>
      <c r="G150" s="2" t="s">
        <v>1611</v>
      </c>
      <c r="H150" s="2" t="s">
        <v>223</v>
      </c>
      <c r="I150" s="2" t="s">
        <v>1028</v>
      </c>
      <c r="J150" s="2" t="s">
        <v>90</v>
      </c>
      <c r="K150" s="2" t="s">
        <v>91</v>
      </c>
      <c r="L150" s="2" t="s">
        <v>396</v>
      </c>
      <c r="M150" s="2" t="s">
        <v>784</v>
      </c>
      <c r="N150" s="2" t="s">
        <v>173</v>
      </c>
      <c r="O150" s="2" t="s">
        <v>95</v>
      </c>
      <c r="P150" s="157">
        <v>7120</v>
      </c>
      <c r="Q150" s="166">
        <v>3.71</v>
      </c>
      <c r="R150" s="183">
        <v>23059</v>
      </c>
      <c r="T150" s="156">
        <v>6091.0810000000001</v>
      </c>
      <c r="U150" s="172">
        <v>4.0999999999999999E-4</v>
      </c>
      <c r="V150" s="172">
        <v>1.12461611012366E-2</v>
      </c>
      <c r="W150" s="172">
        <v>3.3404012131391702E-3</v>
      </c>
    </row>
    <row r="151" spans="1:23">
      <c r="A151" s="2">
        <v>161</v>
      </c>
      <c r="B151" s="2">
        <v>9943</v>
      </c>
      <c r="C151" s="2" t="s">
        <v>1453</v>
      </c>
      <c r="D151" s="2" t="s">
        <v>1454</v>
      </c>
      <c r="E151" s="4" t="s">
        <v>220</v>
      </c>
      <c r="F151" s="2" t="s">
        <v>1612</v>
      </c>
      <c r="G151" s="2" t="s">
        <v>1613</v>
      </c>
      <c r="H151" s="2" t="s">
        <v>223</v>
      </c>
      <c r="I151" s="2" t="s">
        <v>1028</v>
      </c>
      <c r="J151" s="2" t="s">
        <v>90</v>
      </c>
      <c r="K151" s="2" t="s">
        <v>91</v>
      </c>
      <c r="L151" s="2" t="s">
        <v>394</v>
      </c>
      <c r="M151" s="2" t="s">
        <v>784</v>
      </c>
      <c r="N151" s="2" t="s">
        <v>173</v>
      </c>
      <c r="O151" s="2" t="s">
        <v>95</v>
      </c>
      <c r="P151" s="157">
        <v>25000</v>
      </c>
      <c r="Q151" s="166">
        <v>3.71</v>
      </c>
      <c r="R151" s="183">
        <v>4467</v>
      </c>
      <c r="T151" s="156">
        <v>4143.1419999999998</v>
      </c>
      <c r="U151" s="172">
        <v>1.4200000000000001E-4</v>
      </c>
      <c r="V151" s="172">
        <v>7.6496188878735901E-3</v>
      </c>
      <c r="W151" s="172">
        <v>2.27213499638517E-3</v>
      </c>
    </row>
    <row r="152" spans="1:23">
      <c r="A152" s="2">
        <v>161</v>
      </c>
      <c r="B152" s="2">
        <v>9943</v>
      </c>
      <c r="C152" s="2" t="s">
        <v>1453</v>
      </c>
      <c r="D152" s="2" t="s">
        <v>1454</v>
      </c>
      <c r="E152" s="4" t="s">
        <v>220</v>
      </c>
      <c r="F152" s="2" t="s">
        <v>1614</v>
      </c>
      <c r="G152" s="2" t="s">
        <v>1615</v>
      </c>
      <c r="H152" s="2" t="s">
        <v>223</v>
      </c>
      <c r="I152" s="2" t="s">
        <v>1030</v>
      </c>
      <c r="J152" s="2" t="s">
        <v>90</v>
      </c>
      <c r="K152" s="2" t="s">
        <v>91</v>
      </c>
      <c r="L152" s="2" t="s">
        <v>430</v>
      </c>
      <c r="M152" s="2" t="s">
        <v>781</v>
      </c>
      <c r="N152" s="2" t="s">
        <v>173</v>
      </c>
      <c r="O152" s="2" t="s">
        <v>95</v>
      </c>
      <c r="P152" s="157">
        <v>21700</v>
      </c>
      <c r="Q152" s="166">
        <v>3.71</v>
      </c>
      <c r="R152" s="183">
        <v>4984.5</v>
      </c>
      <c r="T152" s="156">
        <v>4012.8710000000001</v>
      </c>
      <c r="U152" s="172">
        <v>0</v>
      </c>
      <c r="V152" s="172">
        <v>7.4090951423447298E-3</v>
      </c>
      <c r="W152" s="172">
        <v>2.2006932124625598E-3</v>
      </c>
    </row>
    <row r="153" spans="1:23">
      <c r="A153" s="2">
        <v>161</v>
      </c>
      <c r="B153" s="2">
        <v>9943</v>
      </c>
      <c r="C153" s="2" t="s">
        <v>1453</v>
      </c>
      <c r="D153" s="2" t="s">
        <v>1454</v>
      </c>
      <c r="E153" s="4" t="s">
        <v>220</v>
      </c>
      <c r="F153" s="2" t="s">
        <v>1541</v>
      </c>
      <c r="G153" s="2" t="s">
        <v>1542</v>
      </c>
      <c r="H153" s="2" t="s">
        <v>223</v>
      </c>
      <c r="I153" s="2" t="s">
        <v>1028</v>
      </c>
      <c r="J153" s="2" t="s">
        <v>90</v>
      </c>
      <c r="K153" s="2" t="s">
        <v>91</v>
      </c>
      <c r="L153" s="2" t="s">
        <v>394</v>
      </c>
      <c r="M153" s="2" t="s">
        <v>784</v>
      </c>
      <c r="N153" s="2" t="s">
        <v>173</v>
      </c>
      <c r="O153" s="2" t="s">
        <v>95</v>
      </c>
      <c r="P153" s="157">
        <v>21225</v>
      </c>
      <c r="Q153" s="166">
        <v>3.71</v>
      </c>
      <c r="R153" s="183">
        <v>57376</v>
      </c>
      <c r="S153" s="161">
        <v>27.75</v>
      </c>
      <c r="T153" s="156">
        <v>45283.538999999997</v>
      </c>
      <c r="U153" s="172">
        <v>2.0000000000000002E-5</v>
      </c>
      <c r="V153" s="172">
        <v>8.3608471958337399E-2</v>
      </c>
      <c r="W153" s="172">
        <v>2.48338823038586E-2</v>
      </c>
    </row>
    <row r="154" spans="1:23">
      <c r="A154" s="2">
        <v>161</v>
      </c>
      <c r="B154" s="2">
        <v>9943</v>
      </c>
      <c r="C154" s="2" t="s">
        <v>1465</v>
      </c>
      <c r="D154" s="2" t="s">
        <v>1466</v>
      </c>
      <c r="E154" s="4" t="s">
        <v>220</v>
      </c>
      <c r="F154" s="2" t="s">
        <v>1467</v>
      </c>
      <c r="G154" s="2" t="s">
        <v>1468</v>
      </c>
      <c r="H154" s="2" t="s">
        <v>223</v>
      </c>
      <c r="I154" s="2" t="s">
        <v>1028</v>
      </c>
      <c r="J154" s="2" t="s">
        <v>90</v>
      </c>
      <c r="K154" s="2" t="s">
        <v>91</v>
      </c>
      <c r="L154" s="2" t="s">
        <v>394</v>
      </c>
      <c r="M154" s="2" t="s">
        <v>784</v>
      </c>
      <c r="N154" s="2" t="s">
        <v>173</v>
      </c>
      <c r="O154" s="2" t="s">
        <v>95</v>
      </c>
      <c r="P154" s="157">
        <v>2657</v>
      </c>
      <c r="Q154" s="166">
        <v>3.71</v>
      </c>
      <c r="R154" s="183">
        <v>52767</v>
      </c>
      <c r="S154" s="161">
        <v>4.3540000000000001</v>
      </c>
      <c r="T154" s="156">
        <v>5217.6440000000002</v>
      </c>
      <c r="U154" s="172">
        <v>3.0000000000000001E-6</v>
      </c>
      <c r="V154" s="172">
        <v>9.6335053339731292E-3</v>
      </c>
      <c r="W154" s="172">
        <v>2.8614006695002899E-3</v>
      </c>
    </row>
    <row r="155" spans="1:23">
      <c r="A155" s="2">
        <v>161</v>
      </c>
      <c r="B155" s="2">
        <v>12468</v>
      </c>
      <c r="C155" s="2" t="s">
        <v>1429</v>
      </c>
      <c r="D155" s="2" t="s">
        <v>1430</v>
      </c>
      <c r="E155" s="4" t="s">
        <v>1363</v>
      </c>
      <c r="F155" s="2" t="s">
        <v>1521</v>
      </c>
      <c r="G155" s="2" t="s">
        <v>1522</v>
      </c>
      <c r="H155" s="2" t="s">
        <v>223</v>
      </c>
      <c r="I155" s="2" t="s">
        <v>1028</v>
      </c>
      <c r="J155" s="2" t="s">
        <v>30</v>
      </c>
      <c r="K155" s="2" t="s">
        <v>91</v>
      </c>
      <c r="L155" s="2" t="s">
        <v>31</v>
      </c>
      <c r="M155" s="2" t="s">
        <v>1477</v>
      </c>
      <c r="N155" s="2" t="s">
        <v>173</v>
      </c>
      <c r="O155" s="2" t="s">
        <v>34</v>
      </c>
      <c r="P155" s="157">
        <v>16000</v>
      </c>
      <c r="Q155" s="166">
        <v>1</v>
      </c>
      <c r="R155" s="183">
        <v>2470</v>
      </c>
      <c r="T155" s="156">
        <v>395.2</v>
      </c>
      <c r="U155" s="172">
        <v>4.1999999999999998E-5</v>
      </c>
      <c r="V155" s="172">
        <v>7.6584933515803102E-2</v>
      </c>
      <c r="W155" s="172">
        <v>2.5907547988648E-2</v>
      </c>
    </row>
    <row r="156" spans="1:23">
      <c r="A156" s="2">
        <v>161</v>
      </c>
      <c r="B156" s="2">
        <v>12468</v>
      </c>
      <c r="C156" s="2" t="s">
        <v>1429</v>
      </c>
      <c r="D156" s="2" t="s">
        <v>1430</v>
      </c>
      <c r="E156" s="4" t="s">
        <v>1363</v>
      </c>
      <c r="F156" s="2" t="s">
        <v>1431</v>
      </c>
      <c r="G156" s="2" t="s">
        <v>1432</v>
      </c>
      <c r="H156" s="2" t="s">
        <v>223</v>
      </c>
      <c r="I156" s="2" t="s">
        <v>1027</v>
      </c>
      <c r="J156" s="2" t="s">
        <v>30</v>
      </c>
      <c r="K156" s="2" t="s">
        <v>30</v>
      </c>
      <c r="L156" s="2" t="s">
        <v>31</v>
      </c>
      <c r="M156" s="2" t="s">
        <v>1398</v>
      </c>
      <c r="N156" s="2" t="s">
        <v>173</v>
      </c>
      <c r="O156" s="2" t="s">
        <v>34</v>
      </c>
      <c r="P156" s="157">
        <v>35800</v>
      </c>
      <c r="Q156" s="166">
        <v>1</v>
      </c>
      <c r="R156" s="183">
        <v>2013</v>
      </c>
      <c r="T156" s="156">
        <v>720.654</v>
      </c>
      <c r="U156" s="172">
        <v>7.3399999999999995E-4</v>
      </c>
      <c r="V156" s="172">
        <v>0.13965394402302</v>
      </c>
      <c r="W156" s="172">
        <v>4.7242859534947203E-2</v>
      </c>
    </row>
    <row r="157" spans="1:23">
      <c r="A157" s="2">
        <v>161</v>
      </c>
      <c r="B157" s="2">
        <v>12468</v>
      </c>
      <c r="C157" s="2" t="s">
        <v>1429</v>
      </c>
      <c r="D157" s="2" t="s">
        <v>1430</v>
      </c>
      <c r="E157" s="4" t="s">
        <v>1363</v>
      </c>
      <c r="F157" s="2" t="s">
        <v>1616</v>
      </c>
      <c r="G157" s="2" t="s">
        <v>1617</v>
      </c>
      <c r="H157" s="2" t="s">
        <v>223</v>
      </c>
      <c r="I157" s="2" t="s">
        <v>1027</v>
      </c>
      <c r="J157" s="2" t="s">
        <v>30</v>
      </c>
      <c r="K157" s="2" t="s">
        <v>30</v>
      </c>
      <c r="L157" s="2" t="s">
        <v>31</v>
      </c>
      <c r="M157" s="2" t="s">
        <v>1398</v>
      </c>
      <c r="N157" s="2" t="s">
        <v>173</v>
      </c>
      <c r="O157" s="2" t="s">
        <v>34</v>
      </c>
      <c r="P157" s="157">
        <v>3900</v>
      </c>
      <c r="Q157" s="166">
        <v>1</v>
      </c>
      <c r="R157" s="183">
        <v>3960</v>
      </c>
      <c r="T157" s="156">
        <v>154.44</v>
      </c>
      <c r="U157" s="172">
        <v>8.6000000000000003E-5</v>
      </c>
      <c r="V157" s="172">
        <v>2.9928585860780999E-2</v>
      </c>
      <c r="W157" s="172">
        <v>1.01243970429322E-2</v>
      </c>
    </row>
    <row r="158" spans="1:23">
      <c r="A158" s="2">
        <v>161</v>
      </c>
      <c r="B158" s="2">
        <v>12468</v>
      </c>
      <c r="C158" s="2" t="s">
        <v>1437</v>
      </c>
      <c r="D158" s="2" t="s">
        <v>1438</v>
      </c>
      <c r="E158" s="4" t="s">
        <v>1363</v>
      </c>
      <c r="F158" s="2" t="s">
        <v>1475</v>
      </c>
      <c r="G158" s="2" t="s">
        <v>1476</v>
      </c>
      <c r="H158" s="2" t="s">
        <v>223</v>
      </c>
      <c r="I158" s="2" t="s">
        <v>1028</v>
      </c>
      <c r="J158" s="2" t="s">
        <v>30</v>
      </c>
      <c r="K158" s="2" t="s">
        <v>91</v>
      </c>
      <c r="L158" s="2" t="s">
        <v>31</v>
      </c>
      <c r="M158" s="2" t="s">
        <v>1477</v>
      </c>
      <c r="N158" s="2" t="s">
        <v>173</v>
      </c>
      <c r="O158" s="2" t="s">
        <v>34</v>
      </c>
      <c r="P158" s="157">
        <v>1900</v>
      </c>
      <c r="Q158" s="166">
        <v>1</v>
      </c>
      <c r="R158" s="183">
        <v>11220</v>
      </c>
      <c r="T158" s="156">
        <v>213.18</v>
      </c>
      <c r="U158" s="172">
        <v>2.34E-4</v>
      </c>
      <c r="V158" s="172">
        <v>4.1311680483043803E-2</v>
      </c>
      <c r="W158" s="172">
        <v>1.39751292515688E-2</v>
      </c>
    </row>
    <row r="159" spans="1:23">
      <c r="A159" s="2">
        <v>161</v>
      </c>
      <c r="B159" s="2">
        <v>12468</v>
      </c>
      <c r="C159" s="2" t="s">
        <v>1399</v>
      </c>
      <c r="D159" s="2" t="s">
        <v>1400</v>
      </c>
      <c r="E159" s="4" t="s">
        <v>1363</v>
      </c>
      <c r="F159" s="2" t="s">
        <v>1533</v>
      </c>
      <c r="G159" s="2" t="s">
        <v>1534</v>
      </c>
      <c r="H159" s="2" t="s">
        <v>223</v>
      </c>
      <c r="I159" s="2" t="s">
        <v>1028</v>
      </c>
      <c r="J159" s="2" t="s">
        <v>30</v>
      </c>
      <c r="K159" s="2" t="s">
        <v>91</v>
      </c>
      <c r="L159" s="2" t="s">
        <v>31</v>
      </c>
      <c r="M159" s="2" t="s">
        <v>1428</v>
      </c>
      <c r="N159" s="2" t="s">
        <v>173</v>
      </c>
      <c r="O159" s="2" t="s">
        <v>34</v>
      </c>
      <c r="P159" s="157">
        <v>5500</v>
      </c>
      <c r="Q159" s="166">
        <v>1</v>
      </c>
      <c r="R159" s="183">
        <v>5505</v>
      </c>
      <c r="T159" s="156">
        <v>302.77499999999998</v>
      </c>
      <c r="U159" s="172">
        <v>7.8999999999999996E-5</v>
      </c>
      <c r="V159" s="172">
        <v>5.8674097280483999E-2</v>
      </c>
      <c r="W159" s="172">
        <v>1.98485775360903E-2</v>
      </c>
    </row>
    <row r="160" spans="1:23">
      <c r="A160" s="2">
        <v>161</v>
      </c>
      <c r="B160" s="2">
        <v>12468</v>
      </c>
      <c r="C160" s="2" t="s">
        <v>1399</v>
      </c>
      <c r="D160" s="2" t="s">
        <v>1400</v>
      </c>
      <c r="E160" s="4" t="s">
        <v>1363</v>
      </c>
      <c r="F160" s="2" t="s">
        <v>1491</v>
      </c>
      <c r="G160" s="2" t="s">
        <v>1492</v>
      </c>
      <c r="H160" s="2" t="s">
        <v>223</v>
      </c>
      <c r="I160" s="2" t="s">
        <v>1027</v>
      </c>
      <c r="J160" s="2" t="s">
        <v>30</v>
      </c>
      <c r="K160" s="2" t="s">
        <v>30</v>
      </c>
      <c r="L160" s="2" t="s">
        <v>31</v>
      </c>
      <c r="M160" s="2" t="s">
        <v>1398</v>
      </c>
      <c r="N160" s="2" t="s">
        <v>173</v>
      </c>
      <c r="O160" s="2" t="s">
        <v>34</v>
      </c>
      <c r="P160" s="157">
        <v>720</v>
      </c>
      <c r="Q160" s="166">
        <v>1</v>
      </c>
      <c r="R160" s="183">
        <v>20710</v>
      </c>
      <c r="T160" s="156">
        <v>149.11199999999999</v>
      </c>
      <c r="U160" s="172">
        <v>2.6999999999999999E-5</v>
      </c>
      <c r="V160" s="172">
        <v>2.88960845303857E-2</v>
      </c>
      <c r="W160" s="172">
        <v>9.7751171449475607E-3</v>
      </c>
    </row>
    <row r="161" spans="1:23">
      <c r="A161" s="2">
        <v>161</v>
      </c>
      <c r="B161" s="2">
        <v>12468</v>
      </c>
      <c r="C161" s="2" t="s">
        <v>1457</v>
      </c>
      <c r="D161" s="2" t="s">
        <v>1458</v>
      </c>
      <c r="E161" s="4" t="s">
        <v>220</v>
      </c>
      <c r="F161" s="2" t="s">
        <v>1535</v>
      </c>
      <c r="G161" s="2" t="s">
        <v>1536</v>
      </c>
      <c r="H161" s="2" t="s">
        <v>223</v>
      </c>
      <c r="I161" s="2" t="s">
        <v>1028</v>
      </c>
      <c r="J161" s="2" t="s">
        <v>90</v>
      </c>
      <c r="K161" s="2" t="s">
        <v>91</v>
      </c>
      <c r="L161" s="2" t="s">
        <v>394</v>
      </c>
      <c r="M161" s="2" t="s">
        <v>784</v>
      </c>
      <c r="N161" s="2" t="s">
        <v>173</v>
      </c>
      <c r="O161" s="2" t="s">
        <v>95</v>
      </c>
      <c r="P161" s="157">
        <v>170</v>
      </c>
      <c r="Q161" s="166">
        <v>3.71</v>
      </c>
      <c r="R161" s="183">
        <v>12710</v>
      </c>
      <c r="T161" s="156">
        <v>80.162000000000006</v>
      </c>
      <c r="U161" s="172">
        <v>6.9999999999999999E-6</v>
      </c>
      <c r="V161" s="172">
        <v>1.55344107868062E-2</v>
      </c>
      <c r="W161" s="172">
        <v>5.2550609429138596E-3</v>
      </c>
    </row>
    <row r="162" spans="1:23">
      <c r="A162" s="2">
        <v>161</v>
      </c>
      <c r="B162" s="2">
        <v>12468</v>
      </c>
      <c r="C162" s="2" t="s">
        <v>1457</v>
      </c>
      <c r="D162" s="2" t="s">
        <v>1458</v>
      </c>
      <c r="E162" s="4" t="s">
        <v>220</v>
      </c>
      <c r="F162" s="2" t="s">
        <v>1537</v>
      </c>
      <c r="G162" s="2" t="s">
        <v>1538</v>
      </c>
      <c r="H162" s="2" t="s">
        <v>223</v>
      </c>
      <c r="I162" s="2" t="s">
        <v>1028</v>
      </c>
      <c r="J162" s="2" t="s">
        <v>90</v>
      </c>
      <c r="K162" s="2" t="s">
        <v>91</v>
      </c>
      <c r="L162" s="2" t="s">
        <v>430</v>
      </c>
      <c r="M162" s="2" t="s">
        <v>784</v>
      </c>
      <c r="N162" s="2" t="s">
        <v>173</v>
      </c>
      <c r="O162" s="2" t="s">
        <v>95</v>
      </c>
      <c r="P162" s="157">
        <v>7</v>
      </c>
      <c r="Q162" s="166">
        <v>3.71</v>
      </c>
      <c r="R162" s="183">
        <v>114221</v>
      </c>
      <c r="T162" s="156">
        <v>29.663</v>
      </c>
      <c r="U162" s="172">
        <v>9.9999999999999995E-7</v>
      </c>
      <c r="V162" s="172">
        <v>5.7483646694860601E-3</v>
      </c>
      <c r="W162" s="172">
        <v>1.9445865745934001E-3</v>
      </c>
    </row>
    <row r="163" spans="1:23">
      <c r="A163" s="2">
        <v>161</v>
      </c>
      <c r="B163" s="2">
        <v>12468</v>
      </c>
      <c r="C163" s="2" t="s">
        <v>1501</v>
      </c>
      <c r="D163" s="2" t="s">
        <v>1502</v>
      </c>
      <c r="E163" s="4" t="s">
        <v>220</v>
      </c>
      <c r="F163" s="2" t="s">
        <v>1539</v>
      </c>
      <c r="G163" s="2" t="s">
        <v>1540</v>
      </c>
      <c r="H163" s="2" t="s">
        <v>223</v>
      </c>
      <c r="I163" s="2" t="s">
        <v>1028</v>
      </c>
      <c r="J163" s="2" t="s">
        <v>90</v>
      </c>
      <c r="K163" s="2" t="s">
        <v>347</v>
      </c>
      <c r="L163" s="2" t="s">
        <v>145</v>
      </c>
      <c r="M163" s="2" t="s">
        <v>784</v>
      </c>
      <c r="N163" s="2" t="s">
        <v>173</v>
      </c>
      <c r="O163" s="2" t="s">
        <v>1225</v>
      </c>
      <c r="P163" s="157">
        <v>640</v>
      </c>
      <c r="Q163" s="166">
        <v>4.1524000000000001</v>
      </c>
      <c r="R163" s="183">
        <v>24366</v>
      </c>
      <c r="T163" s="156">
        <v>647.53499999999997</v>
      </c>
      <c r="U163" s="172">
        <v>1.9000000000000001E-5</v>
      </c>
      <c r="V163" s="172">
        <v>0.125484417782466</v>
      </c>
      <c r="W163" s="172">
        <v>4.2449518805888202E-2</v>
      </c>
    </row>
    <row r="164" spans="1:23">
      <c r="A164" s="2">
        <v>161</v>
      </c>
      <c r="B164" s="2">
        <v>12468</v>
      </c>
      <c r="C164" s="2" t="s">
        <v>1411</v>
      </c>
      <c r="D164" s="2" t="s">
        <v>1412</v>
      </c>
      <c r="E164" s="4" t="s">
        <v>220</v>
      </c>
      <c r="F164" s="2" t="s">
        <v>1505</v>
      </c>
      <c r="G164" s="2" t="s">
        <v>1506</v>
      </c>
      <c r="H164" s="2" t="s">
        <v>223</v>
      </c>
      <c r="I164" s="2" t="s">
        <v>1028</v>
      </c>
      <c r="J164" s="2" t="s">
        <v>90</v>
      </c>
      <c r="K164" s="2" t="s">
        <v>91</v>
      </c>
      <c r="L164" s="2" t="s">
        <v>430</v>
      </c>
      <c r="M164" s="2" t="s">
        <v>784</v>
      </c>
      <c r="N164" s="2" t="s">
        <v>173</v>
      </c>
      <c r="O164" s="2" t="s">
        <v>95</v>
      </c>
      <c r="P164" s="157">
        <v>238</v>
      </c>
      <c r="Q164" s="166">
        <v>3.71</v>
      </c>
      <c r="R164" s="183">
        <v>112716</v>
      </c>
      <c r="T164" s="156">
        <v>995.26</v>
      </c>
      <c r="U164" s="172">
        <v>1.1E-5</v>
      </c>
      <c r="V164" s="172">
        <v>0.19286918211989801</v>
      </c>
      <c r="W164" s="172">
        <v>6.5244785911728595E-2</v>
      </c>
    </row>
    <row r="165" spans="1:23">
      <c r="A165" s="2">
        <v>161</v>
      </c>
      <c r="B165" s="2">
        <v>12468</v>
      </c>
      <c r="C165" s="2" t="s">
        <v>1453</v>
      </c>
      <c r="D165" s="2" t="s">
        <v>1454</v>
      </c>
      <c r="E165" s="4" t="s">
        <v>220</v>
      </c>
      <c r="F165" s="2" t="s">
        <v>1541</v>
      </c>
      <c r="G165" s="2" t="s">
        <v>1542</v>
      </c>
      <c r="H165" s="2" t="s">
        <v>223</v>
      </c>
      <c r="I165" s="2" t="s">
        <v>1028</v>
      </c>
      <c r="J165" s="2" t="s">
        <v>90</v>
      </c>
      <c r="K165" s="2" t="s">
        <v>91</v>
      </c>
      <c r="L165" s="2" t="s">
        <v>394</v>
      </c>
      <c r="M165" s="2" t="s">
        <v>784</v>
      </c>
      <c r="N165" s="2" t="s">
        <v>173</v>
      </c>
      <c r="O165" s="2" t="s">
        <v>95</v>
      </c>
      <c r="P165" s="157">
        <v>275</v>
      </c>
      <c r="Q165" s="166">
        <v>3.71</v>
      </c>
      <c r="R165" s="183">
        <v>57376</v>
      </c>
      <c r="S165" s="161">
        <v>0.43</v>
      </c>
      <c r="T165" s="156">
        <v>586.97500000000002</v>
      </c>
      <c r="U165" s="172">
        <v>0</v>
      </c>
      <c r="V165" s="172">
        <v>0.113748682958129</v>
      </c>
      <c r="W165" s="172">
        <v>3.8479493643160598E-2</v>
      </c>
    </row>
    <row r="166" spans="1:23">
      <c r="A166" s="2">
        <v>161</v>
      </c>
      <c r="B166" s="2">
        <v>12468</v>
      </c>
      <c r="C166" s="2" t="s">
        <v>1507</v>
      </c>
      <c r="D166" s="2" t="s">
        <v>1454</v>
      </c>
      <c r="E166" s="4" t="s">
        <v>220</v>
      </c>
      <c r="F166" s="2" t="s">
        <v>1508</v>
      </c>
      <c r="G166" s="2" t="s">
        <v>1509</v>
      </c>
      <c r="H166" s="2" t="s">
        <v>223</v>
      </c>
      <c r="I166" s="2" t="s">
        <v>1028</v>
      </c>
      <c r="J166" s="2" t="s">
        <v>90</v>
      </c>
      <c r="K166" s="2" t="s">
        <v>91</v>
      </c>
      <c r="L166" s="2" t="s">
        <v>430</v>
      </c>
      <c r="M166" s="2" t="s">
        <v>784</v>
      </c>
      <c r="N166" s="2" t="s">
        <v>173</v>
      </c>
      <c r="O166" s="2" t="s">
        <v>95</v>
      </c>
      <c r="P166" s="157">
        <v>602</v>
      </c>
      <c r="Q166" s="166">
        <v>3.71</v>
      </c>
      <c r="R166" s="183">
        <v>1392.6</v>
      </c>
      <c r="T166" s="156">
        <v>31.103000000000002</v>
      </c>
      <c r="U166" s="172">
        <v>0</v>
      </c>
      <c r="V166" s="172">
        <v>6.0273053723085999E-3</v>
      </c>
      <c r="W166" s="172">
        <v>2.0389480803440102E-3</v>
      </c>
    </row>
    <row r="167" spans="1:23">
      <c r="A167" s="2">
        <v>161</v>
      </c>
      <c r="B167" s="2">
        <v>12468</v>
      </c>
      <c r="C167" s="2" t="s">
        <v>1465</v>
      </c>
      <c r="D167" s="2" t="s">
        <v>1466</v>
      </c>
      <c r="E167" s="4" t="s">
        <v>220</v>
      </c>
      <c r="F167" s="2" t="s">
        <v>1467</v>
      </c>
      <c r="G167" s="2" t="s">
        <v>1468</v>
      </c>
      <c r="H167" s="2" t="s">
        <v>223</v>
      </c>
      <c r="I167" s="2" t="s">
        <v>1028</v>
      </c>
      <c r="J167" s="2" t="s">
        <v>90</v>
      </c>
      <c r="K167" s="2" t="s">
        <v>91</v>
      </c>
      <c r="L167" s="2" t="s">
        <v>394</v>
      </c>
      <c r="M167" s="2" t="s">
        <v>784</v>
      </c>
      <c r="N167" s="2" t="s">
        <v>173</v>
      </c>
      <c r="O167" s="2" t="s">
        <v>95</v>
      </c>
      <c r="P167" s="157">
        <v>435</v>
      </c>
      <c r="Q167" s="166">
        <v>3.71</v>
      </c>
      <c r="R167" s="183">
        <v>52767</v>
      </c>
      <c r="S167" s="161">
        <v>0.71299999999999997</v>
      </c>
      <c r="T167" s="156">
        <v>854.22500000000002</v>
      </c>
      <c r="U167" s="172">
        <v>9.9999999999999995E-7</v>
      </c>
      <c r="V167" s="172">
        <v>0.165538310617389</v>
      </c>
      <c r="W167" s="172">
        <v>5.5999157137020403E-2</v>
      </c>
    </row>
    <row r="168" spans="1:23">
      <c r="A168" s="2">
        <v>161</v>
      </c>
      <c r="B168" s="2">
        <v>15391</v>
      </c>
      <c r="C168" s="2" t="s">
        <v>1411</v>
      </c>
      <c r="D168" s="2" t="s">
        <v>1412</v>
      </c>
      <c r="E168" s="4" t="s">
        <v>220</v>
      </c>
      <c r="F168" s="2" t="s">
        <v>1516</v>
      </c>
      <c r="G168" s="2" t="s">
        <v>1506</v>
      </c>
      <c r="H168" s="2" t="s">
        <v>223</v>
      </c>
      <c r="I168" s="2" t="s">
        <v>1028</v>
      </c>
      <c r="J168" s="2" t="s">
        <v>30</v>
      </c>
      <c r="K168" s="2" t="s">
        <v>91</v>
      </c>
      <c r="L168" s="2" t="s">
        <v>430</v>
      </c>
      <c r="M168" s="2" t="s">
        <v>784</v>
      </c>
      <c r="N168" s="2" t="s">
        <v>173</v>
      </c>
      <c r="O168" s="2" t="s">
        <v>34</v>
      </c>
      <c r="P168" s="157">
        <v>68</v>
      </c>
      <c r="Q168" s="166">
        <v>1</v>
      </c>
      <c r="R168" s="183">
        <v>418000</v>
      </c>
      <c r="T168" s="156">
        <v>284.24</v>
      </c>
      <c r="U168" s="172">
        <v>3.9999999999999998E-6</v>
      </c>
      <c r="V168" s="172">
        <v>0.12456480106890799</v>
      </c>
      <c r="W168" s="172">
        <v>0.12335300424041599</v>
      </c>
    </row>
    <row r="169" spans="1:23">
      <c r="A169" s="2">
        <v>161</v>
      </c>
      <c r="B169" s="2">
        <v>15391</v>
      </c>
      <c r="C169" s="2" t="s">
        <v>1394</v>
      </c>
      <c r="D169" s="2" t="s">
        <v>1395</v>
      </c>
      <c r="E169" s="4" t="s">
        <v>1363</v>
      </c>
      <c r="F169" s="2" t="s">
        <v>1517</v>
      </c>
      <c r="G169" s="2" t="s">
        <v>1518</v>
      </c>
      <c r="H169" s="2" t="s">
        <v>223</v>
      </c>
      <c r="I169" s="2" t="s">
        <v>1028</v>
      </c>
      <c r="J169" s="2" t="s">
        <v>30</v>
      </c>
      <c r="K169" s="2" t="s">
        <v>91</v>
      </c>
      <c r="L169" s="2" t="s">
        <v>31</v>
      </c>
      <c r="M169" s="2" t="s">
        <v>1477</v>
      </c>
      <c r="N169" s="2" t="s">
        <v>173</v>
      </c>
      <c r="O169" s="2" t="s">
        <v>34</v>
      </c>
      <c r="P169" s="157">
        <v>3157</v>
      </c>
      <c r="Q169" s="166">
        <v>1</v>
      </c>
      <c r="R169" s="183">
        <v>9106</v>
      </c>
      <c r="T169" s="156">
        <v>287.476</v>
      </c>
      <c r="U169" s="172">
        <v>4.1999999999999998E-5</v>
      </c>
      <c r="V169" s="172">
        <v>0.12598312366064601</v>
      </c>
      <c r="W169" s="172">
        <v>0.124757529043342</v>
      </c>
    </row>
    <row r="170" spans="1:23">
      <c r="A170" s="2">
        <v>161</v>
      </c>
      <c r="B170" s="2">
        <v>15391</v>
      </c>
      <c r="C170" s="2" t="s">
        <v>1457</v>
      </c>
      <c r="D170" s="2" t="s">
        <v>1458</v>
      </c>
      <c r="E170" s="4" t="s">
        <v>220</v>
      </c>
      <c r="F170" s="2" t="s">
        <v>1519</v>
      </c>
      <c r="G170" s="2" t="s">
        <v>1520</v>
      </c>
      <c r="H170" s="2" t="s">
        <v>223</v>
      </c>
      <c r="I170" s="2" t="s">
        <v>1028</v>
      </c>
      <c r="J170" s="2" t="s">
        <v>30</v>
      </c>
      <c r="K170" s="2" t="s">
        <v>91</v>
      </c>
      <c r="L170" s="2" t="s">
        <v>31</v>
      </c>
      <c r="M170" s="2" t="s">
        <v>1477</v>
      </c>
      <c r="N170" s="2" t="s">
        <v>173</v>
      </c>
      <c r="O170" s="2" t="s">
        <v>34</v>
      </c>
      <c r="P170" s="157">
        <v>127</v>
      </c>
      <c r="Q170" s="166">
        <v>1</v>
      </c>
      <c r="R170" s="183">
        <v>225000</v>
      </c>
      <c r="T170" s="156">
        <v>285.75</v>
      </c>
      <c r="U170" s="172">
        <v>2.14E-4</v>
      </c>
      <c r="V170" s="172">
        <v>0.125226540618634</v>
      </c>
      <c r="W170" s="172">
        <v>0.12400830622607199</v>
      </c>
    </row>
    <row r="171" spans="1:23">
      <c r="A171" s="2">
        <v>161</v>
      </c>
      <c r="B171" s="2">
        <v>15391</v>
      </c>
      <c r="C171" s="2" t="s">
        <v>1429</v>
      </c>
      <c r="D171" s="2" t="s">
        <v>1430</v>
      </c>
      <c r="E171" s="4" t="s">
        <v>1363</v>
      </c>
      <c r="F171" s="2" t="s">
        <v>1521</v>
      </c>
      <c r="G171" s="2" t="s">
        <v>1522</v>
      </c>
      <c r="H171" s="2" t="s">
        <v>223</v>
      </c>
      <c r="I171" s="2" t="s">
        <v>1028</v>
      </c>
      <c r="J171" s="2" t="s">
        <v>30</v>
      </c>
      <c r="K171" s="2" t="s">
        <v>91</v>
      </c>
      <c r="L171" s="2" t="s">
        <v>31</v>
      </c>
      <c r="M171" s="2" t="s">
        <v>1477</v>
      </c>
      <c r="N171" s="2" t="s">
        <v>173</v>
      </c>
      <c r="O171" s="2" t="s">
        <v>34</v>
      </c>
      <c r="P171" s="157">
        <v>11575</v>
      </c>
      <c r="Q171" s="166">
        <v>1</v>
      </c>
      <c r="R171" s="183">
        <v>2470</v>
      </c>
      <c r="T171" s="156">
        <v>285.90199999999999</v>
      </c>
      <c r="U171" s="172">
        <v>3.1000000000000001E-5</v>
      </c>
      <c r="V171" s="172">
        <v>0.125293371930775</v>
      </c>
      <c r="W171" s="172">
        <v>0.124074487386875</v>
      </c>
    </row>
    <row r="172" spans="1:23">
      <c r="A172" s="2">
        <v>161</v>
      </c>
      <c r="B172" s="2">
        <v>15391</v>
      </c>
      <c r="C172" s="2" t="s">
        <v>1483</v>
      </c>
      <c r="D172" s="2" t="s">
        <v>1484</v>
      </c>
      <c r="E172" s="4" t="s">
        <v>1363</v>
      </c>
      <c r="F172" s="2" t="s">
        <v>1523</v>
      </c>
      <c r="G172" s="2" t="s">
        <v>1524</v>
      </c>
      <c r="H172" s="2" t="s">
        <v>223</v>
      </c>
      <c r="I172" s="2" t="s">
        <v>1028</v>
      </c>
      <c r="J172" s="2" t="s">
        <v>30</v>
      </c>
      <c r="K172" s="2" t="s">
        <v>91</v>
      </c>
      <c r="L172" s="2" t="s">
        <v>55</v>
      </c>
      <c r="M172" s="2" t="s">
        <v>1477</v>
      </c>
      <c r="N172" s="2" t="s">
        <v>173</v>
      </c>
      <c r="O172" s="2" t="s">
        <v>34</v>
      </c>
      <c r="P172" s="157">
        <v>4835</v>
      </c>
      <c r="Q172" s="166">
        <v>1</v>
      </c>
      <c r="R172" s="183">
        <v>5932</v>
      </c>
      <c r="T172" s="156">
        <v>286.81200000000001</v>
      </c>
      <c r="U172" s="172">
        <v>8.0599999999999997E-4</v>
      </c>
      <c r="V172" s="172">
        <v>0.12569203714162699</v>
      </c>
      <c r="W172" s="172">
        <v>0.124469274285122</v>
      </c>
    </row>
    <row r="173" spans="1:23">
      <c r="A173" s="2">
        <v>161</v>
      </c>
      <c r="B173" s="2">
        <v>15391</v>
      </c>
      <c r="C173" s="2" t="s">
        <v>1437</v>
      </c>
      <c r="D173" s="2" t="s">
        <v>1438</v>
      </c>
      <c r="E173" s="4" t="s">
        <v>1363</v>
      </c>
      <c r="F173" s="2" t="s">
        <v>1487</v>
      </c>
      <c r="G173" s="2" t="s">
        <v>1488</v>
      </c>
      <c r="H173" s="2" t="s">
        <v>223</v>
      </c>
      <c r="I173" s="2" t="s">
        <v>1028</v>
      </c>
      <c r="J173" s="2" t="s">
        <v>30</v>
      </c>
      <c r="K173" s="2" t="s">
        <v>91</v>
      </c>
      <c r="L173" s="2" t="s">
        <v>31</v>
      </c>
      <c r="M173" s="2" t="s">
        <v>1477</v>
      </c>
      <c r="N173" s="19" t="s">
        <v>173</v>
      </c>
      <c r="O173" s="2" t="s">
        <v>34</v>
      </c>
      <c r="P173" s="157">
        <v>2728</v>
      </c>
      <c r="Q173" s="166">
        <v>1</v>
      </c>
      <c r="R173" s="183">
        <v>10530</v>
      </c>
      <c r="T173" s="156">
        <v>287.25799999999998</v>
      </c>
      <c r="U173" s="172">
        <v>4.8000000000000001E-5</v>
      </c>
      <c r="V173" s="172">
        <v>0.12588757898738001</v>
      </c>
      <c r="W173" s="172">
        <v>0.12466291385200901</v>
      </c>
    </row>
    <row r="174" spans="1:23">
      <c r="A174" s="2">
        <v>161</v>
      </c>
      <c r="B174" s="2">
        <v>15391</v>
      </c>
      <c r="C174" s="2" t="s">
        <v>1399</v>
      </c>
      <c r="D174" s="2" t="s">
        <v>1400</v>
      </c>
      <c r="E174" s="4" t="s">
        <v>1363</v>
      </c>
      <c r="F174" s="2" t="s">
        <v>1525</v>
      </c>
      <c r="G174" s="2" t="s">
        <v>1526</v>
      </c>
      <c r="H174" s="2" t="s">
        <v>223</v>
      </c>
      <c r="I174" s="2" t="s">
        <v>1028</v>
      </c>
      <c r="J174" s="2" t="s">
        <v>30</v>
      </c>
      <c r="K174" s="2" t="s">
        <v>91</v>
      </c>
      <c r="L174" s="2" t="s">
        <v>31</v>
      </c>
      <c r="M174" s="2" t="s">
        <v>1477</v>
      </c>
      <c r="N174" s="2" t="s">
        <v>173</v>
      </c>
      <c r="O174" s="2" t="s">
        <v>34</v>
      </c>
      <c r="P174" s="157">
        <v>1230</v>
      </c>
      <c r="Q174" s="166">
        <v>1</v>
      </c>
      <c r="R174" s="183">
        <v>23280</v>
      </c>
      <c r="T174" s="156">
        <v>286.34399999999999</v>
      </c>
      <c r="U174" s="172">
        <v>6.0999999999999999E-5</v>
      </c>
      <c r="V174" s="172">
        <v>0.12548685405740001</v>
      </c>
      <c r="W174" s="172">
        <v>0.124266087272086</v>
      </c>
    </row>
    <row r="175" spans="1:23">
      <c r="A175" s="2">
        <v>161</v>
      </c>
      <c r="B175" s="2">
        <v>15391</v>
      </c>
      <c r="C175" s="2" t="s">
        <v>1447</v>
      </c>
      <c r="D175" s="2" t="s">
        <v>1448</v>
      </c>
      <c r="E175" s="4" t="s">
        <v>1363</v>
      </c>
      <c r="F175" s="2" t="s">
        <v>1527</v>
      </c>
      <c r="G175" s="2" t="s">
        <v>1528</v>
      </c>
      <c r="H175" s="2" t="s">
        <v>223</v>
      </c>
      <c r="I175" s="2" t="s">
        <v>1028</v>
      </c>
      <c r="J175" s="2" t="s">
        <v>30</v>
      </c>
      <c r="K175" s="2" t="s">
        <v>91</v>
      </c>
      <c r="L175" s="2" t="s">
        <v>31</v>
      </c>
      <c r="M175" s="2" t="s">
        <v>1477</v>
      </c>
      <c r="N175" s="2" t="s">
        <v>173</v>
      </c>
      <c r="O175" s="2" t="s">
        <v>34</v>
      </c>
      <c r="P175" s="157">
        <v>1115</v>
      </c>
      <c r="Q175" s="166">
        <v>1</v>
      </c>
      <c r="R175" s="183">
        <v>24940</v>
      </c>
      <c r="T175" s="156">
        <v>278.08100000000002</v>
      </c>
      <c r="U175" s="172">
        <v>3.6999999999999998E-5</v>
      </c>
      <c r="V175" s="172">
        <v>0.12186569253463</v>
      </c>
      <c r="W175" s="172">
        <v>0.120680153293622</v>
      </c>
    </row>
  </sheetData>
  <sheetProtection formatColumns="0"/>
  <autoFilter ref="A1:Y175" xr:uid="{8C9A1732-C2B3-42AA-A28D-A12859AB1396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 N24 N38:N39 N57 N97 N110:N112 N173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1158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8</v>
      </c>
      <c r="N1" s="22" t="s">
        <v>618</v>
      </c>
      <c r="O1" s="22" t="s">
        <v>159</v>
      </c>
      <c r="P1" s="22" t="s">
        <v>11</v>
      </c>
      <c r="Q1" s="22" t="s">
        <v>17</v>
      </c>
      <c r="R1" s="165" t="s">
        <v>18</v>
      </c>
      <c r="S1" s="176" t="s">
        <v>19</v>
      </c>
      <c r="T1" s="22" t="s">
        <v>20</v>
      </c>
      <c r="U1" s="171" t="s">
        <v>23</v>
      </c>
      <c r="V1" s="171" t="s">
        <v>24</v>
      </c>
      <c r="W1" s="171" t="s">
        <v>25</v>
      </c>
    </row>
    <row r="2" spans="1:23">
      <c r="A2" s="21">
        <v>161</v>
      </c>
      <c r="B2" s="21">
        <v>9938</v>
      </c>
      <c r="C2" s="21" t="s">
        <v>1394</v>
      </c>
      <c r="D2" s="21" t="s">
        <v>1395</v>
      </c>
      <c r="E2" s="21" t="s">
        <v>1363</v>
      </c>
      <c r="F2" s="21" t="s">
        <v>1396</v>
      </c>
      <c r="G2" s="21" t="s">
        <v>1397</v>
      </c>
      <c r="H2" s="21" t="s">
        <v>223</v>
      </c>
      <c r="I2" s="21" t="s">
        <v>978</v>
      </c>
      <c r="J2" s="21" t="s">
        <v>30</v>
      </c>
      <c r="K2" s="21" t="s">
        <v>30</v>
      </c>
      <c r="L2" s="4" t="s">
        <v>377</v>
      </c>
      <c r="M2" s="21" t="s">
        <v>31</v>
      </c>
      <c r="N2" s="23" t="s">
        <v>1398</v>
      </c>
      <c r="O2" s="23" t="s">
        <v>173</v>
      </c>
      <c r="P2" s="21" t="s">
        <v>34</v>
      </c>
      <c r="Q2" s="159">
        <v>300000</v>
      </c>
      <c r="R2" s="184">
        <v>1</v>
      </c>
      <c r="S2" s="185">
        <v>234.46</v>
      </c>
      <c r="T2" s="159">
        <v>703.38</v>
      </c>
      <c r="U2" s="186">
        <v>6.3900000000000003E-4</v>
      </c>
      <c r="V2" s="186">
        <v>0.52694745358924799</v>
      </c>
      <c r="W2" s="186">
        <v>1.0606044779546899E-2</v>
      </c>
    </row>
    <row r="3" spans="1:23">
      <c r="A3" s="21">
        <v>161</v>
      </c>
      <c r="B3" s="21">
        <v>9938</v>
      </c>
      <c r="C3" s="21" t="s">
        <v>1399</v>
      </c>
      <c r="D3" s="21" t="s">
        <v>1400</v>
      </c>
      <c r="E3" s="21" t="s">
        <v>1363</v>
      </c>
      <c r="F3" s="21" t="s">
        <v>1401</v>
      </c>
      <c r="G3" s="21" t="s">
        <v>1402</v>
      </c>
      <c r="H3" s="21" t="s">
        <v>223</v>
      </c>
      <c r="I3" s="21" t="s">
        <v>978</v>
      </c>
      <c r="J3" s="21" t="s">
        <v>30</v>
      </c>
      <c r="K3" s="21" t="s">
        <v>30</v>
      </c>
      <c r="L3" s="4" t="s">
        <v>377</v>
      </c>
      <c r="M3" s="21" t="s">
        <v>31</v>
      </c>
      <c r="N3" s="23" t="s">
        <v>1398</v>
      </c>
      <c r="O3" s="23" t="s">
        <v>173</v>
      </c>
      <c r="P3" s="21" t="s">
        <v>34</v>
      </c>
      <c r="Q3" s="159">
        <v>300000</v>
      </c>
      <c r="R3" s="184">
        <v>1</v>
      </c>
      <c r="S3" s="185">
        <v>210.48</v>
      </c>
      <c r="T3" s="159">
        <v>631.44000000000005</v>
      </c>
      <c r="U3" s="186">
        <v>2.5730000000000002E-3</v>
      </c>
      <c r="V3" s="186">
        <v>0.47305254641075201</v>
      </c>
      <c r="W3" s="186">
        <v>9.5212842497612808E-3</v>
      </c>
    </row>
    <row r="4" spans="1:23">
      <c r="A4" s="21">
        <v>161</v>
      </c>
      <c r="B4" s="21">
        <v>9943</v>
      </c>
      <c r="C4" s="21" t="s">
        <v>1403</v>
      </c>
      <c r="D4" s="21" t="s">
        <v>1404</v>
      </c>
      <c r="E4" s="21" t="s">
        <v>220</v>
      </c>
      <c r="F4" s="21" t="s">
        <v>1405</v>
      </c>
      <c r="G4" s="21" t="s">
        <v>1406</v>
      </c>
      <c r="H4" s="21" t="s">
        <v>223</v>
      </c>
      <c r="I4" s="21" t="s">
        <v>978</v>
      </c>
      <c r="J4" s="21" t="s">
        <v>90</v>
      </c>
      <c r="K4" s="21" t="s">
        <v>322</v>
      </c>
      <c r="L4" s="4" t="s">
        <v>377</v>
      </c>
      <c r="M4" s="21" t="s">
        <v>145</v>
      </c>
      <c r="N4" s="23" t="s">
        <v>784</v>
      </c>
      <c r="O4" s="23" t="s">
        <v>173</v>
      </c>
      <c r="P4" s="21" t="s">
        <v>95</v>
      </c>
      <c r="Q4" s="159">
        <v>10253.09</v>
      </c>
      <c r="R4" s="184">
        <v>3.71</v>
      </c>
      <c r="S4" s="185">
        <v>9492</v>
      </c>
      <c r="T4" s="159">
        <v>3610.6579999999999</v>
      </c>
      <c r="U4" s="186">
        <v>6.1081000000000003E-2</v>
      </c>
      <c r="V4" s="186">
        <v>0.117787931918231</v>
      </c>
      <c r="W4" s="186">
        <v>1.98011616350073E-3</v>
      </c>
    </row>
    <row r="5" spans="1:23">
      <c r="A5" s="21">
        <v>161</v>
      </c>
      <c r="B5" s="21">
        <v>9943</v>
      </c>
      <c r="C5" s="21" t="s">
        <v>1407</v>
      </c>
      <c r="D5" s="21" t="s">
        <v>1408</v>
      </c>
      <c r="E5" s="21" t="s">
        <v>220</v>
      </c>
      <c r="F5" s="21" t="s">
        <v>1409</v>
      </c>
      <c r="G5" s="21" t="s">
        <v>1410</v>
      </c>
      <c r="H5" s="21" t="s">
        <v>223</v>
      </c>
      <c r="I5" s="21" t="s">
        <v>1033</v>
      </c>
      <c r="J5" s="21" t="s">
        <v>90</v>
      </c>
      <c r="K5" s="21" t="s">
        <v>91</v>
      </c>
      <c r="L5" s="4" t="s">
        <v>377</v>
      </c>
      <c r="M5" s="21" t="s">
        <v>145</v>
      </c>
      <c r="N5" s="23" t="s">
        <v>781</v>
      </c>
      <c r="O5" s="23" t="s">
        <v>173</v>
      </c>
      <c r="P5" s="21" t="s">
        <v>95</v>
      </c>
      <c r="Q5" s="159">
        <v>1620.11</v>
      </c>
      <c r="R5" s="184">
        <v>3.71</v>
      </c>
      <c r="S5" s="185">
        <v>163962.39000000001</v>
      </c>
      <c r="T5" s="159">
        <v>9855.1370000000006</v>
      </c>
      <c r="U5" s="186">
        <v>0</v>
      </c>
      <c r="V5" s="186">
        <v>0.32149708563629997</v>
      </c>
      <c r="W5" s="186">
        <v>5.4046417609976303E-3</v>
      </c>
    </row>
    <row r="6" spans="1:23">
      <c r="A6" s="21">
        <v>161</v>
      </c>
      <c r="B6" s="21">
        <v>9943</v>
      </c>
      <c r="C6" s="21" t="s">
        <v>1411</v>
      </c>
      <c r="D6" s="21" t="s">
        <v>1412</v>
      </c>
      <c r="E6" s="21" t="s">
        <v>220</v>
      </c>
      <c r="F6" s="21" t="s">
        <v>1413</v>
      </c>
      <c r="G6" s="21" t="s">
        <v>1414</v>
      </c>
      <c r="H6" s="21" t="s">
        <v>223</v>
      </c>
      <c r="I6" s="21" t="s">
        <v>1033</v>
      </c>
      <c r="J6" s="21" t="s">
        <v>90</v>
      </c>
      <c r="K6" s="21" t="s">
        <v>350</v>
      </c>
      <c r="L6" s="4" t="s">
        <v>377</v>
      </c>
      <c r="M6" s="21" t="s">
        <v>145</v>
      </c>
      <c r="N6" s="23" t="s">
        <v>781</v>
      </c>
      <c r="O6" s="23" t="s">
        <v>173</v>
      </c>
      <c r="P6" s="21" t="s">
        <v>95</v>
      </c>
      <c r="Q6" s="159">
        <v>14442</v>
      </c>
      <c r="R6" s="184">
        <v>3.71</v>
      </c>
      <c r="S6" s="185">
        <v>18382</v>
      </c>
      <c r="T6" s="159">
        <v>9849.0429999999997</v>
      </c>
      <c r="U6" s="186">
        <v>1.585E-3</v>
      </c>
      <c r="V6" s="186">
        <v>0.32129827949297501</v>
      </c>
      <c r="W6" s="186">
        <v>5.4012996592102099E-3</v>
      </c>
    </row>
    <row r="7" spans="1:23">
      <c r="A7" s="21">
        <v>161</v>
      </c>
      <c r="B7" s="21">
        <v>9943</v>
      </c>
      <c r="C7" s="21" t="s">
        <v>1415</v>
      </c>
      <c r="D7" s="21" t="s">
        <v>1416</v>
      </c>
      <c r="E7" s="21" t="s">
        <v>220</v>
      </c>
      <c r="F7" s="21" t="s">
        <v>1417</v>
      </c>
      <c r="G7" s="21" t="s">
        <v>1418</v>
      </c>
      <c r="H7" s="21" t="s">
        <v>223</v>
      </c>
      <c r="I7" s="21" t="s">
        <v>1033</v>
      </c>
      <c r="J7" s="21" t="s">
        <v>90</v>
      </c>
      <c r="K7" s="21" t="s">
        <v>350</v>
      </c>
      <c r="L7" s="4" t="s">
        <v>377</v>
      </c>
      <c r="M7" s="21" t="s">
        <v>145</v>
      </c>
      <c r="N7" s="23" t="s">
        <v>781</v>
      </c>
      <c r="O7" s="23" t="s">
        <v>173</v>
      </c>
      <c r="P7" s="21" t="s">
        <v>95</v>
      </c>
      <c r="Q7" s="159">
        <v>410.51</v>
      </c>
      <c r="R7" s="184">
        <v>3.71</v>
      </c>
      <c r="S7" s="185">
        <v>176108</v>
      </c>
      <c r="T7" s="159">
        <v>2682.1109999999999</v>
      </c>
      <c r="U7" s="186">
        <v>3.4299999999999999E-4</v>
      </c>
      <c r="V7" s="186">
        <v>8.7496589167913405E-2</v>
      </c>
      <c r="W7" s="186">
        <v>1.4708927106627701E-3</v>
      </c>
    </row>
    <row r="8" spans="1:23">
      <c r="A8" s="21">
        <v>161</v>
      </c>
      <c r="B8" s="21">
        <v>9943</v>
      </c>
      <c r="C8" s="21" t="s">
        <v>1411</v>
      </c>
      <c r="D8" s="21" t="s">
        <v>1412</v>
      </c>
      <c r="E8" s="21" t="s">
        <v>220</v>
      </c>
      <c r="F8" s="21" t="s">
        <v>1413</v>
      </c>
      <c r="G8" s="21" t="s">
        <v>1414</v>
      </c>
      <c r="H8" s="21" t="s">
        <v>223</v>
      </c>
      <c r="I8" s="21" t="s">
        <v>1033</v>
      </c>
      <c r="J8" s="21" t="s">
        <v>90</v>
      </c>
      <c r="K8" s="21" t="s">
        <v>350</v>
      </c>
      <c r="L8" s="4" t="s">
        <v>377</v>
      </c>
      <c r="M8" s="21" t="s">
        <v>145</v>
      </c>
      <c r="N8" s="23" t="s">
        <v>781</v>
      </c>
      <c r="O8" s="23" t="s">
        <v>173</v>
      </c>
      <c r="P8" s="21" t="s">
        <v>95</v>
      </c>
      <c r="Q8" s="159">
        <v>6828.64</v>
      </c>
      <c r="R8" s="184">
        <v>3.71</v>
      </c>
      <c r="S8" s="185">
        <v>18382</v>
      </c>
      <c r="T8" s="159">
        <v>4656.9430000000002</v>
      </c>
      <c r="U8" s="186">
        <v>7.4899999999999999E-4</v>
      </c>
      <c r="V8" s="186">
        <v>0.15192011378458001</v>
      </c>
      <c r="W8" s="186">
        <v>2.55390741620754E-3</v>
      </c>
    </row>
    <row r="9" spans="1:23">
      <c r="A9" s="21">
        <v>161</v>
      </c>
      <c r="B9" s="21">
        <v>12468</v>
      </c>
      <c r="C9" s="21" t="s">
        <v>1394</v>
      </c>
      <c r="D9" s="21" t="s">
        <v>1395</v>
      </c>
      <c r="E9" s="21" t="s">
        <v>1363</v>
      </c>
      <c r="F9" s="21" t="s">
        <v>1396</v>
      </c>
      <c r="G9" s="21" t="s">
        <v>1397</v>
      </c>
      <c r="H9" s="21" t="s">
        <v>223</v>
      </c>
      <c r="I9" s="21" t="s">
        <v>978</v>
      </c>
      <c r="J9" s="21" t="s">
        <v>30</v>
      </c>
      <c r="K9" s="21" t="s">
        <v>30</v>
      </c>
      <c r="L9" s="4" t="s">
        <v>377</v>
      </c>
      <c r="M9" s="21" t="s">
        <v>31</v>
      </c>
      <c r="N9" s="23" t="s">
        <v>1398</v>
      </c>
      <c r="O9" s="23" t="s">
        <v>173</v>
      </c>
      <c r="P9" s="21" t="s">
        <v>34</v>
      </c>
      <c r="Q9" s="159">
        <v>225000</v>
      </c>
      <c r="R9" s="184">
        <v>1</v>
      </c>
      <c r="S9" s="185">
        <v>234.46</v>
      </c>
      <c r="T9" s="159">
        <v>527.53499999999997</v>
      </c>
      <c r="U9" s="186">
        <v>4.7899999999999999E-4</v>
      </c>
      <c r="V9" s="186">
        <v>0.90783699599029399</v>
      </c>
      <c r="W9" s="186">
        <v>3.4582839899269698E-2</v>
      </c>
    </row>
    <row r="10" spans="1:23">
      <c r="A10" s="21">
        <v>161</v>
      </c>
      <c r="B10" s="21">
        <v>12468</v>
      </c>
      <c r="C10" s="21" t="s">
        <v>1394</v>
      </c>
      <c r="D10" s="21" t="s">
        <v>1395</v>
      </c>
      <c r="E10" s="21" t="s">
        <v>1363</v>
      </c>
      <c r="F10" s="21" t="s">
        <v>1419</v>
      </c>
      <c r="G10" s="21" t="s">
        <v>1420</v>
      </c>
      <c r="H10" s="21" t="s">
        <v>223</v>
      </c>
      <c r="I10" s="21" t="s">
        <v>978</v>
      </c>
      <c r="J10" s="21" t="s">
        <v>30</v>
      </c>
      <c r="K10" s="21" t="s">
        <v>30</v>
      </c>
      <c r="L10" s="4" t="s">
        <v>377</v>
      </c>
      <c r="M10" s="21" t="s">
        <v>55</v>
      </c>
      <c r="N10" s="23" t="s">
        <v>1398</v>
      </c>
      <c r="O10" s="23" t="s">
        <v>173</v>
      </c>
      <c r="P10" s="21" t="s">
        <v>34</v>
      </c>
      <c r="Q10" s="159">
        <v>25000</v>
      </c>
      <c r="R10" s="184">
        <v>1</v>
      </c>
      <c r="S10" s="185">
        <v>214.22</v>
      </c>
      <c r="T10" s="159">
        <v>53.555</v>
      </c>
      <c r="U10" s="186">
        <v>2.5099999999999998E-4</v>
      </c>
      <c r="V10" s="186">
        <v>9.2163004009705896E-2</v>
      </c>
      <c r="W10" s="186">
        <v>3.5108267523584098E-3</v>
      </c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3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6</v>
      </c>
      <c r="J1" s="22" t="s">
        <v>7</v>
      </c>
      <c r="K1" s="22" t="s">
        <v>376</v>
      </c>
      <c r="L1" s="22" t="s">
        <v>8</v>
      </c>
      <c r="M1" s="22" t="s">
        <v>1164</v>
      </c>
      <c r="N1" s="22" t="s">
        <v>184</v>
      </c>
      <c r="O1" s="22" t="s">
        <v>1165</v>
      </c>
      <c r="P1" s="22" t="s">
        <v>159</v>
      </c>
      <c r="Q1" s="22" t="s">
        <v>11</v>
      </c>
      <c r="R1" s="176" t="s">
        <v>1166</v>
      </c>
      <c r="S1" s="22" t="s">
        <v>1167</v>
      </c>
      <c r="T1" s="22" t="s">
        <v>17</v>
      </c>
      <c r="U1" s="165" t="s">
        <v>18</v>
      </c>
      <c r="V1" s="176" t="s">
        <v>19</v>
      </c>
      <c r="W1" s="22" t="s">
        <v>20</v>
      </c>
      <c r="X1" s="171" t="s">
        <v>24</v>
      </c>
      <c r="Y1" s="171" t="s">
        <v>25</v>
      </c>
    </row>
    <row r="2" spans="1:25">
      <c r="A2" s="30">
        <v>161</v>
      </c>
      <c r="B2" s="23">
        <v>9938</v>
      </c>
      <c r="C2" s="23" t="s">
        <v>2525</v>
      </c>
      <c r="D2" s="23" t="s">
        <v>2526</v>
      </c>
      <c r="E2" s="21" t="s">
        <v>1363</v>
      </c>
      <c r="F2" s="23" t="s">
        <v>2781</v>
      </c>
      <c r="G2" s="23" t="s">
        <v>2782</v>
      </c>
      <c r="H2" s="21" t="s">
        <v>223</v>
      </c>
      <c r="I2" s="21" t="s">
        <v>30</v>
      </c>
      <c r="J2" s="21" t="s">
        <v>30</v>
      </c>
      <c r="K2" s="23" t="s">
        <v>377</v>
      </c>
      <c r="L2" s="21" t="s">
        <v>31</v>
      </c>
      <c r="M2" s="23" t="s">
        <v>2783</v>
      </c>
      <c r="N2" s="23" t="s">
        <v>488</v>
      </c>
      <c r="O2" s="23" t="s">
        <v>2689</v>
      </c>
      <c r="P2" s="23" t="s">
        <v>173</v>
      </c>
      <c r="Q2" s="21" t="s">
        <v>34</v>
      </c>
      <c r="R2" s="185">
        <v>8000</v>
      </c>
      <c r="S2" s="159">
        <v>0</v>
      </c>
      <c r="T2" s="158">
        <v>318</v>
      </c>
      <c r="U2" s="181">
        <v>1</v>
      </c>
      <c r="V2" s="182">
        <v>322.60000000000002</v>
      </c>
      <c r="W2" s="158">
        <v>1.026</v>
      </c>
      <c r="X2" s="180">
        <v>0.114011834750922</v>
      </c>
      <c r="Y2" s="180">
        <v>1.5468739438005399E-5</v>
      </c>
    </row>
    <row r="3" spans="1:25">
      <c r="A3" s="23">
        <v>161</v>
      </c>
      <c r="B3" s="23">
        <v>9938</v>
      </c>
      <c r="C3" s="23" t="s">
        <v>2784</v>
      </c>
      <c r="D3" s="23" t="s">
        <v>2785</v>
      </c>
      <c r="E3" s="21" t="s">
        <v>1363</v>
      </c>
      <c r="F3" s="23" t="s">
        <v>2786</v>
      </c>
      <c r="G3" s="23" t="s">
        <v>2787</v>
      </c>
      <c r="H3" s="21" t="s">
        <v>223</v>
      </c>
      <c r="I3" s="21" t="s">
        <v>30</v>
      </c>
      <c r="J3" s="21" t="s">
        <v>30</v>
      </c>
      <c r="K3" s="23" t="s">
        <v>377</v>
      </c>
      <c r="L3" s="21" t="s">
        <v>31</v>
      </c>
      <c r="M3" s="23" t="s">
        <v>2788</v>
      </c>
      <c r="N3" s="23" t="s">
        <v>511</v>
      </c>
      <c r="O3" s="23" t="s">
        <v>2789</v>
      </c>
      <c r="P3" s="23" t="s">
        <v>173</v>
      </c>
      <c r="Q3" s="21" t="s">
        <v>34</v>
      </c>
      <c r="R3" s="185">
        <v>20</v>
      </c>
      <c r="S3" s="159">
        <v>0</v>
      </c>
      <c r="T3" s="158">
        <v>4725</v>
      </c>
      <c r="U3" s="181">
        <v>1</v>
      </c>
      <c r="V3" s="182">
        <v>22</v>
      </c>
      <c r="W3" s="158">
        <v>1.04</v>
      </c>
      <c r="X3" s="180">
        <v>0.115526853575298</v>
      </c>
      <c r="Y3" s="180">
        <v>1.5674292058828801E-5</v>
      </c>
    </row>
    <row r="4" spans="1:25">
      <c r="A4" s="23">
        <v>161</v>
      </c>
      <c r="B4" s="23">
        <v>9938</v>
      </c>
      <c r="C4" s="23" t="s">
        <v>2790</v>
      </c>
      <c r="D4" s="23" t="s">
        <v>2791</v>
      </c>
      <c r="E4" s="21" t="s">
        <v>1363</v>
      </c>
      <c r="F4" s="23" t="s">
        <v>2792</v>
      </c>
      <c r="G4" s="23" t="s">
        <v>2793</v>
      </c>
      <c r="H4" s="21" t="s">
        <v>223</v>
      </c>
      <c r="I4" s="21" t="s">
        <v>30</v>
      </c>
      <c r="J4" s="21" t="s">
        <v>30</v>
      </c>
      <c r="K4" s="23" t="s">
        <v>377</v>
      </c>
      <c r="L4" s="21" t="s">
        <v>31</v>
      </c>
      <c r="M4" s="23" t="s">
        <v>2794</v>
      </c>
      <c r="N4" s="23" t="s">
        <v>518</v>
      </c>
      <c r="O4" s="23" t="s">
        <v>2795</v>
      </c>
      <c r="P4" s="23" t="s">
        <v>173</v>
      </c>
      <c r="Q4" s="21" t="s">
        <v>34</v>
      </c>
      <c r="R4" s="185">
        <v>4117.3940000000002</v>
      </c>
      <c r="S4" s="159">
        <v>1</v>
      </c>
      <c r="T4" s="158">
        <v>2818.87</v>
      </c>
      <c r="U4" s="181">
        <v>1</v>
      </c>
      <c r="V4" s="182">
        <v>100</v>
      </c>
      <c r="W4" s="158">
        <v>2.819</v>
      </c>
      <c r="X4" s="180">
        <v>0.31328059811236098</v>
      </c>
      <c r="Y4" s="180">
        <v>4.2504850077797703E-5</v>
      </c>
    </row>
    <row r="5" spans="1:25">
      <c r="A5" s="23">
        <v>161</v>
      </c>
      <c r="B5" s="23">
        <v>9938</v>
      </c>
      <c r="C5" s="23" t="s">
        <v>2796</v>
      </c>
      <c r="D5" s="23" t="s">
        <v>2797</v>
      </c>
      <c r="E5" s="21" t="s">
        <v>1363</v>
      </c>
      <c r="F5" s="23" t="s">
        <v>2798</v>
      </c>
      <c r="G5" s="23" t="s">
        <v>2799</v>
      </c>
      <c r="H5" s="21" t="s">
        <v>223</v>
      </c>
      <c r="I5" s="21" t="s">
        <v>30</v>
      </c>
      <c r="J5" s="21" t="s">
        <v>30</v>
      </c>
      <c r="K5" s="23" t="s">
        <v>377</v>
      </c>
      <c r="L5" s="21" t="s">
        <v>31</v>
      </c>
      <c r="M5" s="23" t="s">
        <v>2800</v>
      </c>
      <c r="N5" s="23" t="s">
        <v>528</v>
      </c>
      <c r="O5" s="23" t="s">
        <v>2243</v>
      </c>
      <c r="P5" s="23" t="s">
        <v>173</v>
      </c>
      <c r="Q5" s="21" t="s">
        <v>34</v>
      </c>
      <c r="R5" s="185">
        <v>0</v>
      </c>
      <c r="S5" s="159">
        <v>0</v>
      </c>
      <c r="T5" s="158">
        <v>8150</v>
      </c>
      <c r="U5" s="181">
        <v>1</v>
      </c>
      <c r="V5" s="182">
        <v>38.6</v>
      </c>
      <c r="W5" s="158">
        <v>3.1459999999999999</v>
      </c>
      <c r="X5" s="180">
        <v>0.34962571299906597</v>
      </c>
      <c r="Y5" s="180">
        <v>4.7436032119162599E-5</v>
      </c>
    </row>
    <row r="6" spans="1:25">
      <c r="A6" s="23">
        <v>161</v>
      </c>
      <c r="B6" s="23">
        <v>9938</v>
      </c>
      <c r="C6" s="23" t="s">
        <v>2801</v>
      </c>
      <c r="D6" s="23" t="s">
        <v>2802</v>
      </c>
      <c r="E6" s="21" t="s">
        <v>1363</v>
      </c>
      <c r="F6" s="23" t="s">
        <v>2803</v>
      </c>
      <c r="G6" s="23" t="s">
        <v>2804</v>
      </c>
      <c r="H6" s="21" t="s">
        <v>223</v>
      </c>
      <c r="I6" s="21" t="s">
        <v>30</v>
      </c>
      <c r="J6" s="21" t="s">
        <v>30</v>
      </c>
      <c r="K6" s="23" t="s">
        <v>377</v>
      </c>
      <c r="L6" s="21" t="s">
        <v>31</v>
      </c>
      <c r="M6" s="23" t="s">
        <v>2805</v>
      </c>
      <c r="N6" s="23" t="s">
        <v>528</v>
      </c>
      <c r="O6" s="23" t="s">
        <v>2806</v>
      </c>
      <c r="P6" s="23" t="s">
        <v>173</v>
      </c>
      <c r="Q6" s="21" t="s">
        <v>34</v>
      </c>
      <c r="R6" s="185">
        <v>376.12200000000001</v>
      </c>
      <c r="S6" s="159">
        <v>0</v>
      </c>
      <c r="T6" s="158">
        <v>20700</v>
      </c>
      <c r="U6" s="181">
        <v>1</v>
      </c>
      <c r="V6" s="182">
        <v>2.8</v>
      </c>
      <c r="W6" s="158">
        <v>0.57999999999999996</v>
      </c>
      <c r="X6" s="180">
        <v>6.4414972902590198E-2</v>
      </c>
      <c r="Y6" s="180">
        <v>8.7396052691651398E-6</v>
      </c>
    </row>
    <row r="7" spans="1:25">
      <c r="A7" s="23">
        <v>161</v>
      </c>
      <c r="B7" s="23">
        <v>9938</v>
      </c>
      <c r="C7" s="23" t="s">
        <v>2807</v>
      </c>
      <c r="D7" s="23" t="s">
        <v>2808</v>
      </c>
      <c r="E7" s="21" t="s">
        <v>1363</v>
      </c>
      <c r="F7" s="23" t="s">
        <v>2809</v>
      </c>
      <c r="G7" s="23" t="s">
        <v>2810</v>
      </c>
      <c r="H7" s="21" t="s">
        <v>223</v>
      </c>
      <c r="I7" s="21" t="s">
        <v>30</v>
      </c>
      <c r="J7" s="21" t="s">
        <v>30</v>
      </c>
      <c r="K7" s="23" t="s">
        <v>377</v>
      </c>
      <c r="L7" s="21" t="s">
        <v>31</v>
      </c>
      <c r="M7" s="23" t="s">
        <v>2811</v>
      </c>
      <c r="N7" s="23" t="s">
        <v>528</v>
      </c>
      <c r="O7" s="23" t="s">
        <v>2812</v>
      </c>
      <c r="P7" s="23" t="s">
        <v>173</v>
      </c>
      <c r="Q7" s="21" t="s">
        <v>34</v>
      </c>
      <c r="R7" s="185">
        <v>1656</v>
      </c>
      <c r="S7" s="159">
        <v>1</v>
      </c>
      <c r="T7" s="158">
        <v>2901</v>
      </c>
      <c r="U7" s="181">
        <v>1</v>
      </c>
      <c r="V7" s="182">
        <v>1</v>
      </c>
      <c r="W7" s="158">
        <v>2.9000000000000001E-2</v>
      </c>
      <c r="X7" s="180">
        <v>3.2240827534578001E-3</v>
      </c>
      <c r="Y7" s="180">
        <v>4.37432623979435E-7</v>
      </c>
    </row>
    <row r="8" spans="1:25">
      <c r="A8" s="23">
        <v>161</v>
      </c>
      <c r="B8" s="23">
        <v>9938</v>
      </c>
      <c r="C8" s="23" t="s">
        <v>2813</v>
      </c>
      <c r="D8" s="23" t="s">
        <v>2814</v>
      </c>
      <c r="E8" s="21" t="s">
        <v>1363</v>
      </c>
      <c r="F8" s="23" t="s">
        <v>2815</v>
      </c>
      <c r="G8" s="23" t="s">
        <v>2816</v>
      </c>
      <c r="H8" s="21" t="s">
        <v>223</v>
      </c>
      <c r="I8" s="21" t="s">
        <v>90</v>
      </c>
      <c r="J8" s="21" t="s">
        <v>30</v>
      </c>
      <c r="K8" s="23" t="s">
        <v>377</v>
      </c>
      <c r="L8" s="21" t="s">
        <v>31</v>
      </c>
      <c r="M8" s="23" t="s">
        <v>2817</v>
      </c>
      <c r="N8" s="23" t="s">
        <v>528</v>
      </c>
      <c r="O8" s="23" t="s">
        <v>2818</v>
      </c>
      <c r="P8" s="23" t="s">
        <v>173</v>
      </c>
      <c r="Q8" s="21" t="s">
        <v>34</v>
      </c>
      <c r="R8" s="185">
        <v>1415</v>
      </c>
      <c r="S8" s="159">
        <v>0</v>
      </c>
      <c r="T8" s="158">
        <v>876</v>
      </c>
      <c r="U8" s="181">
        <v>1</v>
      </c>
      <c r="V8" s="182">
        <v>41</v>
      </c>
      <c r="W8" s="158">
        <v>0.35899999999999999</v>
      </c>
      <c r="X8" s="180">
        <v>3.9915944906304901E-2</v>
      </c>
      <c r="Y8" s="180">
        <v>5.4156601595468501E-6</v>
      </c>
    </row>
    <row r="9" spans="1:25">
      <c r="A9" s="23">
        <v>161</v>
      </c>
      <c r="B9" s="23">
        <v>9942</v>
      </c>
      <c r="C9" s="23" t="s">
        <v>2525</v>
      </c>
      <c r="D9" s="23" t="s">
        <v>2526</v>
      </c>
      <c r="E9" s="21" t="s">
        <v>1363</v>
      </c>
      <c r="F9" s="23" t="s">
        <v>2781</v>
      </c>
      <c r="G9" s="23" t="s">
        <v>2782</v>
      </c>
      <c r="H9" s="21" t="s">
        <v>223</v>
      </c>
      <c r="I9" s="21" t="s">
        <v>30</v>
      </c>
      <c r="J9" s="21" t="s">
        <v>30</v>
      </c>
      <c r="K9" s="23" t="s">
        <v>377</v>
      </c>
      <c r="L9" s="21" t="s">
        <v>31</v>
      </c>
      <c r="M9" s="23" t="s">
        <v>2783</v>
      </c>
      <c r="N9" s="23" t="s">
        <v>488</v>
      </c>
      <c r="O9" s="23" t="s">
        <v>2689</v>
      </c>
      <c r="P9" s="23" t="s">
        <v>173</v>
      </c>
      <c r="Q9" s="21" t="s">
        <v>34</v>
      </c>
      <c r="R9" s="185">
        <v>8000</v>
      </c>
      <c r="S9" s="159">
        <v>0</v>
      </c>
      <c r="T9" s="158">
        <v>492</v>
      </c>
      <c r="U9" s="181">
        <v>1</v>
      </c>
      <c r="V9" s="182">
        <v>322.60000000000002</v>
      </c>
      <c r="W9" s="158">
        <v>1.587</v>
      </c>
      <c r="X9" s="180">
        <v>0.189781451304527</v>
      </c>
      <c r="Y9" s="180">
        <v>1.7317488320014399E-5</v>
      </c>
    </row>
    <row r="10" spans="1:25">
      <c r="A10" s="23">
        <v>161</v>
      </c>
      <c r="B10" s="23">
        <v>9942</v>
      </c>
      <c r="C10" s="23" t="s">
        <v>2784</v>
      </c>
      <c r="D10" s="23" t="s">
        <v>2785</v>
      </c>
      <c r="E10" s="21" t="s">
        <v>1363</v>
      </c>
      <c r="F10" s="23" t="s">
        <v>2786</v>
      </c>
      <c r="G10" s="23" t="s">
        <v>2787</v>
      </c>
      <c r="H10" s="21" t="s">
        <v>223</v>
      </c>
      <c r="I10" s="21" t="s">
        <v>30</v>
      </c>
      <c r="J10" s="21" t="s">
        <v>30</v>
      </c>
      <c r="K10" s="23" t="s">
        <v>377</v>
      </c>
      <c r="L10" s="21" t="s">
        <v>31</v>
      </c>
      <c r="M10" s="23" t="s">
        <v>2788</v>
      </c>
      <c r="N10" s="23" t="s">
        <v>511</v>
      </c>
      <c r="O10" s="23" t="s">
        <v>2789</v>
      </c>
      <c r="P10" s="23" t="s">
        <v>173</v>
      </c>
      <c r="Q10" s="21" t="s">
        <v>34</v>
      </c>
      <c r="R10" s="185">
        <v>20</v>
      </c>
      <c r="S10" s="159">
        <v>0</v>
      </c>
      <c r="T10" s="158">
        <v>6750</v>
      </c>
      <c r="U10" s="181">
        <v>1</v>
      </c>
      <c r="V10" s="182">
        <v>22</v>
      </c>
      <c r="W10" s="158">
        <v>1.4850000000000001</v>
      </c>
      <c r="X10" s="180">
        <v>0.17756229566884299</v>
      </c>
      <c r="Y10" s="180">
        <v>1.6202494818031799E-5</v>
      </c>
    </row>
    <row r="11" spans="1:25">
      <c r="A11" s="30">
        <v>161</v>
      </c>
      <c r="B11" s="23">
        <v>9942</v>
      </c>
      <c r="C11" s="23" t="s">
        <v>2790</v>
      </c>
      <c r="D11" s="23" t="s">
        <v>2791</v>
      </c>
      <c r="E11" s="21" t="s">
        <v>1363</v>
      </c>
      <c r="F11" s="23" t="s">
        <v>2792</v>
      </c>
      <c r="G11" s="23" t="s">
        <v>2793</v>
      </c>
      <c r="H11" s="21" t="s">
        <v>223</v>
      </c>
      <c r="I11" s="21" t="s">
        <v>30</v>
      </c>
      <c r="J11" s="21" t="s">
        <v>30</v>
      </c>
      <c r="K11" s="23" t="s">
        <v>377</v>
      </c>
      <c r="L11" s="21" t="s">
        <v>31</v>
      </c>
      <c r="M11" s="23" t="s">
        <v>2794</v>
      </c>
      <c r="N11" s="23" t="s">
        <v>518</v>
      </c>
      <c r="O11" s="23" t="s">
        <v>2795</v>
      </c>
      <c r="P11" s="23" t="s">
        <v>173</v>
      </c>
      <c r="Q11" s="21" t="s">
        <v>34</v>
      </c>
      <c r="R11" s="185">
        <v>4117.3940000000002</v>
      </c>
      <c r="S11" s="159">
        <v>1</v>
      </c>
      <c r="T11" s="158">
        <v>3995.29</v>
      </c>
      <c r="U11" s="181">
        <v>1</v>
      </c>
      <c r="V11" s="182">
        <v>100</v>
      </c>
      <c r="W11" s="158">
        <v>3.9950000000000001</v>
      </c>
      <c r="X11" s="180">
        <v>0.47771910051365102</v>
      </c>
      <c r="Y11" s="180">
        <v>4.3591693953895002E-5</v>
      </c>
    </row>
    <row r="12" spans="1:25">
      <c r="A12" s="23">
        <v>161</v>
      </c>
      <c r="B12" s="23">
        <v>9942</v>
      </c>
      <c r="C12" s="23" t="s">
        <v>2801</v>
      </c>
      <c r="D12" s="23" t="s">
        <v>2802</v>
      </c>
      <c r="E12" s="21" t="s">
        <v>1363</v>
      </c>
      <c r="F12" s="23" t="s">
        <v>2803</v>
      </c>
      <c r="G12" s="23" t="s">
        <v>2804</v>
      </c>
      <c r="H12" s="21" t="s">
        <v>223</v>
      </c>
      <c r="I12" s="21" t="s">
        <v>30</v>
      </c>
      <c r="J12" s="21" t="s">
        <v>30</v>
      </c>
      <c r="K12" s="23" t="s">
        <v>377</v>
      </c>
      <c r="L12" s="21" t="s">
        <v>31</v>
      </c>
      <c r="M12" s="23" t="s">
        <v>2805</v>
      </c>
      <c r="N12" s="23" t="s">
        <v>528</v>
      </c>
      <c r="O12" s="23" t="s">
        <v>2806</v>
      </c>
      <c r="P12" s="23" t="s">
        <v>173</v>
      </c>
      <c r="Q12" s="21" t="s">
        <v>34</v>
      </c>
      <c r="R12" s="185">
        <v>376.12200000000001</v>
      </c>
      <c r="S12" s="159">
        <v>0</v>
      </c>
      <c r="T12" s="158">
        <v>29175</v>
      </c>
      <c r="U12" s="181">
        <v>1</v>
      </c>
      <c r="V12" s="182">
        <v>2.8</v>
      </c>
      <c r="W12" s="158">
        <v>0.81699999999999995</v>
      </c>
      <c r="X12" s="180">
        <v>9.7677198203284799E-2</v>
      </c>
      <c r="Y12" s="180">
        <v>8.9130087655556498E-6</v>
      </c>
    </row>
    <row r="13" spans="1:25">
      <c r="A13" s="23">
        <v>161</v>
      </c>
      <c r="B13" s="23">
        <v>9942</v>
      </c>
      <c r="C13" s="23" t="s">
        <v>2813</v>
      </c>
      <c r="D13" s="23" t="s">
        <v>2814</v>
      </c>
      <c r="E13" s="21" t="s">
        <v>1363</v>
      </c>
      <c r="F13" s="23" t="s">
        <v>2815</v>
      </c>
      <c r="G13" s="23" t="s">
        <v>2816</v>
      </c>
      <c r="H13" s="21" t="s">
        <v>223</v>
      </c>
      <c r="I13" s="21" t="s">
        <v>90</v>
      </c>
      <c r="J13" s="21" t="s">
        <v>30</v>
      </c>
      <c r="K13" s="23" t="s">
        <v>377</v>
      </c>
      <c r="L13" s="21" t="s">
        <v>31</v>
      </c>
      <c r="M13" s="23" t="s">
        <v>2817</v>
      </c>
      <c r="N13" s="23" t="s">
        <v>528</v>
      </c>
      <c r="O13" s="23" t="s">
        <v>2818</v>
      </c>
      <c r="P13" s="23" t="s">
        <v>173</v>
      </c>
      <c r="Q13" s="21" t="s">
        <v>34</v>
      </c>
      <c r="R13" s="185">
        <v>1415</v>
      </c>
      <c r="S13" s="159">
        <v>0</v>
      </c>
      <c r="T13" s="158">
        <v>1168</v>
      </c>
      <c r="U13" s="181">
        <v>1</v>
      </c>
      <c r="V13" s="182">
        <v>41</v>
      </c>
      <c r="W13" s="158">
        <v>0.47899999999999998</v>
      </c>
      <c r="X13" s="180">
        <v>5.7259954309694001E-2</v>
      </c>
      <c r="Y13" s="180">
        <v>5.2249499787602997E-6</v>
      </c>
    </row>
    <row r="14" spans="1:25">
      <c r="A14" s="23">
        <v>161</v>
      </c>
      <c r="B14" s="23">
        <v>9943</v>
      </c>
      <c r="C14" s="23" t="s">
        <v>2525</v>
      </c>
      <c r="D14" s="23" t="s">
        <v>2526</v>
      </c>
      <c r="E14" s="21" t="s">
        <v>1363</v>
      </c>
      <c r="F14" s="23" t="s">
        <v>2781</v>
      </c>
      <c r="G14" s="23" t="s">
        <v>2782</v>
      </c>
      <c r="H14" s="21" t="s">
        <v>223</v>
      </c>
      <c r="I14" s="21" t="s">
        <v>30</v>
      </c>
      <c r="J14" s="21" t="s">
        <v>30</v>
      </c>
      <c r="K14" s="23" t="s">
        <v>377</v>
      </c>
      <c r="L14" s="21" t="s">
        <v>31</v>
      </c>
      <c r="M14" s="23" t="s">
        <v>2783</v>
      </c>
      <c r="N14" s="23" t="s">
        <v>488</v>
      </c>
      <c r="O14" s="23" t="s">
        <v>2689</v>
      </c>
      <c r="P14" s="23" t="s">
        <v>173</v>
      </c>
      <c r="Q14" s="21" t="s">
        <v>34</v>
      </c>
      <c r="R14" s="185">
        <v>8000</v>
      </c>
      <c r="S14" s="159">
        <v>0</v>
      </c>
      <c r="T14" s="158">
        <v>1667</v>
      </c>
      <c r="U14" s="181">
        <v>1</v>
      </c>
      <c r="V14" s="182">
        <v>322.60000000000002</v>
      </c>
      <c r="W14" s="158">
        <v>5.3780000000000001</v>
      </c>
      <c r="X14" s="180">
        <v>0.14079680888542201</v>
      </c>
      <c r="Y14" s="180">
        <v>2.9491999852118001E-6</v>
      </c>
    </row>
    <row r="15" spans="1:25">
      <c r="A15" s="23">
        <v>161</v>
      </c>
      <c r="B15" s="23">
        <v>9943</v>
      </c>
      <c r="C15" s="23" t="s">
        <v>2784</v>
      </c>
      <c r="D15" s="23" t="s">
        <v>2785</v>
      </c>
      <c r="E15" s="21" t="s">
        <v>1363</v>
      </c>
      <c r="F15" s="23" t="s">
        <v>2786</v>
      </c>
      <c r="G15" s="23" t="s">
        <v>2787</v>
      </c>
      <c r="H15" s="21" t="s">
        <v>223</v>
      </c>
      <c r="I15" s="21" t="s">
        <v>30</v>
      </c>
      <c r="J15" s="21" t="s">
        <v>30</v>
      </c>
      <c r="K15" s="23" t="s">
        <v>377</v>
      </c>
      <c r="L15" s="21" t="s">
        <v>31</v>
      </c>
      <c r="M15" s="23" t="s">
        <v>2788</v>
      </c>
      <c r="N15" s="23" t="s">
        <v>511</v>
      </c>
      <c r="O15" s="23" t="s">
        <v>2789</v>
      </c>
      <c r="P15" s="23" t="s">
        <v>173</v>
      </c>
      <c r="Q15" s="21" t="s">
        <v>34</v>
      </c>
      <c r="R15" s="185">
        <v>20</v>
      </c>
      <c r="S15" s="159">
        <v>0</v>
      </c>
      <c r="T15" s="158">
        <v>24518</v>
      </c>
      <c r="U15" s="181">
        <v>1</v>
      </c>
      <c r="V15" s="182">
        <v>22</v>
      </c>
      <c r="W15" s="158">
        <v>5.3940000000000001</v>
      </c>
      <c r="X15" s="180">
        <v>0.141221418813995</v>
      </c>
      <c r="Y15" s="180">
        <v>2.95809407595846E-6</v>
      </c>
    </row>
    <row r="16" spans="1:25">
      <c r="A16" s="23">
        <v>161</v>
      </c>
      <c r="B16" s="23">
        <v>9943</v>
      </c>
      <c r="C16" s="23" t="s">
        <v>2790</v>
      </c>
      <c r="D16" s="23" t="s">
        <v>2791</v>
      </c>
      <c r="E16" s="21" t="s">
        <v>1363</v>
      </c>
      <c r="F16" s="23" t="s">
        <v>2792</v>
      </c>
      <c r="G16" s="23" t="s">
        <v>2793</v>
      </c>
      <c r="H16" s="21" t="s">
        <v>223</v>
      </c>
      <c r="I16" s="21" t="s">
        <v>30</v>
      </c>
      <c r="J16" s="21" t="s">
        <v>30</v>
      </c>
      <c r="K16" s="23" t="s">
        <v>377</v>
      </c>
      <c r="L16" s="21" t="s">
        <v>31</v>
      </c>
      <c r="M16" s="23" t="s">
        <v>2794</v>
      </c>
      <c r="N16" s="23" t="s">
        <v>518</v>
      </c>
      <c r="O16" s="23" t="s">
        <v>2795</v>
      </c>
      <c r="P16" s="23" t="s">
        <v>173</v>
      </c>
      <c r="Q16" s="21" t="s">
        <v>34</v>
      </c>
      <c r="R16" s="185">
        <v>4117.3940000000002</v>
      </c>
      <c r="S16" s="159">
        <v>1</v>
      </c>
      <c r="T16" s="158">
        <v>14539</v>
      </c>
      <c r="U16" s="181">
        <v>1</v>
      </c>
      <c r="V16" s="182">
        <v>100</v>
      </c>
      <c r="W16" s="158">
        <v>14.539</v>
      </c>
      <c r="X16" s="180">
        <v>0.38065135969430203</v>
      </c>
      <c r="Y16" s="180">
        <v>7.9733126998272403E-6</v>
      </c>
    </row>
    <row r="17" spans="1:25">
      <c r="A17" s="23">
        <v>161</v>
      </c>
      <c r="B17" s="23">
        <v>9943</v>
      </c>
      <c r="C17" s="23" t="s">
        <v>2801</v>
      </c>
      <c r="D17" s="23" t="s">
        <v>2802</v>
      </c>
      <c r="E17" s="21" t="s">
        <v>1363</v>
      </c>
      <c r="F17" s="23" t="s">
        <v>2803</v>
      </c>
      <c r="G17" s="23" t="s">
        <v>2804</v>
      </c>
      <c r="H17" s="21" t="s">
        <v>223</v>
      </c>
      <c r="I17" s="21" t="s">
        <v>30</v>
      </c>
      <c r="J17" s="21" t="s">
        <v>30</v>
      </c>
      <c r="K17" s="23" t="s">
        <v>377</v>
      </c>
      <c r="L17" s="21" t="s">
        <v>31</v>
      </c>
      <c r="M17" s="23" t="s">
        <v>2805</v>
      </c>
      <c r="N17" s="23" t="s">
        <v>528</v>
      </c>
      <c r="O17" s="23" t="s">
        <v>2806</v>
      </c>
      <c r="P17" s="23" t="s">
        <v>173</v>
      </c>
      <c r="Q17" s="21" t="s">
        <v>34</v>
      </c>
      <c r="R17" s="185">
        <v>376.12200000000001</v>
      </c>
      <c r="S17" s="159">
        <v>0</v>
      </c>
      <c r="T17" s="158">
        <v>108103</v>
      </c>
      <c r="U17" s="181">
        <v>1</v>
      </c>
      <c r="V17" s="182">
        <v>2.8</v>
      </c>
      <c r="W17" s="158">
        <v>3.0270000000000001</v>
      </c>
      <c r="X17" s="180">
        <v>7.92480576543729E-2</v>
      </c>
      <c r="Y17" s="180">
        <v>1.6599692302155499E-6</v>
      </c>
    </row>
    <row r="18" spans="1:25">
      <c r="A18" s="23">
        <v>161</v>
      </c>
      <c r="B18" s="23">
        <v>9943</v>
      </c>
      <c r="C18" s="23" t="s">
        <v>2525</v>
      </c>
      <c r="D18" s="23" t="s">
        <v>2526</v>
      </c>
      <c r="E18" s="21" t="s">
        <v>1363</v>
      </c>
      <c r="F18" s="23" t="s">
        <v>2781</v>
      </c>
      <c r="G18" s="23" t="s">
        <v>2782</v>
      </c>
      <c r="H18" s="21" t="s">
        <v>223</v>
      </c>
      <c r="I18" s="21" t="s">
        <v>30</v>
      </c>
      <c r="J18" s="21" t="s">
        <v>30</v>
      </c>
      <c r="K18" s="23" t="s">
        <v>377</v>
      </c>
      <c r="L18" s="21" t="s">
        <v>31</v>
      </c>
      <c r="M18" s="23" t="s">
        <v>2783</v>
      </c>
      <c r="N18" s="23" t="s">
        <v>488</v>
      </c>
      <c r="O18" s="23" t="s">
        <v>2689</v>
      </c>
      <c r="P18" s="23" t="s">
        <v>173</v>
      </c>
      <c r="Q18" s="21" t="s">
        <v>34</v>
      </c>
      <c r="R18" s="185">
        <v>8000</v>
      </c>
      <c r="S18" s="159">
        <v>0</v>
      </c>
      <c r="T18" s="158">
        <v>439</v>
      </c>
      <c r="U18" s="181">
        <v>1</v>
      </c>
      <c r="V18" s="182">
        <v>322.60000000000002</v>
      </c>
      <c r="W18" s="158">
        <v>1.4159999999999999</v>
      </c>
      <c r="X18" s="180">
        <v>3.70784637676667E-2</v>
      </c>
      <c r="Y18" s="180">
        <v>7.76663943316124E-7</v>
      </c>
    </row>
    <row r="19" spans="1:25">
      <c r="A19" s="23">
        <v>161</v>
      </c>
      <c r="B19" s="23">
        <v>9943</v>
      </c>
      <c r="C19" s="23" t="s">
        <v>2784</v>
      </c>
      <c r="D19" s="23" t="s">
        <v>2785</v>
      </c>
      <c r="E19" s="21" t="s">
        <v>1363</v>
      </c>
      <c r="F19" s="23" t="s">
        <v>2786</v>
      </c>
      <c r="G19" s="23" t="s">
        <v>2787</v>
      </c>
      <c r="H19" s="21" t="s">
        <v>223</v>
      </c>
      <c r="I19" s="21" t="s">
        <v>30</v>
      </c>
      <c r="J19" s="21" t="s">
        <v>30</v>
      </c>
      <c r="K19" s="23" t="s">
        <v>377</v>
      </c>
      <c r="L19" s="21" t="s">
        <v>31</v>
      </c>
      <c r="M19" s="23" t="s">
        <v>2788</v>
      </c>
      <c r="N19" s="23" t="s">
        <v>511</v>
      </c>
      <c r="O19" s="23" t="s">
        <v>2789</v>
      </c>
      <c r="P19" s="23" t="s">
        <v>173</v>
      </c>
      <c r="Q19" s="21" t="s">
        <v>34</v>
      </c>
      <c r="R19" s="185">
        <v>20</v>
      </c>
      <c r="S19" s="159">
        <v>0</v>
      </c>
      <c r="T19" s="158">
        <v>6457</v>
      </c>
      <c r="U19" s="181">
        <v>1</v>
      </c>
      <c r="V19" s="182">
        <v>22</v>
      </c>
      <c r="W19" s="158">
        <v>1.421</v>
      </c>
      <c r="X19" s="180">
        <v>3.7191724499631602E-2</v>
      </c>
      <c r="Y19" s="180">
        <v>7.7903635893889403E-7</v>
      </c>
    </row>
    <row r="20" spans="1:25">
      <c r="A20" s="2">
        <v>161</v>
      </c>
      <c r="B20" s="2">
        <v>9943</v>
      </c>
      <c r="C20" s="2" t="s">
        <v>2790</v>
      </c>
      <c r="D20" s="2" t="s">
        <v>2791</v>
      </c>
      <c r="E20" s="21" t="s">
        <v>1363</v>
      </c>
      <c r="F20" s="2" t="s">
        <v>2792</v>
      </c>
      <c r="G20" s="2" t="s">
        <v>2793</v>
      </c>
      <c r="H20" s="21" t="s">
        <v>223</v>
      </c>
      <c r="I20" s="21" t="s">
        <v>30</v>
      </c>
      <c r="J20" s="21" t="s">
        <v>30</v>
      </c>
      <c r="K20" s="23" t="s">
        <v>377</v>
      </c>
      <c r="L20" s="21" t="s">
        <v>31</v>
      </c>
      <c r="M20" s="2" t="s">
        <v>2794</v>
      </c>
      <c r="N20" s="23" t="s">
        <v>518</v>
      </c>
      <c r="O20" s="2" t="s">
        <v>2795</v>
      </c>
      <c r="P20" s="23" t="s">
        <v>173</v>
      </c>
      <c r="Q20" s="2" t="s">
        <v>34</v>
      </c>
      <c r="R20" s="183">
        <v>4117.3940000000002</v>
      </c>
      <c r="S20" s="156">
        <v>1</v>
      </c>
      <c r="T20" s="156">
        <v>3829.1</v>
      </c>
      <c r="U20" s="166">
        <v>1</v>
      </c>
      <c r="V20" s="183">
        <v>100</v>
      </c>
      <c r="W20" s="156">
        <v>3.8290000000000002</v>
      </c>
      <c r="X20" s="172">
        <v>0.100251194814324</v>
      </c>
      <c r="Y20" s="172">
        <v>2.0999113872280398E-6</v>
      </c>
    </row>
    <row r="21" spans="1:25">
      <c r="A21" s="2">
        <v>161</v>
      </c>
      <c r="B21" s="2">
        <v>9943</v>
      </c>
      <c r="C21" s="2" t="s">
        <v>2801</v>
      </c>
      <c r="D21" s="2" t="s">
        <v>2802</v>
      </c>
      <c r="E21" s="4" t="s">
        <v>1363</v>
      </c>
      <c r="F21" s="2" t="s">
        <v>2803</v>
      </c>
      <c r="G21" s="2" t="s">
        <v>2804</v>
      </c>
      <c r="H21" s="4" t="s">
        <v>223</v>
      </c>
      <c r="I21" s="2" t="s">
        <v>30</v>
      </c>
      <c r="J21" s="2" t="s">
        <v>30</v>
      </c>
      <c r="K21" s="2" t="s">
        <v>377</v>
      </c>
      <c r="L21" s="4" t="s">
        <v>31</v>
      </c>
      <c r="M21" s="2" t="s">
        <v>2805</v>
      </c>
      <c r="N21" s="2" t="s">
        <v>528</v>
      </c>
      <c r="O21" s="2" t="s">
        <v>2806</v>
      </c>
      <c r="P21" s="2" t="s">
        <v>173</v>
      </c>
      <c r="Q21" s="2" t="s">
        <v>34</v>
      </c>
      <c r="R21" s="183">
        <v>376.12200000000001</v>
      </c>
      <c r="S21" s="156">
        <v>0</v>
      </c>
      <c r="T21" s="156">
        <v>28472</v>
      </c>
      <c r="U21" s="166">
        <v>1</v>
      </c>
      <c r="V21" s="183">
        <v>2.8</v>
      </c>
      <c r="W21" s="156">
        <v>0.79700000000000004</v>
      </c>
      <c r="X21" s="172">
        <v>2.0872230165076899E-2</v>
      </c>
      <c r="Y21" s="172">
        <v>4.3720011399033399E-7</v>
      </c>
    </row>
    <row r="22" spans="1:25">
      <c r="A22" s="2">
        <v>161</v>
      </c>
      <c r="B22" s="2">
        <v>9943</v>
      </c>
      <c r="C22" s="2" t="s">
        <v>2813</v>
      </c>
      <c r="D22" s="2" t="s">
        <v>2814</v>
      </c>
      <c r="E22" s="4" t="s">
        <v>1363</v>
      </c>
      <c r="F22" s="2" t="s">
        <v>2815</v>
      </c>
      <c r="G22" s="2" t="s">
        <v>2816</v>
      </c>
      <c r="H22" s="2" t="s">
        <v>223</v>
      </c>
      <c r="I22" s="2" t="s">
        <v>90</v>
      </c>
      <c r="J22" s="2" t="s">
        <v>30</v>
      </c>
      <c r="K22" s="2" t="s">
        <v>377</v>
      </c>
      <c r="L22" s="4" t="s">
        <v>31</v>
      </c>
      <c r="M22" s="2" t="s">
        <v>2817</v>
      </c>
      <c r="N22" s="2" t="s">
        <v>528</v>
      </c>
      <c r="O22" s="2" t="s">
        <v>2818</v>
      </c>
      <c r="P22" s="2" t="s">
        <v>173</v>
      </c>
      <c r="Q22" s="2" t="s">
        <v>34</v>
      </c>
      <c r="R22" s="183">
        <v>1415</v>
      </c>
      <c r="S22" s="156">
        <v>0</v>
      </c>
      <c r="T22" s="156">
        <v>4623</v>
      </c>
      <c r="U22" s="166">
        <v>1</v>
      </c>
      <c r="V22" s="183">
        <v>41</v>
      </c>
      <c r="W22" s="156">
        <v>1.895</v>
      </c>
      <c r="X22" s="172">
        <v>4.9625009058763998E-2</v>
      </c>
      <c r="Y22" s="172">
        <v>1.0394701210972901E-6</v>
      </c>
    </row>
    <row r="23" spans="1:25">
      <c r="A23" s="2">
        <v>161</v>
      </c>
      <c r="B23" s="2">
        <v>9943</v>
      </c>
      <c r="C23" s="2" t="s">
        <v>2813</v>
      </c>
      <c r="D23" s="2" t="s">
        <v>2814</v>
      </c>
      <c r="E23" s="4" t="s">
        <v>1363</v>
      </c>
      <c r="F23" s="2" t="s">
        <v>2815</v>
      </c>
      <c r="G23" s="2" t="s">
        <v>2816</v>
      </c>
      <c r="H23" s="2" t="s">
        <v>223</v>
      </c>
      <c r="I23" s="2" t="s">
        <v>90</v>
      </c>
      <c r="J23" s="2" t="s">
        <v>30</v>
      </c>
      <c r="K23" s="2" t="s">
        <v>377</v>
      </c>
      <c r="L23" s="2" t="s">
        <v>31</v>
      </c>
      <c r="M23" s="2" t="s">
        <v>2817</v>
      </c>
      <c r="N23" s="2" t="s">
        <v>528</v>
      </c>
      <c r="O23" s="2" t="s">
        <v>2818</v>
      </c>
      <c r="P23" s="2" t="s">
        <v>173</v>
      </c>
      <c r="Q23" s="2" t="s">
        <v>34</v>
      </c>
      <c r="R23" s="183">
        <v>1415</v>
      </c>
      <c r="S23" s="156">
        <v>0</v>
      </c>
      <c r="T23" s="156">
        <v>1217</v>
      </c>
      <c r="U23" s="166">
        <v>1</v>
      </c>
      <c r="V23" s="183">
        <v>41</v>
      </c>
      <c r="W23" s="156">
        <v>0.499</v>
      </c>
      <c r="X23" s="172">
        <v>1.30637326464451E-2</v>
      </c>
      <c r="Y23" s="172">
        <v>2.73639441353105E-7</v>
      </c>
    </row>
    <row r="24" spans="1:25">
      <c r="A24" s="2">
        <v>161</v>
      </c>
      <c r="B24" s="2">
        <v>12468</v>
      </c>
      <c r="C24" s="2" t="s">
        <v>2525</v>
      </c>
      <c r="D24" s="2" t="s">
        <v>2526</v>
      </c>
      <c r="E24" s="4" t="s">
        <v>1363</v>
      </c>
      <c r="F24" s="2" t="s">
        <v>2781</v>
      </c>
      <c r="G24" s="2" t="s">
        <v>2782</v>
      </c>
      <c r="H24" s="2" t="s">
        <v>223</v>
      </c>
      <c r="I24" s="2" t="s">
        <v>30</v>
      </c>
      <c r="J24" s="2" t="s">
        <v>30</v>
      </c>
      <c r="K24" s="2" t="s">
        <v>377</v>
      </c>
      <c r="L24" s="2" t="s">
        <v>31</v>
      </c>
      <c r="M24" s="2" t="s">
        <v>2783</v>
      </c>
      <c r="N24" s="2" t="s">
        <v>488</v>
      </c>
      <c r="O24" s="2" t="s">
        <v>2689</v>
      </c>
      <c r="P24" s="2" t="s">
        <v>173</v>
      </c>
      <c r="Q24" s="2" t="s">
        <v>34</v>
      </c>
      <c r="R24" s="183">
        <v>8000</v>
      </c>
      <c r="S24" s="156">
        <v>0</v>
      </c>
      <c r="T24" s="156">
        <v>120</v>
      </c>
      <c r="U24" s="166">
        <v>1</v>
      </c>
      <c r="V24" s="183">
        <v>322.60000000000002</v>
      </c>
      <c r="W24" s="156">
        <v>0.38700000000000001</v>
      </c>
      <c r="X24" s="172">
        <v>0.182264177593635</v>
      </c>
      <c r="Y24" s="172">
        <v>2.5377859254467099E-5</v>
      </c>
    </row>
    <row r="25" spans="1:25">
      <c r="A25" s="2">
        <v>161</v>
      </c>
      <c r="B25" s="2">
        <v>12468</v>
      </c>
      <c r="C25" s="2" t="s">
        <v>2784</v>
      </c>
      <c r="D25" s="2" t="s">
        <v>2785</v>
      </c>
      <c r="E25" s="4" t="s">
        <v>1363</v>
      </c>
      <c r="F25" s="2" t="s">
        <v>2786</v>
      </c>
      <c r="G25" s="2" t="s">
        <v>2787</v>
      </c>
      <c r="H25" s="2" t="s">
        <v>223</v>
      </c>
      <c r="I25" s="2" t="s">
        <v>30</v>
      </c>
      <c r="J25" s="2" t="s">
        <v>30</v>
      </c>
      <c r="K25" s="2" t="s">
        <v>377</v>
      </c>
      <c r="L25" s="2" t="s">
        <v>31</v>
      </c>
      <c r="M25" s="2" t="s">
        <v>2788</v>
      </c>
      <c r="N25" s="2" t="s">
        <v>511</v>
      </c>
      <c r="O25" s="2" t="s">
        <v>2789</v>
      </c>
      <c r="P25" s="2" t="s">
        <v>173</v>
      </c>
      <c r="Q25" s="2" t="s">
        <v>34</v>
      </c>
      <c r="R25" s="183">
        <v>20</v>
      </c>
      <c r="S25" s="156">
        <v>0</v>
      </c>
      <c r="T25" s="156">
        <v>675</v>
      </c>
      <c r="U25" s="166">
        <v>1</v>
      </c>
      <c r="V25" s="183">
        <v>22</v>
      </c>
      <c r="W25" s="156">
        <v>0.14799999999999999</v>
      </c>
      <c r="X25" s="172">
        <v>6.9916900115351094E-2</v>
      </c>
      <c r="Y25" s="172">
        <v>9.7349971566655394E-6</v>
      </c>
    </row>
    <row r="26" spans="1:25">
      <c r="A26" s="2">
        <v>161</v>
      </c>
      <c r="B26" s="2">
        <v>12468</v>
      </c>
      <c r="C26" s="2" t="s">
        <v>2790</v>
      </c>
      <c r="D26" s="2" t="s">
        <v>2791</v>
      </c>
      <c r="E26" s="4" t="s">
        <v>1363</v>
      </c>
      <c r="F26" s="2" t="s">
        <v>2792</v>
      </c>
      <c r="G26" s="2" t="s">
        <v>2793</v>
      </c>
      <c r="H26" s="2" t="s">
        <v>223</v>
      </c>
      <c r="I26" s="2" t="s">
        <v>30</v>
      </c>
      <c r="J26" s="2" t="s">
        <v>30</v>
      </c>
      <c r="K26" s="2" t="s">
        <v>377</v>
      </c>
      <c r="L26" s="2" t="s">
        <v>31</v>
      </c>
      <c r="M26" s="2" t="s">
        <v>2794</v>
      </c>
      <c r="N26" s="2" t="s">
        <v>518</v>
      </c>
      <c r="O26" s="2" t="s">
        <v>2795</v>
      </c>
      <c r="P26" s="2" t="s">
        <v>173</v>
      </c>
      <c r="Q26" s="2" t="s">
        <v>34</v>
      </c>
      <c r="R26" s="183">
        <v>4117.3940000000002</v>
      </c>
      <c r="S26" s="156">
        <v>1</v>
      </c>
      <c r="T26" s="156">
        <v>892.26</v>
      </c>
      <c r="U26" s="166">
        <v>1</v>
      </c>
      <c r="V26" s="183">
        <v>100</v>
      </c>
      <c r="W26" s="156">
        <v>0.89200000000000002</v>
      </c>
      <c r="X26" s="172">
        <v>0.42009463499611599</v>
      </c>
      <c r="Y26" s="172">
        <v>5.8492582915868002E-5</v>
      </c>
    </row>
    <row r="27" spans="1:25">
      <c r="A27" s="2">
        <v>161</v>
      </c>
      <c r="B27" s="2">
        <v>12468</v>
      </c>
      <c r="C27" s="2" t="s">
        <v>2796</v>
      </c>
      <c r="D27" s="2" t="s">
        <v>2797</v>
      </c>
      <c r="E27" s="4" t="s">
        <v>1363</v>
      </c>
      <c r="F27" s="2" t="s">
        <v>2798</v>
      </c>
      <c r="G27" s="2" t="s">
        <v>2799</v>
      </c>
      <c r="H27" s="2" t="s">
        <v>223</v>
      </c>
      <c r="I27" s="2" t="s">
        <v>30</v>
      </c>
      <c r="J27" s="2" t="s">
        <v>30</v>
      </c>
      <c r="K27" s="2" t="s">
        <v>377</v>
      </c>
      <c r="L27" s="2" t="s">
        <v>31</v>
      </c>
      <c r="M27" s="2" t="s">
        <v>2800</v>
      </c>
      <c r="N27" s="2" t="s">
        <v>528</v>
      </c>
      <c r="O27" s="2" t="s">
        <v>2243</v>
      </c>
      <c r="P27" s="2" t="s">
        <v>173</v>
      </c>
      <c r="Q27" s="2" t="s">
        <v>34</v>
      </c>
      <c r="R27" s="183">
        <v>0</v>
      </c>
      <c r="S27" s="156">
        <v>0</v>
      </c>
      <c r="T27" s="156">
        <v>1450</v>
      </c>
      <c r="U27" s="166">
        <v>1</v>
      </c>
      <c r="V27" s="183">
        <v>38.6</v>
      </c>
      <c r="W27" s="156">
        <v>0.56000000000000005</v>
      </c>
      <c r="X27" s="172">
        <v>0.26351844440782501</v>
      </c>
      <c r="Y27" s="172">
        <v>3.6691433727849898E-5</v>
      </c>
    </row>
    <row r="28" spans="1:25">
      <c r="A28" s="2">
        <v>161</v>
      </c>
      <c r="B28" s="2">
        <v>12468</v>
      </c>
      <c r="C28" s="2" t="s">
        <v>2801</v>
      </c>
      <c r="D28" s="2" t="s">
        <v>2802</v>
      </c>
      <c r="E28" s="4" t="s">
        <v>1363</v>
      </c>
      <c r="F28" s="2" t="s">
        <v>2803</v>
      </c>
      <c r="G28" s="2" t="s">
        <v>2804</v>
      </c>
      <c r="H28" s="2" t="s">
        <v>223</v>
      </c>
      <c r="I28" s="2" t="s">
        <v>30</v>
      </c>
      <c r="J28" s="2" t="s">
        <v>30</v>
      </c>
      <c r="K28" s="2" t="s">
        <v>377</v>
      </c>
      <c r="L28" s="2" t="s">
        <v>31</v>
      </c>
      <c r="M28" s="2" t="s">
        <v>2805</v>
      </c>
      <c r="N28" s="2" t="s">
        <v>528</v>
      </c>
      <c r="O28" s="2" t="s">
        <v>2806</v>
      </c>
      <c r="P28" s="2" t="s">
        <v>173</v>
      </c>
      <c r="Q28" s="2" t="s">
        <v>34</v>
      </c>
      <c r="R28" s="183">
        <v>376.12200000000001</v>
      </c>
      <c r="S28" s="156">
        <v>0</v>
      </c>
      <c r="T28" s="156">
        <v>2850</v>
      </c>
      <c r="U28" s="166">
        <v>1</v>
      </c>
      <c r="V28" s="183">
        <v>2.8</v>
      </c>
      <c r="W28" s="156">
        <v>0.08</v>
      </c>
      <c r="X28" s="172">
        <v>3.7571505920572498E-2</v>
      </c>
      <c r="Y28" s="172">
        <v>5.23133180540007E-6</v>
      </c>
    </row>
    <row r="29" spans="1:25">
      <c r="A29" s="2">
        <v>161</v>
      </c>
      <c r="B29" s="2">
        <v>12468</v>
      </c>
      <c r="C29" s="2" t="s">
        <v>2807</v>
      </c>
      <c r="D29" s="2" t="s">
        <v>2808</v>
      </c>
      <c r="E29" s="4" t="s">
        <v>1363</v>
      </c>
      <c r="F29" s="2" t="s">
        <v>2809</v>
      </c>
      <c r="G29" s="2" t="s">
        <v>2810</v>
      </c>
      <c r="H29" s="2" t="s">
        <v>223</v>
      </c>
      <c r="I29" s="2" t="s">
        <v>30</v>
      </c>
      <c r="J29" s="2" t="s">
        <v>30</v>
      </c>
      <c r="K29" s="2" t="s">
        <v>377</v>
      </c>
      <c r="L29" s="2" t="s">
        <v>31</v>
      </c>
      <c r="M29" s="2" t="s">
        <v>2811</v>
      </c>
      <c r="N29" s="2" t="s">
        <v>528</v>
      </c>
      <c r="O29" s="2" t="s">
        <v>2812</v>
      </c>
      <c r="P29" s="2" t="s">
        <v>173</v>
      </c>
      <c r="Q29" s="2" t="s">
        <v>34</v>
      </c>
      <c r="R29" s="183">
        <v>1656</v>
      </c>
      <c r="S29" s="156">
        <v>1</v>
      </c>
      <c r="T29" s="156">
        <v>2664</v>
      </c>
      <c r="U29" s="166">
        <v>1</v>
      </c>
      <c r="V29" s="183">
        <v>1</v>
      </c>
      <c r="W29" s="156">
        <v>2.7E-2</v>
      </c>
      <c r="X29" s="172">
        <v>1.25426681419054E-2</v>
      </c>
      <c r="Y29" s="172">
        <v>1.7463994899230301E-6</v>
      </c>
    </row>
    <row r="30" spans="1:25">
      <c r="A30" s="2">
        <v>161</v>
      </c>
      <c r="B30" s="2">
        <v>12468</v>
      </c>
      <c r="C30" s="2" t="s">
        <v>2813</v>
      </c>
      <c r="D30" s="2" t="s">
        <v>2814</v>
      </c>
      <c r="E30" s="4" t="s">
        <v>1363</v>
      </c>
      <c r="F30" s="2" t="s">
        <v>2815</v>
      </c>
      <c r="G30" s="2" t="s">
        <v>2816</v>
      </c>
      <c r="H30" s="2" t="s">
        <v>223</v>
      </c>
      <c r="I30" s="2" t="s">
        <v>90</v>
      </c>
      <c r="J30" s="2" t="s">
        <v>30</v>
      </c>
      <c r="K30" s="2" t="s">
        <v>377</v>
      </c>
      <c r="L30" s="2" t="s">
        <v>31</v>
      </c>
      <c r="M30" s="2" t="s">
        <v>2817</v>
      </c>
      <c r="N30" s="2" t="s">
        <v>528</v>
      </c>
      <c r="O30" s="2" t="s">
        <v>2818</v>
      </c>
      <c r="P30" s="2" t="s">
        <v>173</v>
      </c>
      <c r="Q30" s="2" t="s">
        <v>34</v>
      </c>
      <c r="R30" s="183">
        <v>1415</v>
      </c>
      <c r="S30" s="156">
        <v>0</v>
      </c>
      <c r="T30" s="156">
        <v>73</v>
      </c>
      <c r="U30" s="166">
        <v>1</v>
      </c>
      <c r="V30" s="183">
        <v>41</v>
      </c>
      <c r="W30" s="156">
        <v>0.03</v>
      </c>
      <c r="X30" s="172">
        <v>1.4091668824595701E-2</v>
      </c>
      <c r="Y30" s="172">
        <v>1.9620772047070702E-6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184</v>
      </c>
      <c r="N1" s="22" t="s">
        <v>216</v>
      </c>
      <c r="O1" s="22" t="s">
        <v>1165</v>
      </c>
      <c r="P1" s="22" t="s">
        <v>159</v>
      </c>
      <c r="Q1" s="22" t="s">
        <v>11</v>
      </c>
      <c r="R1" s="22" t="s">
        <v>1166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6</v>
      </c>
      <c r="J1" s="22" t="s">
        <v>7</v>
      </c>
      <c r="K1" s="22" t="s">
        <v>8</v>
      </c>
      <c r="L1" s="22" t="s">
        <v>216</v>
      </c>
      <c r="M1" s="22" t="s">
        <v>159</v>
      </c>
      <c r="N1" s="22" t="s">
        <v>11</v>
      </c>
      <c r="O1" s="22" t="s">
        <v>17</v>
      </c>
      <c r="P1" s="165" t="s">
        <v>18</v>
      </c>
      <c r="Q1" s="176" t="s">
        <v>19</v>
      </c>
      <c r="R1" s="22" t="s">
        <v>20</v>
      </c>
      <c r="S1" s="171" t="s">
        <v>24</v>
      </c>
      <c r="T1" s="171" t="s">
        <v>25</v>
      </c>
    </row>
    <row r="2" spans="1:20">
      <c r="A2" s="23">
        <v>161</v>
      </c>
      <c r="B2" s="23">
        <v>9938</v>
      </c>
      <c r="C2" s="2" t="s">
        <v>2770</v>
      </c>
      <c r="D2" s="2" t="s">
        <v>2771</v>
      </c>
      <c r="E2" s="21" t="s">
        <v>33</v>
      </c>
      <c r="F2" s="23" t="s">
        <v>2772</v>
      </c>
      <c r="G2" s="23" t="s">
        <v>2773</v>
      </c>
      <c r="H2" s="21" t="s">
        <v>145</v>
      </c>
      <c r="I2" s="21" t="s">
        <v>90</v>
      </c>
      <c r="J2" s="21" t="s">
        <v>91</v>
      </c>
      <c r="K2" s="21" t="s">
        <v>2774</v>
      </c>
      <c r="L2" s="23" t="s">
        <v>796</v>
      </c>
      <c r="M2" s="23" t="s">
        <v>173</v>
      </c>
      <c r="N2" s="21" t="s">
        <v>95</v>
      </c>
      <c r="O2" s="158">
        <v>14</v>
      </c>
      <c r="P2" s="181">
        <v>3.71</v>
      </c>
      <c r="Q2" s="182">
        <v>5814.25</v>
      </c>
      <c r="R2" s="158">
        <v>298.91500000000002</v>
      </c>
      <c r="S2" s="180">
        <v>0.88267741465461502</v>
      </c>
      <c r="T2" s="180">
        <v>4.5072403159953896E-3</v>
      </c>
    </row>
    <row r="3" spans="1:20">
      <c r="A3" s="23">
        <v>161</v>
      </c>
      <c r="B3" s="23">
        <v>9938</v>
      </c>
      <c r="C3" s="2" t="s">
        <v>2770</v>
      </c>
      <c r="D3" s="2" t="s">
        <v>2771</v>
      </c>
      <c r="E3" s="21" t="s">
        <v>33</v>
      </c>
      <c r="F3" s="23" t="s">
        <v>2775</v>
      </c>
      <c r="G3" s="23" t="s">
        <v>2776</v>
      </c>
      <c r="H3" s="21" t="s">
        <v>145</v>
      </c>
      <c r="I3" s="21" t="s">
        <v>90</v>
      </c>
      <c r="J3" s="21" t="s">
        <v>91</v>
      </c>
      <c r="K3" s="21" t="s">
        <v>2774</v>
      </c>
      <c r="L3" s="23" t="s">
        <v>796</v>
      </c>
      <c r="M3" s="23" t="s">
        <v>173</v>
      </c>
      <c r="N3" s="21" t="s">
        <v>95</v>
      </c>
      <c r="O3" s="158">
        <v>9</v>
      </c>
      <c r="P3" s="181">
        <v>3.71</v>
      </c>
      <c r="Q3" s="182">
        <v>20261.25</v>
      </c>
      <c r="R3" s="158">
        <v>39.731000000000002</v>
      </c>
      <c r="S3" s="180">
        <v>0.11732258534538501</v>
      </c>
      <c r="T3" s="180">
        <v>5.9908759175904096E-4</v>
      </c>
    </row>
    <row r="4" spans="1:20">
      <c r="A4" s="23">
        <v>161</v>
      </c>
      <c r="B4" s="23">
        <v>9942</v>
      </c>
      <c r="C4" s="2" t="s">
        <v>2770</v>
      </c>
      <c r="D4" s="2" t="s">
        <v>2771</v>
      </c>
      <c r="E4" s="21" t="s">
        <v>33</v>
      </c>
      <c r="F4" s="23" t="s">
        <v>2772</v>
      </c>
      <c r="G4" s="23" t="s">
        <v>2773</v>
      </c>
      <c r="H4" s="21" t="s">
        <v>145</v>
      </c>
      <c r="I4" s="21" t="s">
        <v>90</v>
      </c>
      <c r="J4" s="21" t="s">
        <v>91</v>
      </c>
      <c r="K4" s="21" t="s">
        <v>2774</v>
      </c>
      <c r="L4" s="23" t="s">
        <v>796</v>
      </c>
      <c r="M4" s="23" t="s">
        <v>173</v>
      </c>
      <c r="N4" s="21" t="s">
        <v>95</v>
      </c>
      <c r="O4" s="158">
        <v>4</v>
      </c>
      <c r="P4" s="181">
        <v>3.71</v>
      </c>
      <c r="Q4" s="182">
        <v>5814.25</v>
      </c>
      <c r="R4" s="158">
        <v>85.403999999999996</v>
      </c>
      <c r="S4" s="180">
        <v>0.43034070196756702</v>
      </c>
      <c r="T4" s="180">
        <v>9.3182566191121296E-4</v>
      </c>
    </row>
    <row r="5" spans="1:20">
      <c r="A5" s="23">
        <v>161</v>
      </c>
      <c r="B5" s="23">
        <v>9942</v>
      </c>
      <c r="C5" s="2" t="s">
        <v>2770</v>
      </c>
      <c r="D5" s="2" t="s">
        <v>2771</v>
      </c>
      <c r="E5" s="21" t="s">
        <v>33</v>
      </c>
      <c r="F5" s="23" t="s">
        <v>2777</v>
      </c>
      <c r="G5" s="23" t="s">
        <v>2778</v>
      </c>
      <c r="H5" s="21" t="s">
        <v>145</v>
      </c>
      <c r="I5" s="21" t="s">
        <v>90</v>
      </c>
      <c r="J5" s="21" t="s">
        <v>91</v>
      </c>
      <c r="K5" s="21" t="s">
        <v>2774</v>
      </c>
      <c r="L5" s="23" t="s">
        <v>796</v>
      </c>
      <c r="M5" s="23" t="s">
        <v>173</v>
      </c>
      <c r="N5" s="21" t="s">
        <v>95</v>
      </c>
      <c r="O5" s="158">
        <v>30</v>
      </c>
      <c r="P5" s="181">
        <v>3.71</v>
      </c>
      <c r="Q5" s="182">
        <v>5814.25</v>
      </c>
      <c r="R5" s="158">
        <v>64.081000000000003</v>
      </c>
      <c r="S5" s="180">
        <v>0.32289573304668701</v>
      </c>
      <c r="T5" s="180">
        <v>6.9917283863428698E-4</v>
      </c>
    </row>
    <row r="6" spans="1:20">
      <c r="A6" s="23">
        <v>161</v>
      </c>
      <c r="B6" s="23">
        <v>9942</v>
      </c>
      <c r="C6" s="2" t="s">
        <v>2770</v>
      </c>
      <c r="D6" s="2" t="s">
        <v>2771</v>
      </c>
      <c r="E6" s="21" t="s">
        <v>33</v>
      </c>
      <c r="F6" s="23" t="s">
        <v>2779</v>
      </c>
      <c r="G6" s="23" t="s">
        <v>2780</v>
      </c>
      <c r="H6" s="21" t="s">
        <v>145</v>
      </c>
      <c r="I6" s="21" t="s">
        <v>90</v>
      </c>
      <c r="J6" s="21" t="s">
        <v>91</v>
      </c>
      <c r="K6" s="21" t="s">
        <v>2774</v>
      </c>
      <c r="L6" s="23" t="s">
        <v>796</v>
      </c>
      <c r="M6" s="23" t="s">
        <v>173</v>
      </c>
      <c r="N6" s="21" t="s">
        <v>95</v>
      </c>
      <c r="O6" s="158">
        <v>4</v>
      </c>
      <c r="P6" s="181">
        <v>3.71</v>
      </c>
      <c r="Q6" s="182">
        <v>1172.7</v>
      </c>
      <c r="R6" s="158">
        <v>48.972000000000001</v>
      </c>
      <c r="S6" s="180">
        <v>0.246763564985746</v>
      </c>
      <c r="T6" s="180">
        <v>5.3432227355464698E-4</v>
      </c>
    </row>
    <row r="7" spans="1:20">
      <c r="A7" s="23">
        <v>161</v>
      </c>
      <c r="B7" s="23">
        <v>9943</v>
      </c>
      <c r="C7" s="2" t="s">
        <v>2770</v>
      </c>
      <c r="D7" s="2" t="s">
        <v>2771</v>
      </c>
      <c r="E7" s="21" t="s">
        <v>33</v>
      </c>
      <c r="F7" s="23" t="s">
        <v>2772</v>
      </c>
      <c r="G7" s="23" t="s">
        <v>2773</v>
      </c>
      <c r="H7" s="21" t="s">
        <v>145</v>
      </c>
      <c r="I7" s="21" t="s">
        <v>90</v>
      </c>
      <c r="J7" s="21" t="s">
        <v>91</v>
      </c>
      <c r="K7" s="21" t="s">
        <v>2774</v>
      </c>
      <c r="L7" s="23" t="s">
        <v>796</v>
      </c>
      <c r="M7" s="23" t="s">
        <v>173</v>
      </c>
      <c r="N7" s="21" t="s">
        <v>95</v>
      </c>
      <c r="O7" s="158">
        <v>80</v>
      </c>
      <c r="P7" s="181">
        <v>3.71</v>
      </c>
      <c r="Q7" s="182">
        <v>5814.25</v>
      </c>
      <c r="R7" s="158">
        <v>1704.374</v>
      </c>
      <c r="S7" s="180">
        <v>1</v>
      </c>
      <c r="T7" s="180">
        <v>9.3469336676905903E-4</v>
      </c>
    </row>
    <row r="8" spans="1:20">
      <c r="A8" s="23">
        <v>161</v>
      </c>
      <c r="B8" s="23">
        <v>12468</v>
      </c>
      <c r="C8" s="2" t="s">
        <v>2770</v>
      </c>
      <c r="D8" s="2" t="s">
        <v>2771</v>
      </c>
      <c r="E8" s="21" t="s">
        <v>33</v>
      </c>
      <c r="F8" s="23" t="s">
        <v>2777</v>
      </c>
      <c r="G8" s="23" t="s">
        <v>2778</v>
      </c>
      <c r="H8" s="21" t="s">
        <v>145</v>
      </c>
      <c r="I8" s="21" t="s">
        <v>90</v>
      </c>
      <c r="J8" s="21" t="s">
        <v>91</v>
      </c>
      <c r="K8" s="21" t="s">
        <v>2774</v>
      </c>
      <c r="L8" s="23" t="s">
        <v>796</v>
      </c>
      <c r="M8" s="23" t="s">
        <v>173</v>
      </c>
      <c r="N8" s="21" t="s">
        <v>95</v>
      </c>
      <c r="O8" s="158">
        <v>35</v>
      </c>
      <c r="P8" s="181">
        <v>3.71</v>
      </c>
      <c r="Q8" s="182">
        <v>5814.25</v>
      </c>
      <c r="R8" s="158">
        <v>74.760999999999996</v>
      </c>
      <c r="S8" s="180">
        <v>0.53793544374251601</v>
      </c>
      <c r="T8" s="180">
        <v>4.9010064713237598E-3</v>
      </c>
    </row>
    <row r="9" spans="1:20">
      <c r="A9" s="23">
        <v>161</v>
      </c>
      <c r="B9" s="23">
        <v>12468</v>
      </c>
      <c r="C9" s="2" t="s">
        <v>2770</v>
      </c>
      <c r="D9" s="2" t="s">
        <v>2771</v>
      </c>
      <c r="E9" s="21" t="s">
        <v>33</v>
      </c>
      <c r="F9" s="23" t="s">
        <v>2775</v>
      </c>
      <c r="G9" s="23" t="s">
        <v>2776</v>
      </c>
      <c r="H9" s="21" t="s">
        <v>145</v>
      </c>
      <c r="I9" s="21" t="s">
        <v>90</v>
      </c>
      <c r="J9" s="21" t="s">
        <v>91</v>
      </c>
      <c r="K9" s="21" t="s">
        <v>2774</v>
      </c>
      <c r="L9" s="23" t="s">
        <v>796</v>
      </c>
      <c r="M9" s="23" t="s">
        <v>173</v>
      </c>
      <c r="N9" s="21" t="s">
        <v>95</v>
      </c>
      <c r="O9" s="158">
        <v>9</v>
      </c>
      <c r="P9" s="181">
        <v>3.71</v>
      </c>
      <c r="Q9" s="182">
        <v>20261.25</v>
      </c>
      <c r="R9" s="158">
        <v>39.731000000000002</v>
      </c>
      <c r="S9" s="180">
        <v>0.285878268622691</v>
      </c>
      <c r="T9" s="180">
        <v>2.60457134927379E-3</v>
      </c>
    </row>
    <row r="10" spans="1:20">
      <c r="A10" s="23">
        <v>161</v>
      </c>
      <c r="B10" s="23">
        <v>12468</v>
      </c>
      <c r="C10" s="2" t="s">
        <v>2770</v>
      </c>
      <c r="D10" s="2" t="s">
        <v>2771</v>
      </c>
      <c r="E10" s="21" t="s">
        <v>33</v>
      </c>
      <c r="F10" s="23" t="s">
        <v>2779</v>
      </c>
      <c r="G10" s="23" t="s">
        <v>2780</v>
      </c>
      <c r="H10" s="21" t="s">
        <v>145</v>
      </c>
      <c r="I10" s="21" t="s">
        <v>90</v>
      </c>
      <c r="J10" s="21" t="s">
        <v>91</v>
      </c>
      <c r="K10" s="21" t="s">
        <v>2774</v>
      </c>
      <c r="L10" s="23" t="s">
        <v>796</v>
      </c>
      <c r="M10" s="23" t="s">
        <v>173</v>
      </c>
      <c r="N10" s="21" t="s">
        <v>95</v>
      </c>
      <c r="O10" s="158">
        <v>2</v>
      </c>
      <c r="P10" s="181">
        <v>3.71</v>
      </c>
      <c r="Q10" s="182">
        <v>1172.7</v>
      </c>
      <c r="R10" s="158">
        <v>24.486000000000001</v>
      </c>
      <c r="S10" s="180">
        <v>0.17618628763479299</v>
      </c>
      <c r="T10" s="180">
        <v>1.6051928644990701E-3</v>
      </c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8</v>
      </c>
      <c r="N1" s="22" t="s">
        <v>216</v>
      </c>
      <c r="O1" s="22" t="s">
        <v>159</v>
      </c>
      <c r="P1" s="22" t="s">
        <v>12</v>
      </c>
      <c r="Q1" s="167" t="s">
        <v>14</v>
      </c>
      <c r="R1" s="171" t="s">
        <v>15</v>
      </c>
      <c r="S1" s="22" t="s">
        <v>9</v>
      </c>
      <c r="T1" s="22" t="s">
        <v>10</v>
      </c>
      <c r="U1" s="22" t="s">
        <v>217</v>
      </c>
      <c r="V1" s="22" t="s">
        <v>11</v>
      </c>
      <c r="W1" s="22" t="s">
        <v>17</v>
      </c>
      <c r="X1" s="165" t="s">
        <v>18</v>
      </c>
      <c r="Y1" s="176" t="s">
        <v>19</v>
      </c>
      <c r="Z1" s="22" t="s">
        <v>20</v>
      </c>
      <c r="AA1" s="171" t="s">
        <v>24</v>
      </c>
      <c r="AB1" s="171" t="s">
        <v>25</v>
      </c>
    </row>
    <row r="2" spans="1:28">
      <c r="A2" s="23">
        <v>161</v>
      </c>
      <c r="B2" s="23">
        <v>1434</v>
      </c>
      <c r="C2" s="23" t="s">
        <v>3231</v>
      </c>
      <c r="D2" s="23" t="s">
        <v>3232</v>
      </c>
      <c r="E2" s="21" t="s">
        <v>1363</v>
      </c>
      <c r="F2" s="23" t="s">
        <v>3233</v>
      </c>
      <c r="G2" s="23" t="s">
        <v>3234</v>
      </c>
      <c r="H2" s="21" t="s">
        <v>223</v>
      </c>
      <c r="I2" s="23" t="s">
        <v>1041</v>
      </c>
      <c r="J2" s="21" t="s">
        <v>30</v>
      </c>
      <c r="K2" s="21" t="s">
        <v>30</v>
      </c>
      <c r="L2" s="23" t="s">
        <v>377</v>
      </c>
      <c r="M2" s="21" t="s">
        <v>31</v>
      </c>
      <c r="N2" s="23" t="s">
        <v>793</v>
      </c>
      <c r="O2" s="23" t="s">
        <v>173</v>
      </c>
      <c r="P2" s="158">
        <v>3.2690000000000001</v>
      </c>
      <c r="Q2" s="179">
        <v>5.0000000000000001E-4</v>
      </c>
      <c r="R2" s="180">
        <v>2.3390000000000001E-2</v>
      </c>
      <c r="S2" s="23" t="s">
        <v>1224</v>
      </c>
      <c r="T2" s="23" t="s">
        <v>462</v>
      </c>
      <c r="U2" s="23" t="s">
        <v>456</v>
      </c>
      <c r="V2" s="21" t="s">
        <v>34</v>
      </c>
      <c r="W2" s="158">
        <v>98749.01</v>
      </c>
      <c r="X2" s="181">
        <v>1</v>
      </c>
      <c r="Y2" s="182">
        <v>106.4</v>
      </c>
      <c r="Z2" s="158">
        <v>105.069</v>
      </c>
      <c r="AA2" s="180">
        <v>1</v>
      </c>
      <c r="AB2" s="180">
        <v>4.6670413853651203E-3</v>
      </c>
    </row>
    <row r="3" spans="1:28">
      <c r="A3" s="23">
        <v>161</v>
      </c>
      <c r="B3" s="23">
        <v>9938</v>
      </c>
      <c r="C3" s="23" t="s">
        <v>3231</v>
      </c>
      <c r="D3" s="23" t="s">
        <v>3232</v>
      </c>
      <c r="E3" s="21" t="s">
        <v>1363</v>
      </c>
      <c r="F3" s="23" t="s">
        <v>3233</v>
      </c>
      <c r="G3" s="23" t="s">
        <v>3234</v>
      </c>
      <c r="H3" s="21" t="s">
        <v>223</v>
      </c>
      <c r="I3" s="23" t="s">
        <v>1041</v>
      </c>
      <c r="J3" s="21" t="s">
        <v>30</v>
      </c>
      <c r="K3" s="21" t="s">
        <v>30</v>
      </c>
      <c r="L3" s="23" t="s">
        <v>377</v>
      </c>
      <c r="M3" s="21" t="s">
        <v>31</v>
      </c>
      <c r="N3" s="23" t="s">
        <v>793</v>
      </c>
      <c r="O3" s="23" t="s">
        <v>173</v>
      </c>
      <c r="P3" s="158">
        <v>3.2690000000000001</v>
      </c>
      <c r="Q3" s="179">
        <v>5.0000000000000001E-4</v>
      </c>
      <c r="R3" s="180">
        <v>2.3390000000000001E-2</v>
      </c>
      <c r="S3" s="23" t="s">
        <v>1224</v>
      </c>
      <c r="T3" s="23" t="s">
        <v>462</v>
      </c>
      <c r="U3" s="23" t="s">
        <v>456</v>
      </c>
      <c r="V3" s="21" t="s">
        <v>34</v>
      </c>
      <c r="W3" s="158">
        <v>42000.01</v>
      </c>
      <c r="X3" s="181">
        <v>1</v>
      </c>
      <c r="Y3" s="182">
        <v>106.4</v>
      </c>
      <c r="Z3" s="158">
        <v>44.688000000000002</v>
      </c>
      <c r="AA3" s="180">
        <v>1</v>
      </c>
      <c r="AB3" s="180">
        <v>6.7383639278442405E-4</v>
      </c>
    </row>
    <row r="4" spans="1:28">
      <c r="A4" s="23">
        <v>161</v>
      </c>
      <c r="B4" s="23">
        <v>9942</v>
      </c>
      <c r="C4" s="23" t="s">
        <v>3231</v>
      </c>
      <c r="D4" s="23" t="s">
        <v>3232</v>
      </c>
      <c r="E4" s="21" t="s">
        <v>1363</v>
      </c>
      <c r="F4" s="23" t="s">
        <v>3233</v>
      </c>
      <c r="G4" s="23" t="s">
        <v>3234</v>
      </c>
      <c r="H4" s="21" t="s">
        <v>223</v>
      </c>
      <c r="I4" s="23" t="s">
        <v>1041</v>
      </c>
      <c r="J4" s="21" t="s">
        <v>30</v>
      </c>
      <c r="K4" s="21" t="s">
        <v>30</v>
      </c>
      <c r="L4" s="23" t="s">
        <v>377</v>
      </c>
      <c r="M4" s="21" t="s">
        <v>31</v>
      </c>
      <c r="N4" s="23" t="s">
        <v>793</v>
      </c>
      <c r="O4" s="23" t="s">
        <v>173</v>
      </c>
      <c r="P4" s="158">
        <v>3.2690000000000001</v>
      </c>
      <c r="Q4" s="179">
        <v>5.0000000000000001E-4</v>
      </c>
      <c r="R4" s="180">
        <v>2.3390000000000001E-2</v>
      </c>
      <c r="S4" s="23" t="s">
        <v>1224</v>
      </c>
      <c r="T4" s="23" t="s">
        <v>462</v>
      </c>
      <c r="U4" s="23" t="s">
        <v>456</v>
      </c>
      <c r="V4" s="21" t="s">
        <v>34</v>
      </c>
      <c r="W4" s="158">
        <v>82090.92</v>
      </c>
      <c r="X4" s="181">
        <v>1</v>
      </c>
      <c r="Y4" s="182">
        <v>106.4</v>
      </c>
      <c r="Z4" s="158">
        <v>87.344999999999999</v>
      </c>
      <c r="AA4" s="180">
        <v>1</v>
      </c>
      <c r="AB4" s="180">
        <v>9.5299843709463798E-4</v>
      </c>
    </row>
    <row r="5" spans="1:28">
      <c r="A5" s="23">
        <v>161</v>
      </c>
      <c r="B5" s="23">
        <v>9943</v>
      </c>
      <c r="C5" s="23" t="s">
        <v>3231</v>
      </c>
      <c r="D5" s="23" t="s">
        <v>3232</v>
      </c>
      <c r="E5" s="21" t="s">
        <v>1363</v>
      </c>
      <c r="F5" s="23" t="s">
        <v>3235</v>
      </c>
      <c r="G5" s="23" t="s">
        <v>3236</v>
      </c>
      <c r="H5" s="21" t="s">
        <v>223</v>
      </c>
      <c r="I5" s="23" t="s">
        <v>1041</v>
      </c>
      <c r="J5" s="21" t="s">
        <v>30</v>
      </c>
      <c r="K5" s="21" t="s">
        <v>30</v>
      </c>
      <c r="L5" s="23" t="s">
        <v>377</v>
      </c>
      <c r="M5" s="21" t="s">
        <v>31</v>
      </c>
      <c r="N5" s="23" t="s">
        <v>795</v>
      </c>
      <c r="O5" s="23" t="s">
        <v>173</v>
      </c>
      <c r="P5" s="158">
        <v>1.464</v>
      </c>
      <c r="Q5" s="179">
        <v>0.10807700000000001</v>
      </c>
      <c r="R5" s="180">
        <v>6.336E-2</v>
      </c>
      <c r="S5" s="23" t="s">
        <v>1224</v>
      </c>
      <c r="T5" s="23" t="s">
        <v>462</v>
      </c>
      <c r="U5" s="23" t="s">
        <v>456</v>
      </c>
      <c r="V5" s="21" t="s">
        <v>34</v>
      </c>
      <c r="W5" s="158">
        <v>2986876</v>
      </c>
      <c r="X5" s="181">
        <v>1</v>
      </c>
      <c r="Y5" s="182">
        <v>108</v>
      </c>
      <c r="Z5" s="158">
        <v>3225.826</v>
      </c>
      <c r="AA5" s="180">
        <v>0.465974024376693</v>
      </c>
      <c r="AB5" s="180">
        <v>1.76907077867102E-3</v>
      </c>
    </row>
    <row r="6" spans="1:28">
      <c r="A6" s="23">
        <v>161</v>
      </c>
      <c r="B6" s="23">
        <v>9943</v>
      </c>
      <c r="C6" s="23" t="s">
        <v>3231</v>
      </c>
      <c r="D6" s="23" t="s">
        <v>3232</v>
      </c>
      <c r="E6" s="21" t="s">
        <v>1363</v>
      </c>
      <c r="F6" s="23" t="s">
        <v>3233</v>
      </c>
      <c r="G6" s="23" t="s">
        <v>3234</v>
      </c>
      <c r="H6" s="21" t="s">
        <v>223</v>
      </c>
      <c r="I6" s="23" t="s">
        <v>1041</v>
      </c>
      <c r="J6" s="21" t="s">
        <v>30</v>
      </c>
      <c r="K6" s="21" t="s">
        <v>30</v>
      </c>
      <c r="L6" s="23" t="s">
        <v>377</v>
      </c>
      <c r="M6" s="21" t="s">
        <v>31</v>
      </c>
      <c r="N6" s="23" t="s">
        <v>793</v>
      </c>
      <c r="O6" s="23" t="s">
        <v>173</v>
      </c>
      <c r="P6" s="158">
        <v>3.2690000000000001</v>
      </c>
      <c r="Q6" s="179">
        <v>5.0000000000000001E-4</v>
      </c>
      <c r="R6" s="180">
        <v>2.3390000000000001E-2</v>
      </c>
      <c r="S6" s="23" t="s">
        <v>1224</v>
      </c>
      <c r="T6" s="23" t="s">
        <v>462</v>
      </c>
      <c r="U6" s="23" t="s">
        <v>456</v>
      </c>
      <c r="V6" s="21" t="s">
        <v>34</v>
      </c>
      <c r="W6" s="158">
        <v>1636313.22</v>
      </c>
      <c r="X6" s="181">
        <v>1</v>
      </c>
      <c r="Y6" s="182">
        <v>106.4</v>
      </c>
      <c r="Z6" s="158">
        <v>1741.037</v>
      </c>
      <c r="AA6" s="180">
        <v>0.25149469355926701</v>
      </c>
      <c r="AB6" s="180">
        <v>9.5479981735388595E-4</v>
      </c>
    </row>
    <row r="7" spans="1:28">
      <c r="A7" s="23">
        <v>161</v>
      </c>
      <c r="B7" s="23">
        <v>9943</v>
      </c>
      <c r="C7" s="23" t="s">
        <v>3231</v>
      </c>
      <c r="D7" s="23" t="s">
        <v>3232</v>
      </c>
      <c r="E7" s="21" t="s">
        <v>1363</v>
      </c>
      <c r="F7" s="23" t="s">
        <v>3235</v>
      </c>
      <c r="G7" s="23" t="s">
        <v>3236</v>
      </c>
      <c r="H7" s="21" t="s">
        <v>223</v>
      </c>
      <c r="I7" s="23" t="s">
        <v>1041</v>
      </c>
      <c r="J7" s="21" t="s">
        <v>30</v>
      </c>
      <c r="K7" s="21" t="s">
        <v>30</v>
      </c>
      <c r="L7" s="23" t="s">
        <v>377</v>
      </c>
      <c r="M7" s="21" t="s">
        <v>31</v>
      </c>
      <c r="N7" s="23" t="s">
        <v>795</v>
      </c>
      <c r="O7" s="23" t="s">
        <v>173</v>
      </c>
      <c r="P7" s="158">
        <v>1.464</v>
      </c>
      <c r="Q7" s="179">
        <v>0.10807700000000001</v>
      </c>
      <c r="R7" s="180">
        <v>6.336E-2</v>
      </c>
      <c r="S7" s="23" t="s">
        <v>1224</v>
      </c>
      <c r="T7" s="23" t="s">
        <v>462</v>
      </c>
      <c r="U7" s="23" t="s">
        <v>456</v>
      </c>
      <c r="V7" s="21" t="s">
        <v>34</v>
      </c>
      <c r="W7" s="158">
        <v>867068</v>
      </c>
      <c r="X7" s="181">
        <v>1</v>
      </c>
      <c r="Y7" s="182">
        <v>108</v>
      </c>
      <c r="Z7" s="158">
        <v>936.43299999999999</v>
      </c>
      <c r="AA7" s="180">
        <v>0.135268811081628</v>
      </c>
      <c r="AB7" s="180">
        <v>5.1354815597323797E-4</v>
      </c>
    </row>
    <row r="8" spans="1:28">
      <c r="A8" s="23">
        <v>161</v>
      </c>
      <c r="B8" s="23">
        <v>9943</v>
      </c>
      <c r="C8" s="23" t="s">
        <v>3231</v>
      </c>
      <c r="D8" s="23" t="s">
        <v>3232</v>
      </c>
      <c r="E8" s="21" t="s">
        <v>1363</v>
      </c>
      <c r="F8" s="23" t="s">
        <v>3233</v>
      </c>
      <c r="G8" s="23" t="s">
        <v>3234</v>
      </c>
      <c r="H8" s="21" t="s">
        <v>223</v>
      </c>
      <c r="I8" s="23" t="s">
        <v>1041</v>
      </c>
      <c r="J8" s="21" t="s">
        <v>30</v>
      </c>
      <c r="K8" s="21" t="s">
        <v>30</v>
      </c>
      <c r="L8" s="23" t="s">
        <v>377</v>
      </c>
      <c r="M8" s="21" t="s">
        <v>31</v>
      </c>
      <c r="N8" s="23" t="s">
        <v>793</v>
      </c>
      <c r="O8" s="23" t="s">
        <v>173</v>
      </c>
      <c r="P8" s="158">
        <v>3.2690000000000001</v>
      </c>
      <c r="Q8" s="179">
        <v>5.0000000000000001E-4</v>
      </c>
      <c r="R8" s="180">
        <v>2.3390000000000001E-2</v>
      </c>
      <c r="S8" s="23" t="s">
        <v>1224</v>
      </c>
      <c r="T8" s="23" t="s">
        <v>462</v>
      </c>
      <c r="U8" s="23" t="s">
        <v>456</v>
      </c>
      <c r="V8" s="21" t="s">
        <v>34</v>
      </c>
      <c r="W8" s="158">
        <v>958141.6</v>
      </c>
      <c r="X8" s="181">
        <v>1</v>
      </c>
      <c r="Y8" s="182">
        <v>106.4</v>
      </c>
      <c r="Z8" s="158">
        <v>1019.463</v>
      </c>
      <c r="AA8" s="180">
        <v>0.14726247098241099</v>
      </c>
      <c r="AB8" s="180">
        <v>5.5908209595664099E-4</v>
      </c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183</v>
      </c>
      <c r="G1" s="22" t="s">
        <v>5</v>
      </c>
      <c r="H1" s="22" t="s">
        <v>6</v>
      </c>
      <c r="I1" s="22" t="s">
        <v>7</v>
      </c>
      <c r="J1" s="22" t="s">
        <v>192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192</v>
      </c>
      <c r="G1" s="22" t="s">
        <v>12</v>
      </c>
      <c r="H1" s="22" t="s">
        <v>802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1169</v>
      </c>
      <c r="B1" s="22" t="s">
        <v>1</v>
      </c>
      <c r="C1" s="22" t="s">
        <v>5</v>
      </c>
      <c r="D1" s="22" t="s">
        <v>1170</v>
      </c>
      <c r="E1" s="22" t="s">
        <v>1171</v>
      </c>
      <c r="F1" s="22" t="s">
        <v>1172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184</v>
      </c>
      <c r="M1" s="22" t="s">
        <v>159</v>
      </c>
      <c r="N1" s="22" t="s">
        <v>192</v>
      </c>
      <c r="O1" s="22" t="s">
        <v>9</v>
      </c>
      <c r="P1" s="22" t="s">
        <v>10</v>
      </c>
      <c r="Q1" s="22" t="s">
        <v>217</v>
      </c>
      <c r="R1" s="22" t="s">
        <v>11</v>
      </c>
      <c r="S1" s="22" t="s">
        <v>12</v>
      </c>
      <c r="T1" s="22" t="s">
        <v>802</v>
      </c>
      <c r="U1" s="22" t="s">
        <v>956</v>
      </c>
      <c r="V1" s="22" t="s">
        <v>13</v>
      </c>
      <c r="W1" s="171" t="s">
        <v>14</v>
      </c>
      <c r="X1" s="171" t="s">
        <v>15</v>
      </c>
      <c r="Y1" s="22" t="s">
        <v>459</v>
      </c>
      <c r="Z1" s="22" t="s">
        <v>880</v>
      </c>
      <c r="AA1" s="22" t="s">
        <v>185</v>
      </c>
      <c r="AB1" s="22" t="s">
        <v>186</v>
      </c>
      <c r="AC1" s="22" t="s">
        <v>198</v>
      </c>
      <c r="AD1" s="22" t="s">
        <v>168</v>
      </c>
      <c r="AE1" s="22" t="s">
        <v>187</v>
      </c>
      <c r="AF1" s="22" t="s">
        <v>17</v>
      </c>
      <c r="AG1" s="165" t="s">
        <v>18</v>
      </c>
      <c r="AH1" s="176" t="s">
        <v>19</v>
      </c>
      <c r="AI1" s="22" t="s">
        <v>20</v>
      </c>
      <c r="AJ1" s="22" t="s">
        <v>21</v>
      </c>
      <c r="AK1" s="22" t="s">
        <v>200</v>
      </c>
      <c r="AL1" s="22" t="s">
        <v>22</v>
      </c>
      <c r="AM1" s="171" t="s">
        <v>24</v>
      </c>
      <c r="AN1" s="171" t="s">
        <v>25</v>
      </c>
    </row>
    <row r="2" spans="1:40">
      <c r="A2" s="30">
        <v>161</v>
      </c>
      <c r="B2" s="23">
        <v>1434</v>
      </c>
      <c r="C2" s="23" t="s">
        <v>1628</v>
      </c>
      <c r="D2" s="23" t="s">
        <v>1629</v>
      </c>
      <c r="E2" s="21" t="s">
        <v>1363</v>
      </c>
      <c r="F2" s="23" t="s">
        <v>3237</v>
      </c>
      <c r="G2" s="23" t="s">
        <v>3238</v>
      </c>
      <c r="H2" s="21" t="s">
        <v>223</v>
      </c>
      <c r="I2" s="23" t="s">
        <v>805</v>
      </c>
      <c r="J2" s="21" t="s">
        <v>30</v>
      </c>
      <c r="K2" s="21" t="s">
        <v>30</v>
      </c>
      <c r="L2" s="23" t="s">
        <v>493</v>
      </c>
      <c r="M2" s="23" t="s">
        <v>173</v>
      </c>
      <c r="N2" s="23" t="s">
        <v>3239</v>
      </c>
      <c r="O2" s="23" t="s">
        <v>2052</v>
      </c>
      <c r="P2" s="23" t="s">
        <v>462</v>
      </c>
      <c r="Q2" s="23" t="s">
        <v>456</v>
      </c>
      <c r="R2" s="21" t="s">
        <v>95</v>
      </c>
      <c r="S2" s="158">
        <v>0.05</v>
      </c>
      <c r="T2" s="23" t="s">
        <v>806</v>
      </c>
      <c r="U2" s="23" t="s">
        <v>963</v>
      </c>
      <c r="V2" s="23" t="s">
        <v>3240</v>
      </c>
      <c r="W2" s="180">
        <v>6.4225000000000004E-2</v>
      </c>
      <c r="X2" s="180">
        <v>4.7399999999999998E-2</v>
      </c>
      <c r="Y2" s="21" t="s">
        <v>461</v>
      </c>
      <c r="Z2" s="23" t="s">
        <v>173</v>
      </c>
      <c r="AA2" s="23" t="s">
        <v>942</v>
      </c>
      <c r="AB2" s="23" t="s">
        <v>3141</v>
      </c>
      <c r="AC2" s="23" t="s">
        <v>1376</v>
      </c>
      <c r="AD2" s="23" t="s">
        <v>175</v>
      </c>
      <c r="AE2" s="23"/>
      <c r="AF2" s="158">
        <v>12000</v>
      </c>
      <c r="AG2" s="181">
        <v>3.71</v>
      </c>
      <c r="AH2" s="182">
        <v>100.59</v>
      </c>
      <c r="AI2" s="158">
        <v>44.783000000000001</v>
      </c>
      <c r="AK2" s="30"/>
      <c r="AL2" s="23" t="s">
        <v>36</v>
      </c>
      <c r="AM2" s="178">
        <v>1</v>
      </c>
      <c r="AN2" s="178">
        <v>1.9891944440937098E-3</v>
      </c>
    </row>
    <row r="3" spans="1:40">
      <c r="A3" s="23">
        <v>161</v>
      </c>
      <c r="B3" s="23">
        <v>9938</v>
      </c>
      <c r="C3" s="23" t="s">
        <v>1628</v>
      </c>
      <c r="D3" s="23" t="s">
        <v>1629</v>
      </c>
      <c r="E3" s="21" t="s">
        <v>1363</v>
      </c>
      <c r="F3" s="23" t="s">
        <v>3237</v>
      </c>
      <c r="G3" s="23" t="s">
        <v>3238</v>
      </c>
      <c r="H3" s="21" t="s">
        <v>223</v>
      </c>
      <c r="I3" s="23" t="s">
        <v>805</v>
      </c>
      <c r="J3" s="21" t="s">
        <v>30</v>
      </c>
      <c r="K3" s="21" t="s">
        <v>30</v>
      </c>
      <c r="L3" s="23" t="s">
        <v>493</v>
      </c>
      <c r="M3" s="23" t="s">
        <v>173</v>
      </c>
      <c r="N3" s="23" t="s">
        <v>3239</v>
      </c>
      <c r="O3" s="23" t="s">
        <v>2052</v>
      </c>
      <c r="P3" s="23" t="s">
        <v>462</v>
      </c>
      <c r="Q3" s="23" t="s">
        <v>456</v>
      </c>
      <c r="R3" s="21" t="s">
        <v>95</v>
      </c>
      <c r="S3" s="158">
        <v>0.05</v>
      </c>
      <c r="T3" s="23" t="s">
        <v>806</v>
      </c>
      <c r="U3" s="23" t="s">
        <v>963</v>
      </c>
      <c r="V3" s="23" t="s">
        <v>3240</v>
      </c>
      <c r="W3" s="180">
        <v>6.4225000000000004E-2</v>
      </c>
      <c r="X3" s="180">
        <v>4.7399999999999998E-2</v>
      </c>
      <c r="Y3" s="21" t="s">
        <v>461</v>
      </c>
      <c r="Z3" s="21" t="s">
        <v>173</v>
      </c>
      <c r="AA3" s="23" t="s">
        <v>942</v>
      </c>
      <c r="AB3" s="23" t="s">
        <v>3141</v>
      </c>
      <c r="AC3" t="s">
        <v>1376</v>
      </c>
      <c r="AD3" t="s">
        <v>175</v>
      </c>
      <c r="AF3" s="158">
        <v>30000</v>
      </c>
      <c r="AG3" s="181">
        <v>3.71</v>
      </c>
      <c r="AH3" s="182">
        <v>100.59</v>
      </c>
      <c r="AI3" s="158">
        <v>111.95699999999999</v>
      </c>
      <c r="AK3" s="23"/>
      <c r="AL3" s="23" t="s">
        <v>36</v>
      </c>
      <c r="AM3" s="178">
        <v>1</v>
      </c>
      <c r="AN3" s="178">
        <v>1.68815925301964E-3</v>
      </c>
    </row>
    <row r="4" spans="1:40">
      <c r="A4" s="23">
        <v>161</v>
      </c>
      <c r="B4" s="23">
        <v>9942</v>
      </c>
      <c r="C4" s="23" t="s">
        <v>1628</v>
      </c>
      <c r="D4" s="23" t="s">
        <v>1629</v>
      </c>
      <c r="E4" s="21" t="s">
        <v>1363</v>
      </c>
      <c r="F4" s="23" t="s">
        <v>3237</v>
      </c>
      <c r="G4" s="23" t="s">
        <v>3238</v>
      </c>
      <c r="H4" s="21" t="s">
        <v>223</v>
      </c>
      <c r="I4" s="23" t="s">
        <v>805</v>
      </c>
      <c r="J4" s="21" t="s">
        <v>30</v>
      </c>
      <c r="K4" s="21" t="s">
        <v>30</v>
      </c>
      <c r="L4" s="23" t="s">
        <v>493</v>
      </c>
      <c r="M4" s="23" t="s">
        <v>173</v>
      </c>
      <c r="N4" s="23" t="s">
        <v>3239</v>
      </c>
      <c r="O4" s="23" t="s">
        <v>2052</v>
      </c>
      <c r="P4" s="23" t="s">
        <v>462</v>
      </c>
      <c r="Q4" s="23" t="s">
        <v>456</v>
      </c>
      <c r="R4" s="21" t="s">
        <v>95</v>
      </c>
      <c r="S4" s="158">
        <v>0.05</v>
      </c>
      <c r="T4" s="23" t="s">
        <v>806</v>
      </c>
      <c r="U4" s="23" t="s">
        <v>963</v>
      </c>
      <c r="V4" s="23" t="s">
        <v>3240</v>
      </c>
      <c r="W4" s="180">
        <v>6.4225000000000004E-2</v>
      </c>
      <c r="X4" s="180">
        <v>4.7399999999999998E-2</v>
      </c>
      <c r="Y4" s="21" t="s">
        <v>461</v>
      </c>
      <c r="Z4" s="21" t="s">
        <v>173</v>
      </c>
      <c r="AA4" s="23" t="s">
        <v>942</v>
      </c>
      <c r="AB4" s="23" t="s">
        <v>3141</v>
      </c>
      <c r="AC4" t="s">
        <v>1376</v>
      </c>
      <c r="AD4" s="23" t="s">
        <v>175</v>
      </c>
      <c r="AE4" s="23"/>
      <c r="AF4" s="158">
        <v>44000</v>
      </c>
      <c r="AG4" s="181">
        <v>3.71</v>
      </c>
      <c r="AH4" s="182">
        <v>100.59</v>
      </c>
      <c r="AI4" s="158">
        <v>164.203</v>
      </c>
      <c r="AK4" s="23"/>
      <c r="AL4" s="23" t="s">
        <v>36</v>
      </c>
      <c r="AM4" s="178">
        <v>1</v>
      </c>
      <c r="AN4" s="178">
        <v>1.79158258322873E-3</v>
      </c>
    </row>
    <row r="5" spans="1:40">
      <c r="A5" s="23">
        <v>161</v>
      </c>
      <c r="B5" s="23">
        <v>9943</v>
      </c>
      <c r="C5" s="23" t="s">
        <v>1628</v>
      </c>
      <c r="D5" s="23" t="s">
        <v>1629</v>
      </c>
      <c r="E5" s="21" t="s">
        <v>1363</v>
      </c>
      <c r="F5" s="23" t="s">
        <v>3237</v>
      </c>
      <c r="G5" s="23" t="s">
        <v>3238</v>
      </c>
      <c r="H5" s="21" t="s">
        <v>223</v>
      </c>
      <c r="I5" s="23" t="s">
        <v>805</v>
      </c>
      <c r="J5" s="21" t="s">
        <v>30</v>
      </c>
      <c r="K5" s="21" t="s">
        <v>30</v>
      </c>
      <c r="L5" s="23" t="s">
        <v>493</v>
      </c>
      <c r="M5" s="23" t="s">
        <v>173</v>
      </c>
      <c r="N5" s="23" t="s">
        <v>3239</v>
      </c>
      <c r="O5" s="23" t="s">
        <v>2052</v>
      </c>
      <c r="P5" s="23" t="s">
        <v>462</v>
      </c>
      <c r="Q5" s="23" t="s">
        <v>456</v>
      </c>
      <c r="R5" s="21" t="s">
        <v>95</v>
      </c>
      <c r="S5" s="158">
        <v>0.05</v>
      </c>
      <c r="T5" s="23" t="s">
        <v>806</v>
      </c>
      <c r="U5" s="23" t="s">
        <v>963</v>
      </c>
      <c r="V5" s="23" t="s">
        <v>3240</v>
      </c>
      <c r="W5" s="180">
        <v>6.4225000000000004E-2</v>
      </c>
      <c r="X5" s="180">
        <v>4.7399999999999998E-2</v>
      </c>
      <c r="Y5" s="21" t="s">
        <v>461</v>
      </c>
      <c r="Z5" s="21" t="s">
        <v>173</v>
      </c>
      <c r="AA5" s="23" t="s">
        <v>942</v>
      </c>
      <c r="AB5" s="23" t="s">
        <v>3141</v>
      </c>
      <c r="AC5" t="s">
        <v>1376</v>
      </c>
      <c r="AD5" s="23" t="s">
        <v>175</v>
      </c>
      <c r="AE5" s="23"/>
      <c r="AF5" s="158">
        <v>191000</v>
      </c>
      <c r="AG5" s="181">
        <v>3.71</v>
      </c>
      <c r="AH5" s="182">
        <v>100.59</v>
      </c>
      <c r="AI5" s="158">
        <v>712.79100000000005</v>
      </c>
      <c r="AK5" s="23"/>
      <c r="AL5" s="23" t="s">
        <v>36</v>
      </c>
      <c r="AM5" s="178">
        <v>1</v>
      </c>
      <c r="AN5" s="178">
        <v>3.9090060733108903E-4</v>
      </c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6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184</v>
      </c>
      <c r="N1" s="22" t="s">
        <v>159</v>
      </c>
      <c r="O1" s="22" t="s">
        <v>192</v>
      </c>
      <c r="P1" s="22" t="s">
        <v>9</v>
      </c>
      <c r="Q1" s="22" t="s">
        <v>10</v>
      </c>
      <c r="R1" s="22" t="s">
        <v>217</v>
      </c>
      <c r="S1" s="22" t="s">
        <v>11</v>
      </c>
      <c r="T1" s="22" t="s">
        <v>12</v>
      </c>
      <c r="U1" s="22" t="s">
        <v>13</v>
      </c>
      <c r="V1" s="171" t="s">
        <v>15</v>
      </c>
      <c r="W1" s="171" t="s">
        <v>14</v>
      </c>
      <c r="X1" s="22" t="s">
        <v>459</v>
      </c>
      <c r="Y1" s="22" t="s">
        <v>880</v>
      </c>
      <c r="Z1" s="22" t="s">
        <v>185</v>
      </c>
      <c r="AA1" s="22" t="s">
        <v>186</v>
      </c>
      <c r="AB1" s="22" t="s">
        <v>168</v>
      </c>
      <c r="AC1" s="22" t="s">
        <v>187</v>
      </c>
      <c r="AD1" s="22" t="s">
        <v>17</v>
      </c>
      <c r="AE1" s="165" t="s">
        <v>18</v>
      </c>
      <c r="AF1" s="176" t="s">
        <v>19</v>
      </c>
      <c r="AG1" s="22" t="s">
        <v>20</v>
      </c>
      <c r="AH1" s="22" t="s">
        <v>21</v>
      </c>
      <c r="AI1" s="22" t="s">
        <v>200</v>
      </c>
      <c r="AJ1" s="22" t="s">
        <v>22</v>
      </c>
      <c r="AK1" s="171" t="s">
        <v>24</v>
      </c>
      <c r="AL1" s="171" t="s">
        <v>25</v>
      </c>
    </row>
    <row r="2" spans="1:38">
      <c r="A2" s="2">
        <v>161</v>
      </c>
      <c r="B2" s="23">
        <v>1434</v>
      </c>
      <c r="C2" s="23" t="s">
        <v>3120</v>
      </c>
      <c r="D2" s="23" t="s">
        <v>3121</v>
      </c>
      <c r="E2" s="21" t="s">
        <v>1363</v>
      </c>
      <c r="F2" s="23" t="s">
        <v>3122</v>
      </c>
      <c r="G2" s="23" t="s">
        <v>3123</v>
      </c>
      <c r="H2" s="23" t="s">
        <v>223</v>
      </c>
      <c r="I2" s="23" t="s">
        <v>804</v>
      </c>
      <c r="J2" s="21" t="s">
        <v>30</v>
      </c>
      <c r="K2" s="21"/>
      <c r="L2" s="23" t="s">
        <v>145</v>
      </c>
      <c r="M2" s="23" t="s">
        <v>511</v>
      </c>
      <c r="N2" s="23" t="s">
        <v>173</v>
      </c>
      <c r="O2" s="23" t="s">
        <v>3124</v>
      </c>
      <c r="P2" s="23" t="s">
        <v>2061</v>
      </c>
      <c r="Q2" s="23" t="s">
        <v>462</v>
      </c>
      <c r="R2" s="23" t="s">
        <v>456</v>
      </c>
      <c r="S2" s="21" t="s">
        <v>34</v>
      </c>
      <c r="T2" s="158">
        <v>3.78</v>
      </c>
      <c r="U2" s="23" t="s">
        <v>2521</v>
      </c>
      <c r="V2" s="180">
        <v>3.875E-2</v>
      </c>
      <c r="W2" s="172">
        <v>3.8399999999999997E-2</v>
      </c>
      <c r="X2" s="21" t="s">
        <v>461</v>
      </c>
      <c r="Y2" s="21" t="s">
        <v>173</v>
      </c>
      <c r="Z2" s="23" t="s">
        <v>145</v>
      </c>
      <c r="AA2" s="23"/>
      <c r="AB2" s="2" t="s">
        <v>175</v>
      </c>
      <c r="AC2" s="23"/>
      <c r="AD2" s="158">
        <v>83000</v>
      </c>
      <c r="AE2" s="181">
        <v>1</v>
      </c>
      <c r="AF2" s="182">
        <v>102.59</v>
      </c>
      <c r="AG2" s="158">
        <v>85.15</v>
      </c>
      <c r="AH2" s="23"/>
      <c r="AI2" s="30"/>
      <c r="AJ2" s="23" t="s">
        <v>36</v>
      </c>
      <c r="AK2" s="172">
        <v>0.151712079462032</v>
      </c>
      <c r="AL2" s="172">
        <v>3.7822514316531099E-3</v>
      </c>
    </row>
    <row r="3" spans="1:38">
      <c r="A3" s="23">
        <v>161</v>
      </c>
      <c r="B3" s="23">
        <v>1434</v>
      </c>
      <c r="C3" s="23" t="s">
        <v>3125</v>
      </c>
      <c r="D3" s="23" t="s">
        <v>3126</v>
      </c>
      <c r="E3" s="21" t="s">
        <v>1363</v>
      </c>
      <c r="F3" s="23" t="s">
        <v>3127</v>
      </c>
      <c r="G3" s="23" t="s">
        <v>3128</v>
      </c>
      <c r="H3" s="23" t="s">
        <v>223</v>
      </c>
      <c r="I3" s="23" t="s">
        <v>1013</v>
      </c>
      <c r="J3" s="21" t="s">
        <v>30</v>
      </c>
      <c r="K3" s="21" t="s">
        <v>30</v>
      </c>
      <c r="L3" s="23" t="s">
        <v>145</v>
      </c>
      <c r="M3" s="23" t="s">
        <v>498</v>
      </c>
      <c r="N3" s="23" t="s">
        <v>173</v>
      </c>
      <c r="O3" s="23" t="s">
        <v>3129</v>
      </c>
      <c r="P3" s="23" t="s">
        <v>2061</v>
      </c>
      <c r="Q3" s="23" t="s">
        <v>462</v>
      </c>
      <c r="R3" s="23" t="s">
        <v>456</v>
      </c>
      <c r="S3" s="21" t="s">
        <v>34</v>
      </c>
      <c r="T3" s="158">
        <v>2.14</v>
      </c>
      <c r="U3" s="23" t="s">
        <v>2521</v>
      </c>
      <c r="V3" s="180">
        <v>2.8670000000000001E-2</v>
      </c>
      <c r="W3" s="172">
        <v>2.86E-2</v>
      </c>
      <c r="X3" s="21" t="s">
        <v>461</v>
      </c>
      <c r="Y3" s="21" t="s">
        <v>173</v>
      </c>
      <c r="Z3" s="23" t="s">
        <v>942</v>
      </c>
      <c r="AA3" s="23"/>
      <c r="AB3" s="2" t="s">
        <v>175</v>
      </c>
      <c r="AC3" s="23"/>
      <c r="AD3" s="158">
        <v>19285.72</v>
      </c>
      <c r="AE3" s="181">
        <v>1</v>
      </c>
      <c r="AF3" s="182">
        <v>95.51</v>
      </c>
      <c r="AG3" s="158">
        <v>18.420000000000002</v>
      </c>
      <c r="AH3" s="23"/>
      <c r="AI3" s="23"/>
      <c r="AJ3" s="23" t="s">
        <v>36</v>
      </c>
      <c r="AK3" s="172">
        <v>3.28187277460813E-2</v>
      </c>
      <c r="AL3" s="172">
        <v>8.1818587183570002E-4</v>
      </c>
    </row>
    <row r="4" spans="1:38">
      <c r="A4" s="23">
        <v>161</v>
      </c>
      <c r="B4" s="23">
        <v>1434</v>
      </c>
      <c r="C4" s="23" t="s">
        <v>3130</v>
      </c>
      <c r="D4" s="23" t="s">
        <v>3131</v>
      </c>
      <c r="E4" s="21" t="s">
        <v>1363</v>
      </c>
      <c r="F4" s="23" t="s">
        <v>3132</v>
      </c>
      <c r="G4" s="23" t="s">
        <v>3133</v>
      </c>
      <c r="H4" s="23" t="s">
        <v>223</v>
      </c>
      <c r="I4" s="23" t="s">
        <v>1013</v>
      </c>
      <c r="J4" s="21" t="s">
        <v>30</v>
      </c>
      <c r="K4" s="21" t="s">
        <v>30</v>
      </c>
      <c r="L4" s="23" t="s">
        <v>145</v>
      </c>
      <c r="M4" s="23" t="s">
        <v>498</v>
      </c>
      <c r="N4" s="23" t="s">
        <v>173</v>
      </c>
      <c r="O4" s="2" t="s">
        <v>3134</v>
      </c>
      <c r="P4" s="23" t="s">
        <v>2100</v>
      </c>
      <c r="Q4" s="23" t="s">
        <v>480</v>
      </c>
      <c r="R4" s="23" t="s">
        <v>456</v>
      </c>
      <c r="S4" s="23" t="s">
        <v>34</v>
      </c>
      <c r="T4" s="158">
        <v>2.12</v>
      </c>
      <c r="U4" s="23" t="s">
        <v>2370</v>
      </c>
      <c r="V4" s="180">
        <v>6.2080000000000003E-2</v>
      </c>
      <c r="W4" s="172">
        <v>4.4699999999999997E-2</v>
      </c>
      <c r="X4" s="21" t="s">
        <v>461</v>
      </c>
      <c r="Y4" s="21" t="s">
        <v>173</v>
      </c>
      <c r="Z4" s="23" t="s">
        <v>942</v>
      </c>
      <c r="AA4" s="23" t="s">
        <v>943</v>
      </c>
      <c r="AB4" s="2" t="s">
        <v>175</v>
      </c>
      <c r="AD4" s="156">
        <v>55883.25</v>
      </c>
      <c r="AE4" s="181">
        <v>1</v>
      </c>
      <c r="AF4" s="182">
        <v>97.54</v>
      </c>
      <c r="AG4" s="158">
        <v>54.509</v>
      </c>
      <c r="AH4" s="23"/>
      <c r="AI4" s="23"/>
      <c r="AJ4" s="23" t="s">
        <v>36</v>
      </c>
      <c r="AK4" s="172">
        <v>9.7118383606841996E-2</v>
      </c>
      <c r="AL4" s="172">
        <v>2.4212056596900201E-3</v>
      </c>
    </row>
    <row r="5" spans="1:38">
      <c r="A5" s="23">
        <v>161</v>
      </c>
      <c r="B5" s="23">
        <v>1434</v>
      </c>
      <c r="C5" s="23" t="s">
        <v>3135</v>
      </c>
      <c r="D5" s="23" t="s">
        <v>3136</v>
      </c>
      <c r="E5" s="21" t="s">
        <v>1363</v>
      </c>
      <c r="F5" s="23" t="s">
        <v>3137</v>
      </c>
      <c r="G5" s="23" t="s">
        <v>3138</v>
      </c>
      <c r="H5" s="23" t="s">
        <v>223</v>
      </c>
      <c r="I5" s="23" t="s">
        <v>1013</v>
      </c>
      <c r="J5" s="21" t="s">
        <v>30</v>
      </c>
      <c r="K5" s="21" t="s">
        <v>30</v>
      </c>
      <c r="L5" s="23" t="s">
        <v>145</v>
      </c>
      <c r="M5" s="23" t="s">
        <v>498</v>
      </c>
      <c r="N5" s="23" t="s">
        <v>173</v>
      </c>
      <c r="O5" s="23" t="s">
        <v>3139</v>
      </c>
      <c r="P5" s="23" t="s">
        <v>2061</v>
      </c>
      <c r="Q5" s="23" t="s">
        <v>464</v>
      </c>
      <c r="R5" s="23" t="s">
        <v>456</v>
      </c>
      <c r="S5" s="21" t="s">
        <v>34</v>
      </c>
      <c r="T5" s="158">
        <v>1.79</v>
      </c>
      <c r="U5" s="23" t="s">
        <v>3140</v>
      </c>
      <c r="V5" s="180">
        <v>5.0819999999999997E-2</v>
      </c>
      <c r="W5" s="172">
        <v>2.1000000000000001E-2</v>
      </c>
      <c r="X5" s="21" t="s">
        <v>461</v>
      </c>
      <c r="Y5" s="21" t="s">
        <v>173</v>
      </c>
      <c r="Z5" s="23" t="s">
        <v>145</v>
      </c>
      <c r="AA5" s="23" t="s">
        <v>3141</v>
      </c>
      <c r="AB5" s="2" t="s">
        <v>175</v>
      </c>
      <c r="AC5" s="23"/>
      <c r="AD5" s="158">
        <v>22857.16</v>
      </c>
      <c r="AE5" s="181">
        <v>1</v>
      </c>
      <c r="AF5" s="182">
        <v>95.42</v>
      </c>
      <c r="AG5" s="156">
        <v>21.81</v>
      </c>
      <c r="AJ5" s="23" t="s">
        <v>36</v>
      </c>
      <c r="AK5" s="172">
        <v>3.8859635219362802E-2</v>
      </c>
      <c r="AL5" s="172">
        <v>9.6878845417668795E-4</v>
      </c>
    </row>
    <row r="6" spans="1:38">
      <c r="A6" s="23">
        <v>161</v>
      </c>
      <c r="B6" s="23">
        <v>1434</v>
      </c>
      <c r="C6" s="23" t="s">
        <v>3142</v>
      </c>
      <c r="D6" s="23" t="s">
        <v>3143</v>
      </c>
      <c r="E6" s="21" t="s">
        <v>1363</v>
      </c>
      <c r="F6" s="23" t="s">
        <v>3144</v>
      </c>
      <c r="G6" s="23" t="s">
        <v>3145</v>
      </c>
      <c r="H6" s="23" t="s">
        <v>223</v>
      </c>
      <c r="I6" s="23" t="s">
        <v>804</v>
      </c>
      <c r="J6" s="21" t="s">
        <v>30</v>
      </c>
      <c r="K6" s="21"/>
      <c r="L6" s="23" t="s">
        <v>145</v>
      </c>
      <c r="M6" s="23" t="s">
        <v>526</v>
      </c>
      <c r="N6" s="23" t="s">
        <v>173</v>
      </c>
      <c r="O6" s="23" t="s">
        <v>3146</v>
      </c>
      <c r="P6" s="23" t="s">
        <v>2041</v>
      </c>
      <c r="Q6" s="23" t="s">
        <v>464</v>
      </c>
      <c r="R6" s="23" t="s">
        <v>456</v>
      </c>
      <c r="S6" s="21" t="s">
        <v>34</v>
      </c>
      <c r="T6" s="158">
        <v>3.7</v>
      </c>
      <c r="U6" s="23" t="s">
        <v>2636</v>
      </c>
      <c r="V6" s="180">
        <v>4.5010000000000001E-2</v>
      </c>
      <c r="W6" s="172">
        <v>4.4499999999999998E-2</v>
      </c>
      <c r="X6" s="21" t="s">
        <v>461</v>
      </c>
      <c r="Y6" s="21" t="s">
        <v>173</v>
      </c>
      <c r="Z6" s="23" t="s">
        <v>145</v>
      </c>
      <c r="AA6" s="23"/>
      <c r="AB6" s="2" t="s">
        <v>175</v>
      </c>
      <c r="AC6" s="23"/>
      <c r="AD6" s="158">
        <v>90000</v>
      </c>
      <c r="AE6" s="181">
        <v>1</v>
      </c>
      <c r="AF6" s="182">
        <v>103.08</v>
      </c>
      <c r="AG6" s="156">
        <v>92.772000000000006</v>
      </c>
      <c r="AJ6" s="23" t="s">
        <v>36</v>
      </c>
      <c r="AK6" s="172">
        <v>0.16529280826417</v>
      </c>
      <c r="AL6" s="172">
        <v>4.1208252033456596E-3</v>
      </c>
    </row>
    <row r="7" spans="1:38">
      <c r="A7" s="23">
        <v>161</v>
      </c>
      <c r="B7" s="23">
        <v>1434</v>
      </c>
      <c r="C7" s="23" t="s">
        <v>3147</v>
      </c>
      <c r="D7" s="23" t="s">
        <v>3148</v>
      </c>
      <c r="E7" s="21" t="s">
        <v>1363</v>
      </c>
      <c r="F7" s="23" t="s">
        <v>3149</v>
      </c>
      <c r="G7" s="23" t="s">
        <v>3150</v>
      </c>
      <c r="H7" s="23" t="s">
        <v>223</v>
      </c>
      <c r="I7" s="23" t="s">
        <v>1013</v>
      </c>
      <c r="J7" s="21" t="s">
        <v>30</v>
      </c>
      <c r="K7" s="21" t="s">
        <v>30</v>
      </c>
      <c r="L7" s="23" t="s">
        <v>145</v>
      </c>
      <c r="M7" s="23" t="s">
        <v>511</v>
      </c>
      <c r="N7" s="23" t="s">
        <v>173</v>
      </c>
      <c r="O7" s="23" t="s">
        <v>3151</v>
      </c>
      <c r="P7" s="23" t="s">
        <v>2052</v>
      </c>
      <c r="Q7" s="23" t="s">
        <v>464</v>
      </c>
      <c r="R7" s="23" t="s">
        <v>456</v>
      </c>
      <c r="S7" s="21" t="s">
        <v>34</v>
      </c>
      <c r="T7" s="158">
        <v>1.71</v>
      </c>
      <c r="U7" s="23" t="s">
        <v>3152</v>
      </c>
      <c r="V7" s="180">
        <v>1.9859999999999999E-2</v>
      </c>
      <c r="W7" s="172">
        <v>3.1E-2</v>
      </c>
      <c r="X7" s="21" t="s">
        <v>461</v>
      </c>
      <c r="Y7" s="21" t="s">
        <v>173</v>
      </c>
      <c r="Z7" s="23" t="s">
        <v>942</v>
      </c>
      <c r="AA7" s="23" t="s">
        <v>3141</v>
      </c>
      <c r="AB7" s="2" t="s">
        <v>175</v>
      </c>
      <c r="AC7" s="23"/>
      <c r="AD7" s="158">
        <v>45267.14</v>
      </c>
      <c r="AE7" s="181">
        <v>1</v>
      </c>
      <c r="AF7" s="182">
        <v>96.56</v>
      </c>
      <c r="AG7" s="158">
        <v>43.71</v>
      </c>
      <c r="AH7" s="23"/>
      <c r="AI7" s="23"/>
      <c r="AJ7" s="23" t="s">
        <v>36</v>
      </c>
      <c r="AK7" s="172">
        <v>7.7878459535839495E-2</v>
      </c>
      <c r="AL7" s="172">
        <v>1.94154556525003E-3</v>
      </c>
    </row>
    <row r="8" spans="1:38">
      <c r="A8" s="23">
        <v>161</v>
      </c>
      <c r="B8" s="23">
        <v>1434</v>
      </c>
      <c r="C8" s="23" t="s">
        <v>3153</v>
      </c>
      <c r="D8" s="23" t="s">
        <v>3154</v>
      </c>
      <c r="E8" s="21" t="s">
        <v>1363</v>
      </c>
      <c r="F8" s="23" t="s">
        <v>3155</v>
      </c>
      <c r="G8" s="23" t="s">
        <v>3156</v>
      </c>
      <c r="H8" s="23" t="s">
        <v>223</v>
      </c>
      <c r="I8" s="23" t="s">
        <v>1013</v>
      </c>
      <c r="J8" s="21" t="s">
        <v>30</v>
      </c>
      <c r="K8" s="21" t="s">
        <v>30</v>
      </c>
      <c r="L8" s="23" t="s">
        <v>145</v>
      </c>
      <c r="M8" s="23" t="s">
        <v>526</v>
      </c>
      <c r="N8" s="23" t="s">
        <v>173</v>
      </c>
      <c r="O8" s="23" t="s">
        <v>3157</v>
      </c>
      <c r="P8" s="23" t="s">
        <v>1374</v>
      </c>
      <c r="Q8" s="23" t="s">
        <v>464</v>
      </c>
      <c r="R8" s="23" t="s">
        <v>456</v>
      </c>
      <c r="S8" s="21" t="s">
        <v>34</v>
      </c>
      <c r="T8" s="158">
        <v>0.82</v>
      </c>
      <c r="U8" s="23" t="s">
        <v>3158</v>
      </c>
      <c r="V8" s="180">
        <v>7.8320000000000001E-2</v>
      </c>
      <c r="W8" s="172">
        <v>6.5000000000000002E-2</v>
      </c>
      <c r="X8" s="21" t="s">
        <v>461</v>
      </c>
      <c r="Y8" s="21" t="s">
        <v>173</v>
      </c>
      <c r="Z8" s="23" t="s">
        <v>145</v>
      </c>
      <c r="AA8" s="23"/>
      <c r="AB8" s="2" t="s">
        <v>175</v>
      </c>
      <c r="AC8" s="23"/>
      <c r="AD8" s="158">
        <v>14756.29</v>
      </c>
      <c r="AE8" s="181">
        <v>1</v>
      </c>
      <c r="AF8" s="182">
        <v>100.03</v>
      </c>
      <c r="AG8" s="158">
        <v>14.760999999999999</v>
      </c>
      <c r="AH8" s="23"/>
      <c r="AI8" s="23"/>
      <c r="AJ8" s="23" t="s">
        <v>36</v>
      </c>
      <c r="AK8" s="172">
        <v>2.6299318180534999E-2</v>
      </c>
      <c r="AL8" s="172">
        <v>6.5565401379079401E-4</v>
      </c>
    </row>
    <row r="9" spans="1:38">
      <c r="A9" s="23">
        <v>161</v>
      </c>
      <c r="B9" s="23">
        <v>1434</v>
      </c>
      <c r="C9" s="23" t="s">
        <v>3159</v>
      </c>
      <c r="D9" s="23" t="s">
        <v>3160</v>
      </c>
      <c r="E9" s="21" t="s">
        <v>1363</v>
      </c>
      <c r="F9" s="23" t="s">
        <v>3161</v>
      </c>
      <c r="G9" s="23" t="s">
        <v>3162</v>
      </c>
      <c r="H9" s="23" t="s">
        <v>223</v>
      </c>
      <c r="I9" s="23" t="s">
        <v>804</v>
      </c>
      <c r="J9" s="21" t="s">
        <v>30</v>
      </c>
      <c r="K9" s="21" t="s">
        <v>30</v>
      </c>
      <c r="L9" s="23" t="s">
        <v>145</v>
      </c>
      <c r="M9" s="23" t="s">
        <v>493</v>
      </c>
      <c r="N9" s="23" t="s">
        <v>173</v>
      </c>
      <c r="O9" s="23" t="s">
        <v>3163</v>
      </c>
      <c r="P9" s="23" t="s">
        <v>1224</v>
      </c>
      <c r="Q9" s="23" t="s">
        <v>462</v>
      </c>
      <c r="R9" s="23" t="s">
        <v>456</v>
      </c>
      <c r="S9" s="21" t="s">
        <v>34</v>
      </c>
      <c r="T9" s="158">
        <v>5.29</v>
      </c>
      <c r="U9" s="23" t="s">
        <v>3164</v>
      </c>
      <c r="V9" s="180">
        <v>-1.1199999999999999E-3</v>
      </c>
      <c r="W9" s="172">
        <v>2.1399999999999999E-2</v>
      </c>
      <c r="X9" s="21" t="s">
        <v>461</v>
      </c>
      <c r="Y9" s="21" t="s">
        <v>173</v>
      </c>
      <c r="Z9" s="23" t="s">
        <v>942</v>
      </c>
      <c r="AA9" s="23" t="s">
        <v>3141</v>
      </c>
      <c r="AB9" s="2" t="s">
        <v>175</v>
      </c>
      <c r="AC9" s="23"/>
      <c r="AD9" s="158">
        <v>50736.02</v>
      </c>
      <c r="AE9" s="181">
        <v>1</v>
      </c>
      <c r="AF9" s="182">
        <v>114.42</v>
      </c>
      <c r="AG9" s="158">
        <v>58.052</v>
      </c>
      <c r="AH9" s="23"/>
      <c r="AI9" s="23"/>
      <c r="AJ9" s="23" t="s">
        <v>36</v>
      </c>
      <c r="AK9" s="172">
        <v>0.10343210854922499</v>
      </c>
      <c r="AL9" s="172">
        <v>2.5786097061381999E-3</v>
      </c>
    </row>
    <row r="10" spans="1:38">
      <c r="A10" s="23">
        <v>161</v>
      </c>
      <c r="B10" s="23">
        <v>1434</v>
      </c>
      <c r="C10" s="23" t="s">
        <v>3159</v>
      </c>
      <c r="D10" s="23" t="s">
        <v>3160</v>
      </c>
      <c r="E10" s="21" t="s">
        <v>1363</v>
      </c>
      <c r="F10" s="23" t="s">
        <v>3165</v>
      </c>
      <c r="G10" s="23" t="s">
        <v>3166</v>
      </c>
      <c r="H10" s="23" t="s">
        <v>223</v>
      </c>
      <c r="I10" s="23" t="s">
        <v>1013</v>
      </c>
      <c r="J10" s="21" t="s">
        <v>30</v>
      </c>
      <c r="K10" s="21" t="s">
        <v>30</v>
      </c>
      <c r="L10" s="23" t="s">
        <v>145</v>
      </c>
      <c r="M10" s="23" t="s">
        <v>493</v>
      </c>
      <c r="N10" s="23" t="s">
        <v>173</v>
      </c>
      <c r="O10" s="23" t="s">
        <v>3167</v>
      </c>
      <c r="P10" s="23" t="s">
        <v>1224</v>
      </c>
      <c r="Q10" s="23" t="s">
        <v>462</v>
      </c>
      <c r="R10" s="23" t="s">
        <v>456</v>
      </c>
      <c r="S10" s="21" t="s">
        <v>34</v>
      </c>
      <c r="T10" s="158">
        <v>0.94</v>
      </c>
      <c r="U10" s="23" t="s">
        <v>3158</v>
      </c>
      <c r="V10" s="180">
        <v>5.1029999999999999E-2</v>
      </c>
      <c r="W10" s="172">
        <v>2.5000000000000001E-2</v>
      </c>
      <c r="X10" s="21" t="s">
        <v>461</v>
      </c>
      <c r="Y10" s="21" t="s">
        <v>390</v>
      </c>
      <c r="Z10" s="23" t="s">
        <v>942</v>
      </c>
      <c r="AA10" s="23" t="s">
        <v>3141</v>
      </c>
      <c r="AB10" s="2" t="s">
        <v>175</v>
      </c>
      <c r="AC10" s="23"/>
      <c r="AD10" s="158">
        <v>59962.19</v>
      </c>
      <c r="AE10" s="181">
        <v>1</v>
      </c>
      <c r="AF10" s="182">
        <v>97.82</v>
      </c>
      <c r="AG10" s="158">
        <v>58.655000000000001</v>
      </c>
      <c r="AH10" s="23"/>
      <c r="AI10" s="23"/>
      <c r="AJ10" s="23" t="s">
        <v>36</v>
      </c>
      <c r="AK10" s="172">
        <v>0.104506230602766</v>
      </c>
      <c r="AL10" s="172">
        <v>2.6053880595111201E-3</v>
      </c>
    </row>
    <row r="11" spans="1:38">
      <c r="A11" s="23">
        <v>161</v>
      </c>
      <c r="B11" s="23">
        <v>1434</v>
      </c>
      <c r="C11" s="23" t="s">
        <v>3159</v>
      </c>
      <c r="D11" s="23" t="s">
        <v>3160</v>
      </c>
      <c r="E11" s="21" t="s">
        <v>1363</v>
      </c>
      <c r="F11" s="23" t="s">
        <v>3168</v>
      </c>
      <c r="G11" s="23" t="s">
        <v>3169</v>
      </c>
      <c r="H11" s="23" t="s">
        <v>223</v>
      </c>
      <c r="I11" s="23" t="s">
        <v>1013</v>
      </c>
      <c r="J11" s="21" t="s">
        <v>30</v>
      </c>
      <c r="K11" s="21" t="s">
        <v>30</v>
      </c>
      <c r="L11" s="23" t="s">
        <v>145</v>
      </c>
      <c r="M11" s="23" t="s">
        <v>493</v>
      </c>
      <c r="N11" s="23" t="s">
        <v>173</v>
      </c>
      <c r="O11" s="23" t="s">
        <v>3167</v>
      </c>
      <c r="P11" s="23" t="s">
        <v>1224</v>
      </c>
      <c r="Q11" s="23" t="s">
        <v>462</v>
      </c>
      <c r="R11" s="23" t="s">
        <v>456</v>
      </c>
      <c r="S11" s="21" t="s">
        <v>34</v>
      </c>
      <c r="T11" s="158">
        <v>4.72</v>
      </c>
      <c r="U11" s="23" t="s">
        <v>3164</v>
      </c>
      <c r="V11" s="180">
        <v>5.6090000000000001E-2</v>
      </c>
      <c r="W11" s="172">
        <v>3.7400000000000003E-2</v>
      </c>
      <c r="X11" s="21" t="s">
        <v>461</v>
      </c>
      <c r="Y11" s="21" t="s">
        <v>173</v>
      </c>
      <c r="Z11" s="23" t="s">
        <v>942</v>
      </c>
      <c r="AA11" s="23" t="s">
        <v>3141</v>
      </c>
      <c r="AB11" s="2" t="s">
        <v>175</v>
      </c>
      <c r="AC11" s="23"/>
      <c r="AD11" s="158">
        <v>107188.78</v>
      </c>
      <c r="AE11" s="181">
        <v>1</v>
      </c>
      <c r="AF11" s="182">
        <v>92.16</v>
      </c>
      <c r="AG11" s="158">
        <v>98.784999999999997</v>
      </c>
      <c r="AH11" s="23"/>
      <c r="AI11" s="23"/>
      <c r="AJ11" s="23" t="s">
        <v>36</v>
      </c>
      <c r="AK11" s="172">
        <v>0.17600655110268701</v>
      </c>
      <c r="AL11" s="172">
        <v>4.3879237055416201E-3</v>
      </c>
    </row>
    <row r="12" spans="1:38">
      <c r="A12" s="23">
        <v>161</v>
      </c>
      <c r="B12" s="23">
        <v>1434</v>
      </c>
      <c r="C12" s="23" t="s">
        <v>3170</v>
      </c>
      <c r="D12" s="23" t="s">
        <v>3171</v>
      </c>
      <c r="E12" s="21" t="s">
        <v>1363</v>
      </c>
      <c r="F12" s="23" t="s">
        <v>3172</v>
      </c>
      <c r="G12" s="23" t="s">
        <v>3173</v>
      </c>
      <c r="H12" s="23" t="s">
        <v>223</v>
      </c>
      <c r="I12" s="23" t="s">
        <v>805</v>
      </c>
      <c r="J12" s="21" t="s">
        <v>90</v>
      </c>
      <c r="K12" s="21" t="s">
        <v>91</v>
      </c>
      <c r="L12" s="23" t="s">
        <v>145</v>
      </c>
      <c r="M12" s="23" t="s">
        <v>534</v>
      </c>
      <c r="N12" s="23" t="s">
        <v>173</v>
      </c>
      <c r="O12" s="23" t="s">
        <v>3174</v>
      </c>
      <c r="P12" s="23" t="s">
        <v>3175</v>
      </c>
      <c r="Q12" s="23" t="s">
        <v>480</v>
      </c>
      <c r="R12" s="23" t="s">
        <v>456</v>
      </c>
      <c r="S12" s="21" t="s">
        <v>95</v>
      </c>
      <c r="T12" s="158">
        <v>2.4660000000000002</v>
      </c>
      <c r="U12" s="23" t="s">
        <v>2370</v>
      </c>
      <c r="V12" s="180">
        <v>8.4129999999999996E-2</v>
      </c>
      <c r="W12" s="172">
        <v>6.5000000000000002E-2</v>
      </c>
      <c r="X12" s="21" t="s">
        <v>461</v>
      </c>
      <c r="Y12" s="21" t="s">
        <v>173</v>
      </c>
      <c r="Z12" s="23" t="s">
        <v>145</v>
      </c>
      <c r="AA12" s="23"/>
      <c r="AB12" s="2" t="s">
        <v>175</v>
      </c>
      <c r="AC12" s="23"/>
      <c r="AD12" s="158">
        <v>4000</v>
      </c>
      <c r="AE12" s="181">
        <v>3.71</v>
      </c>
      <c r="AF12" s="182">
        <v>98.62</v>
      </c>
      <c r="AG12" s="158">
        <v>14.635</v>
      </c>
      <c r="AH12" s="23"/>
      <c r="AI12" s="23"/>
      <c r="AJ12" s="23" t="s">
        <v>36</v>
      </c>
      <c r="AK12" s="172">
        <v>2.6075697730460201E-2</v>
      </c>
      <c r="AL12" s="172">
        <v>6.5007905383742998E-4</v>
      </c>
    </row>
    <row r="13" spans="1:38">
      <c r="A13" s="23">
        <v>161</v>
      </c>
      <c r="B13" s="23">
        <v>9938</v>
      </c>
      <c r="C13" s="23" t="s">
        <v>3120</v>
      </c>
      <c r="D13" s="23" t="s">
        <v>3121</v>
      </c>
      <c r="E13" s="21" t="s">
        <v>1363</v>
      </c>
      <c r="F13" s="23" t="s">
        <v>3122</v>
      </c>
      <c r="G13" s="23" t="s">
        <v>3123</v>
      </c>
      <c r="H13" s="23" t="s">
        <v>223</v>
      </c>
      <c r="I13" s="23" t="s">
        <v>804</v>
      </c>
      <c r="J13" s="21" t="s">
        <v>30</v>
      </c>
      <c r="K13" s="21"/>
      <c r="L13" s="23" t="s">
        <v>145</v>
      </c>
      <c r="M13" s="23" t="s">
        <v>511</v>
      </c>
      <c r="N13" s="23" t="s">
        <v>173</v>
      </c>
      <c r="O13" s="23" t="s">
        <v>3124</v>
      </c>
      <c r="P13" s="23" t="s">
        <v>2061</v>
      </c>
      <c r="Q13" s="23" t="s">
        <v>462</v>
      </c>
      <c r="R13" s="23" t="s">
        <v>456</v>
      </c>
      <c r="S13" s="21" t="s">
        <v>34</v>
      </c>
      <c r="T13" s="158">
        <v>3.78</v>
      </c>
      <c r="U13" s="23" t="s">
        <v>2521</v>
      </c>
      <c r="V13" s="180">
        <v>3.875E-2</v>
      </c>
      <c r="W13" s="172">
        <v>3.8399999999999997E-2</v>
      </c>
      <c r="X13" s="21" t="s">
        <v>461</v>
      </c>
      <c r="Y13" s="21" t="s">
        <v>173</v>
      </c>
      <c r="Z13" s="23" t="s">
        <v>145</v>
      </c>
      <c r="AA13" s="23"/>
      <c r="AB13" s="2" t="s">
        <v>175</v>
      </c>
      <c r="AC13" s="23"/>
      <c r="AD13" s="158">
        <v>227000</v>
      </c>
      <c r="AE13" s="181">
        <v>1</v>
      </c>
      <c r="AF13" s="182">
        <v>102.59</v>
      </c>
      <c r="AG13" s="158">
        <v>232.87899999999999</v>
      </c>
      <c r="AH13" s="23"/>
      <c r="AI13" s="23"/>
      <c r="AJ13" s="23" t="s">
        <v>36</v>
      </c>
      <c r="AK13" s="172">
        <v>0.160264877315478</v>
      </c>
      <c r="AL13" s="172">
        <v>3.51151338398808E-3</v>
      </c>
    </row>
    <row r="14" spans="1:38">
      <c r="A14" s="23">
        <v>161</v>
      </c>
      <c r="B14" s="23">
        <v>9938</v>
      </c>
      <c r="C14" s="23" t="s">
        <v>3125</v>
      </c>
      <c r="D14" s="23" t="s">
        <v>3126</v>
      </c>
      <c r="E14" s="21" t="s">
        <v>1363</v>
      </c>
      <c r="F14" s="23" t="s">
        <v>3127</v>
      </c>
      <c r="G14" s="23" t="s">
        <v>3128</v>
      </c>
      <c r="H14" s="23" t="s">
        <v>223</v>
      </c>
      <c r="I14" s="23" t="s">
        <v>1013</v>
      </c>
      <c r="J14" s="21" t="s">
        <v>30</v>
      </c>
      <c r="K14" s="21" t="s">
        <v>30</v>
      </c>
      <c r="L14" s="23" t="s">
        <v>145</v>
      </c>
      <c r="M14" s="23" t="s">
        <v>498</v>
      </c>
      <c r="N14" s="23" t="s">
        <v>173</v>
      </c>
      <c r="O14" s="23" t="s">
        <v>3129</v>
      </c>
      <c r="P14" s="23" t="s">
        <v>2061</v>
      </c>
      <c r="Q14" s="23" t="s">
        <v>462</v>
      </c>
      <c r="R14" s="23" t="s">
        <v>456</v>
      </c>
      <c r="S14" s="21" t="s">
        <v>34</v>
      </c>
      <c r="T14" s="158">
        <v>2.14</v>
      </c>
      <c r="U14" s="23" t="s">
        <v>2521</v>
      </c>
      <c r="V14" s="180">
        <v>2.8670000000000001E-2</v>
      </c>
      <c r="W14" s="172">
        <v>2.86E-2</v>
      </c>
      <c r="X14" s="21" t="s">
        <v>461</v>
      </c>
      <c r="Y14" s="21" t="s">
        <v>173</v>
      </c>
      <c r="Z14" s="23" t="s">
        <v>942</v>
      </c>
      <c r="AA14" s="23"/>
      <c r="AB14" s="2" t="s">
        <v>175</v>
      </c>
      <c r="AC14" s="23"/>
      <c r="AD14" s="158">
        <v>42142.86</v>
      </c>
      <c r="AE14" s="181">
        <v>1</v>
      </c>
      <c r="AF14" s="182">
        <v>95.51</v>
      </c>
      <c r="AG14" s="158">
        <v>40.250999999999998</v>
      </c>
      <c r="AH14" s="23"/>
      <c r="AI14" s="23"/>
      <c r="AJ14" s="23" t="s">
        <v>36</v>
      </c>
      <c r="AK14" s="172">
        <v>2.77000350684199E-2</v>
      </c>
      <c r="AL14" s="172">
        <v>6.0692676716822699E-4</v>
      </c>
    </row>
    <row r="15" spans="1:38">
      <c r="A15" s="23">
        <v>161</v>
      </c>
      <c r="B15" s="23">
        <v>9938</v>
      </c>
      <c r="C15" s="23" t="s">
        <v>3130</v>
      </c>
      <c r="D15" s="23" t="s">
        <v>3131</v>
      </c>
      <c r="E15" s="21" t="s">
        <v>1363</v>
      </c>
      <c r="F15" s="23" t="s">
        <v>3132</v>
      </c>
      <c r="G15" s="23" t="s">
        <v>3133</v>
      </c>
      <c r="H15" s="23" t="s">
        <v>223</v>
      </c>
      <c r="I15" s="23" t="s">
        <v>1013</v>
      </c>
      <c r="J15" s="21" t="s">
        <v>30</v>
      </c>
      <c r="K15" s="21" t="s">
        <v>30</v>
      </c>
      <c r="L15" s="23" t="s">
        <v>145</v>
      </c>
      <c r="M15" s="23" t="s">
        <v>498</v>
      </c>
      <c r="N15" s="23" t="s">
        <v>173</v>
      </c>
      <c r="O15" s="23" t="s">
        <v>3176</v>
      </c>
      <c r="P15" s="23" t="s">
        <v>2100</v>
      </c>
      <c r="Q15" s="23" t="s">
        <v>480</v>
      </c>
      <c r="R15" s="23" t="s">
        <v>456</v>
      </c>
      <c r="S15" s="21" t="s">
        <v>34</v>
      </c>
      <c r="T15" s="158">
        <v>2.12</v>
      </c>
      <c r="U15" s="23" t="s">
        <v>2370</v>
      </c>
      <c r="V15" s="180">
        <v>6.2080000000000003E-2</v>
      </c>
      <c r="W15" s="172">
        <v>4.4699999999999997E-2</v>
      </c>
      <c r="X15" s="21" t="s">
        <v>461</v>
      </c>
      <c r="Y15" s="21" t="s">
        <v>173</v>
      </c>
      <c r="Z15" s="23" t="s">
        <v>942</v>
      </c>
      <c r="AA15" s="23" t="s">
        <v>943</v>
      </c>
      <c r="AB15" s="2" t="s">
        <v>175</v>
      </c>
      <c r="AC15" s="23"/>
      <c r="AD15" s="158">
        <v>176839.5</v>
      </c>
      <c r="AE15" s="181">
        <v>1</v>
      </c>
      <c r="AF15" s="182">
        <v>97.54</v>
      </c>
      <c r="AG15" s="158">
        <v>172.489</v>
      </c>
      <c r="AH15" s="23"/>
      <c r="AI15" s="23"/>
      <c r="AJ15" s="23" t="s">
        <v>36</v>
      </c>
      <c r="AK15" s="172">
        <v>0.118705132732014</v>
      </c>
      <c r="AL15" s="172">
        <v>2.6009108752881498E-3</v>
      </c>
    </row>
    <row r="16" spans="1:38">
      <c r="A16" s="23">
        <v>161</v>
      </c>
      <c r="B16" s="23">
        <v>9938</v>
      </c>
      <c r="C16" s="23" t="s">
        <v>3135</v>
      </c>
      <c r="D16" s="23" t="s">
        <v>3136</v>
      </c>
      <c r="E16" s="21" t="s">
        <v>1363</v>
      </c>
      <c r="F16" s="23" t="s">
        <v>3137</v>
      </c>
      <c r="G16" s="23" t="s">
        <v>3138</v>
      </c>
      <c r="H16" s="23" t="s">
        <v>223</v>
      </c>
      <c r="I16" s="23" t="s">
        <v>1013</v>
      </c>
      <c r="J16" s="21" t="s">
        <v>30</v>
      </c>
      <c r="K16" s="21" t="s">
        <v>30</v>
      </c>
      <c r="L16" s="23" t="s">
        <v>145</v>
      </c>
      <c r="M16" s="23" t="s">
        <v>498</v>
      </c>
      <c r="N16" s="23" t="s">
        <v>173</v>
      </c>
      <c r="O16" s="23" t="s">
        <v>3139</v>
      </c>
      <c r="P16" s="23" t="s">
        <v>2061</v>
      </c>
      <c r="Q16" s="23" t="s">
        <v>464</v>
      </c>
      <c r="R16" s="23" t="s">
        <v>456</v>
      </c>
      <c r="S16" s="21" t="s">
        <v>34</v>
      </c>
      <c r="T16" s="158">
        <v>1.79</v>
      </c>
      <c r="U16" s="23" t="s">
        <v>3140</v>
      </c>
      <c r="V16" s="180">
        <v>5.0819999999999997E-2</v>
      </c>
      <c r="W16" s="172">
        <v>2.1000000000000001E-2</v>
      </c>
      <c r="X16" s="21" t="s">
        <v>461</v>
      </c>
      <c r="Y16" s="21" t="s">
        <v>173</v>
      </c>
      <c r="Z16" s="23" t="s">
        <v>145</v>
      </c>
      <c r="AA16" s="23" t="s">
        <v>3141</v>
      </c>
      <c r="AB16" s="2" t="s">
        <v>175</v>
      </c>
      <c r="AC16" s="23"/>
      <c r="AD16" s="158">
        <v>17142.87</v>
      </c>
      <c r="AE16" s="181">
        <v>1</v>
      </c>
      <c r="AF16" s="182">
        <v>95.42</v>
      </c>
      <c r="AG16" s="158">
        <v>16.358000000000001</v>
      </c>
      <c r="AH16" s="23"/>
      <c r="AI16" s="23"/>
      <c r="AJ16" s="23" t="s">
        <v>36</v>
      </c>
      <c r="AK16" s="172">
        <v>1.1257200787433501E-2</v>
      </c>
      <c r="AL16" s="172">
        <v>2.4665299030866302E-4</v>
      </c>
    </row>
    <row r="17" spans="1:38">
      <c r="A17" s="23">
        <v>161</v>
      </c>
      <c r="B17" s="23">
        <v>9938</v>
      </c>
      <c r="C17" s="23" t="s">
        <v>3142</v>
      </c>
      <c r="D17" s="23" t="s">
        <v>3143</v>
      </c>
      <c r="E17" s="21" t="s">
        <v>1363</v>
      </c>
      <c r="F17" s="23" t="s">
        <v>3144</v>
      </c>
      <c r="G17" s="23" t="s">
        <v>3145</v>
      </c>
      <c r="H17" s="23" t="s">
        <v>223</v>
      </c>
      <c r="I17" s="23" t="s">
        <v>804</v>
      </c>
      <c r="J17" s="21" t="s">
        <v>30</v>
      </c>
      <c r="K17" s="21"/>
      <c r="L17" s="23" t="s">
        <v>145</v>
      </c>
      <c r="M17" s="23" t="s">
        <v>526</v>
      </c>
      <c r="N17" s="23" t="s">
        <v>173</v>
      </c>
      <c r="O17" s="23" t="s">
        <v>3146</v>
      </c>
      <c r="P17" s="23" t="s">
        <v>2041</v>
      </c>
      <c r="Q17" s="23" t="s">
        <v>464</v>
      </c>
      <c r="R17" s="23" t="s">
        <v>456</v>
      </c>
      <c r="S17" s="21" t="s">
        <v>34</v>
      </c>
      <c r="T17" s="158">
        <v>3.7</v>
      </c>
      <c r="U17" s="23" t="s">
        <v>2636</v>
      </c>
      <c r="V17" s="180">
        <v>4.5010000000000001E-2</v>
      </c>
      <c r="W17" s="172">
        <v>4.4499999999999998E-2</v>
      </c>
      <c r="X17" s="21" t="s">
        <v>461</v>
      </c>
      <c r="Y17" s="21" t="s">
        <v>173</v>
      </c>
      <c r="Z17" s="23" t="s">
        <v>145</v>
      </c>
      <c r="AA17" s="23"/>
      <c r="AB17" s="2" t="s">
        <v>175</v>
      </c>
      <c r="AC17" s="23"/>
      <c r="AD17" s="158">
        <v>250000</v>
      </c>
      <c r="AE17" s="181">
        <v>1</v>
      </c>
      <c r="AF17" s="182">
        <v>103.08</v>
      </c>
      <c r="AG17" s="158">
        <v>257.7</v>
      </c>
      <c r="AH17" s="23"/>
      <c r="AI17" s="23"/>
      <c r="AJ17" s="23" t="s">
        <v>36</v>
      </c>
      <c r="AK17" s="172">
        <v>0.17734619987349101</v>
      </c>
      <c r="AL17" s="172">
        <v>3.8857768769217701E-3</v>
      </c>
    </row>
    <row r="18" spans="1:38">
      <c r="A18" s="23">
        <v>161</v>
      </c>
      <c r="B18" s="23">
        <v>9938</v>
      </c>
      <c r="C18" s="23" t="s">
        <v>3147</v>
      </c>
      <c r="D18" s="23" t="s">
        <v>3148</v>
      </c>
      <c r="E18" s="21" t="s">
        <v>1363</v>
      </c>
      <c r="F18" s="23" t="s">
        <v>3149</v>
      </c>
      <c r="G18" s="23" t="s">
        <v>3150</v>
      </c>
      <c r="H18" s="23" t="s">
        <v>223</v>
      </c>
      <c r="I18" s="23" t="s">
        <v>1013</v>
      </c>
      <c r="J18" s="21" t="s">
        <v>30</v>
      </c>
      <c r="K18" s="21" t="s">
        <v>30</v>
      </c>
      <c r="L18" s="23" t="s">
        <v>145</v>
      </c>
      <c r="M18" s="23" t="s">
        <v>511</v>
      </c>
      <c r="N18" s="23" t="s">
        <v>173</v>
      </c>
      <c r="O18" s="23" t="s">
        <v>3151</v>
      </c>
      <c r="P18" s="23" t="s">
        <v>2052</v>
      </c>
      <c r="Q18" s="23" t="s">
        <v>464</v>
      </c>
      <c r="R18" s="23" t="s">
        <v>456</v>
      </c>
      <c r="S18" s="21" t="s">
        <v>34</v>
      </c>
      <c r="T18" s="158">
        <v>1.71</v>
      </c>
      <c r="U18" s="23" t="s">
        <v>3152</v>
      </c>
      <c r="V18" s="180">
        <v>1.9859999999999999E-2</v>
      </c>
      <c r="W18" s="172">
        <v>3.1E-2</v>
      </c>
      <c r="X18" s="21" t="s">
        <v>461</v>
      </c>
      <c r="Y18" s="21" t="s">
        <v>173</v>
      </c>
      <c r="Z18" s="23" t="s">
        <v>942</v>
      </c>
      <c r="AA18" s="23" t="s">
        <v>3141</v>
      </c>
      <c r="AB18" s="2" t="s">
        <v>175</v>
      </c>
      <c r="AC18" s="23"/>
      <c r="AD18" s="158">
        <v>76425.69</v>
      </c>
      <c r="AE18" s="181">
        <v>1</v>
      </c>
      <c r="AF18" s="182">
        <v>96.56</v>
      </c>
      <c r="AG18" s="158">
        <v>73.796999999999997</v>
      </c>
      <c r="AH18" s="23"/>
      <c r="AI18" s="23"/>
      <c r="AJ18" s="23" t="s">
        <v>36</v>
      </c>
      <c r="AK18" s="172">
        <v>5.0786010005155903E-2</v>
      </c>
      <c r="AL18" s="172">
        <v>1.11275631217317E-3</v>
      </c>
    </row>
    <row r="19" spans="1:38">
      <c r="A19" s="23">
        <v>161</v>
      </c>
      <c r="B19" s="23">
        <v>9938</v>
      </c>
      <c r="C19" s="23" t="s">
        <v>3153</v>
      </c>
      <c r="D19" s="23" t="s">
        <v>3154</v>
      </c>
      <c r="E19" s="21" t="s">
        <v>1363</v>
      </c>
      <c r="F19" s="23" t="s">
        <v>3155</v>
      </c>
      <c r="G19" s="23" t="s">
        <v>3156</v>
      </c>
      <c r="H19" s="23" t="s">
        <v>223</v>
      </c>
      <c r="I19" s="23" t="s">
        <v>1013</v>
      </c>
      <c r="J19" s="21" t="s">
        <v>30</v>
      </c>
      <c r="K19" s="21" t="s">
        <v>30</v>
      </c>
      <c r="L19" s="23" t="s">
        <v>145</v>
      </c>
      <c r="M19" s="23" t="s">
        <v>526</v>
      </c>
      <c r="N19" s="23" t="s">
        <v>173</v>
      </c>
      <c r="O19" s="23" t="s">
        <v>3157</v>
      </c>
      <c r="P19" s="23" t="s">
        <v>1374</v>
      </c>
      <c r="Q19" s="23" t="s">
        <v>464</v>
      </c>
      <c r="R19" s="23" t="s">
        <v>456</v>
      </c>
      <c r="S19" s="21" t="s">
        <v>34</v>
      </c>
      <c r="T19" s="158">
        <v>0.82</v>
      </c>
      <c r="U19" s="23" t="s">
        <v>3158</v>
      </c>
      <c r="V19" s="180">
        <v>7.8320000000000001E-2</v>
      </c>
      <c r="W19" s="172">
        <v>6.5000000000000002E-2</v>
      </c>
      <c r="X19" s="21" t="s">
        <v>461</v>
      </c>
      <c r="Y19" s="21" t="s">
        <v>173</v>
      </c>
      <c r="Z19" s="23" t="s">
        <v>145</v>
      </c>
      <c r="AA19" s="23"/>
      <c r="AB19" s="2" t="s">
        <v>175</v>
      </c>
      <c r="AC19" s="23"/>
      <c r="AD19" s="158">
        <v>35755.620000000003</v>
      </c>
      <c r="AE19" s="181">
        <v>1</v>
      </c>
      <c r="AF19" s="182">
        <v>100.03</v>
      </c>
      <c r="AG19" s="158">
        <v>35.765999999999998</v>
      </c>
      <c r="AH19" s="23"/>
      <c r="AI19" s="23"/>
      <c r="AJ19" s="23" t="s">
        <v>36</v>
      </c>
      <c r="AK19" s="172">
        <v>2.4613991727279599E-2</v>
      </c>
      <c r="AL19" s="172">
        <v>5.3930944091744803E-4</v>
      </c>
    </row>
    <row r="20" spans="1:38">
      <c r="A20" s="2">
        <v>161</v>
      </c>
      <c r="B20" s="2">
        <v>9938</v>
      </c>
      <c r="C20" s="2" t="s">
        <v>3159</v>
      </c>
      <c r="D20" s="2" t="s">
        <v>3160</v>
      </c>
      <c r="E20" s="21" t="s">
        <v>1363</v>
      </c>
      <c r="F20" s="2" t="s">
        <v>3161</v>
      </c>
      <c r="G20" s="2" t="s">
        <v>3162</v>
      </c>
      <c r="H20" s="23" t="s">
        <v>223</v>
      </c>
      <c r="I20" s="23" t="s">
        <v>804</v>
      </c>
      <c r="J20" s="21" t="s">
        <v>30</v>
      </c>
      <c r="K20" s="21" t="s">
        <v>30</v>
      </c>
      <c r="L20" s="23" t="s">
        <v>145</v>
      </c>
      <c r="M20" s="23" t="s">
        <v>493</v>
      </c>
      <c r="N20" s="23" t="s">
        <v>173</v>
      </c>
      <c r="O20" s="2" t="s">
        <v>3163</v>
      </c>
      <c r="P20" s="2" t="s">
        <v>1224</v>
      </c>
      <c r="Q20" s="23" t="s">
        <v>462</v>
      </c>
      <c r="R20" s="23" t="s">
        <v>456</v>
      </c>
      <c r="S20" s="2" t="s">
        <v>34</v>
      </c>
      <c r="T20" s="156">
        <v>5.29</v>
      </c>
      <c r="U20" s="2" t="s">
        <v>3164</v>
      </c>
      <c r="V20" s="172">
        <v>-1.1199999999999999E-3</v>
      </c>
      <c r="W20" s="172">
        <v>2.1399999999999999E-2</v>
      </c>
      <c r="X20" s="21" t="s">
        <v>461</v>
      </c>
      <c r="Y20" s="21" t="s">
        <v>173</v>
      </c>
      <c r="Z20" s="2" t="s">
        <v>942</v>
      </c>
      <c r="AA20" s="23" t="s">
        <v>3141</v>
      </c>
      <c r="AB20" s="2" t="s">
        <v>175</v>
      </c>
      <c r="AD20" s="156">
        <v>87894.79</v>
      </c>
      <c r="AE20" s="166">
        <v>1</v>
      </c>
      <c r="AF20" s="183">
        <v>114.42</v>
      </c>
      <c r="AG20" s="156">
        <v>100.569</v>
      </c>
      <c r="AJ20" s="23" t="s">
        <v>36</v>
      </c>
      <c r="AK20" s="172">
        <v>6.9210588916892898E-2</v>
      </c>
      <c r="AL20" s="172">
        <v>1.5164514731256999E-3</v>
      </c>
    </row>
    <row r="21" spans="1:38">
      <c r="A21" s="2">
        <v>161</v>
      </c>
      <c r="B21" s="2">
        <v>9938</v>
      </c>
      <c r="C21" s="2" t="s">
        <v>3159</v>
      </c>
      <c r="D21" s="2" t="s">
        <v>3160</v>
      </c>
      <c r="E21" s="4" t="s">
        <v>1363</v>
      </c>
      <c r="F21" s="2" t="s">
        <v>3165</v>
      </c>
      <c r="G21" s="2" t="s">
        <v>3166</v>
      </c>
      <c r="H21" s="2" t="s">
        <v>223</v>
      </c>
      <c r="I21" s="2" t="s">
        <v>1013</v>
      </c>
      <c r="J21" s="2" t="s">
        <v>30</v>
      </c>
      <c r="K21" s="2" t="s">
        <v>30</v>
      </c>
      <c r="L21" s="2" t="s">
        <v>145</v>
      </c>
      <c r="M21" s="2" t="s">
        <v>493</v>
      </c>
      <c r="N21" s="2" t="s">
        <v>173</v>
      </c>
      <c r="O21" s="2" t="s">
        <v>3167</v>
      </c>
      <c r="P21" s="2" t="s">
        <v>1224</v>
      </c>
      <c r="Q21" s="2" t="s">
        <v>462</v>
      </c>
      <c r="R21" s="2" t="s">
        <v>456</v>
      </c>
      <c r="S21" s="2" t="s">
        <v>34</v>
      </c>
      <c r="T21" s="156">
        <v>0.94</v>
      </c>
      <c r="U21" s="2" t="s">
        <v>3158</v>
      </c>
      <c r="V21" s="172">
        <v>5.1029999999999999E-2</v>
      </c>
      <c r="W21" s="172">
        <v>2.5000000000000001E-2</v>
      </c>
      <c r="X21" s="4" t="s">
        <v>461</v>
      </c>
      <c r="Y21" s="4" t="s">
        <v>390</v>
      </c>
      <c r="Z21" s="2" t="s">
        <v>942</v>
      </c>
      <c r="AA21" s="2" t="s">
        <v>3141</v>
      </c>
      <c r="AB21" s="2" t="s">
        <v>175</v>
      </c>
      <c r="AD21" s="156">
        <v>103934.46</v>
      </c>
      <c r="AE21" s="166">
        <v>1</v>
      </c>
      <c r="AF21" s="183">
        <v>97.82</v>
      </c>
      <c r="AG21" s="156">
        <v>101.669</v>
      </c>
      <c r="AJ21" s="2" t="s">
        <v>36</v>
      </c>
      <c r="AK21" s="172">
        <v>6.9967231664085805E-2</v>
      </c>
      <c r="AL21" s="172">
        <v>1.5330300346806101E-3</v>
      </c>
    </row>
    <row r="22" spans="1:38">
      <c r="A22" s="2">
        <v>161</v>
      </c>
      <c r="B22" s="2">
        <v>9938</v>
      </c>
      <c r="C22" s="2" t="s">
        <v>3159</v>
      </c>
      <c r="D22" s="2" t="s">
        <v>3160</v>
      </c>
      <c r="E22" s="4" t="s">
        <v>1363</v>
      </c>
      <c r="F22" s="2" t="s">
        <v>3168</v>
      </c>
      <c r="G22" s="2" t="s">
        <v>3169</v>
      </c>
      <c r="H22" s="2" t="s">
        <v>223</v>
      </c>
      <c r="I22" s="2" t="s">
        <v>1013</v>
      </c>
      <c r="J22" s="2" t="s">
        <v>30</v>
      </c>
      <c r="K22" s="2" t="s">
        <v>30</v>
      </c>
      <c r="L22" s="2" t="s">
        <v>145</v>
      </c>
      <c r="M22" s="2" t="s">
        <v>493</v>
      </c>
      <c r="N22" s="2" t="s">
        <v>173</v>
      </c>
      <c r="O22" s="2" t="s">
        <v>3167</v>
      </c>
      <c r="P22" s="2" t="s">
        <v>1224</v>
      </c>
      <c r="Q22" s="2" t="s">
        <v>462</v>
      </c>
      <c r="R22" s="2" t="s">
        <v>456</v>
      </c>
      <c r="S22" s="2" t="s">
        <v>34</v>
      </c>
      <c r="T22" s="156">
        <v>4.72</v>
      </c>
      <c r="U22" s="2" t="s">
        <v>3164</v>
      </c>
      <c r="V22" s="172">
        <v>5.6090000000000001E-2</v>
      </c>
      <c r="W22" s="172">
        <v>3.7400000000000003E-2</v>
      </c>
      <c r="X22" s="4" t="s">
        <v>461</v>
      </c>
      <c r="Y22" s="4" t="s">
        <v>173</v>
      </c>
      <c r="Z22" s="2" t="s">
        <v>942</v>
      </c>
      <c r="AA22" s="2" t="s">
        <v>3141</v>
      </c>
      <c r="AB22" s="2" t="s">
        <v>175</v>
      </c>
      <c r="AD22" s="156">
        <v>185793.88</v>
      </c>
      <c r="AE22" s="166">
        <v>1</v>
      </c>
      <c r="AF22" s="183">
        <v>92.16</v>
      </c>
      <c r="AG22" s="156">
        <v>171.22800000000001</v>
      </c>
      <c r="AJ22" s="2" t="s">
        <v>36</v>
      </c>
      <c r="AK22" s="172">
        <v>0.11783690816164399</v>
      </c>
      <c r="AL22" s="172">
        <v>2.5818874794560202E-3</v>
      </c>
    </row>
    <row r="23" spans="1:38">
      <c r="A23" s="2">
        <v>161</v>
      </c>
      <c r="B23" s="2">
        <v>9938</v>
      </c>
      <c r="C23" s="2" t="s">
        <v>3177</v>
      </c>
      <c r="D23" s="2" t="s">
        <v>3178</v>
      </c>
      <c r="E23" s="4" t="s">
        <v>1363</v>
      </c>
      <c r="F23" s="2" t="s">
        <v>3179</v>
      </c>
      <c r="G23" s="2" t="s">
        <v>3180</v>
      </c>
      <c r="H23" s="2" t="s">
        <v>223</v>
      </c>
      <c r="I23" s="2" t="s">
        <v>805</v>
      </c>
      <c r="J23" s="2" t="s">
        <v>30</v>
      </c>
      <c r="K23" s="2" t="s">
        <v>30</v>
      </c>
      <c r="L23" s="2" t="s">
        <v>145</v>
      </c>
      <c r="M23" s="2" t="s">
        <v>501</v>
      </c>
      <c r="N23" s="2" t="s">
        <v>173</v>
      </c>
      <c r="O23" s="2" t="s">
        <v>3181</v>
      </c>
      <c r="P23" s="2" t="s">
        <v>3175</v>
      </c>
      <c r="Q23" s="2" t="s">
        <v>480</v>
      </c>
      <c r="R23" s="2" t="s">
        <v>456</v>
      </c>
      <c r="S23" s="2" t="s">
        <v>95</v>
      </c>
      <c r="T23" s="156">
        <v>3.1680000000000001</v>
      </c>
      <c r="U23" s="2" t="s">
        <v>3182</v>
      </c>
      <c r="V23" s="172">
        <v>0.08</v>
      </c>
      <c r="W23" s="172">
        <v>5.3749999999999999E-2</v>
      </c>
      <c r="X23" s="4" t="s">
        <v>461</v>
      </c>
      <c r="Y23" s="4" t="s">
        <v>173</v>
      </c>
      <c r="Z23" s="2" t="s">
        <v>145</v>
      </c>
      <c r="AB23" s="2" t="s">
        <v>175</v>
      </c>
      <c r="AD23" s="156">
        <v>20400</v>
      </c>
      <c r="AE23" s="166">
        <v>3.71</v>
      </c>
      <c r="AF23" s="183">
        <v>92.58</v>
      </c>
      <c r="AG23" s="156">
        <v>72.102000000000004</v>
      </c>
      <c r="AJ23" s="2" t="s">
        <v>36</v>
      </c>
      <c r="AK23" s="172">
        <v>4.9619949062303402E-2</v>
      </c>
      <c r="AL23" s="172">
        <v>1.0872071171408001E-3</v>
      </c>
    </row>
    <row r="24" spans="1:38">
      <c r="A24" s="2">
        <v>161</v>
      </c>
      <c r="B24" s="2">
        <v>9938</v>
      </c>
      <c r="C24" s="2" t="s">
        <v>3170</v>
      </c>
      <c r="D24" s="2" t="s">
        <v>3171</v>
      </c>
      <c r="E24" s="4" t="s">
        <v>1363</v>
      </c>
      <c r="F24" s="2" t="s">
        <v>3172</v>
      </c>
      <c r="G24" s="2" t="s">
        <v>3173</v>
      </c>
      <c r="H24" s="2" t="s">
        <v>223</v>
      </c>
      <c r="I24" s="2" t="s">
        <v>805</v>
      </c>
      <c r="J24" s="2" t="s">
        <v>90</v>
      </c>
      <c r="K24" s="2" t="s">
        <v>91</v>
      </c>
      <c r="L24" s="2" t="s">
        <v>145</v>
      </c>
      <c r="M24" s="2" t="s">
        <v>534</v>
      </c>
      <c r="N24" s="2" t="s">
        <v>173</v>
      </c>
      <c r="O24" s="2" t="s">
        <v>3174</v>
      </c>
      <c r="P24" s="2" t="s">
        <v>3175</v>
      </c>
      <c r="Q24" s="2" t="s">
        <v>480</v>
      </c>
      <c r="R24" s="2" t="s">
        <v>456</v>
      </c>
      <c r="S24" s="2" t="s">
        <v>95</v>
      </c>
      <c r="T24" s="156">
        <v>2.4660000000000002</v>
      </c>
      <c r="U24" s="2" t="s">
        <v>2370</v>
      </c>
      <c r="V24" s="172">
        <v>8.4129999999999996E-2</v>
      </c>
      <c r="W24" s="172">
        <v>6.5000000000000002E-2</v>
      </c>
      <c r="X24" s="4" t="s">
        <v>461</v>
      </c>
      <c r="Y24" s="4" t="s">
        <v>173</v>
      </c>
      <c r="Z24" s="2" t="s">
        <v>145</v>
      </c>
      <c r="AB24" s="2" t="s">
        <v>175</v>
      </c>
      <c r="AD24" s="156">
        <v>9000</v>
      </c>
      <c r="AE24" s="166">
        <v>3.71</v>
      </c>
      <c r="AF24" s="183">
        <v>98.62</v>
      </c>
      <c r="AG24" s="156">
        <v>32.929000000000002</v>
      </c>
      <c r="AJ24" s="2" t="s">
        <v>36</v>
      </c>
      <c r="AK24" s="172">
        <v>2.2661512134675099E-2</v>
      </c>
      <c r="AL24" s="172">
        <v>4.9652927388248397E-4</v>
      </c>
    </row>
    <row r="25" spans="1:38">
      <c r="A25" s="2">
        <v>161</v>
      </c>
      <c r="B25" s="2">
        <v>9938</v>
      </c>
      <c r="C25" s="2" t="s">
        <v>3183</v>
      </c>
      <c r="D25" s="2" t="s">
        <v>3184</v>
      </c>
      <c r="E25" s="4" t="s">
        <v>220</v>
      </c>
      <c r="F25" s="2" t="s">
        <v>3185</v>
      </c>
      <c r="G25" s="2" t="s">
        <v>3186</v>
      </c>
      <c r="H25" s="2" t="s">
        <v>223</v>
      </c>
      <c r="I25" s="2" t="s">
        <v>805</v>
      </c>
      <c r="J25" s="2" t="s">
        <v>90</v>
      </c>
      <c r="K25" s="2" t="s">
        <v>91</v>
      </c>
      <c r="L25" s="2" t="s">
        <v>145</v>
      </c>
      <c r="M25" s="2" t="s">
        <v>526</v>
      </c>
      <c r="N25" s="2" t="s">
        <v>173</v>
      </c>
      <c r="O25" s="2" t="s">
        <v>3187</v>
      </c>
      <c r="P25" s="2" t="s">
        <v>2061</v>
      </c>
      <c r="Q25" s="2" t="s">
        <v>462</v>
      </c>
      <c r="R25" s="2" t="s">
        <v>456</v>
      </c>
      <c r="S25" s="2" t="s">
        <v>95</v>
      </c>
      <c r="T25" s="156">
        <v>4.3600000000000003</v>
      </c>
      <c r="U25" s="2" t="s">
        <v>3188</v>
      </c>
      <c r="V25" s="172">
        <v>0.05</v>
      </c>
      <c r="W25" s="172">
        <v>5.5E-2</v>
      </c>
      <c r="X25" s="4" t="s">
        <v>461</v>
      </c>
      <c r="Y25" s="4" t="s">
        <v>173</v>
      </c>
      <c r="Z25" s="2" t="s">
        <v>145</v>
      </c>
      <c r="AB25" s="2" t="s">
        <v>3187</v>
      </c>
      <c r="AD25" s="156">
        <v>1560</v>
      </c>
      <c r="AE25" s="166">
        <v>3.71</v>
      </c>
      <c r="AF25" s="183">
        <v>2500</v>
      </c>
      <c r="AG25" s="156">
        <v>145.35300000000001</v>
      </c>
      <c r="AJ25" s="2" t="s">
        <v>36</v>
      </c>
      <c r="AK25" s="172">
        <v>0.100030362551126</v>
      </c>
      <c r="AL25" s="172">
        <v>2.19173385202806E-3</v>
      </c>
    </row>
    <row r="26" spans="1:38">
      <c r="A26" s="2">
        <v>161</v>
      </c>
      <c r="B26" s="2">
        <v>9942</v>
      </c>
      <c r="C26" s="2" t="s">
        <v>3120</v>
      </c>
      <c r="D26" s="2" t="s">
        <v>3121</v>
      </c>
      <c r="E26" s="4" t="s">
        <v>1363</v>
      </c>
      <c r="F26" s="2" t="s">
        <v>3122</v>
      </c>
      <c r="G26" s="2" t="s">
        <v>3123</v>
      </c>
      <c r="H26" s="2" t="s">
        <v>223</v>
      </c>
      <c r="I26" s="2" t="s">
        <v>804</v>
      </c>
      <c r="J26" s="2" t="s">
        <v>30</v>
      </c>
      <c r="L26" s="4" t="s">
        <v>145</v>
      </c>
      <c r="M26" s="2" t="s">
        <v>511</v>
      </c>
      <c r="N26" s="2" t="s">
        <v>173</v>
      </c>
      <c r="O26" s="2" t="s">
        <v>3124</v>
      </c>
      <c r="P26" s="2" t="s">
        <v>2061</v>
      </c>
      <c r="Q26" s="2" t="s">
        <v>462</v>
      </c>
      <c r="R26" s="2" t="s">
        <v>456</v>
      </c>
      <c r="S26" s="2" t="s">
        <v>34</v>
      </c>
      <c r="T26" s="156">
        <v>3.78</v>
      </c>
      <c r="U26" s="2" t="s">
        <v>2521</v>
      </c>
      <c r="V26" s="172">
        <v>3.875E-2</v>
      </c>
      <c r="W26" s="172">
        <v>3.8399999999999997E-2</v>
      </c>
      <c r="X26" s="4" t="s">
        <v>461</v>
      </c>
      <c r="Y26" s="4" t="s">
        <v>173</v>
      </c>
      <c r="Z26" s="2" t="s">
        <v>145</v>
      </c>
      <c r="AB26" s="2" t="s">
        <v>175</v>
      </c>
      <c r="AD26" s="156">
        <v>332000</v>
      </c>
      <c r="AE26" s="166">
        <v>1</v>
      </c>
      <c r="AF26" s="183">
        <v>102.59</v>
      </c>
      <c r="AG26" s="156">
        <v>340.59899999999999</v>
      </c>
      <c r="AJ26" s="2" t="s">
        <v>36</v>
      </c>
      <c r="AK26" s="172">
        <v>0.15819154616377001</v>
      </c>
      <c r="AL26" s="172">
        <v>3.71619548284703E-3</v>
      </c>
    </row>
    <row r="27" spans="1:38">
      <c r="A27" s="2">
        <v>161</v>
      </c>
      <c r="B27" s="2">
        <v>9942</v>
      </c>
      <c r="C27" s="2" t="s">
        <v>3125</v>
      </c>
      <c r="D27" s="2" t="s">
        <v>3126</v>
      </c>
      <c r="E27" s="4" t="s">
        <v>1363</v>
      </c>
      <c r="F27" s="2" t="s">
        <v>3127</v>
      </c>
      <c r="G27" s="2" t="s">
        <v>3128</v>
      </c>
      <c r="H27" s="2" t="s">
        <v>223</v>
      </c>
      <c r="I27" s="2" t="s">
        <v>1013</v>
      </c>
      <c r="J27" s="2" t="s">
        <v>30</v>
      </c>
      <c r="K27" s="2" t="s">
        <v>30</v>
      </c>
      <c r="L27" s="4" t="s">
        <v>145</v>
      </c>
      <c r="M27" s="2" t="s">
        <v>498</v>
      </c>
      <c r="N27" s="2" t="s">
        <v>173</v>
      </c>
      <c r="O27" s="2" t="s">
        <v>3129</v>
      </c>
      <c r="P27" s="2" t="s">
        <v>2061</v>
      </c>
      <c r="Q27" s="2" t="s">
        <v>462</v>
      </c>
      <c r="R27" s="2" t="s">
        <v>456</v>
      </c>
      <c r="S27" s="2" t="s">
        <v>34</v>
      </c>
      <c r="T27" s="156">
        <v>2.14</v>
      </c>
      <c r="U27" s="2" t="s">
        <v>2521</v>
      </c>
      <c r="V27" s="172">
        <v>2.8670000000000001E-2</v>
      </c>
      <c r="W27" s="172">
        <v>2.86E-2</v>
      </c>
      <c r="X27" s="4" t="s">
        <v>461</v>
      </c>
      <c r="Y27" s="4" t="s">
        <v>173</v>
      </c>
      <c r="Z27" s="2" t="s">
        <v>942</v>
      </c>
      <c r="AB27" s="2" t="s">
        <v>175</v>
      </c>
      <c r="AD27" s="156">
        <v>60000</v>
      </c>
      <c r="AE27" s="166">
        <v>1</v>
      </c>
      <c r="AF27" s="183">
        <v>95.51</v>
      </c>
      <c r="AG27" s="156">
        <v>57.305999999999997</v>
      </c>
      <c r="AJ27" s="2" t="s">
        <v>36</v>
      </c>
      <c r="AK27" s="172">
        <v>2.66158446373299E-2</v>
      </c>
      <c r="AL27" s="172">
        <v>6.2525263841220697E-4</v>
      </c>
    </row>
    <row r="28" spans="1:38">
      <c r="A28" s="2">
        <v>161</v>
      </c>
      <c r="B28" s="2">
        <v>9942</v>
      </c>
      <c r="C28" s="2" t="s">
        <v>3130</v>
      </c>
      <c r="D28" s="2" t="s">
        <v>3131</v>
      </c>
      <c r="E28" s="4" t="s">
        <v>1363</v>
      </c>
      <c r="F28" s="2" t="s">
        <v>3132</v>
      </c>
      <c r="G28" s="2" t="s">
        <v>3133</v>
      </c>
      <c r="H28" s="2" t="s">
        <v>223</v>
      </c>
      <c r="I28" s="2" t="s">
        <v>1013</v>
      </c>
      <c r="J28" s="2" t="s">
        <v>30</v>
      </c>
      <c r="K28" s="2" t="s">
        <v>30</v>
      </c>
      <c r="L28" s="4" t="s">
        <v>145</v>
      </c>
      <c r="M28" s="2" t="s">
        <v>498</v>
      </c>
      <c r="N28" s="2" t="s">
        <v>173</v>
      </c>
      <c r="O28" s="2" t="s">
        <v>3176</v>
      </c>
      <c r="P28" s="2" t="s">
        <v>2100</v>
      </c>
      <c r="Q28" s="2" t="s">
        <v>480</v>
      </c>
      <c r="R28" s="2" t="s">
        <v>456</v>
      </c>
      <c r="S28" s="2" t="s">
        <v>34</v>
      </c>
      <c r="T28" s="156">
        <v>2.12</v>
      </c>
      <c r="U28" s="2" t="s">
        <v>2370</v>
      </c>
      <c r="V28" s="172">
        <v>6.2080000000000003E-2</v>
      </c>
      <c r="W28" s="172">
        <v>4.4699999999999997E-2</v>
      </c>
      <c r="X28" s="4" t="s">
        <v>461</v>
      </c>
      <c r="Y28" s="4" t="s">
        <v>173</v>
      </c>
      <c r="Z28" s="2" t="s">
        <v>942</v>
      </c>
      <c r="AA28" s="2" t="s">
        <v>943</v>
      </c>
      <c r="AB28" s="2" t="s">
        <v>175</v>
      </c>
      <c r="AD28" s="156">
        <v>257445.01</v>
      </c>
      <c r="AE28" s="166">
        <v>1</v>
      </c>
      <c r="AF28" s="183">
        <v>97.54</v>
      </c>
      <c r="AG28" s="156">
        <v>251.11199999999999</v>
      </c>
      <c r="AJ28" s="2" t="s">
        <v>36</v>
      </c>
      <c r="AK28" s="172">
        <v>0.11662922426361901</v>
      </c>
      <c r="AL28" s="172">
        <v>2.7398240101131201E-3</v>
      </c>
    </row>
    <row r="29" spans="1:38">
      <c r="A29" s="2">
        <v>161</v>
      </c>
      <c r="B29" s="2">
        <v>9942</v>
      </c>
      <c r="C29" s="2" t="s">
        <v>3135</v>
      </c>
      <c r="D29" s="2" t="s">
        <v>3136</v>
      </c>
      <c r="E29" s="4" t="s">
        <v>1363</v>
      </c>
      <c r="F29" s="2" t="s">
        <v>3137</v>
      </c>
      <c r="G29" s="2" t="s">
        <v>3138</v>
      </c>
      <c r="H29" s="2" t="s">
        <v>223</v>
      </c>
      <c r="I29" s="2" t="s">
        <v>1013</v>
      </c>
      <c r="J29" s="2" t="s">
        <v>30</v>
      </c>
      <c r="K29" s="2" t="s">
        <v>30</v>
      </c>
      <c r="L29" s="4" t="s">
        <v>145</v>
      </c>
      <c r="M29" s="2" t="s">
        <v>498</v>
      </c>
      <c r="N29" s="2" t="s">
        <v>173</v>
      </c>
      <c r="O29" s="2" t="s">
        <v>3139</v>
      </c>
      <c r="P29" s="2" t="s">
        <v>2061</v>
      </c>
      <c r="Q29" s="2" t="s">
        <v>464</v>
      </c>
      <c r="R29" s="2" t="s">
        <v>456</v>
      </c>
      <c r="S29" s="2" t="s">
        <v>34</v>
      </c>
      <c r="T29" s="156">
        <v>1.79</v>
      </c>
      <c r="U29" s="2" t="s">
        <v>3140</v>
      </c>
      <c r="V29" s="172">
        <v>5.0819999999999997E-2</v>
      </c>
      <c r="W29" s="172">
        <v>2.1000000000000001E-2</v>
      </c>
      <c r="X29" s="4" t="s">
        <v>461</v>
      </c>
      <c r="Y29" s="4" t="s">
        <v>173</v>
      </c>
      <c r="Z29" s="2" t="s">
        <v>145</v>
      </c>
      <c r="AA29" s="2" t="s">
        <v>3141</v>
      </c>
      <c r="AB29" s="2" t="s">
        <v>175</v>
      </c>
      <c r="AD29" s="156">
        <v>54285.75</v>
      </c>
      <c r="AE29" s="166">
        <v>1</v>
      </c>
      <c r="AF29" s="183">
        <v>95.42</v>
      </c>
      <c r="AG29" s="156">
        <v>51.798999999999999</v>
      </c>
      <c r="AJ29" s="2" t="s">
        <v>36</v>
      </c>
      <c r="AK29" s="172">
        <v>2.4058326356569501E-2</v>
      </c>
      <c r="AL29" s="172">
        <v>5.6517207081714096E-4</v>
      </c>
    </row>
    <row r="30" spans="1:38">
      <c r="A30" s="2">
        <v>161</v>
      </c>
      <c r="B30" s="2">
        <v>9942</v>
      </c>
      <c r="C30" s="2" t="s">
        <v>3142</v>
      </c>
      <c r="D30" s="2" t="s">
        <v>3143</v>
      </c>
      <c r="E30" s="4" t="s">
        <v>1363</v>
      </c>
      <c r="F30" s="2" t="s">
        <v>3144</v>
      </c>
      <c r="G30" s="2" t="s">
        <v>3145</v>
      </c>
      <c r="H30" s="2" t="s">
        <v>223</v>
      </c>
      <c r="I30" s="2" t="s">
        <v>804</v>
      </c>
      <c r="J30" s="2" t="s">
        <v>30</v>
      </c>
      <c r="L30" s="4" t="s">
        <v>145</v>
      </c>
      <c r="M30" s="2" t="s">
        <v>526</v>
      </c>
      <c r="N30" s="2" t="s">
        <v>173</v>
      </c>
      <c r="O30" s="2" t="s">
        <v>3146</v>
      </c>
      <c r="P30" s="2" t="s">
        <v>2041</v>
      </c>
      <c r="Q30" s="2" t="s">
        <v>464</v>
      </c>
      <c r="R30" s="2" t="s">
        <v>456</v>
      </c>
      <c r="S30" s="2" t="s">
        <v>34</v>
      </c>
      <c r="T30" s="156">
        <v>3.7</v>
      </c>
      <c r="U30" s="2" t="s">
        <v>2636</v>
      </c>
      <c r="V30" s="172">
        <v>4.5010000000000001E-2</v>
      </c>
      <c r="W30" s="172">
        <v>4.4499999999999998E-2</v>
      </c>
      <c r="X30" s="4" t="s">
        <v>461</v>
      </c>
      <c r="Y30" s="4" t="s">
        <v>173</v>
      </c>
      <c r="Z30" s="2" t="s">
        <v>145</v>
      </c>
      <c r="AB30" s="2" t="s">
        <v>175</v>
      </c>
      <c r="AD30" s="156">
        <v>355000</v>
      </c>
      <c r="AE30" s="166">
        <v>1</v>
      </c>
      <c r="AF30" s="183">
        <v>103.08</v>
      </c>
      <c r="AG30" s="156">
        <v>365.93400000000003</v>
      </c>
      <c r="AJ30" s="2" t="s">
        <v>36</v>
      </c>
      <c r="AK30" s="172">
        <v>0.16995851204963999</v>
      </c>
      <c r="AL30" s="172">
        <v>3.99262204629066E-3</v>
      </c>
    </row>
    <row r="31" spans="1:38">
      <c r="A31" s="2">
        <v>161</v>
      </c>
      <c r="B31" s="2">
        <v>9942</v>
      </c>
      <c r="C31" s="2" t="s">
        <v>3147</v>
      </c>
      <c r="D31" s="2" t="s">
        <v>3148</v>
      </c>
      <c r="E31" s="4" t="s">
        <v>1363</v>
      </c>
      <c r="F31" s="2" t="s">
        <v>3149</v>
      </c>
      <c r="G31" s="2" t="s">
        <v>3150</v>
      </c>
      <c r="H31" s="2" t="s">
        <v>223</v>
      </c>
      <c r="I31" s="2" t="s">
        <v>1013</v>
      </c>
      <c r="J31" s="2" t="s">
        <v>30</v>
      </c>
      <c r="K31" s="2" t="s">
        <v>30</v>
      </c>
      <c r="L31" s="4" t="s">
        <v>145</v>
      </c>
      <c r="M31" s="2" t="s">
        <v>511</v>
      </c>
      <c r="N31" s="2" t="s">
        <v>173</v>
      </c>
      <c r="O31" s="2" t="s">
        <v>3151</v>
      </c>
      <c r="P31" s="2" t="s">
        <v>2052</v>
      </c>
      <c r="Q31" s="2" t="s">
        <v>464</v>
      </c>
      <c r="R31" s="2" t="s">
        <v>456</v>
      </c>
      <c r="S31" s="2" t="s">
        <v>34</v>
      </c>
      <c r="T31" s="156">
        <v>1.71</v>
      </c>
      <c r="U31" s="2" t="s">
        <v>3152</v>
      </c>
      <c r="V31" s="172">
        <v>1.9859999999999999E-2</v>
      </c>
      <c r="W31" s="172">
        <v>3.1E-2</v>
      </c>
      <c r="X31" s="4" t="s">
        <v>461</v>
      </c>
      <c r="Y31" s="4" t="s">
        <v>173</v>
      </c>
      <c r="Z31" s="2" t="s">
        <v>942</v>
      </c>
      <c r="AA31" s="2" t="s">
        <v>3141</v>
      </c>
      <c r="AB31" s="2" t="s">
        <v>175</v>
      </c>
      <c r="AD31" s="156">
        <v>126032.41</v>
      </c>
      <c r="AE31" s="166">
        <v>1</v>
      </c>
      <c r="AF31" s="183">
        <v>96.56</v>
      </c>
      <c r="AG31" s="156">
        <v>121.697</v>
      </c>
      <c r="AJ31" s="2" t="s">
        <v>36</v>
      </c>
      <c r="AK31" s="172">
        <v>5.6522277819435397E-2</v>
      </c>
      <c r="AL31" s="172">
        <v>1.3278069442178399E-3</v>
      </c>
    </row>
    <row r="32" spans="1:38">
      <c r="A32" s="2">
        <v>161</v>
      </c>
      <c r="B32" s="2">
        <v>9942</v>
      </c>
      <c r="C32" s="2" t="s">
        <v>3153</v>
      </c>
      <c r="D32" s="2" t="s">
        <v>3154</v>
      </c>
      <c r="E32" s="4" t="s">
        <v>1363</v>
      </c>
      <c r="F32" s="2" t="s">
        <v>3155</v>
      </c>
      <c r="G32" s="2" t="s">
        <v>3156</v>
      </c>
      <c r="H32" s="2" t="s">
        <v>223</v>
      </c>
      <c r="I32" s="2" t="s">
        <v>1013</v>
      </c>
      <c r="J32" s="2" t="s">
        <v>30</v>
      </c>
      <c r="K32" s="2" t="s">
        <v>30</v>
      </c>
      <c r="L32" s="4" t="s">
        <v>145</v>
      </c>
      <c r="M32" s="2" t="s">
        <v>526</v>
      </c>
      <c r="N32" s="2" t="s">
        <v>173</v>
      </c>
      <c r="O32" s="2" t="s">
        <v>3157</v>
      </c>
      <c r="P32" s="2" t="s">
        <v>1374</v>
      </c>
      <c r="Q32" s="2" t="s">
        <v>464</v>
      </c>
      <c r="R32" s="2" t="s">
        <v>456</v>
      </c>
      <c r="S32" s="2" t="s">
        <v>34</v>
      </c>
      <c r="T32" s="156">
        <v>0.82</v>
      </c>
      <c r="U32" s="2" t="s">
        <v>3158</v>
      </c>
      <c r="V32" s="172">
        <v>7.8320000000000001E-2</v>
      </c>
      <c r="W32" s="172">
        <v>6.5000000000000002E-2</v>
      </c>
      <c r="X32" s="4" t="s">
        <v>461</v>
      </c>
      <c r="Y32" s="4" t="s">
        <v>173</v>
      </c>
      <c r="Z32" s="2" t="s">
        <v>145</v>
      </c>
      <c r="AB32" s="2" t="s">
        <v>175</v>
      </c>
      <c r="AD32" s="156">
        <v>54484.75</v>
      </c>
      <c r="AE32" s="166">
        <v>1</v>
      </c>
      <c r="AF32" s="183">
        <v>100.03</v>
      </c>
      <c r="AG32" s="156">
        <v>54.500999999999998</v>
      </c>
      <c r="AJ32" s="2" t="s">
        <v>36</v>
      </c>
      <c r="AK32" s="172">
        <v>2.5313103137474102E-2</v>
      </c>
      <c r="AL32" s="172">
        <v>5.9464896713846201E-4</v>
      </c>
    </row>
    <row r="33" spans="1:38">
      <c r="A33" s="2">
        <v>161</v>
      </c>
      <c r="B33" s="2">
        <v>9942</v>
      </c>
      <c r="C33" s="2" t="s">
        <v>3159</v>
      </c>
      <c r="D33" s="2" t="s">
        <v>3160</v>
      </c>
      <c r="E33" s="4" t="s">
        <v>1363</v>
      </c>
      <c r="F33" s="2" t="s">
        <v>3161</v>
      </c>
      <c r="G33" s="2" t="s">
        <v>3162</v>
      </c>
      <c r="H33" s="2" t="s">
        <v>223</v>
      </c>
      <c r="I33" s="2" t="s">
        <v>804</v>
      </c>
      <c r="J33" s="2" t="s">
        <v>30</v>
      </c>
      <c r="K33" s="2" t="s">
        <v>30</v>
      </c>
      <c r="L33" s="4" t="s">
        <v>145</v>
      </c>
      <c r="M33" s="2" t="s">
        <v>493</v>
      </c>
      <c r="N33" s="2" t="s">
        <v>173</v>
      </c>
      <c r="O33" s="2" t="s">
        <v>3163</v>
      </c>
      <c r="P33" s="2" t="s">
        <v>1224</v>
      </c>
      <c r="Q33" s="2" t="s">
        <v>462</v>
      </c>
      <c r="R33" s="2" t="s">
        <v>456</v>
      </c>
      <c r="S33" s="2" t="s">
        <v>34</v>
      </c>
      <c r="T33" s="156">
        <v>5.29</v>
      </c>
      <c r="U33" s="2" t="s">
        <v>3164</v>
      </c>
      <c r="V33" s="172">
        <v>-1.1199999999999999E-3</v>
      </c>
      <c r="W33" s="172">
        <v>2.1399999999999999E-2</v>
      </c>
      <c r="X33" s="4" t="s">
        <v>461</v>
      </c>
      <c r="Y33" s="4" t="s">
        <v>173</v>
      </c>
      <c r="Z33" s="2" t="s">
        <v>942</v>
      </c>
      <c r="AA33" s="2" t="s">
        <v>3141</v>
      </c>
      <c r="AB33" s="2" t="s">
        <v>175</v>
      </c>
      <c r="AD33" s="156">
        <v>125053.58</v>
      </c>
      <c r="AE33" s="166">
        <v>1</v>
      </c>
      <c r="AF33" s="183">
        <v>114.42</v>
      </c>
      <c r="AG33" s="156">
        <v>143.08600000000001</v>
      </c>
      <c r="AJ33" s="2" t="s">
        <v>36</v>
      </c>
      <c r="AK33" s="172">
        <v>6.6456617047198893E-2</v>
      </c>
      <c r="AL33" s="172">
        <v>1.56118190930646E-3</v>
      </c>
    </row>
    <row r="34" spans="1:38">
      <c r="A34" s="2">
        <v>161</v>
      </c>
      <c r="B34" s="2">
        <v>9942</v>
      </c>
      <c r="C34" s="2" t="s">
        <v>3159</v>
      </c>
      <c r="D34" s="2" t="s">
        <v>3160</v>
      </c>
      <c r="E34" s="4" t="s">
        <v>1363</v>
      </c>
      <c r="F34" s="2" t="s">
        <v>3165</v>
      </c>
      <c r="G34" s="2" t="s">
        <v>3166</v>
      </c>
      <c r="H34" s="2" t="s">
        <v>223</v>
      </c>
      <c r="I34" s="2" t="s">
        <v>1013</v>
      </c>
      <c r="J34" s="2" t="s">
        <v>30</v>
      </c>
      <c r="K34" s="2" t="s">
        <v>30</v>
      </c>
      <c r="L34" s="4" t="s">
        <v>145</v>
      </c>
      <c r="M34" s="2" t="s">
        <v>493</v>
      </c>
      <c r="N34" s="2" t="s">
        <v>173</v>
      </c>
      <c r="O34" s="2" t="s">
        <v>3163</v>
      </c>
      <c r="P34" s="2" t="s">
        <v>1224</v>
      </c>
      <c r="Q34" s="2" t="s">
        <v>462</v>
      </c>
      <c r="R34" s="2" t="s">
        <v>456</v>
      </c>
      <c r="S34" s="2" t="s">
        <v>34</v>
      </c>
      <c r="T34" s="156">
        <v>0.94</v>
      </c>
      <c r="U34" s="2" t="s">
        <v>3158</v>
      </c>
      <c r="V34" s="172">
        <v>5.1029999999999999E-2</v>
      </c>
      <c r="W34" s="172">
        <v>2.5000000000000001E-2</v>
      </c>
      <c r="X34" s="4" t="s">
        <v>461</v>
      </c>
      <c r="Y34" s="4" t="s">
        <v>390</v>
      </c>
      <c r="Z34" s="2" t="s">
        <v>942</v>
      </c>
      <c r="AA34" s="2" t="s">
        <v>3141</v>
      </c>
      <c r="AB34" s="2" t="s">
        <v>175</v>
      </c>
      <c r="AD34" s="156">
        <v>147906.74</v>
      </c>
      <c r="AE34" s="166">
        <v>1</v>
      </c>
      <c r="AF34" s="183">
        <v>97.82</v>
      </c>
      <c r="AG34" s="156">
        <v>144.68199999999999</v>
      </c>
      <c r="AJ34" s="2" t="s">
        <v>36</v>
      </c>
      <c r="AK34" s="172">
        <v>6.71979123187465E-2</v>
      </c>
      <c r="AL34" s="172">
        <v>1.5785962288853901E-3</v>
      </c>
    </row>
    <row r="35" spans="1:38">
      <c r="A35" s="2">
        <v>161</v>
      </c>
      <c r="B35" s="2">
        <v>9942</v>
      </c>
      <c r="C35" s="2" t="s">
        <v>3159</v>
      </c>
      <c r="D35" s="2" t="s">
        <v>3160</v>
      </c>
      <c r="E35" s="4" t="s">
        <v>1363</v>
      </c>
      <c r="F35" s="2" t="s">
        <v>3168</v>
      </c>
      <c r="G35" s="2" t="s">
        <v>3169</v>
      </c>
      <c r="H35" s="2" t="s">
        <v>223</v>
      </c>
      <c r="I35" s="2" t="s">
        <v>1013</v>
      </c>
      <c r="J35" s="2" t="s">
        <v>30</v>
      </c>
      <c r="K35" s="2" t="s">
        <v>30</v>
      </c>
      <c r="L35" s="4" t="s">
        <v>145</v>
      </c>
      <c r="M35" s="2" t="s">
        <v>493</v>
      </c>
      <c r="N35" s="2" t="s">
        <v>173</v>
      </c>
      <c r="O35" s="2" t="s">
        <v>3167</v>
      </c>
      <c r="P35" s="2" t="s">
        <v>1224</v>
      </c>
      <c r="Q35" s="2" t="s">
        <v>462</v>
      </c>
      <c r="R35" s="2" t="s">
        <v>456</v>
      </c>
      <c r="S35" s="2" t="s">
        <v>34</v>
      </c>
      <c r="T35" s="156">
        <v>4.72</v>
      </c>
      <c r="U35" s="2" t="s">
        <v>3164</v>
      </c>
      <c r="V35" s="172">
        <v>5.6090000000000001E-2</v>
      </c>
      <c r="W35" s="172">
        <v>3.7400000000000003E-2</v>
      </c>
      <c r="X35" s="4" t="s">
        <v>461</v>
      </c>
      <c r="Y35" s="4" t="s">
        <v>173</v>
      </c>
      <c r="Z35" s="2" t="s">
        <v>942</v>
      </c>
      <c r="AA35" s="2" t="s">
        <v>3141</v>
      </c>
      <c r="AB35" s="2" t="s">
        <v>175</v>
      </c>
      <c r="AD35" s="156">
        <v>264398.98</v>
      </c>
      <c r="AE35" s="166">
        <v>1</v>
      </c>
      <c r="AF35" s="183">
        <v>92.16</v>
      </c>
      <c r="AG35" s="156">
        <v>243.67</v>
      </c>
      <c r="AJ35" s="2" t="s">
        <v>36</v>
      </c>
      <c r="AK35" s="172">
        <v>0.113172888066013</v>
      </c>
      <c r="AL35" s="172">
        <v>2.6586286411049201E-3</v>
      </c>
    </row>
    <row r="36" spans="1:38">
      <c r="A36" s="2">
        <v>161</v>
      </c>
      <c r="B36" s="2">
        <v>9942</v>
      </c>
      <c r="C36" s="2" t="s">
        <v>3177</v>
      </c>
      <c r="D36" s="2" t="s">
        <v>3178</v>
      </c>
      <c r="E36" s="4" t="s">
        <v>1363</v>
      </c>
      <c r="F36" s="2" t="s">
        <v>3179</v>
      </c>
      <c r="G36" s="2" t="s">
        <v>3180</v>
      </c>
      <c r="H36" s="2" t="s">
        <v>223</v>
      </c>
      <c r="I36" s="2" t="s">
        <v>805</v>
      </c>
      <c r="J36" s="2" t="s">
        <v>30</v>
      </c>
      <c r="K36" s="2" t="s">
        <v>30</v>
      </c>
      <c r="L36" s="4" t="s">
        <v>145</v>
      </c>
      <c r="M36" s="2" t="s">
        <v>501</v>
      </c>
      <c r="N36" s="2" t="s">
        <v>173</v>
      </c>
      <c r="O36" s="2" t="s">
        <v>3181</v>
      </c>
      <c r="P36" s="2" t="s">
        <v>3175</v>
      </c>
      <c r="Q36" s="2" t="s">
        <v>480</v>
      </c>
      <c r="R36" s="2" t="s">
        <v>456</v>
      </c>
      <c r="S36" s="2" t="s">
        <v>95</v>
      </c>
      <c r="T36" s="156">
        <v>3.1680000000000001</v>
      </c>
      <c r="U36" s="2" t="s">
        <v>3182</v>
      </c>
      <c r="V36" s="172">
        <v>0.08</v>
      </c>
      <c r="W36" s="172">
        <v>5.3749999999999999E-2</v>
      </c>
      <c r="X36" s="4" t="s">
        <v>461</v>
      </c>
      <c r="Y36" s="4" t="s">
        <v>173</v>
      </c>
      <c r="Z36" s="2" t="s">
        <v>145</v>
      </c>
      <c r="AB36" s="2" t="s">
        <v>175</v>
      </c>
      <c r="AD36" s="156">
        <v>30700</v>
      </c>
      <c r="AE36" s="166">
        <v>3.71</v>
      </c>
      <c r="AF36" s="183">
        <v>92.58</v>
      </c>
      <c r="AG36" s="156">
        <v>108.50700000000001</v>
      </c>
      <c r="AJ36" s="2" t="s">
        <v>36</v>
      </c>
      <c r="AK36" s="172">
        <v>5.0396128423806599E-2</v>
      </c>
      <c r="AL36" s="172">
        <v>1.18389300403982E-3</v>
      </c>
    </row>
    <row r="37" spans="1:38">
      <c r="A37" s="2">
        <v>161</v>
      </c>
      <c r="B37" s="2">
        <v>9942</v>
      </c>
      <c r="C37" s="2" t="s">
        <v>3170</v>
      </c>
      <c r="D37" s="2" t="s">
        <v>3171</v>
      </c>
      <c r="E37" s="4" t="s">
        <v>1363</v>
      </c>
      <c r="F37" s="2" t="s">
        <v>3172</v>
      </c>
      <c r="G37" s="2" t="s">
        <v>3173</v>
      </c>
      <c r="H37" s="2" t="s">
        <v>223</v>
      </c>
      <c r="I37" s="2" t="s">
        <v>805</v>
      </c>
      <c r="J37" s="2" t="s">
        <v>90</v>
      </c>
      <c r="K37" s="2" t="s">
        <v>91</v>
      </c>
      <c r="L37" s="4" t="s">
        <v>145</v>
      </c>
      <c r="M37" s="2" t="s">
        <v>534</v>
      </c>
      <c r="N37" s="2" t="s">
        <v>173</v>
      </c>
      <c r="O37" s="2" t="s">
        <v>3174</v>
      </c>
      <c r="P37" s="2" t="s">
        <v>3175</v>
      </c>
      <c r="Q37" s="2" t="s">
        <v>480</v>
      </c>
      <c r="R37" s="2" t="s">
        <v>456</v>
      </c>
      <c r="S37" s="2" t="s">
        <v>95</v>
      </c>
      <c r="T37" s="156">
        <v>2.4660000000000002</v>
      </c>
      <c r="U37" s="2" t="s">
        <v>2370</v>
      </c>
      <c r="V37" s="172">
        <v>8.4129999999999996E-2</v>
      </c>
      <c r="W37" s="172">
        <v>6.5000000000000002E-2</v>
      </c>
      <c r="X37" s="4" t="s">
        <v>461</v>
      </c>
      <c r="Y37" s="4" t="s">
        <v>173</v>
      </c>
      <c r="Z37" s="2" t="s">
        <v>145</v>
      </c>
      <c r="AB37" s="2" t="s">
        <v>175</v>
      </c>
      <c r="AD37" s="156">
        <v>14000</v>
      </c>
      <c r="AE37" s="166">
        <v>3.71</v>
      </c>
      <c r="AF37" s="183">
        <v>98.62</v>
      </c>
      <c r="AG37" s="156">
        <v>51.222999999999999</v>
      </c>
      <c r="AJ37" s="2" t="s">
        <v>36</v>
      </c>
      <c r="AK37" s="172">
        <v>2.3790693439963099E-2</v>
      </c>
      <c r="AL37" s="172">
        <v>5.5888490655411395E-4</v>
      </c>
    </row>
    <row r="38" spans="1:38">
      <c r="A38" s="2">
        <v>161</v>
      </c>
      <c r="B38" s="2">
        <v>9942</v>
      </c>
      <c r="C38" s="2" t="s">
        <v>3183</v>
      </c>
      <c r="D38" s="2" t="s">
        <v>3184</v>
      </c>
      <c r="E38" s="4" t="s">
        <v>220</v>
      </c>
      <c r="F38" s="2" t="s">
        <v>3185</v>
      </c>
      <c r="G38" s="2" t="s">
        <v>3186</v>
      </c>
      <c r="H38" s="2" t="s">
        <v>223</v>
      </c>
      <c r="I38" s="2" t="s">
        <v>805</v>
      </c>
      <c r="J38" s="2" t="s">
        <v>90</v>
      </c>
      <c r="K38" s="2" t="s">
        <v>91</v>
      </c>
      <c r="L38" s="4" t="s">
        <v>145</v>
      </c>
      <c r="M38" s="2" t="s">
        <v>526</v>
      </c>
      <c r="N38" s="2" t="s">
        <v>173</v>
      </c>
      <c r="P38" s="2" t="s">
        <v>2061</v>
      </c>
      <c r="Q38" s="2" t="s">
        <v>462</v>
      </c>
      <c r="R38" s="2" t="s">
        <v>456</v>
      </c>
      <c r="S38" s="2" t="s">
        <v>95</v>
      </c>
      <c r="T38" s="156">
        <v>4.3600000000000003</v>
      </c>
      <c r="U38" s="2" t="s">
        <v>3188</v>
      </c>
      <c r="V38" s="172">
        <v>0.05</v>
      </c>
      <c r="W38" s="172">
        <v>5.5E-2</v>
      </c>
      <c r="X38" s="4" t="s">
        <v>461</v>
      </c>
      <c r="Y38" s="4" t="s">
        <v>173</v>
      </c>
      <c r="Z38" s="2" t="s">
        <v>145</v>
      </c>
      <c r="AB38" s="2" t="s">
        <v>3187</v>
      </c>
      <c r="AD38" s="156">
        <v>2350</v>
      </c>
      <c r="AE38" s="166">
        <v>3.71</v>
      </c>
      <c r="AF38" s="183">
        <v>2500</v>
      </c>
      <c r="AG38" s="156">
        <v>218.96100000000001</v>
      </c>
      <c r="AJ38" s="2" t="s">
        <v>36</v>
      </c>
      <c r="AK38" s="172">
        <v>0.10169692627643501</v>
      </c>
      <c r="AL38" s="172">
        <v>2.3890382717206698E-3</v>
      </c>
    </row>
    <row r="39" spans="1:38">
      <c r="A39" s="2">
        <v>161</v>
      </c>
      <c r="B39" s="2">
        <v>9943</v>
      </c>
      <c r="C39" s="2" t="s">
        <v>3189</v>
      </c>
      <c r="D39" s="2" t="s">
        <v>3190</v>
      </c>
      <c r="E39" s="4" t="s">
        <v>220</v>
      </c>
      <c r="F39" s="2" t="s">
        <v>3191</v>
      </c>
      <c r="G39" s="2" t="s">
        <v>3192</v>
      </c>
      <c r="H39" s="2" t="s">
        <v>223</v>
      </c>
      <c r="I39" s="2" t="s">
        <v>805</v>
      </c>
      <c r="J39" s="2" t="s">
        <v>90</v>
      </c>
      <c r="K39" s="2" t="s">
        <v>272</v>
      </c>
      <c r="L39" s="4" t="s">
        <v>145</v>
      </c>
      <c r="M39" s="2" t="s">
        <v>1964</v>
      </c>
      <c r="N39" s="2" t="s">
        <v>173</v>
      </c>
      <c r="O39" s="2" t="s">
        <v>3107</v>
      </c>
      <c r="P39" s="2" t="s">
        <v>225</v>
      </c>
      <c r="Q39" s="2" t="s">
        <v>226</v>
      </c>
      <c r="R39" s="2" t="s">
        <v>226</v>
      </c>
      <c r="S39" s="2" t="s">
        <v>95</v>
      </c>
      <c r="T39" s="156">
        <v>17.510000000000002</v>
      </c>
      <c r="U39" s="2" t="s">
        <v>3193</v>
      </c>
      <c r="V39" s="172">
        <v>1.1039999999999999E-2</v>
      </c>
      <c r="W39" s="172">
        <v>0</v>
      </c>
      <c r="X39" s="4" t="s">
        <v>461</v>
      </c>
      <c r="Y39" s="4" t="s">
        <v>173</v>
      </c>
      <c r="Z39" s="2" t="s">
        <v>145</v>
      </c>
      <c r="AA39" s="2" t="s">
        <v>208</v>
      </c>
      <c r="AB39" s="2" t="s">
        <v>227</v>
      </c>
      <c r="AD39" s="156">
        <v>440000</v>
      </c>
      <c r="AE39" s="166">
        <v>3.71</v>
      </c>
      <c r="AF39" s="183">
        <v>0.1</v>
      </c>
      <c r="AG39" s="156">
        <v>1.6319999999999999</v>
      </c>
      <c r="AJ39" s="2" t="s">
        <v>36</v>
      </c>
      <c r="AK39" s="172">
        <v>8.5424643186501604E-5</v>
      </c>
      <c r="AL39" s="172">
        <v>8.9522220587371798E-7</v>
      </c>
    </row>
    <row r="40" spans="1:38">
      <c r="A40" s="2">
        <v>161</v>
      </c>
      <c r="B40" s="2">
        <v>9943</v>
      </c>
      <c r="C40" s="2" t="s">
        <v>3099</v>
      </c>
      <c r="D40" s="2" t="s">
        <v>3100</v>
      </c>
      <c r="E40" s="4" t="s">
        <v>1363</v>
      </c>
      <c r="F40" s="2" t="s">
        <v>3194</v>
      </c>
      <c r="G40" s="2" t="s">
        <v>3195</v>
      </c>
      <c r="H40" s="2" t="s">
        <v>223</v>
      </c>
      <c r="I40" s="2" t="s">
        <v>804</v>
      </c>
      <c r="J40" s="2" t="s">
        <v>30</v>
      </c>
      <c r="K40" s="2" t="s">
        <v>30</v>
      </c>
      <c r="L40" s="4" t="s">
        <v>145</v>
      </c>
      <c r="M40" s="2" t="s">
        <v>498</v>
      </c>
      <c r="N40" s="2" t="s">
        <v>173</v>
      </c>
      <c r="O40" s="2" t="s">
        <v>3196</v>
      </c>
      <c r="P40" s="2" t="s">
        <v>2761</v>
      </c>
      <c r="Q40" s="2" t="s">
        <v>462</v>
      </c>
      <c r="R40" s="2" t="s">
        <v>456</v>
      </c>
      <c r="S40" s="2" t="s">
        <v>34</v>
      </c>
      <c r="T40" s="156">
        <v>0.01</v>
      </c>
      <c r="U40" s="2" t="s">
        <v>3197</v>
      </c>
      <c r="V40" s="172">
        <v>1E-4</v>
      </c>
      <c r="W40" s="172">
        <v>5.3499999999999999E-2</v>
      </c>
      <c r="X40" s="4" t="s">
        <v>460</v>
      </c>
      <c r="Y40" s="4" t="s">
        <v>173</v>
      </c>
      <c r="Z40" s="2" t="s">
        <v>940</v>
      </c>
      <c r="AA40" s="2" t="s">
        <v>208</v>
      </c>
      <c r="AB40" s="2" t="s">
        <v>175</v>
      </c>
      <c r="AD40" s="156">
        <v>1944828.12</v>
      </c>
      <c r="AE40" s="166">
        <v>1</v>
      </c>
      <c r="AF40" s="183">
        <v>15.31</v>
      </c>
      <c r="AG40" s="156">
        <v>297.75299999999999</v>
      </c>
      <c r="AJ40" s="2" t="s">
        <v>36</v>
      </c>
      <c r="AK40" s="172">
        <v>1.5581634158884101E-2</v>
      </c>
      <c r="AL40" s="172">
        <v>1.63290408745163E-4</v>
      </c>
    </row>
    <row r="41" spans="1:38">
      <c r="A41" s="2">
        <v>161</v>
      </c>
      <c r="B41" s="2">
        <v>9943</v>
      </c>
      <c r="C41" s="2" t="s">
        <v>3198</v>
      </c>
      <c r="D41" s="2" t="s">
        <v>3199</v>
      </c>
      <c r="E41" s="4" t="s">
        <v>365</v>
      </c>
      <c r="F41" s="2" t="s">
        <v>3200</v>
      </c>
      <c r="G41" s="2" t="s">
        <v>3201</v>
      </c>
      <c r="H41" s="2" t="s">
        <v>223</v>
      </c>
      <c r="I41" s="2" t="s">
        <v>804</v>
      </c>
      <c r="J41" s="2" t="s">
        <v>30</v>
      </c>
      <c r="K41" s="2" t="s">
        <v>30</v>
      </c>
      <c r="L41" s="4" t="s">
        <v>145</v>
      </c>
      <c r="M41" s="2" t="s">
        <v>498</v>
      </c>
      <c r="N41" s="2" t="s">
        <v>173</v>
      </c>
      <c r="O41" s="2" t="s">
        <v>203</v>
      </c>
      <c r="P41" s="2" t="s">
        <v>2761</v>
      </c>
      <c r="Q41" s="2" t="s">
        <v>464</v>
      </c>
      <c r="R41" s="2" t="s">
        <v>456</v>
      </c>
      <c r="S41" s="2" t="s">
        <v>34</v>
      </c>
      <c r="T41" s="156">
        <v>1.95</v>
      </c>
      <c r="U41" s="2" t="s">
        <v>3202</v>
      </c>
      <c r="V41" s="172">
        <v>1E-4</v>
      </c>
      <c r="W41" s="172">
        <v>5.7500000000000002E-2</v>
      </c>
      <c r="X41" s="4" t="s">
        <v>460</v>
      </c>
      <c r="Y41" s="4" t="s">
        <v>390</v>
      </c>
      <c r="Z41" s="2" t="s">
        <v>145</v>
      </c>
      <c r="AA41" s="2" t="s">
        <v>208</v>
      </c>
      <c r="AB41" s="2" t="s">
        <v>3203</v>
      </c>
      <c r="AD41" s="156">
        <v>353484.96</v>
      </c>
      <c r="AE41" s="166">
        <v>1</v>
      </c>
      <c r="AF41" s="183">
        <v>0</v>
      </c>
      <c r="AG41" s="156">
        <v>0</v>
      </c>
      <c r="AJ41" s="2" t="s">
        <v>36</v>
      </c>
      <c r="AK41" s="172">
        <v>1.84981172382962E-10</v>
      </c>
      <c r="AL41" s="172">
        <v>1.9385419360106797E-12</v>
      </c>
    </row>
    <row r="42" spans="1:38">
      <c r="A42" s="2">
        <v>161</v>
      </c>
      <c r="B42" s="2">
        <v>9943</v>
      </c>
      <c r="C42" s="2" t="s">
        <v>3120</v>
      </c>
      <c r="D42" s="2" t="s">
        <v>3121</v>
      </c>
      <c r="E42" s="4" t="s">
        <v>1363</v>
      </c>
      <c r="F42" s="2" t="s">
        <v>3122</v>
      </c>
      <c r="G42" s="2" t="s">
        <v>3123</v>
      </c>
      <c r="H42" s="2" t="s">
        <v>223</v>
      </c>
      <c r="I42" s="2" t="s">
        <v>804</v>
      </c>
      <c r="J42" s="2" t="s">
        <v>30</v>
      </c>
      <c r="L42" s="4" t="s">
        <v>145</v>
      </c>
      <c r="M42" s="2" t="s">
        <v>511</v>
      </c>
      <c r="N42" s="2" t="s">
        <v>173</v>
      </c>
      <c r="O42" s="2" t="s">
        <v>3124</v>
      </c>
      <c r="P42" s="2" t="s">
        <v>2061</v>
      </c>
      <c r="Q42" s="2" t="s">
        <v>462</v>
      </c>
      <c r="R42" s="2" t="s">
        <v>456</v>
      </c>
      <c r="S42" s="2" t="s">
        <v>34</v>
      </c>
      <c r="T42" s="156">
        <v>3.78</v>
      </c>
      <c r="U42" s="2" t="s">
        <v>2521</v>
      </c>
      <c r="V42" s="172">
        <v>3.875E-2</v>
      </c>
      <c r="W42" s="172">
        <v>3.8399999999999997E-2</v>
      </c>
      <c r="X42" s="4" t="s">
        <v>461</v>
      </c>
      <c r="Y42" s="4" t="s">
        <v>173</v>
      </c>
      <c r="Z42" s="2" t="s">
        <v>145</v>
      </c>
      <c r="AB42" s="2" t="s">
        <v>175</v>
      </c>
      <c r="AD42" s="156">
        <v>1131883</v>
      </c>
      <c r="AE42" s="166">
        <v>1</v>
      </c>
      <c r="AF42" s="183">
        <v>102.59</v>
      </c>
      <c r="AG42" s="156">
        <v>1161.1990000000001</v>
      </c>
      <c r="AJ42" s="2" t="s">
        <v>36</v>
      </c>
      <c r="AK42" s="172">
        <v>6.0766350508592901E-2</v>
      </c>
      <c r="AL42" s="172">
        <v>6.3681139675856495E-4</v>
      </c>
    </row>
    <row r="43" spans="1:38">
      <c r="A43" s="2">
        <v>161</v>
      </c>
      <c r="B43" s="2">
        <v>9943</v>
      </c>
      <c r="C43" s="2" t="s">
        <v>3204</v>
      </c>
      <c r="D43" s="2" t="s">
        <v>3205</v>
      </c>
      <c r="E43" s="4" t="s">
        <v>1363</v>
      </c>
      <c r="F43" s="2" t="s">
        <v>3206</v>
      </c>
      <c r="G43" s="2" t="s">
        <v>3207</v>
      </c>
      <c r="H43" s="2" t="s">
        <v>33</v>
      </c>
      <c r="I43" s="2" t="s">
        <v>804</v>
      </c>
      <c r="J43" s="2" t="s">
        <v>30</v>
      </c>
      <c r="K43" s="2" t="s">
        <v>30</v>
      </c>
      <c r="L43" s="4" t="s">
        <v>145</v>
      </c>
      <c r="M43" s="2" t="s">
        <v>511</v>
      </c>
      <c r="N43" s="2" t="s">
        <v>173</v>
      </c>
      <c r="O43" s="2" t="s">
        <v>203</v>
      </c>
      <c r="P43" s="2" t="s">
        <v>225</v>
      </c>
      <c r="Q43" s="2" t="s">
        <v>226</v>
      </c>
      <c r="R43" s="2" t="s">
        <v>226</v>
      </c>
      <c r="S43" s="2" t="s">
        <v>34</v>
      </c>
      <c r="T43" s="156">
        <v>0</v>
      </c>
      <c r="U43" s="2" t="s">
        <v>3208</v>
      </c>
      <c r="V43" s="172">
        <v>1E-4</v>
      </c>
      <c r="W43" s="172">
        <v>0</v>
      </c>
      <c r="X43" s="4" t="s">
        <v>460</v>
      </c>
      <c r="Y43" s="4" t="s">
        <v>390</v>
      </c>
      <c r="Z43" s="2" t="s">
        <v>145</v>
      </c>
      <c r="AA43" s="2" t="s">
        <v>208</v>
      </c>
      <c r="AB43" s="2" t="s">
        <v>3203</v>
      </c>
      <c r="AD43" s="156">
        <v>502.56</v>
      </c>
      <c r="AE43" s="166">
        <v>1</v>
      </c>
      <c r="AF43" s="183">
        <v>0</v>
      </c>
      <c r="AG43" s="156">
        <v>0</v>
      </c>
      <c r="AJ43" s="2" t="s">
        <v>36</v>
      </c>
      <c r="AK43" s="172">
        <v>2.6299319210860199E-13</v>
      </c>
      <c r="AL43" s="172">
        <v>2.7560822824301002E-15</v>
      </c>
    </row>
    <row r="44" spans="1:38">
      <c r="A44" s="2">
        <v>161</v>
      </c>
      <c r="B44" s="2">
        <v>9943</v>
      </c>
      <c r="C44" s="2" t="s">
        <v>3204</v>
      </c>
      <c r="D44" s="2" t="s">
        <v>3205</v>
      </c>
      <c r="E44" s="4" t="s">
        <v>1363</v>
      </c>
      <c r="F44" s="2" t="s">
        <v>3209</v>
      </c>
      <c r="G44" s="2" t="s">
        <v>3210</v>
      </c>
      <c r="H44" s="2" t="s">
        <v>223</v>
      </c>
      <c r="I44" s="2" t="s">
        <v>804</v>
      </c>
      <c r="J44" s="2" t="s">
        <v>30</v>
      </c>
      <c r="K44" s="2" t="s">
        <v>30</v>
      </c>
      <c r="L44" s="4" t="s">
        <v>145</v>
      </c>
      <c r="M44" s="2" t="s">
        <v>494</v>
      </c>
      <c r="N44" s="2" t="s">
        <v>173</v>
      </c>
      <c r="O44" s="2" t="s">
        <v>203</v>
      </c>
      <c r="P44" s="2" t="s">
        <v>225</v>
      </c>
      <c r="Q44" s="2" t="s">
        <v>226</v>
      </c>
      <c r="R44" s="2" t="s">
        <v>226</v>
      </c>
      <c r="S44" s="2" t="s">
        <v>34</v>
      </c>
      <c r="T44" s="156">
        <v>0.01</v>
      </c>
      <c r="U44" s="2" t="s">
        <v>3208</v>
      </c>
      <c r="V44" s="172">
        <v>0</v>
      </c>
      <c r="W44" s="172">
        <v>0.06</v>
      </c>
      <c r="X44" s="4" t="s">
        <v>460</v>
      </c>
      <c r="Y44" s="4" t="s">
        <v>390</v>
      </c>
      <c r="Z44" s="2" t="s">
        <v>145</v>
      </c>
      <c r="AA44" s="2" t="s">
        <v>208</v>
      </c>
      <c r="AB44" s="2" t="s">
        <v>3203</v>
      </c>
      <c r="AD44" s="156">
        <v>3015.35</v>
      </c>
      <c r="AE44" s="166">
        <v>1</v>
      </c>
      <c r="AF44" s="183">
        <v>0</v>
      </c>
      <c r="AG44" s="156">
        <v>0</v>
      </c>
      <c r="AJ44" s="2" t="s">
        <v>36</v>
      </c>
      <c r="AK44" s="172">
        <v>1.5779539195810899E-12</v>
      </c>
      <c r="AL44" s="172">
        <v>1.6536438853720401E-14</v>
      </c>
    </row>
    <row r="45" spans="1:38">
      <c r="A45" s="2">
        <v>161</v>
      </c>
      <c r="B45" s="2">
        <v>9943</v>
      </c>
      <c r="C45" s="2" t="s">
        <v>3125</v>
      </c>
      <c r="D45" s="2" t="s">
        <v>3126</v>
      </c>
      <c r="E45" s="4" t="s">
        <v>1363</v>
      </c>
      <c r="F45" s="2" t="s">
        <v>3127</v>
      </c>
      <c r="G45" s="2" t="s">
        <v>3128</v>
      </c>
      <c r="H45" s="2" t="s">
        <v>223</v>
      </c>
      <c r="I45" s="2" t="s">
        <v>1013</v>
      </c>
      <c r="J45" s="2" t="s">
        <v>30</v>
      </c>
      <c r="K45" s="2" t="s">
        <v>30</v>
      </c>
      <c r="L45" s="4" t="s">
        <v>145</v>
      </c>
      <c r="M45" s="2" t="s">
        <v>498</v>
      </c>
      <c r="N45" s="2" t="s">
        <v>173</v>
      </c>
      <c r="O45" s="2" t="s">
        <v>3129</v>
      </c>
      <c r="P45" s="2" t="s">
        <v>2061</v>
      </c>
      <c r="Q45" s="2" t="s">
        <v>462</v>
      </c>
      <c r="R45" s="2" t="s">
        <v>456</v>
      </c>
      <c r="S45" s="2" t="s">
        <v>34</v>
      </c>
      <c r="T45" s="156">
        <v>2.14</v>
      </c>
      <c r="U45" s="2" t="s">
        <v>2521</v>
      </c>
      <c r="V45" s="172">
        <v>2.8670000000000001E-2</v>
      </c>
      <c r="W45" s="172">
        <v>2.86E-2</v>
      </c>
      <c r="X45" s="4" t="s">
        <v>461</v>
      </c>
      <c r="Y45" s="4" t="s">
        <v>173</v>
      </c>
      <c r="Z45" s="2" t="s">
        <v>942</v>
      </c>
      <c r="AB45" s="2" t="s">
        <v>175</v>
      </c>
      <c r="AD45" s="156">
        <v>275000</v>
      </c>
      <c r="AE45" s="166">
        <v>1</v>
      </c>
      <c r="AF45" s="183">
        <v>95.51</v>
      </c>
      <c r="AG45" s="156">
        <v>262.65199999999999</v>
      </c>
      <c r="AJ45" s="2" t="s">
        <v>36</v>
      </c>
      <c r="AK45" s="172">
        <v>1.37447905504427E-2</v>
      </c>
      <c r="AL45" s="172">
        <v>1.44040890975402E-4</v>
      </c>
    </row>
    <row r="46" spans="1:38">
      <c r="A46" s="2">
        <v>161</v>
      </c>
      <c r="B46" s="2">
        <v>9943</v>
      </c>
      <c r="C46" s="2" t="s">
        <v>3130</v>
      </c>
      <c r="D46" s="2" t="s">
        <v>3131</v>
      </c>
      <c r="E46" s="4" t="s">
        <v>1363</v>
      </c>
      <c r="F46" s="2" t="s">
        <v>3132</v>
      </c>
      <c r="G46" s="2" t="s">
        <v>3133</v>
      </c>
      <c r="H46" s="2" t="s">
        <v>223</v>
      </c>
      <c r="I46" s="2" t="s">
        <v>1013</v>
      </c>
      <c r="J46" s="2" t="s">
        <v>30</v>
      </c>
      <c r="K46" s="2" t="s">
        <v>30</v>
      </c>
      <c r="L46" s="4" t="s">
        <v>145</v>
      </c>
      <c r="M46" s="2" t="s">
        <v>498</v>
      </c>
      <c r="N46" s="2" t="s">
        <v>173</v>
      </c>
      <c r="O46" s="2" t="s">
        <v>3176</v>
      </c>
      <c r="P46" s="2" t="s">
        <v>2100</v>
      </c>
      <c r="Q46" s="2" t="s">
        <v>480</v>
      </c>
      <c r="R46" s="2" t="s">
        <v>456</v>
      </c>
      <c r="S46" s="2" t="s">
        <v>34</v>
      </c>
      <c r="T46" s="156">
        <v>2.12</v>
      </c>
      <c r="U46" s="2" t="s">
        <v>2370</v>
      </c>
      <c r="V46" s="172">
        <v>6.2080000000000003E-2</v>
      </c>
      <c r="W46" s="172">
        <v>4.4699999999999997E-2</v>
      </c>
      <c r="X46" s="4" t="s">
        <v>461</v>
      </c>
      <c r="Y46" s="4" t="s">
        <v>173</v>
      </c>
      <c r="Z46" s="2" t="s">
        <v>942</v>
      </c>
      <c r="AA46" s="2" t="s">
        <v>943</v>
      </c>
      <c r="AB46" s="2" t="s">
        <v>175</v>
      </c>
      <c r="AD46" s="156">
        <v>1148724.8</v>
      </c>
      <c r="AE46" s="166">
        <v>1</v>
      </c>
      <c r="AF46" s="183">
        <v>97.54</v>
      </c>
      <c r="AG46" s="156">
        <v>1120.4659999999999</v>
      </c>
      <c r="AJ46" s="2" t="s">
        <v>36</v>
      </c>
      <c r="AK46" s="172">
        <v>5.8634784837026499E-2</v>
      </c>
      <c r="AL46" s="172">
        <v>6.1447328855835498E-4</v>
      </c>
    </row>
    <row r="47" spans="1:38">
      <c r="A47" s="2">
        <v>161</v>
      </c>
      <c r="B47" s="2">
        <v>9943</v>
      </c>
      <c r="C47" s="2" t="s">
        <v>1222</v>
      </c>
      <c r="D47" s="2" t="s">
        <v>1618</v>
      </c>
      <c r="E47" s="4" t="s">
        <v>1363</v>
      </c>
      <c r="F47" s="2" t="s">
        <v>3211</v>
      </c>
      <c r="G47" s="2" t="s">
        <v>3212</v>
      </c>
      <c r="H47" s="2" t="s">
        <v>33</v>
      </c>
      <c r="I47" s="2" t="s">
        <v>804</v>
      </c>
      <c r="J47" s="2" t="s">
        <v>30</v>
      </c>
      <c r="K47" s="2" t="s">
        <v>30</v>
      </c>
      <c r="L47" s="4" t="s">
        <v>145</v>
      </c>
      <c r="M47" s="2" t="s">
        <v>495</v>
      </c>
      <c r="N47" s="2" t="s">
        <v>173</v>
      </c>
      <c r="O47" s="2" t="s">
        <v>203</v>
      </c>
      <c r="P47" s="2" t="s">
        <v>1224</v>
      </c>
      <c r="Q47" s="2" t="s">
        <v>462</v>
      </c>
      <c r="R47" s="2" t="s">
        <v>456</v>
      </c>
      <c r="S47" s="2" t="s">
        <v>34</v>
      </c>
      <c r="T47" s="156">
        <v>1.27</v>
      </c>
      <c r="U47" s="2" t="s">
        <v>3213</v>
      </c>
      <c r="V47" s="172">
        <v>1.515E-2</v>
      </c>
      <c r="W47" s="172">
        <v>6.1499999999999999E-2</v>
      </c>
      <c r="X47" s="4" t="s">
        <v>461</v>
      </c>
      <c r="Y47" s="4" t="s">
        <v>173</v>
      </c>
      <c r="Z47" s="2" t="s">
        <v>145</v>
      </c>
      <c r="AA47" s="2" t="s">
        <v>3141</v>
      </c>
      <c r="AB47" s="2" t="s">
        <v>175</v>
      </c>
      <c r="AD47" s="156">
        <v>12000</v>
      </c>
      <c r="AE47" s="166">
        <v>1</v>
      </c>
      <c r="AF47" s="183">
        <v>155.93</v>
      </c>
      <c r="AG47" s="156">
        <v>18.712</v>
      </c>
      <c r="AJ47" s="2" t="s">
        <v>36</v>
      </c>
      <c r="AK47" s="172">
        <v>9.7919122362689404E-4</v>
      </c>
      <c r="AL47" s="172">
        <v>1.02616024426774E-5</v>
      </c>
    </row>
    <row r="48" spans="1:38">
      <c r="A48" s="2">
        <v>161</v>
      </c>
      <c r="B48" s="2">
        <v>9943</v>
      </c>
      <c r="C48" s="2" t="s">
        <v>1222</v>
      </c>
      <c r="D48" s="2" t="s">
        <v>1618</v>
      </c>
      <c r="E48" s="4" t="s">
        <v>1363</v>
      </c>
      <c r="F48" s="2" t="s">
        <v>3214</v>
      </c>
      <c r="G48" s="2" t="s">
        <v>3215</v>
      </c>
      <c r="H48" s="2" t="s">
        <v>33</v>
      </c>
      <c r="I48" s="2" t="s">
        <v>804</v>
      </c>
      <c r="J48" s="2" t="s">
        <v>30</v>
      </c>
      <c r="K48" s="2" t="s">
        <v>30</v>
      </c>
      <c r="L48" s="4" t="s">
        <v>145</v>
      </c>
      <c r="M48" s="2" t="s">
        <v>495</v>
      </c>
      <c r="N48" s="2" t="s">
        <v>173</v>
      </c>
      <c r="O48" s="2" t="s">
        <v>203</v>
      </c>
      <c r="P48" s="2" t="s">
        <v>93</v>
      </c>
      <c r="Q48" s="2" t="s">
        <v>462</v>
      </c>
      <c r="R48" s="2" t="s">
        <v>456</v>
      </c>
      <c r="S48" s="2" t="s">
        <v>34</v>
      </c>
      <c r="T48" s="156">
        <v>1.27</v>
      </c>
      <c r="U48" s="2" t="s">
        <v>3213</v>
      </c>
      <c r="V48" s="172">
        <v>1.8749999999999999E-2</v>
      </c>
      <c r="W48" s="172">
        <v>6.6000000000000003E-2</v>
      </c>
      <c r="X48" s="4" t="s">
        <v>461</v>
      </c>
      <c r="Y48" s="4" t="s">
        <v>173</v>
      </c>
      <c r="Z48" s="2" t="s">
        <v>145</v>
      </c>
      <c r="AA48" s="2" t="s">
        <v>3141</v>
      </c>
      <c r="AB48" s="2" t="s">
        <v>175</v>
      </c>
      <c r="AD48" s="156">
        <v>3285000</v>
      </c>
      <c r="AE48" s="166">
        <v>1</v>
      </c>
      <c r="AF48" s="183">
        <v>156.05000000000001</v>
      </c>
      <c r="AG48" s="156">
        <v>5126.2430000000004</v>
      </c>
      <c r="AJ48" s="2" t="s">
        <v>36</v>
      </c>
      <c r="AK48" s="172">
        <v>0.26825988510780402</v>
      </c>
      <c r="AL48" s="172">
        <v>2.8112754954016201E-3</v>
      </c>
    </row>
    <row r="49" spans="1:38">
      <c r="A49" s="2">
        <v>161</v>
      </c>
      <c r="B49" s="2">
        <v>9943</v>
      </c>
      <c r="C49" s="2" t="s">
        <v>3135</v>
      </c>
      <c r="D49" s="2" t="s">
        <v>3136</v>
      </c>
      <c r="E49" s="4" t="s">
        <v>1363</v>
      </c>
      <c r="F49" s="2" t="s">
        <v>3137</v>
      </c>
      <c r="G49" s="2" t="s">
        <v>3138</v>
      </c>
      <c r="H49" s="2" t="s">
        <v>223</v>
      </c>
      <c r="I49" s="2" t="s">
        <v>1013</v>
      </c>
      <c r="J49" s="2" t="s">
        <v>30</v>
      </c>
      <c r="K49" s="2" t="s">
        <v>30</v>
      </c>
      <c r="L49" s="4" t="s">
        <v>145</v>
      </c>
      <c r="M49" s="2" t="s">
        <v>498</v>
      </c>
      <c r="N49" s="2" t="s">
        <v>173</v>
      </c>
      <c r="O49" s="2" t="s">
        <v>3139</v>
      </c>
      <c r="P49" s="2" t="s">
        <v>2061</v>
      </c>
      <c r="Q49" s="2" t="s">
        <v>464</v>
      </c>
      <c r="R49" s="2" t="s">
        <v>456</v>
      </c>
      <c r="S49" s="2" t="s">
        <v>34</v>
      </c>
      <c r="T49" s="156">
        <v>1.79</v>
      </c>
      <c r="U49" s="2" t="s">
        <v>3140</v>
      </c>
      <c r="V49" s="172">
        <v>5.0819999999999997E-2</v>
      </c>
      <c r="W49" s="172">
        <v>2.1000000000000001E-2</v>
      </c>
      <c r="X49" s="4" t="s">
        <v>461</v>
      </c>
      <c r="Y49" s="4" t="s">
        <v>173</v>
      </c>
      <c r="Z49" s="2" t="s">
        <v>145</v>
      </c>
      <c r="AA49" s="2" t="s">
        <v>3141</v>
      </c>
      <c r="AB49" s="2" t="s">
        <v>175</v>
      </c>
      <c r="AD49" s="156">
        <v>182857.3</v>
      </c>
      <c r="AE49" s="166">
        <v>1</v>
      </c>
      <c r="AF49" s="183">
        <v>95.42</v>
      </c>
      <c r="AG49" s="156">
        <v>174.482</v>
      </c>
      <c r="AJ49" s="2" t="s">
        <v>36</v>
      </c>
      <c r="AK49" s="172">
        <v>9.1307889050276994E-3</v>
      </c>
      <c r="AL49" s="172">
        <v>9.5687669038081494E-5</v>
      </c>
    </row>
    <row r="50" spans="1:38">
      <c r="A50" s="2">
        <v>161</v>
      </c>
      <c r="B50" s="2">
        <v>9943</v>
      </c>
      <c r="C50" s="2" t="s">
        <v>3216</v>
      </c>
      <c r="D50" s="2" t="s">
        <v>3217</v>
      </c>
      <c r="E50" s="4" t="s">
        <v>1363</v>
      </c>
      <c r="F50" s="2" t="s">
        <v>3218</v>
      </c>
      <c r="G50" s="2" t="s">
        <v>3219</v>
      </c>
      <c r="H50" s="2" t="s">
        <v>33</v>
      </c>
      <c r="I50" s="2" t="s">
        <v>1013</v>
      </c>
      <c r="J50" s="2" t="s">
        <v>30</v>
      </c>
      <c r="K50" s="2" t="s">
        <v>30</v>
      </c>
      <c r="L50" s="4" t="s">
        <v>145</v>
      </c>
      <c r="M50" s="2" t="s">
        <v>510</v>
      </c>
      <c r="N50" s="2" t="s">
        <v>173</v>
      </c>
      <c r="O50" s="2" t="s">
        <v>203</v>
      </c>
      <c r="P50" s="2" t="s">
        <v>225</v>
      </c>
      <c r="Q50" s="2" t="s">
        <v>226</v>
      </c>
      <c r="R50" s="2" t="s">
        <v>226</v>
      </c>
      <c r="S50" s="2" t="s">
        <v>34</v>
      </c>
      <c r="T50" s="156">
        <v>0</v>
      </c>
      <c r="U50" s="2" t="s">
        <v>3220</v>
      </c>
      <c r="V50" s="172">
        <v>0</v>
      </c>
      <c r="W50" s="172">
        <v>0</v>
      </c>
      <c r="X50" s="4" t="s">
        <v>460</v>
      </c>
      <c r="Y50" s="4" t="s">
        <v>390</v>
      </c>
      <c r="Z50" s="2" t="s">
        <v>145</v>
      </c>
      <c r="AA50" s="2" t="s">
        <v>208</v>
      </c>
      <c r="AB50" s="2" t="s">
        <v>3221</v>
      </c>
      <c r="AC50" s="2" t="s">
        <v>3222</v>
      </c>
      <c r="AD50" s="156">
        <v>8743.39</v>
      </c>
      <c r="AE50" s="166">
        <v>1</v>
      </c>
      <c r="AF50" s="183">
        <v>0</v>
      </c>
      <c r="AG50" s="156">
        <v>0</v>
      </c>
      <c r="AJ50" s="2" t="s">
        <v>36</v>
      </c>
      <c r="AK50" s="172">
        <v>4.5754776463515394E-12</v>
      </c>
      <c r="AL50" s="172">
        <v>4.7949503078989199E-14</v>
      </c>
    </row>
    <row r="51" spans="1:38">
      <c r="A51" s="2">
        <v>161</v>
      </c>
      <c r="B51" s="2">
        <v>9943</v>
      </c>
      <c r="C51" s="2" t="s">
        <v>3142</v>
      </c>
      <c r="D51" s="2" t="s">
        <v>3143</v>
      </c>
      <c r="E51" s="4" t="s">
        <v>1363</v>
      </c>
      <c r="F51" s="2" t="s">
        <v>3144</v>
      </c>
      <c r="G51" s="2" t="s">
        <v>3145</v>
      </c>
      <c r="H51" s="2" t="s">
        <v>223</v>
      </c>
      <c r="I51" s="2" t="s">
        <v>804</v>
      </c>
      <c r="J51" s="2" t="s">
        <v>30</v>
      </c>
      <c r="L51" s="4" t="s">
        <v>145</v>
      </c>
      <c r="M51" s="2" t="s">
        <v>526</v>
      </c>
      <c r="N51" s="2" t="s">
        <v>173</v>
      </c>
      <c r="O51" s="2" t="s">
        <v>3146</v>
      </c>
      <c r="P51" s="2" t="s">
        <v>2041</v>
      </c>
      <c r="Q51" s="2" t="s">
        <v>464</v>
      </c>
      <c r="R51" s="2" t="s">
        <v>456</v>
      </c>
      <c r="S51" s="2" t="s">
        <v>34</v>
      </c>
      <c r="T51" s="156">
        <v>3.7</v>
      </c>
      <c r="U51" s="2" t="s">
        <v>2636</v>
      </c>
      <c r="V51" s="172">
        <v>4.5010000000000001E-2</v>
      </c>
      <c r="W51" s="172">
        <v>4.4499999999999998E-2</v>
      </c>
      <c r="X51" s="4" t="s">
        <v>461</v>
      </c>
      <c r="Y51" s="4" t="s">
        <v>173</v>
      </c>
      <c r="Z51" s="2" t="s">
        <v>145</v>
      </c>
      <c r="AB51" s="2" t="s">
        <v>175</v>
      </c>
      <c r="AD51" s="156">
        <v>1214993</v>
      </c>
      <c r="AE51" s="166">
        <v>1</v>
      </c>
      <c r="AF51" s="183">
        <v>103.08</v>
      </c>
      <c r="AG51" s="156">
        <v>1252.415</v>
      </c>
      <c r="AJ51" s="2" t="s">
        <v>36</v>
      </c>
      <c r="AK51" s="172">
        <v>6.5539748884384505E-2</v>
      </c>
      <c r="AL51" s="172">
        <v>6.8683504408198004E-4</v>
      </c>
    </row>
    <row r="52" spans="1:38">
      <c r="A52" s="2">
        <v>161</v>
      </c>
      <c r="B52" s="2">
        <v>9943</v>
      </c>
      <c r="C52" s="2" t="s">
        <v>3216</v>
      </c>
      <c r="D52" s="2" t="s">
        <v>3217</v>
      </c>
      <c r="E52" s="4" t="s">
        <v>1363</v>
      </c>
      <c r="F52" s="2" t="s">
        <v>3223</v>
      </c>
      <c r="G52" s="2" t="s">
        <v>3224</v>
      </c>
      <c r="H52" s="2" t="s">
        <v>223</v>
      </c>
      <c r="I52" s="2" t="s">
        <v>804</v>
      </c>
      <c r="J52" s="2" t="s">
        <v>30</v>
      </c>
      <c r="K52" s="2" t="s">
        <v>30</v>
      </c>
      <c r="L52" s="4" t="s">
        <v>145</v>
      </c>
      <c r="M52" s="2" t="s">
        <v>510</v>
      </c>
      <c r="N52" s="2" t="s">
        <v>173</v>
      </c>
      <c r="O52" s="2" t="s">
        <v>203</v>
      </c>
      <c r="P52" s="2" t="s">
        <v>225</v>
      </c>
      <c r="Q52" s="2" t="s">
        <v>226</v>
      </c>
      <c r="R52" s="2" t="s">
        <v>226</v>
      </c>
      <c r="S52" s="2" t="s">
        <v>34</v>
      </c>
      <c r="T52" s="156">
        <v>0</v>
      </c>
      <c r="U52" s="2" t="s">
        <v>3220</v>
      </c>
      <c r="V52" s="172">
        <v>0</v>
      </c>
      <c r="W52" s="172">
        <v>0</v>
      </c>
      <c r="X52" s="4" t="s">
        <v>460</v>
      </c>
      <c r="Y52" s="4" t="s">
        <v>390</v>
      </c>
      <c r="Z52" s="2" t="s">
        <v>145</v>
      </c>
      <c r="AA52" s="2" t="s">
        <v>208</v>
      </c>
      <c r="AB52" s="2" t="s">
        <v>3221</v>
      </c>
      <c r="AC52" s="2" t="s">
        <v>3222</v>
      </c>
      <c r="AD52" s="156">
        <v>8112.62</v>
      </c>
      <c r="AE52" s="166">
        <v>1</v>
      </c>
      <c r="AF52" s="183">
        <v>0</v>
      </c>
      <c r="AG52" s="156">
        <v>0</v>
      </c>
      <c r="AJ52" s="2" t="s">
        <v>36</v>
      </c>
      <c r="AK52" s="172">
        <v>4.2453912570918696E-12</v>
      </c>
      <c r="AL52" s="172">
        <v>4.4490306124817703E-14</v>
      </c>
    </row>
    <row r="53" spans="1:38">
      <c r="A53" s="2">
        <v>161</v>
      </c>
      <c r="B53" s="2">
        <v>9943</v>
      </c>
      <c r="C53" s="2" t="s">
        <v>3147</v>
      </c>
      <c r="D53" s="2" t="s">
        <v>3148</v>
      </c>
      <c r="E53" s="4" t="s">
        <v>1363</v>
      </c>
      <c r="F53" s="2" t="s">
        <v>3149</v>
      </c>
      <c r="G53" s="2" t="s">
        <v>3150</v>
      </c>
      <c r="H53" s="2" t="s">
        <v>223</v>
      </c>
      <c r="I53" s="2" t="s">
        <v>1013</v>
      </c>
      <c r="J53" s="2" t="s">
        <v>30</v>
      </c>
      <c r="K53" s="2" t="s">
        <v>30</v>
      </c>
      <c r="L53" s="4" t="s">
        <v>145</v>
      </c>
      <c r="M53" s="2" t="s">
        <v>511</v>
      </c>
      <c r="N53" s="2" t="s">
        <v>173</v>
      </c>
      <c r="O53" s="2" t="s">
        <v>3151</v>
      </c>
      <c r="P53" s="2" t="s">
        <v>2052</v>
      </c>
      <c r="Q53" s="2" t="s">
        <v>464</v>
      </c>
      <c r="R53" s="2" t="s">
        <v>456</v>
      </c>
      <c r="S53" s="2" t="s">
        <v>34</v>
      </c>
      <c r="T53" s="156">
        <v>1.71</v>
      </c>
      <c r="U53" s="2" t="s">
        <v>3152</v>
      </c>
      <c r="V53" s="172">
        <v>1.9859999999999999E-2</v>
      </c>
      <c r="W53" s="172">
        <v>3.1E-2</v>
      </c>
      <c r="X53" s="4" t="s">
        <v>461</v>
      </c>
      <c r="Y53" s="4" t="s">
        <v>173</v>
      </c>
      <c r="Z53" s="2" t="s">
        <v>942</v>
      </c>
      <c r="AA53" s="2" t="s">
        <v>3141</v>
      </c>
      <c r="AB53" s="2" t="s">
        <v>175</v>
      </c>
      <c r="AD53" s="156">
        <v>1927060.91</v>
      </c>
      <c r="AE53" s="166">
        <v>1</v>
      </c>
      <c r="AF53" s="183">
        <v>96.56</v>
      </c>
      <c r="AG53" s="156">
        <v>1860.77</v>
      </c>
      <c r="AJ53" s="2" t="s">
        <v>36</v>
      </c>
      <c r="AK53" s="172">
        <v>9.7375407104598799E-2</v>
      </c>
      <c r="AL53" s="172">
        <v>1.0204622869271201E-3</v>
      </c>
    </row>
    <row r="54" spans="1:38">
      <c r="A54" s="2">
        <v>161</v>
      </c>
      <c r="B54" s="2">
        <v>9943</v>
      </c>
      <c r="C54" s="2" t="s">
        <v>3225</v>
      </c>
      <c r="D54" s="2" t="s">
        <v>3226</v>
      </c>
      <c r="E54" s="4" t="s">
        <v>1363</v>
      </c>
      <c r="F54" s="2" t="s">
        <v>3227</v>
      </c>
      <c r="G54" s="2" t="s">
        <v>3228</v>
      </c>
      <c r="H54" s="2" t="s">
        <v>223</v>
      </c>
      <c r="I54" s="2" t="s">
        <v>804</v>
      </c>
      <c r="J54" s="2" t="s">
        <v>30</v>
      </c>
      <c r="K54" s="2" t="s">
        <v>30</v>
      </c>
      <c r="L54" s="4" t="s">
        <v>145</v>
      </c>
      <c r="M54" s="2" t="s">
        <v>525</v>
      </c>
      <c r="N54" s="2" t="s">
        <v>173</v>
      </c>
      <c r="O54" s="2" t="s">
        <v>203</v>
      </c>
      <c r="P54" s="2" t="s">
        <v>93</v>
      </c>
      <c r="Q54" s="2" t="s">
        <v>462</v>
      </c>
      <c r="R54" s="2" t="s">
        <v>456</v>
      </c>
      <c r="S54" s="2" t="s">
        <v>34</v>
      </c>
      <c r="T54" s="156">
        <v>1.1299999999999999</v>
      </c>
      <c r="U54" s="2" t="s">
        <v>3229</v>
      </c>
      <c r="V54" s="172">
        <v>2.24E-2</v>
      </c>
      <c r="W54" s="172">
        <v>5.6000000000000001E-2</v>
      </c>
      <c r="X54" s="4" t="s">
        <v>461</v>
      </c>
      <c r="Y54" s="4" t="s">
        <v>173</v>
      </c>
      <c r="Z54" s="2" t="s">
        <v>942</v>
      </c>
      <c r="AA54" s="2" t="s">
        <v>3141</v>
      </c>
      <c r="AB54" s="2" t="s">
        <v>175</v>
      </c>
      <c r="AC54" s="2" t="s">
        <v>3222</v>
      </c>
      <c r="AD54" s="156">
        <v>769417.77</v>
      </c>
      <c r="AE54" s="166">
        <v>1</v>
      </c>
      <c r="AF54" s="183">
        <v>146.25</v>
      </c>
      <c r="AG54" s="156">
        <v>1125.2729999999999</v>
      </c>
      <c r="AJ54" s="2" t="s">
        <v>36</v>
      </c>
      <c r="AK54" s="172">
        <v>5.8886355215033402E-2</v>
      </c>
      <c r="AL54" s="172">
        <v>6.1710966350041999E-4</v>
      </c>
    </row>
    <row r="55" spans="1:38">
      <c r="A55" s="2">
        <v>161</v>
      </c>
      <c r="B55" s="2">
        <v>9943</v>
      </c>
      <c r="C55" s="2" t="s">
        <v>3153</v>
      </c>
      <c r="D55" s="2" t="s">
        <v>3154</v>
      </c>
      <c r="E55" s="4" t="s">
        <v>1363</v>
      </c>
      <c r="F55" s="2" t="s">
        <v>3155</v>
      </c>
      <c r="G55" s="2" t="s">
        <v>3156</v>
      </c>
      <c r="H55" s="2" t="s">
        <v>223</v>
      </c>
      <c r="I55" s="2" t="s">
        <v>1013</v>
      </c>
      <c r="J55" s="2" t="s">
        <v>30</v>
      </c>
      <c r="K55" s="2" t="s">
        <v>30</v>
      </c>
      <c r="L55" s="4" t="s">
        <v>145</v>
      </c>
      <c r="M55" s="2" t="s">
        <v>526</v>
      </c>
      <c r="N55" s="2" t="s">
        <v>173</v>
      </c>
      <c r="O55" s="2" t="s">
        <v>3157</v>
      </c>
      <c r="P55" s="2" t="s">
        <v>1374</v>
      </c>
      <c r="Q55" s="2" t="s">
        <v>464</v>
      </c>
      <c r="R55" s="2" t="s">
        <v>456</v>
      </c>
      <c r="S55" s="2" t="s">
        <v>34</v>
      </c>
      <c r="T55" s="156">
        <v>0.82</v>
      </c>
      <c r="U55" s="2" t="s">
        <v>3158</v>
      </c>
      <c r="V55" s="172">
        <v>7.8320000000000001E-2</v>
      </c>
      <c r="W55" s="172">
        <v>6.5000000000000002E-2</v>
      </c>
      <c r="X55" s="4" t="s">
        <v>461</v>
      </c>
      <c r="Y55" s="4" t="s">
        <v>173</v>
      </c>
      <c r="Z55" s="2" t="s">
        <v>145</v>
      </c>
      <c r="AB55" s="2" t="s">
        <v>175</v>
      </c>
      <c r="AD55" s="156">
        <v>229290</v>
      </c>
      <c r="AE55" s="166">
        <v>1</v>
      </c>
      <c r="AF55" s="183">
        <v>100.03</v>
      </c>
      <c r="AG55" s="156">
        <v>229.35900000000001</v>
      </c>
      <c r="AJ55" s="2" t="s">
        <v>36</v>
      </c>
      <c r="AK55" s="172">
        <v>1.2002507070058699E-2</v>
      </c>
      <c r="AL55" s="172">
        <v>1.25782332292735E-4</v>
      </c>
    </row>
    <row r="56" spans="1:38">
      <c r="A56" s="2">
        <v>161</v>
      </c>
      <c r="B56" s="2">
        <v>9943</v>
      </c>
      <c r="C56" s="2" t="s">
        <v>3159</v>
      </c>
      <c r="D56" s="2" t="s">
        <v>3160</v>
      </c>
      <c r="E56" s="4" t="s">
        <v>1363</v>
      </c>
      <c r="F56" s="2" t="s">
        <v>3161</v>
      </c>
      <c r="G56" s="2" t="s">
        <v>3162</v>
      </c>
      <c r="H56" s="2" t="s">
        <v>223</v>
      </c>
      <c r="I56" s="2" t="s">
        <v>804</v>
      </c>
      <c r="J56" s="2" t="s">
        <v>30</v>
      </c>
      <c r="K56" s="2" t="s">
        <v>30</v>
      </c>
      <c r="L56" s="4" t="s">
        <v>145</v>
      </c>
      <c r="M56" s="2" t="s">
        <v>493</v>
      </c>
      <c r="N56" s="2" t="s">
        <v>173</v>
      </c>
      <c r="O56" s="2" t="s">
        <v>3163</v>
      </c>
      <c r="P56" s="2" t="s">
        <v>1224</v>
      </c>
      <c r="Q56" s="2" t="s">
        <v>462</v>
      </c>
      <c r="R56" s="2" t="s">
        <v>456</v>
      </c>
      <c r="S56" s="2" t="s">
        <v>34</v>
      </c>
      <c r="T56" s="156">
        <v>5.29</v>
      </c>
      <c r="U56" s="2" t="s">
        <v>3164</v>
      </c>
      <c r="V56" s="172">
        <v>-1.1199999999999999E-3</v>
      </c>
      <c r="W56" s="172">
        <v>2.1399999999999999E-2</v>
      </c>
      <c r="X56" s="4" t="s">
        <v>461</v>
      </c>
      <c r="Y56" s="4" t="s">
        <v>173</v>
      </c>
      <c r="Z56" s="2" t="s">
        <v>942</v>
      </c>
      <c r="AA56" s="2" t="s">
        <v>3141</v>
      </c>
      <c r="AB56" s="2" t="s">
        <v>175</v>
      </c>
      <c r="AD56" s="156">
        <v>1171930.6499999999</v>
      </c>
      <c r="AE56" s="166">
        <v>1</v>
      </c>
      <c r="AF56" s="183">
        <v>114.42</v>
      </c>
      <c r="AG56" s="156">
        <v>1340.923</v>
      </c>
      <c r="AJ56" s="2" t="s">
        <v>36</v>
      </c>
      <c r="AK56" s="172">
        <v>7.0171448826109206E-2</v>
      </c>
      <c r="AL56" s="172">
        <v>7.3537373835224403E-4</v>
      </c>
    </row>
    <row r="57" spans="1:38">
      <c r="A57" s="2">
        <v>161</v>
      </c>
      <c r="B57" s="2">
        <v>9943</v>
      </c>
      <c r="C57" s="2" t="s">
        <v>3159</v>
      </c>
      <c r="D57" s="2" t="s">
        <v>3160</v>
      </c>
      <c r="E57" s="4" t="s">
        <v>1363</v>
      </c>
      <c r="F57" s="2" t="s">
        <v>3165</v>
      </c>
      <c r="G57" s="2" t="s">
        <v>3166</v>
      </c>
      <c r="H57" s="2" t="s">
        <v>223</v>
      </c>
      <c r="I57" s="2" t="s">
        <v>1013</v>
      </c>
      <c r="J57" s="2" t="s">
        <v>30</v>
      </c>
      <c r="K57" s="2" t="s">
        <v>30</v>
      </c>
      <c r="L57" s="4" t="s">
        <v>145</v>
      </c>
      <c r="M57" s="2" t="s">
        <v>493</v>
      </c>
      <c r="N57" s="2" t="s">
        <v>173</v>
      </c>
      <c r="O57" s="2" t="s">
        <v>3167</v>
      </c>
      <c r="P57" s="2" t="s">
        <v>1224</v>
      </c>
      <c r="Q57" s="2" t="s">
        <v>462</v>
      </c>
      <c r="R57" s="2" t="s">
        <v>456</v>
      </c>
      <c r="S57" s="2" t="s">
        <v>34</v>
      </c>
      <c r="T57" s="156">
        <v>0.94</v>
      </c>
      <c r="U57" s="2" t="s">
        <v>3158</v>
      </c>
      <c r="V57" s="172">
        <v>5.1029999999999999E-2</v>
      </c>
      <c r="W57" s="172">
        <v>2.5000000000000001E-2</v>
      </c>
      <c r="X57" s="4" t="s">
        <v>461</v>
      </c>
      <c r="Y57" s="4" t="s">
        <v>390</v>
      </c>
      <c r="Z57" s="2" t="s">
        <v>942</v>
      </c>
      <c r="AA57" s="2" t="s">
        <v>3141</v>
      </c>
      <c r="AB57" s="2" t="s">
        <v>175</v>
      </c>
      <c r="AD57" s="156">
        <v>727541.3</v>
      </c>
      <c r="AE57" s="166">
        <v>1</v>
      </c>
      <c r="AF57" s="183">
        <v>97.82</v>
      </c>
      <c r="AG57" s="156">
        <v>711.68100000000004</v>
      </c>
      <c r="AJ57" s="2" t="s">
        <v>36</v>
      </c>
      <c r="AK57" s="172">
        <v>3.7242763364435098E-2</v>
      </c>
      <c r="AL57" s="172">
        <v>3.9029192898298003E-4</v>
      </c>
    </row>
    <row r="58" spans="1:38">
      <c r="A58" s="2">
        <v>161</v>
      </c>
      <c r="B58" s="2">
        <v>9943</v>
      </c>
      <c r="C58" s="2" t="s">
        <v>3159</v>
      </c>
      <c r="D58" s="2" t="s">
        <v>3160</v>
      </c>
      <c r="E58" s="4" t="s">
        <v>1363</v>
      </c>
      <c r="F58" s="2" t="s">
        <v>3168</v>
      </c>
      <c r="G58" s="2" t="s">
        <v>3169</v>
      </c>
      <c r="H58" s="2" t="s">
        <v>223</v>
      </c>
      <c r="I58" s="2" t="s">
        <v>1013</v>
      </c>
      <c r="J58" s="2" t="s">
        <v>30</v>
      </c>
      <c r="K58" s="2" t="s">
        <v>30</v>
      </c>
      <c r="L58" s="4" t="s">
        <v>145</v>
      </c>
      <c r="M58" s="2" t="s">
        <v>493</v>
      </c>
      <c r="N58" s="2" t="s">
        <v>173</v>
      </c>
      <c r="O58" s="2" t="s">
        <v>3167</v>
      </c>
      <c r="P58" s="2" t="s">
        <v>1224</v>
      </c>
      <c r="Q58" s="2" t="s">
        <v>462</v>
      </c>
      <c r="R58" s="2" t="s">
        <v>456</v>
      </c>
      <c r="S58" s="2" t="s">
        <v>34</v>
      </c>
      <c r="T58" s="156">
        <v>4.72</v>
      </c>
      <c r="U58" s="2" t="s">
        <v>3164</v>
      </c>
      <c r="V58" s="172">
        <v>5.6090000000000001E-2</v>
      </c>
      <c r="W58" s="172">
        <v>3.7400000000000003E-2</v>
      </c>
      <c r="X58" s="4" t="s">
        <v>461</v>
      </c>
      <c r="Y58" s="4" t="s">
        <v>173</v>
      </c>
      <c r="Z58" s="2" t="s">
        <v>942</v>
      </c>
      <c r="AA58" s="2" t="s">
        <v>3141</v>
      </c>
      <c r="AB58" s="2" t="s">
        <v>175</v>
      </c>
      <c r="AD58" s="156">
        <v>2515363.27</v>
      </c>
      <c r="AE58" s="166">
        <v>1</v>
      </c>
      <c r="AF58" s="183">
        <v>92.16</v>
      </c>
      <c r="AG58" s="156">
        <v>2318.1590000000001</v>
      </c>
      <c r="AJ58" s="2" t="s">
        <v>36</v>
      </c>
      <c r="AK58" s="172">
        <v>0.12131088425261299</v>
      </c>
      <c r="AL58" s="172">
        <v>1.2712982266723299E-3</v>
      </c>
    </row>
    <row r="59" spans="1:38">
      <c r="A59" s="2">
        <v>161</v>
      </c>
      <c r="B59" s="2">
        <v>9943</v>
      </c>
      <c r="C59" s="2" t="s">
        <v>3120</v>
      </c>
      <c r="D59" s="2" t="s">
        <v>3121</v>
      </c>
      <c r="E59" s="4" t="s">
        <v>1363</v>
      </c>
      <c r="F59" s="2" t="s">
        <v>3122</v>
      </c>
      <c r="G59" s="2" t="s">
        <v>3123</v>
      </c>
      <c r="H59" s="2" t="s">
        <v>223</v>
      </c>
      <c r="I59" s="2" t="s">
        <v>804</v>
      </c>
      <c r="J59" s="2" t="s">
        <v>30</v>
      </c>
      <c r="L59" s="4" t="s">
        <v>145</v>
      </c>
      <c r="M59" s="2" t="s">
        <v>511</v>
      </c>
      <c r="N59" s="2" t="s">
        <v>173</v>
      </c>
      <c r="O59" s="2" t="s">
        <v>3124</v>
      </c>
      <c r="P59" s="2" t="s">
        <v>2061</v>
      </c>
      <c r="Q59" s="2" t="s">
        <v>462</v>
      </c>
      <c r="R59" s="2" t="s">
        <v>456</v>
      </c>
      <c r="S59" s="2" t="s">
        <v>34</v>
      </c>
      <c r="T59" s="156">
        <v>3.78</v>
      </c>
      <c r="U59" s="2" t="s">
        <v>2521</v>
      </c>
      <c r="V59" s="172">
        <v>3.875E-2</v>
      </c>
      <c r="W59" s="172">
        <v>3.8399999999999997E-2</v>
      </c>
      <c r="X59" s="4" t="s">
        <v>461</v>
      </c>
      <c r="Y59" s="4" t="s">
        <v>173</v>
      </c>
      <c r="Z59" s="2" t="s">
        <v>145</v>
      </c>
      <c r="AB59" s="2" t="s">
        <v>175</v>
      </c>
      <c r="AD59" s="156">
        <v>298117</v>
      </c>
      <c r="AE59" s="166">
        <v>1</v>
      </c>
      <c r="AF59" s="183">
        <v>102.59</v>
      </c>
      <c r="AG59" s="156">
        <v>305.83800000000002</v>
      </c>
      <c r="AJ59" s="2" t="s">
        <v>36</v>
      </c>
      <c r="AK59" s="172">
        <v>1.60047302720954E-2</v>
      </c>
      <c r="AL59" s="172">
        <v>1.6772431706057301E-4</v>
      </c>
    </row>
    <row r="60" spans="1:38">
      <c r="A60" s="2">
        <v>161</v>
      </c>
      <c r="B60" s="2">
        <v>9943</v>
      </c>
      <c r="C60" s="2" t="s">
        <v>3177</v>
      </c>
      <c r="D60" s="2" t="s">
        <v>3178</v>
      </c>
      <c r="E60" s="4" t="s">
        <v>1363</v>
      </c>
      <c r="F60" s="2" t="s">
        <v>3179</v>
      </c>
      <c r="G60" s="2" t="s">
        <v>3180</v>
      </c>
      <c r="H60" s="2" t="s">
        <v>223</v>
      </c>
      <c r="I60" s="2" t="s">
        <v>805</v>
      </c>
      <c r="J60" s="2" t="s">
        <v>30</v>
      </c>
      <c r="K60" s="2" t="s">
        <v>30</v>
      </c>
      <c r="L60" s="4" t="s">
        <v>145</v>
      </c>
      <c r="M60" s="2" t="s">
        <v>501</v>
      </c>
      <c r="N60" s="2" t="s">
        <v>173</v>
      </c>
      <c r="O60" s="2" t="s">
        <v>3181</v>
      </c>
      <c r="P60" s="2" t="s">
        <v>3175</v>
      </c>
      <c r="Q60" s="2" t="s">
        <v>480</v>
      </c>
      <c r="R60" s="2" t="s">
        <v>456</v>
      </c>
      <c r="S60" s="2" t="s">
        <v>95</v>
      </c>
      <c r="T60" s="156">
        <v>3.1680000000000001</v>
      </c>
      <c r="U60" s="2" t="s">
        <v>3182</v>
      </c>
      <c r="V60" s="172">
        <v>0.08</v>
      </c>
      <c r="W60" s="172">
        <v>5.3749999999999999E-2</v>
      </c>
      <c r="X60" s="4" t="s">
        <v>461</v>
      </c>
      <c r="Y60" s="4" t="s">
        <v>173</v>
      </c>
      <c r="Z60" s="2" t="s">
        <v>145</v>
      </c>
      <c r="AB60" s="2" t="s">
        <v>175</v>
      </c>
      <c r="AD60" s="156">
        <v>148900</v>
      </c>
      <c r="AE60" s="166">
        <v>3.71</v>
      </c>
      <c r="AF60" s="183">
        <v>92.58</v>
      </c>
      <c r="AG60" s="156">
        <v>526.27599999999995</v>
      </c>
      <c r="AJ60" s="2" t="s">
        <v>36</v>
      </c>
      <c r="AK60" s="172">
        <v>2.7540382708123201E-2</v>
      </c>
      <c r="AL60" s="172">
        <v>2.8861416611065499E-4</v>
      </c>
    </row>
    <row r="61" spans="1:38">
      <c r="A61" s="2">
        <v>161</v>
      </c>
      <c r="B61" s="2">
        <v>9943</v>
      </c>
      <c r="C61" s="2" t="s">
        <v>3170</v>
      </c>
      <c r="D61" s="2" t="s">
        <v>3171</v>
      </c>
      <c r="E61" s="4" t="s">
        <v>1363</v>
      </c>
      <c r="F61" s="2" t="s">
        <v>3172</v>
      </c>
      <c r="G61" s="2" t="s">
        <v>3173</v>
      </c>
      <c r="H61" s="2" t="s">
        <v>223</v>
      </c>
      <c r="I61" s="2" t="s">
        <v>805</v>
      </c>
      <c r="J61" s="2" t="s">
        <v>90</v>
      </c>
      <c r="K61" s="2" t="s">
        <v>91</v>
      </c>
      <c r="L61" s="4" t="s">
        <v>145</v>
      </c>
      <c r="M61" s="2" t="s">
        <v>534</v>
      </c>
      <c r="N61" s="2" t="s">
        <v>173</v>
      </c>
      <c r="O61" s="2" t="s">
        <v>3174</v>
      </c>
      <c r="P61" s="2" t="s">
        <v>3175</v>
      </c>
      <c r="Q61" s="2" t="s">
        <v>480</v>
      </c>
      <c r="R61" s="2" t="s">
        <v>456</v>
      </c>
      <c r="S61" s="2" t="s">
        <v>95</v>
      </c>
      <c r="T61" s="156">
        <v>2.4660000000000002</v>
      </c>
      <c r="U61" s="2" t="s">
        <v>2370</v>
      </c>
      <c r="V61" s="172">
        <v>8.4129999999999996E-2</v>
      </c>
      <c r="W61" s="172">
        <v>6.5000000000000002E-2</v>
      </c>
      <c r="X61" s="4" t="s">
        <v>461</v>
      </c>
      <c r="Y61" s="4" t="s">
        <v>173</v>
      </c>
      <c r="Z61" s="2" t="s">
        <v>145</v>
      </c>
      <c r="AB61" s="2" t="s">
        <v>175</v>
      </c>
      <c r="AD61" s="156">
        <v>57000</v>
      </c>
      <c r="AE61" s="166">
        <v>3.71</v>
      </c>
      <c r="AF61" s="183">
        <v>98.62</v>
      </c>
      <c r="AG61" s="156">
        <v>208.55199999999999</v>
      </c>
      <c r="AJ61" s="2" t="s">
        <v>36</v>
      </c>
      <c r="AK61" s="172">
        <v>1.09136582665911E-2</v>
      </c>
      <c r="AL61" s="172">
        <v>1.1437155442650399E-4</v>
      </c>
    </row>
    <row r="62" spans="1:38">
      <c r="A62" s="2">
        <v>161</v>
      </c>
      <c r="B62" s="2">
        <v>9943</v>
      </c>
      <c r="C62" s="2" t="s">
        <v>3183</v>
      </c>
      <c r="D62" s="2" t="s">
        <v>3184</v>
      </c>
      <c r="E62" s="4" t="s">
        <v>220</v>
      </c>
      <c r="F62" s="2" t="s">
        <v>3185</v>
      </c>
      <c r="G62" s="2" t="s">
        <v>3186</v>
      </c>
      <c r="H62" s="2" t="s">
        <v>223</v>
      </c>
      <c r="I62" s="2" t="s">
        <v>805</v>
      </c>
      <c r="J62" s="2" t="s">
        <v>90</v>
      </c>
      <c r="K62" s="2" t="s">
        <v>91</v>
      </c>
      <c r="L62" s="4" t="s">
        <v>145</v>
      </c>
      <c r="M62" s="2" t="s">
        <v>526</v>
      </c>
      <c r="N62" s="2" t="s">
        <v>173</v>
      </c>
      <c r="O62" s="2" t="s">
        <v>3230</v>
      </c>
      <c r="P62" s="2" t="s">
        <v>2061</v>
      </c>
      <c r="Q62" s="2" t="s">
        <v>462</v>
      </c>
      <c r="R62" s="2" t="s">
        <v>456</v>
      </c>
      <c r="S62" s="2" t="s">
        <v>95</v>
      </c>
      <c r="T62" s="156">
        <v>4.3600000000000003</v>
      </c>
      <c r="U62" s="2" t="s">
        <v>3188</v>
      </c>
      <c r="V62" s="172">
        <v>0.05</v>
      </c>
      <c r="W62" s="172">
        <v>5.5E-2</v>
      </c>
      <c r="X62" s="4" t="s">
        <v>461</v>
      </c>
      <c r="Y62" s="4" t="s">
        <v>173</v>
      </c>
      <c r="Z62" s="2" t="s">
        <v>145</v>
      </c>
      <c r="AB62" s="2" t="s">
        <v>3187</v>
      </c>
      <c r="AD62" s="156">
        <v>11450</v>
      </c>
      <c r="AE62" s="166">
        <v>3.71</v>
      </c>
      <c r="AF62" s="183">
        <v>2500</v>
      </c>
      <c r="AG62" s="156">
        <v>1066.855</v>
      </c>
      <c r="AJ62" s="2" t="s">
        <v>36</v>
      </c>
      <c r="AK62" s="172">
        <v>5.5829263905723098E-2</v>
      </c>
      <c r="AL62" s="172">
        <v>5.8507235057301296E-4</v>
      </c>
    </row>
    <row r="63" spans="1:38">
      <c r="A63" s="2">
        <v>161</v>
      </c>
      <c r="B63" s="2">
        <v>12468</v>
      </c>
      <c r="C63" s="2" t="s">
        <v>3125</v>
      </c>
      <c r="D63" s="2" t="s">
        <v>3126</v>
      </c>
      <c r="E63" s="4" t="s">
        <v>1363</v>
      </c>
      <c r="F63" s="2" t="s">
        <v>3127</v>
      </c>
      <c r="G63" s="2" t="s">
        <v>3128</v>
      </c>
      <c r="H63" s="2" t="s">
        <v>223</v>
      </c>
      <c r="I63" s="2" t="s">
        <v>1013</v>
      </c>
      <c r="J63" s="2" t="s">
        <v>30</v>
      </c>
      <c r="K63" s="2" t="s">
        <v>30</v>
      </c>
      <c r="L63" s="4" t="s">
        <v>145</v>
      </c>
      <c r="M63" s="2" t="s">
        <v>498</v>
      </c>
      <c r="N63" s="2" t="s">
        <v>173</v>
      </c>
      <c r="O63" s="2" t="s">
        <v>3129</v>
      </c>
      <c r="P63" s="2" t="s">
        <v>2061</v>
      </c>
      <c r="Q63" s="2" t="s">
        <v>462</v>
      </c>
      <c r="R63" s="2" t="s">
        <v>456</v>
      </c>
      <c r="S63" s="2" t="s">
        <v>34</v>
      </c>
      <c r="T63" s="156">
        <v>2.14</v>
      </c>
      <c r="U63" s="2" t="s">
        <v>2521</v>
      </c>
      <c r="V63" s="172">
        <v>2.8670000000000001E-2</v>
      </c>
      <c r="W63" s="172">
        <v>2.86E-2</v>
      </c>
      <c r="X63" s="4" t="s">
        <v>461</v>
      </c>
      <c r="Y63" s="4" t="s">
        <v>173</v>
      </c>
      <c r="Z63" s="2" t="s">
        <v>942</v>
      </c>
      <c r="AB63" s="2" t="s">
        <v>175</v>
      </c>
      <c r="AD63" s="156">
        <v>5714.28</v>
      </c>
      <c r="AE63" s="166">
        <v>1</v>
      </c>
      <c r="AF63" s="183">
        <v>95.51</v>
      </c>
      <c r="AG63" s="156">
        <v>5.4580000000000002</v>
      </c>
      <c r="AJ63" s="2" t="s">
        <v>36</v>
      </c>
      <c r="AK63" s="172">
        <v>0.19139199300757001</v>
      </c>
      <c r="AL63" s="172">
        <v>3.5778302978106702E-4</v>
      </c>
    </row>
    <row r="64" spans="1:38">
      <c r="A64" s="2">
        <v>161</v>
      </c>
      <c r="B64" s="2">
        <v>12468</v>
      </c>
      <c r="C64" s="2" t="s">
        <v>3159</v>
      </c>
      <c r="D64" s="2" t="s">
        <v>3160</v>
      </c>
      <c r="E64" s="4" t="s">
        <v>1363</v>
      </c>
      <c r="F64" s="2" t="s">
        <v>3165</v>
      </c>
      <c r="G64" s="2" t="s">
        <v>3166</v>
      </c>
      <c r="H64" s="2" t="s">
        <v>223</v>
      </c>
      <c r="I64" s="2" t="s">
        <v>1013</v>
      </c>
      <c r="J64" s="2" t="s">
        <v>30</v>
      </c>
      <c r="K64" s="2" t="s">
        <v>30</v>
      </c>
      <c r="L64" s="4" t="s">
        <v>145</v>
      </c>
      <c r="M64" s="2" t="s">
        <v>493</v>
      </c>
      <c r="N64" s="2" t="s">
        <v>173</v>
      </c>
      <c r="O64" s="2" t="s">
        <v>3167</v>
      </c>
      <c r="P64" s="2" t="s">
        <v>1224</v>
      </c>
      <c r="Q64" s="2" t="s">
        <v>462</v>
      </c>
      <c r="R64" s="2" t="s">
        <v>456</v>
      </c>
      <c r="S64" s="2" t="s">
        <v>34</v>
      </c>
      <c r="T64" s="156">
        <v>0.94</v>
      </c>
      <c r="U64" s="2" t="s">
        <v>3158</v>
      </c>
      <c r="V64" s="172">
        <v>5.1029999999999999E-2</v>
      </c>
      <c r="W64" s="172">
        <v>2.5000000000000001E-2</v>
      </c>
      <c r="X64" s="4" t="s">
        <v>461</v>
      </c>
      <c r="Y64" s="4" t="s">
        <v>390</v>
      </c>
      <c r="Z64" s="2" t="s">
        <v>942</v>
      </c>
      <c r="AA64" s="2" t="s">
        <v>3141</v>
      </c>
      <c r="AB64" s="2" t="s">
        <v>175</v>
      </c>
      <c r="AD64" s="156">
        <v>7994.96</v>
      </c>
      <c r="AE64" s="166">
        <v>1</v>
      </c>
      <c r="AF64" s="183">
        <v>97.82</v>
      </c>
      <c r="AG64" s="156">
        <v>7.8209999999999997</v>
      </c>
      <c r="AJ64" s="2" t="s">
        <v>36</v>
      </c>
      <c r="AK64" s="172">
        <v>0.27425676975971103</v>
      </c>
      <c r="AL64" s="172">
        <v>5.1268820853292798E-4</v>
      </c>
    </row>
    <row r="65" spans="1:38">
      <c r="A65" s="2">
        <v>161</v>
      </c>
      <c r="B65" s="2">
        <v>12468</v>
      </c>
      <c r="C65" s="2" t="s">
        <v>3170</v>
      </c>
      <c r="D65" s="2" t="s">
        <v>3171</v>
      </c>
      <c r="E65" s="4" t="s">
        <v>1363</v>
      </c>
      <c r="F65" s="2" t="s">
        <v>3172</v>
      </c>
      <c r="G65" s="2" t="s">
        <v>3173</v>
      </c>
      <c r="H65" s="2" t="s">
        <v>223</v>
      </c>
      <c r="I65" s="2" t="s">
        <v>805</v>
      </c>
      <c r="J65" s="2" t="s">
        <v>90</v>
      </c>
      <c r="K65" s="2" t="s">
        <v>91</v>
      </c>
      <c r="L65" s="4" t="s">
        <v>145</v>
      </c>
      <c r="M65" s="2" t="s">
        <v>534</v>
      </c>
      <c r="N65" s="2" t="s">
        <v>173</v>
      </c>
      <c r="O65" s="2" t="s">
        <v>3174</v>
      </c>
      <c r="P65" s="2" t="s">
        <v>3175</v>
      </c>
      <c r="Q65" s="2" t="s">
        <v>480</v>
      </c>
      <c r="R65" s="2" t="s">
        <v>456</v>
      </c>
      <c r="S65" s="2" t="s">
        <v>95</v>
      </c>
      <c r="T65" s="156">
        <v>2.4660000000000002</v>
      </c>
      <c r="U65" s="2" t="s">
        <v>2370</v>
      </c>
      <c r="V65" s="172">
        <v>8.4129999999999996E-2</v>
      </c>
      <c r="W65" s="172">
        <v>6.5000000000000002E-2</v>
      </c>
      <c r="X65" s="4" t="s">
        <v>461</v>
      </c>
      <c r="Y65" s="4" t="s">
        <v>173</v>
      </c>
      <c r="Z65" s="2" t="s">
        <v>145</v>
      </c>
      <c r="AB65" s="2" t="s">
        <v>175</v>
      </c>
      <c r="AD65" s="156">
        <v>2000</v>
      </c>
      <c r="AE65" s="166">
        <v>3.71</v>
      </c>
      <c r="AF65" s="183">
        <v>98.62</v>
      </c>
      <c r="AG65" s="156">
        <v>7.3179999999999996</v>
      </c>
      <c r="AJ65" s="2" t="s">
        <v>36</v>
      </c>
      <c r="AK65" s="172">
        <v>0.25661515807053398</v>
      </c>
      <c r="AL65" s="172">
        <v>4.79709455445148E-4</v>
      </c>
    </row>
    <row r="66" spans="1:38">
      <c r="A66" s="2">
        <v>161</v>
      </c>
      <c r="B66" s="2">
        <v>12468</v>
      </c>
      <c r="C66" s="2" t="s">
        <v>3183</v>
      </c>
      <c r="D66" s="2" t="s">
        <v>3184</v>
      </c>
      <c r="E66" s="4" t="s">
        <v>220</v>
      </c>
      <c r="F66" s="2" t="s">
        <v>3185</v>
      </c>
      <c r="G66" s="2" t="s">
        <v>3186</v>
      </c>
      <c r="H66" s="2" t="s">
        <v>223</v>
      </c>
      <c r="I66" s="2" t="s">
        <v>805</v>
      </c>
      <c r="J66" s="2" t="s">
        <v>90</v>
      </c>
      <c r="K66" s="2" t="s">
        <v>91</v>
      </c>
      <c r="L66" s="4" t="s">
        <v>145</v>
      </c>
      <c r="M66" s="2" t="s">
        <v>526</v>
      </c>
      <c r="N66" s="2" t="s">
        <v>173</v>
      </c>
      <c r="P66" s="2" t="s">
        <v>2061</v>
      </c>
      <c r="Q66" s="2" t="s">
        <v>462</v>
      </c>
      <c r="R66" s="2" t="s">
        <v>456</v>
      </c>
      <c r="S66" s="2" t="s">
        <v>95</v>
      </c>
      <c r="T66" s="156">
        <v>4.3600000000000003</v>
      </c>
      <c r="U66" s="2" t="s">
        <v>3188</v>
      </c>
      <c r="V66" s="172">
        <v>0.05</v>
      </c>
      <c r="W66" s="172">
        <v>5.5E-2</v>
      </c>
      <c r="X66" s="4" t="s">
        <v>461</v>
      </c>
      <c r="Y66" s="4" t="s">
        <v>173</v>
      </c>
      <c r="Z66" s="2" t="s">
        <v>145</v>
      </c>
      <c r="AB66" s="2" t="s">
        <v>3187</v>
      </c>
      <c r="AD66" s="156">
        <v>85</v>
      </c>
      <c r="AE66" s="166">
        <v>3.71</v>
      </c>
      <c r="AF66" s="183">
        <v>2500</v>
      </c>
      <c r="AG66" s="156">
        <v>7.92</v>
      </c>
      <c r="AJ66" s="2" t="s">
        <v>36</v>
      </c>
      <c r="AK66" s="172">
        <v>0.27773607916218401</v>
      </c>
      <c r="AL66" s="172">
        <v>5.1919233569102297E-4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376</v>
      </c>
      <c r="M1" s="22" t="s">
        <v>184</v>
      </c>
      <c r="N1" s="22" t="s">
        <v>159</v>
      </c>
      <c r="O1" s="22" t="s">
        <v>192</v>
      </c>
      <c r="P1" s="22" t="s">
        <v>11</v>
      </c>
      <c r="Q1" s="22" t="s">
        <v>185</v>
      </c>
      <c r="R1" s="22" t="s">
        <v>186</v>
      </c>
      <c r="S1" s="22" t="s">
        <v>168</v>
      </c>
      <c r="T1" s="22" t="s">
        <v>187</v>
      </c>
      <c r="U1" s="22" t="s">
        <v>17</v>
      </c>
      <c r="V1" s="165" t="s">
        <v>18</v>
      </c>
      <c r="W1" s="176" t="s">
        <v>19</v>
      </c>
      <c r="X1" s="22" t="s">
        <v>20</v>
      </c>
      <c r="Y1" s="171" t="s">
        <v>24</v>
      </c>
      <c r="Z1" s="171" t="s">
        <v>25</v>
      </c>
    </row>
    <row r="2" spans="1:26">
      <c r="A2" s="23">
        <v>161</v>
      </c>
      <c r="B2" s="23">
        <v>9938</v>
      </c>
      <c r="C2" s="23" t="s">
        <v>3088</v>
      </c>
      <c r="D2" s="23" t="s">
        <v>3089</v>
      </c>
      <c r="E2" s="21" t="s">
        <v>33</v>
      </c>
      <c r="F2" s="23" t="s">
        <v>3090</v>
      </c>
      <c r="G2" s="23" t="s">
        <v>3091</v>
      </c>
      <c r="H2" s="21" t="s">
        <v>223</v>
      </c>
      <c r="I2" s="23" t="s">
        <v>816</v>
      </c>
      <c r="J2" s="21" t="s">
        <v>30</v>
      </c>
      <c r="K2" s="21" t="s">
        <v>30</v>
      </c>
      <c r="L2" s="23" t="s">
        <v>145</v>
      </c>
      <c r="M2" s="23" t="s">
        <v>496</v>
      </c>
      <c r="N2" s="23" t="s">
        <v>173</v>
      </c>
      <c r="O2" s="23" t="s">
        <v>3092</v>
      </c>
      <c r="P2" s="21" t="s">
        <v>34</v>
      </c>
      <c r="Q2" s="23" t="s">
        <v>145</v>
      </c>
      <c r="R2" s="23" t="s">
        <v>208</v>
      </c>
      <c r="S2" s="23" t="s">
        <v>3093</v>
      </c>
      <c r="T2" s="23"/>
      <c r="U2" s="158">
        <v>72698</v>
      </c>
      <c r="V2" s="181">
        <v>1</v>
      </c>
      <c r="W2" s="182">
        <v>0</v>
      </c>
      <c r="X2" s="158">
        <v>0</v>
      </c>
      <c r="Y2" s="180">
        <v>1.2594590801451799E-8</v>
      </c>
      <c r="Z2" s="180">
        <v>1.0961901722873799E-11</v>
      </c>
    </row>
    <row r="3" spans="1:26">
      <c r="A3" s="23">
        <v>161</v>
      </c>
      <c r="B3" s="23">
        <v>9938</v>
      </c>
      <c r="C3" s="23" t="s">
        <v>3094</v>
      </c>
      <c r="D3" s="23" t="s">
        <v>2821</v>
      </c>
      <c r="E3" s="21" t="s">
        <v>1363</v>
      </c>
      <c r="F3" s="23" t="s">
        <v>3095</v>
      </c>
      <c r="G3" s="23" t="s">
        <v>3096</v>
      </c>
      <c r="H3" s="21" t="s">
        <v>33</v>
      </c>
      <c r="I3" s="23" t="s">
        <v>816</v>
      </c>
      <c r="J3" s="21" t="s">
        <v>90</v>
      </c>
      <c r="K3" s="21" t="s">
        <v>350</v>
      </c>
      <c r="L3" s="23" t="s">
        <v>145</v>
      </c>
      <c r="M3" s="23" t="s">
        <v>594</v>
      </c>
      <c r="N3" s="23" t="s">
        <v>173</v>
      </c>
      <c r="O3" s="23" t="s">
        <v>3097</v>
      </c>
      <c r="P3" s="21" t="s">
        <v>95</v>
      </c>
      <c r="Q3" s="23" t="s">
        <v>145</v>
      </c>
      <c r="R3" s="23" t="s">
        <v>208</v>
      </c>
      <c r="S3" s="23" t="s">
        <v>3098</v>
      </c>
      <c r="T3" s="23"/>
      <c r="U3" s="158">
        <v>2235.4</v>
      </c>
      <c r="V3" s="181">
        <v>3.71</v>
      </c>
      <c r="W3" s="182">
        <v>696</v>
      </c>
      <c r="X3" s="158">
        <v>57.722000000000001</v>
      </c>
      <c r="Y3" s="180">
        <v>0.99999998740540896</v>
      </c>
      <c r="Z3" s="180">
        <v>8.7036583860664399E-4</v>
      </c>
    </row>
    <row r="4" spans="1:26">
      <c r="A4" s="23">
        <v>161</v>
      </c>
      <c r="B4" s="23">
        <v>9942</v>
      </c>
      <c r="C4" s="23" t="s">
        <v>3088</v>
      </c>
      <c r="D4" s="23" t="s">
        <v>3089</v>
      </c>
      <c r="E4" s="21" t="s">
        <v>33</v>
      </c>
      <c r="F4" s="23" t="s">
        <v>3090</v>
      </c>
      <c r="G4" s="23" t="s">
        <v>3091</v>
      </c>
      <c r="H4" s="21" t="s">
        <v>223</v>
      </c>
      <c r="I4" s="23" t="s">
        <v>816</v>
      </c>
      <c r="J4" s="21" t="s">
        <v>30</v>
      </c>
      <c r="K4" s="21" t="s">
        <v>30</v>
      </c>
      <c r="L4" s="23" t="s">
        <v>145</v>
      </c>
      <c r="M4" s="23" t="s">
        <v>496</v>
      </c>
      <c r="N4" s="23" t="s">
        <v>173</v>
      </c>
      <c r="O4" s="2" t="s">
        <v>3092</v>
      </c>
      <c r="P4" s="21" t="s">
        <v>34</v>
      </c>
      <c r="Q4" s="23" t="s">
        <v>145</v>
      </c>
      <c r="R4" s="23" t="s">
        <v>208</v>
      </c>
      <c r="S4" s="23" t="s">
        <v>3093</v>
      </c>
      <c r="T4" s="23"/>
      <c r="U4" s="158">
        <v>53312</v>
      </c>
      <c r="V4" s="181">
        <v>1</v>
      </c>
      <c r="W4" s="182">
        <v>0</v>
      </c>
      <c r="X4" s="158">
        <v>0</v>
      </c>
      <c r="Y4" s="180">
        <v>1</v>
      </c>
      <c r="Z4" s="180">
        <v>5.81675019352801E-12</v>
      </c>
    </row>
    <row r="5" spans="1:26">
      <c r="A5" s="23">
        <v>161</v>
      </c>
      <c r="B5" s="23">
        <v>9943</v>
      </c>
      <c r="C5" s="23" t="s">
        <v>3099</v>
      </c>
      <c r="D5" s="23" t="s">
        <v>3100</v>
      </c>
      <c r="E5" s="21" t="s">
        <v>1363</v>
      </c>
      <c r="F5" s="23" t="s">
        <v>3101</v>
      </c>
      <c r="G5" s="23" t="s">
        <v>3102</v>
      </c>
      <c r="H5" s="21" t="s">
        <v>33</v>
      </c>
      <c r="I5" s="23" t="s">
        <v>816</v>
      </c>
      <c r="J5" s="21" t="s">
        <v>30</v>
      </c>
      <c r="K5" s="21" t="s">
        <v>30</v>
      </c>
      <c r="L5" s="23" t="s">
        <v>145</v>
      </c>
      <c r="M5" s="23" t="s">
        <v>509</v>
      </c>
      <c r="N5" s="23" t="s">
        <v>173</v>
      </c>
      <c r="O5" s="23" t="s">
        <v>3103</v>
      </c>
      <c r="P5" s="21" t="s">
        <v>34</v>
      </c>
      <c r="Q5" s="23" t="s">
        <v>145</v>
      </c>
      <c r="R5" s="23" t="s">
        <v>208</v>
      </c>
      <c r="S5" s="23" t="s">
        <v>3104</v>
      </c>
      <c r="T5" s="23"/>
      <c r="U5" s="158">
        <v>141213.79</v>
      </c>
      <c r="V5" s="181">
        <v>1</v>
      </c>
      <c r="W5" s="182">
        <v>1E-3</v>
      </c>
      <c r="X5" s="158">
        <v>1E-3</v>
      </c>
      <c r="Y5" s="180">
        <v>9.6071549283606392E-7</v>
      </c>
      <c r="Z5" s="180">
        <v>7.74428575003602E-10</v>
      </c>
    </row>
    <row r="6" spans="1:26">
      <c r="A6" s="23">
        <v>161</v>
      </c>
      <c r="B6" s="23">
        <v>9943</v>
      </c>
      <c r="C6" s="23" t="s">
        <v>218</v>
      </c>
      <c r="D6" s="23" t="s">
        <v>219</v>
      </c>
      <c r="E6" s="21" t="s">
        <v>220</v>
      </c>
      <c r="F6" s="23" t="s">
        <v>3105</v>
      </c>
      <c r="G6" s="23" t="s">
        <v>3106</v>
      </c>
      <c r="H6" s="21" t="s">
        <v>223</v>
      </c>
      <c r="I6" s="23" t="s">
        <v>816</v>
      </c>
      <c r="J6" s="21" t="s">
        <v>90</v>
      </c>
      <c r="K6" s="21" t="s">
        <v>91</v>
      </c>
      <c r="L6" s="23" t="s">
        <v>145</v>
      </c>
      <c r="M6" s="23" t="s">
        <v>1759</v>
      </c>
      <c r="N6" s="23" t="s">
        <v>173</v>
      </c>
      <c r="O6" s="23" t="s">
        <v>3107</v>
      </c>
      <c r="P6" s="21" t="s">
        <v>95</v>
      </c>
      <c r="Q6" s="23" t="s">
        <v>145</v>
      </c>
      <c r="R6" s="23" t="s">
        <v>208</v>
      </c>
      <c r="S6" s="23" t="s">
        <v>3108</v>
      </c>
      <c r="T6" s="23"/>
      <c r="U6" s="158">
        <v>49</v>
      </c>
      <c r="V6" s="181">
        <v>3.71</v>
      </c>
      <c r="W6" s="182">
        <v>0</v>
      </c>
      <c r="X6" s="158">
        <v>0</v>
      </c>
      <c r="Y6" s="180">
        <v>1.2367663911765799E-12</v>
      </c>
      <c r="Z6" s="180">
        <v>9.9695200199569995E-16</v>
      </c>
    </row>
    <row r="7" spans="1:26">
      <c r="A7" s="23">
        <v>161</v>
      </c>
      <c r="B7" s="23">
        <v>9943</v>
      </c>
      <c r="C7" s="23" t="s">
        <v>218</v>
      </c>
      <c r="D7" s="23" t="s">
        <v>219</v>
      </c>
      <c r="E7" s="21" t="s">
        <v>220</v>
      </c>
      <c r="F7" s="23" t="s">
        <v>3109</v>
      </c>
      <c r="G7" s="23" t="s">
        <v>3110</v>
      </c>
      <c r="H7" s="21" t="s">
        <v>223</v>
      </c>
      <c r="I7" s="23" t="s">
        <v>816</v>
      </c>
      <c r="J7" s="21" t="s">
        <v>90</v>
      </c>
      <c r="K7" s="21" t="s">
        <v>91</v>
      </c>
      <c r="L7" s="23" t="s">
        <v>145</v>
      </c>
      <c r="M7" s="23" t="s">
        <v>1759</v>
      </c>
      <c r="N7" s="23" t="s">
        <v>173</v>
      </c>
      <c r="O7" s="23" t="s">
        <v>3107</v>
      </c>
      <c r="P7" s="21" t="s">
        <v>95</v>
      </c>
      <c r="Q7" s="23" t="s">
        <v>145</v>
      </c>
      <c r="R7" s="23" t="s">
        <v>208</v>
      </c>
      <c r="S7" s="23" t="s">
        <v>3111</v>
      </c>
      <c r="T7" s="23"/>
      <c r="U7" s="158">
        <v>0</v>
      </c>
      <c r="V7" s="181">
        <v>3.71</v>
      </c>
      <c r="W7" s="182">
        <v>0</v>
      </c>
      <c r="X7" s="158">
        <v>188.869</v>
      </c>
      <c r="Y7" s="180">
        <v>0.12849296080672601</v>
      </c>
      <c r="Z7" s="180">
        <v>1.0357761613877399E-4</v>
      </c>
    </row>
    <row r="8" spans="1:26">
      <c r="A8" s="23">
        <v>161</v>
      </c>
      <c r="B8" s="23">
        <v>9943</v>
      </c>
      <c r="C8" s="23" t="s">
        <v>218</v>
      </c>
      <c r="D8" s="23" t="s">
        <v>219</v>
      </c>
      <c r="E8" s="21" t="s">
        <v>220</v>
      </c>
      <c r="F8" s="23" t="s">
        <v>3112</v>
      </c>
      <c r="G8" s="23" t="s">
        <v>3113</v>
      </c>
      <c r="H8" s="21" t="s">
        <v>223</v>
      </c>
      <c r="I8" s="23" t="s">
        <v>816</v>
      </c>
      <c r="J8" s="21" t="s">
        <v>90</v>
      </c>
      <c r="K8" s="21" t="s">
        <v>91</v>
      </c>
      <c r="L8" s="23" t="s">
        <v>145</v>
      </c>
      <c r="M8" s="23" t="s">
        <v>537</v>
      </c>
      <c r="N8" s="23" t="s">
        <v>173</v>
      </c>
      <c r="O8" s="23" t="s">
        <v>3114</v>
      </c>
      <c r="P8" s="21" t="s">
        <v>95</v>
      </c>
      <c r="Q8" s="23" t="s">
        <v>145</v>
      </c>
      <c r="R8" s="23" t="s">
        <v>208</v>
      </c>
      <c r="S8" s="23" t="s">
        <v>175</v>
      </c>
      <c r="T8" s="23"/>
      <c r="U8" s="158">
        <v>73</v>
      </c>
      <c r="V8" s="181">
        <v>3.71</v>
      </c>
      <c r="W8" s="182">
        <v>0</v>
      </c>
      <c r="X8" s="158">
        <v>2E-3</v>
      </c>
      <c r="Y8" s="180">
        <v>1.5649377506633699E-6</v>
      </c>
      <c r="Z8" s="180">
        <v>1.2614895057410901E-9</v>
      </c>
    </row>
    <row r="9" spans="1:26">
      <c r="A9" s="23">
        <v>161</v>
      </c>
      <c r="B9" s="23">
        <v>9943</v>
      </c>
      <c r="C9" s="23" t="s">
        <v>3088</v>
      </c>
      <c r="D9" s="23" t="s">
        <v>3089</v>
      </c>
      <c r="E9" s="21" t="s">
        <v>33</v>
      </c>
      <c r="F9" s="23" t="s">
        <v>3090</v>
      </c>
      <c r="G9" s="23" t="s">
        <v>3091</v>
      </c>
      <c r="H9" s="21" t="s">
        <v>223</v>
      </c>
      <c r="I9" s="23" t="s">
        <v>816</v>
      </c>
      <c r="J9" s="21" t="s">
        <v>30</v>
      </c>
      <c r="K9" s="21" t="s">
        <v>30</v>
      </c>
      <c r="L9" s="23" t="s">
        <v>145</v>
      </c>
      <c r="M9" s="23" t="s">
        <v>496</v>
      </c>
      <c r="N9" s="23" t="s">
        <v>173</v>
      </c>
      <c r="O9" s="23" t="s">
        <v>3092</v>
      </c>
      <c r="P9" s="21" t="s">
        <v>34</v>
      </c>
      <c r="Q9" s="23" t="s">
        <v>145</v>
      </c>
      <c r="R9" s="23" t="s">
        <v>208</v>
      </c>
      <c r="S9" s="23" t="s">
        <v>3093</v>
      </c>
      <c r="T9" s="23"/>
      <c r="U9" s="158">
        <v>525040</v>
      </c>
      <c r="V9" s="181">
        <v>1</v>
      </c>
      <c r="W9" s="182">
        <v>0</v>
      </c>
      <c r="X9" s="158">
        <v>0</v>
      </c>
      <c r="Y9" s="180">
        <v>3.5719887013771604E-9</v>
      </c>
      <c r="Z9" s="180">
        <v>2.8793645367062998E-12</v>
      </c>
    </row>
    <row r="10" spans="1:26">
      <c r="A10" s="23">
        <v>161</v>
      </c>
      <c r="B10" s="23">
        <v>9943</v>
      </c>
      <c r="C10" s="23" t="s">
        <v>3115</v>
      </c>
      <c r="D10" s="23" t="s">
        <v>3116</v>
      </c>
      <c r="E10" s="21" t="s">
        <v>33</v>
      </c>
      <c r="F10" s="23" t="s">
        <v>3115</v>
      </c>
      <c r="G10" s="23" t="s">
        <v>3117</v>
      </c>
      <c r="H10" s="21" t="s">
        <v>33</v>
      </c>
      <c r="I10" s="23" t="s">
        <v>816</v>
      </c>
      <c r="J10" s="21" t="s">
        <v>90</v>
      </c>
      <c r="K10" s="21" t="s">
        <v>91</v>
      </c>
      <c r="L10" s="23" t="s">
        <v>145</v>
      </c>
      <c r="M10" s="23" t="s">
        <v>594</v>
      </c>
      <c r="N10" s="23" t="s">
        <v>173</v>
      </c>
      <c r="O10" s="23" t="s">
        <v>3118</v>
      </c>
      <c r="P10" s="21" t="s">
        <v>95</v>
      </c>
      <c r="Q10" s="23" t="s">
        <v>145</v>
      </c>
      <c r="R10" s="23" t="s">
        <v>208</v>
      </c>
      <c r="S10" s="23" t="s">
        <v>3119</v>
      </c>
      <c r="T10" s="23"/>
      <c r="U10" s="158">
        <v>43720</v>
      </c>
      <c r="V10" s="181">
        <v>3.71</v>
      </c>
      <c r="W10" s="182">
        <v>505.08</v>
      </c>
      <c r="X10" s="158">
        <v>819.24599999999998</v>
      </c>
      <c r="Y10" s="180">
        <v>0.55735502364002298</v>
      </c>
      <c r="Z10" s="180">
        <v>4.4928145735887999E-4</v>
      </c>
    </row>
    <row r="11" spans="1:26">
      <c r="A11" s="23">
        <v>161</v>
      </c>
      <c r="B11" s="23">
        <v>9943</v>
      </c>
      <c r="C11" s="23" t="s">
        <v>3094</v>
      </c>
      <c r="D11" s="23" t="s">
        <v>2821</v>
      </c>
      <c r="E11" s="21" t="s">
        <v>1363</v>
      </c>
      <c r="F11" s="23" t="s">
        <v>3095</v>
      </c>
      <c r="G11" s="23" t="s">
        <v>3096</v>
      </c>
      <c r="H11" s="21" t="s">
        <v>33</v>
      </c>
      <c r="I11" s="23" t="s">
        <v>816</v>
      </c>
      <c r="J11" s="21" t="s">
        <v>90</v>
      </c>
      <c r="K11" s="21" t="s">
        <v>350</v>
      </c>
      <c r="L11" s="23" t="s">
        <v>145</v>
      </c>
      <c r="M11" s="23" t="s">
        <v>594</v>
      </c>
      <c r="N11" s="23" t="s">
        <v>173</v>
      </c>
      <c r="O11" s="23" t="s">
        <v>3097</v>
      </c>
      <c r="P11" s="21" t="s">
        <v>95</v>
      </c>
      <c r="Q11" s="23" t="s">
        <v>145</v>
      </c>
      <c r="R11" s="23" t="s">
        <v>208</v>
      </c>
      <c r="S11" s="23" t="s">
        <v>3098</v>
      </c>
      <c r="T11" s="23"/>
      <c r="U11" s="158">
        <v>17882.8</v>
      </c>
      <c r="V11" s="181">
        <v>3.71</v>
      </c>
      <c r="W11" s="182">
        <v>696</v>
      </c>
      <c r="X11" s="158">
        <v>461.76299999999998</v>
      </c>
      <c r="Y11" s="180">
        <v>0.31414948632678202</v>
      </c>
      <c r="Z11" s="180">
        <v>2.5323453285423098E-4</v>
      </c>
    </row>
    <row r="12" spans="1:26">
      <c r="A12" s="23">
        <v>161</v>
      </c>
      <c r="B12" s="23">
        <v>12468</v>
      </c>
      <c r="C12" s="23" t="s">
        <v>3088</v>
      </c>
      <c r="D12" s="23" t="s">
        <v>3089</v>
      </c>
      <c r="E12" s="21" t="s">
        <v>33</v>
      </c>
      <c r="F12" s="23" t="s">
        <v>3090</v>
      </c>
      <c r="G12" s="23" t="s">
        <v>3091</v>
      </c>
      <c r="H12" s="21" t="s">
        <v>223</v>
      </c>
      <c r="I12" s="23" t="s">
        <v>816</v>
      </c>
      <c r="J12" s="21" t="s">
        <v>30</v>
      </c>
      <c r="K12" s="21" t="s">
        <v>30</v>
      </c>
      <c r="L12" s="23" t="s">
        <v>145</v>
      </c>
      <c r="M12" s="23" t="s">
        <v>496</v>
      </c>
      <c r="N12" s="23" t="s">
        <v>173</v>
      </c>
      <c r="O12" s="23" t="s">
        <v>3092</v>
      </c>
      <c r="P12" s="21" t="s">
        <v>34</v>
      </c>
      <c r="Q12" s="23" t="s">
        <v>145</v>
      </c>
      <c r="R12" s="23" t="s">
        <v>208</v>
      </c>
      <c r="S12" s="23" t="s">
        <v>3093</v>
      </c>
      <c r="T12" s="23"/>
      <c r="U12" s="158">
        <v>7270</v>
      </c>
      <c r="V12" s="181">
        <v>1</v>
      </c>
      <c r="W12" s="182">
        <v>0</v>
      </c>
      <c r="X12" s="158">
        <v>0</v>
      </c>
      <c r="Y12" s="180">
        <v>1</v>
      </c>
      <c r="Z12" s="180">
        <v>4.76588749689956E-12</v>
      </c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243</v>
      </c>
      <c r="D1" s="22" t="s">
        <v>244</v>
      </c>
      <c r="E1" s="22" t="s">
        <v>245</v>
      </c>
      <c r="F1" s="22" t="s">
        <v>246</v>
      </c>
      <c r="G1" s="22" t="s">
        <v>247</v>
      </c>
      <c r="H1" s="22" t="s">
        <v>248</v>
      </c>
      <c r="I1" s="22" t="s">
        <v>5</v>
      </c>
      <c r="J1" s="22" t="s">
        <v>881</v>
      </c>
      <c r="K1" s="22" t="s">
        <v>6</v>
      </c>
      <c r="L1" s="22" t="s">
        <v>1175</v>
      </c>
      <c r="M1" s="22" t="s">
        <v>1176</v>
      </c>
      <c r="N1" s="22" t="s">
        <v>7</v>
      </c>
      <c r="O1" s="22" t="s">
        <v>159</v>
      </c>
      <c r="P1" s="32" t="s">
        <v>192</v>
      </c>
      <c r="Q1" s="22" t="s">
        <v>11</v>
      </c>
      <c r="R1" s="22" t="s">
        <v>185</v>
      </c>
      <c r="S1" s="22" t="s">
        <v>186</v>
      </c>
      <c r="T1" s="22" t="s">
        <v>168</v>
      </c>
      <c r="U1" s="165" t="s">
        <v>18</v>
      </c>
      <c r="V1" s="109" t="s">
        <v>2819</v>
      </c>
      <c r="W1" s="22" t="s">
        <v>20</v>
      </c>
      <c r="X1" s="171" t="s">
        <v>1178</v>
      </c>
      <c r="Y1" s="171" t="s">
        <v>24</v>
      </c>
      <c r="Z1" s="171" t="s">
        <v>25</v>
      </c>
      <c r="AA1" s="11"/>
    </row>
    <row r="2" spans="1:27">
      <c r="A2" s="23">
        <v>161</v>
      </c>
      <c r="B2" s="23">
        <v>9938</v>
      </c>
      <c r="C2" s="23" t="s">
        <v>2820</v>
      </c>
      <c r="D2" s="23" t="s">
        <v>2821</v>
      </c>
      <c r="E2" s="23" t="s">
        <v>1363</v>
      </c>
      <c r="F2" s="23" t="s">
        <v>2822</v>
      </c>
      <c r="G2" s="23">
        <v>27970027</v>
      </c>
      <c r="H2" s="23" t="s">
        <v>33</v>
      </c>
      <c r="I2" s="2" t="s">
        <v>1072</v>
      </c>
      <c r="J2" s="23" t="s">
        <v>901</v>
      </c>
      <c r="K2" s="21" t="s">
        <v>90</v>
      </c>
      <c r="L2" s="23"/>
      <c r="M2" s="23" t="s">
        <v>272</v>
      </c>
      <c r="N2" s="21" t="s">
        <v>30</v>
      </c>
      <c r="O2" s="23" t="s">
        <v>173</v>
      </c>
      <c r="P2" t="s">
        <v>2823</v>
      </c>
      <c r="Q2" s="21" t="s">
        <v>95</v>
      </c>
      <c r="R2" s="23" t="s">
        <v>941</v>
      </c>
      <c r="S2" s="23"/>
      <c r="T2" s="23" t="s">
        <v>2824</v>
      </c>
      <c r="U2" s="181">
        <v>3.71</v>
      </c>
      <c r="V2" s="158">
        <v>40.587000000000003</v>
      </c>
      <c r="W2" s="158">
        <v>150.577</v>
      </c>
      <c r="X2" s="180">
        <v>0</v>
      </c>
      <c r="Y2" s="180">
        <v>0.38662872362135697</v>
      </c>
      <c r="Z2" s="180">
        <v>2.2704978345936401E-3</v>
      </c>
    </row>
    <row r="3" spans="1:27">
      <c r="A3" s="23">
        <v>161</v>
      </c>
      <c r="B3" s="23">
        <v>9938</v>
      </c>
      <c r="C3" s="23" t="s">
        <v>2825</v>
      </c>
      <c r="D3" s="2" t="s">
        <v>2826</v>
      </c>
      <c r="E3" s="23" t="s">
        <v>33</v>
      </c>
      <c r="F3" s="23" t="s">
        <v>2827</v>
      </c>
      <c r="G3" s="23">
        <v>27970029</v>
      </c>
      <c r="H3" s="23" t="s">
        <v>33</v>
      </c>
      <c r="I3" s="2" t="s">
        <v>1072</v>
      </c>
      <c r="J3" s="23" t="s">
        <v>903</v>
      </c>
      <c r="K3" s="21" t="s">
        <v>90</v>
      </c>
      <c r="L3" s="23"/>
      <c r="M3" s="23" t="s">
        <v>347</v>
      </c>
      <c r="N3" s="21" t="s">
        <v>347</v>
      </c>
      <c r="O3" s="23" t="s">
        <v>173</v>
      </c>
      <c r="P3" t="s">
        <v>2828</v>
      </c>
      <c r="Q3" s="21" t="s">
        <v>95</v>
      </c>
      <c r="R3" s="23" t="s">
        <v>941</v>
      </c>
      <c r="S3" s="23"/>
      <c r="T3" s="30" t="s">
        <v>175</v>
      </c>
      <c r="U3" s="181">
        <v>3.71</v>
      </c>
      <c r="V3" s="158">
        <v>64.388999999999996</v>
      </c>
      <c r="W3" s="158">
        <v>238.88399999999999</v>
      </c>
      <c r="X3" s="187">
        <v>0</v>
      </c>
      <c r="Y3" s="180">
        <v>0.61337127637864297</v>
      </c>
      <c r="Z3" s="180">
        <v>3.6020555890812099E-3</v>
      </c>
    </row>
    <row r="4" spans="1:27">
      <c r="A4" s="23">
        <v>161</v>
      </c>
      <c r="B4" s="23">
        <v>9942</v>
      </c>
      <c r="C4" s="23" t="s">
        <v>2825</v>
      </c>
      <c r="D4" s="2" t="s">
        <v>2826</v>
      </c>
      <c r="E4" s="23" t="s">
        <v>33</v>
      </c>
      <c r="F4" s="23" t="s">
        <v>2827</v>
      </c>
      <c r="G4" s="23">
        <v>27970029</v>
      </c>
      <c r="H4" s="23" t="s">
        <v>33</v>
      </c>
      <c r="I4" s="2" t="s">
        <v>1072</v>
      </c>
      <c r="J4" s="23" t="s">
        <v>903</v>
      </c>
      <c r="K4" s="21" t="s">
        <v>90</v>
      </c>
      <c r="L4" s="23"/>
      <c r="M4" s="23" t="s">
        <v>347</v>
      </c>
      <c r="N4" s="21" t="s">
        <v>347</v>
      </c>
      <c r="O4" s="23" t="s">
        <v>173</v>
      </c>
      <c r="P4" t="s">
        <v>2828</v>
      </c>
      <c r="Q4" s="21" t="s">
        <v>95</v>
      </c>
      <c r="R4" s="23" t="s">
        <v>941</v>
      </c>
      <c r="S4" s="23"/>
      <c r="T4" s="23" t="s">
        <v>175</v>
      </c>
      <c r="U4" s="181">
        <v>3.71</v>
      </c>
      <c r="V4" s="158">
        <v>64.388999999999996</v>
      </c>
      <c r="W4" s="158">
        <v>238.88399999999999</v>
      </c>
      <c r="X4" s="187">
        <v>0</v>
      </c>
      <c r="Y4" s="180">
        <v>1</v>
      </c>
      <c r="Z4" s="180">
        <v>2.60640804433869E-3</v>
      </c>
    </row>
    <row r="5" spans="1:27">
      <c r="A5" s="23">
        <v>161</v>
      </c>
      <c r="B5" s="23">
        <v>9943</v>
      </c>
      <c r="C5" s="23" t="s">
        <v>2829</v>
      </c>
      <c r="D5" s="2" t="s">
        <v>2830</v>
      </c>
      <c r="E5" s="23" t="s">
        <v>220</v>
      </c>
      <c r="F5" s="23" t="s">
        <v>2831</v>
      </c>
      <c r="G5" s="23">
        <v>27970039</v>
      </c>
      <c r="H5" s="23" t="s">
        <v>33</v>
      </c>
      <c r="I5" s="2" t="s">
        <v>1072</v>
      </c>
      <c r="J5" s="23" t="s">
        <v>897</v>
      </c>
      <c r="K5" s="21" t="s">
        <v>30</v>
      </c>
      <c r="L5" s="23" t="s">
        <v>272</v>
      </c>
      <c r="M5" s="23" t="s">
        <v>2832</v>
      </c>
      <c r="N5" s="21" t="s">
        <v>30</v>
      </c>
      <c r="O5" s="23" t="s">
        <v>173</v>
      </c>
      <c r="P5" t="s">
        <v>2833</v>
      </c>
      <c r="Q5" s="21" t="s">
        <v>34</v>
      </c>
      <c r="R5" s="23" t="s">
        <v>941</v>
      </c>
      <c r="S5" s="23" t="s">
        <v>208</v>
      </c>
      <c r="T5" s="23" t="s">
        <v>175</v>
      </c>
      <c r="U5" s="181">
        <v>1</v>
      </c>
      <c r="V5" s="158">
        <v>5456.0110000000004</v>
      </c>
      <c r="W5" s="158">
        <v>5456.0110000000004</v>
      </c>
      <c r="X5" s="187">
        <v>0</v>
      </c>
      <c r="Y5" s="180">
        <v>2.02873153206071E-2</v>
      </c>
      <c r="Z5" s="180">
        <v>2.9921233584774701E-3</v>
      </c>
    </row>
    <row r="6" spans="1:27">
      <c r="A6" s="23">
        <v>161</v>
      </c>
      <c r="B6" s="23">
        <v>9943</v>
      </c>
      <c r="C6" s="23" t="s">
        <v>2834</v>
      </c>
      <c r="D6" s="2" t="s">
        <v>2835</v>
      </c>
      <c r="E6" s="23" t="s">
        <v>1363</v>
      </c>
      <c r="F6" s="23" t="s">
        <v>2836</v>
      </c>
      <c r="G6" s="23">
        <v>27970034</v>
      </c>
      <c r="H6" s="23" t="s">
        <v>33</v>
      </c>
      <c r="I6" s="2" t="s">
        <v>1074</v>
      </c>
      <c r="J6" s="23" t="s">
        <v>899</v>
      </c>
      <c r="K6" s="21" t="s">
        <v>30</v>
      </c>
      <c r="L6" s="23" t="s">
        <v>272</v>
      </c>
      <c r="M6" s="23" t="s">
        <v>2837</v>
      </c>
      <c r="N6" s="21" t="s">
        <v>30</v>
      </c>
      <c r="O6" s="23" t="s">
        <v>173</v>
      </c>
      <c r="P6" t="s">
        <v>2838</v>
      </c>
      <c r="Q6" s="21" t="s">
        <v>34</v>
      </c>
      <c r="R6" s="23" t="s">
        <v>145</v>
      </c>
      <c r="S6" s="23" t="s">
        <v>208</v>
      </c>
      <c r="T6" s="23" t="s">
        <v>2839</v>
      </c>
      <c r="U6" s="181">
        <v>1</v>
      </c>
      <c r="V6" s="158">
        <v>2232.3009999999999</v>
      </c>
      <c r="W6" s="158">
        <v>2232.3009999999999</v>
      </c>
      <c r="X6" s="180">
        <v>0</v>
      </c>
      <c r="Y6" s="180">
        <v>8.3004570899987504E-3</v>
      </c>
      <c r="Z6" s="180">
        <v>1.2242128222750999E-3</v>
      </c>
    </row>
    <row r="7" spans="1:27">
      <c r="A7" s="23">
        <v>161</v>
      </c>
      <c r="B7" s="23">
        <v>9943</v>
      </c>
      <c r="C7" s="23" t="s">
        <v>2834</v>
      </c>
      <c r="D7" s="2" t="s">
        <v>2835</v>
      </c>
      <c r="E7" s="23" t="s">
        <v>1363</v>
      </c>
      <c r="F7" s="23" t="s">
        <v>2840</v>
      </c>
      <c r="G7" s="23">
        <v>27970033</v>
      </c>
      <c r="H7" s="23" t="s">
        <v>33</v>
      </c>
      <c r="I7" s="2" t="s">
        <v>1074</v>
      </c>
      <c r="J7" s="23" t="s">
        <v>899</v>
      </c>
      <c r="K7" s="21" t="s">
        <v>30</v>
      </c>
      <c r="L7" s="23" t="s">
        <v>30</v>
      </c>
      <c r="M7" s="23" t="s">
        <v>2837</v>
      </c>
      <c r="N7" s="21" t="s">
        <v>30</v>
      </c>
      <c r="O7" s="23" t="s">
        <v>173</v>
      </c>
      <c r="P7" t="s">
        <v>2838</v>
      </c>
      <c r="Q7" s="21" t="s">
        <v>34</v>
      </c>
      <c r="R7" s="23" t="s">
        <v>145</v>
      </c>
      <c r="S7" s="23" t="s">
        <v>208</v>
      </c>
      <c r="T7" s="23" t="s">
        <v>2839</v>
      </c>
      <c r="U7" s="181">
        <v>1</v>
      </c>
      <c r="V7" s="158">
        <v>2201.0160000000001</v>
      </c>
      <c r="W7" s="158">
        <v>2201.0160000000001</v>
      </c>
      <c r="X7" s="180">
        <v>0</v>
      </c>
      <c r="Y7" s="180">
        <v>8.1841303515363603E-3</v>
      </c>
      <c r="Z7" s="180">
        <v>1.2070560942473499E-3</v>
      </c>
    </row>
    <row r="8" spans="1:27">
      <c r="A8" s="23">
        <v>161</v>
      </c>
      <c r="B8" s="23">
        <v>9943</v>
      </c>
      <c r="C8" s="23" t="s">
        <v>1351</v>
      </c>
      <c r="D8" s="2" t="s">
        <v>2841</v>
      </c>
      <c r="E8" s="23" t="s">
        <v>33</v>
      </c>
      <c r="F8" s="23" t="s">
        <v>2842</v>
      </c>
      <c r="G8" s="23">
        <v>27950001</v>
      </c>
      <c r="H8" s="23" t="s">
        <v>33</v>
      </c>
      <c r="I8" s="2" t="s">
        <v>1074</v>
      </c>
      <c r="J8" s="23" t="s">
        <v>617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173</v>
      </c>
      <c r="P8" t="s">
        <v>2843</v>
      </c>
      <c r="Q8" s="21" t="s">
        <v>34</v>
      </c>
      <c r="R8" s="23" t="s">
        <v>206</v>
      </c>
      <c r="S8" s="23"/>
      <c r="T8" s="23" t="s">
        <v>2844</v>
      </c>
      <c r="U8" s="181">
        <v>1</v>
      </c>
      <c r="V8" s="158">
        <v>3145.86</v>
      </c>
      <c r="W8" s="158">
        <v>3145.86</v>
      </c>
      <c r="X8" s="180">
        <v>0</v>
      </c>
      <c r="Y8" s="180">
        <v>1.1697384449651901E-2</v>
      </c>
      <c r="Z8" s="180">
        <v>1.72521680132526E-3</v>
      </c>
    </row>
    <row r="9" spans="1:27">
      <c r="A9" s="23">
        <v>161</v>
      </c>
      <c r="B9" s="23">
        <v>9943</v>
      </c>
      <c r="C9" s="23" t="s">
        <v>2845</v>
      </c>
      <c r="D9" s="2" t="s">
        <v>2846</v>
      </c>
      <c r="E9" s="23" t="s">
        <v>364</v>
      </c>
      <c r="F9" s="23" t="s">
        <v>2847</v>
      </c>
      <c r="G9" s="23">
        <v>27950002</v>
      </c>
      <c r="H9" s="23" t="s">
        <v>33</v>
      </c>
      <c r="I9" s="2" t="s">
        <v>1072</v>
      </c>
      <c r="J9" s="23" t="s">
        <v>617</v>
      </c>
      <c r="K9" s="21" t="s">
        <v>30</v>
      </c>
      <c r="L9" s="23"/>
      <c r="M9" s="23"/>
      <c r="N9" s="21" t="s">
        <v>30</v>
      </c>
      <c r="O9" s="23" t="s">
        <v>173</v>
      </c>
      <c r="P9" t="s">
        <v>2848</v>
      </c>
      <c r="Q9" s="21" t="s">
        <v>34</v>
      </c>
      <c r="R9" s="23" t="s">
        <v>145</v>
      </c>
      <c r="S9" s="23"/>
      <c r="T9" s="23" t="s">
        <v>2849</v>
      </c>
      <c r="U9" s="181">
        <v>1</v>
      </c>
      <c r="V9" s="158">
        <v>4945</v>
      </c>
      <c r="W9" s="158">
        <v>4945</v>
      </c>
      <c r="X9" s="180">
        <v>0</v>
      </c>
      <c r="Y9" s="180">
        <v>1.8387201734761899E-2</v>
      </c>
      <c r="Z9" s="180">
        <v>2.71188054891297E-3</v>
      </c>
    </row>
    <row r="10" spans="1:27">
      <c r="A10" s="23">
        <v>161</v>
      </c>
      <c r="B10" s="23">
        <v>9943</v>
      </c>
      <c r="C10" s="23" t="s">
        <v>2850</v>
      </c>
      <c r="D10" s="2" t="s">
        <v>2851</v>
      </c>
      <c r="E10" s="23" t="s">
        <v>1363</v>
      </c>
      <c r="F10" s="23" t="s">
        <v>2852</v>
      </c>
      <c r="G10" s="23">
        <v>62011879</v>
      </c>
      <c r="H10" s="23" t="s">
        <v>33</v>
      </c>
      <c r="I10" s="2" t="s">
        <v>1076</v>
      </c>
      <c r="J10" s="23" t="s">
        <v>889</v>
      </c>
      <c r="K10" s="21" t="s">
        <v>90</v>
      </c>
      <c r="L10" s="23" t="s">
        <v>347</v>
      </c>
      <c r="M10" s="23" t="s">
        <v>2853</v>
      </c>
      <c r="N10" s="21" t="s">
        <v>350</v>
      </c>
      <c r="O10" s="23" t="s">
        <v>173</v>
      </c>
      <c r="P10" t="s">
        <v>2854</v>
      </c>
      <c r="Q10" s="21" t="s">
        <v>1225</v>
      </c>
      <c r="R10" s="23" t="s">
        <v>145</v>
      </c>
      <c r="S10" s="23" t="s">
        <v>943</v>
      </c>
      <c r="T10" s="23" t="s">
        <v>2855</v>
      </c>
      <c r="U10" s="181">
        <v>4.1524000000000001</v>
      </c>
      <c r="V10" s="158">
        <v>1622.3230000000001</v>
      </c>
      <c r="W10" s="158">
        <v>6736.5339999999997</v>
      </c>
      <c r="X10" s="180">
        <v>0</v>
      </c>
      <c r="Y10" s="180">
        <v>2.5048736230000201E-2</v>
      </c>
      <c r="Z10" s="180">
        <v>3.6943729414011801E-3</v>
      </c>
    </row>
    <row r="11" spans="1:27">
      <c r="A11" s="23">
        <v>161</v>
      </c>
      <c r="B11" s="23">
        <v>9943</v>
      </c>
      <c r="C11" s="23" t="s">
        <v>2856</v>
      </c>
      <c r="D11" s="2" t="s">
        <v>2857</v>
      </c>
      <c r="E11" s="23" t="s">
        <v>364</v>
      </c>
      <c r="F11" s="23" t="s">
        <v>2858</v>
      </c>
      <c r="G11" s="23">
        <v>9840783</v>
      </c>
      <c r="H11" s="23" t="s">
        <v>33</v>
      </c>
      <c r="I11" s="2" t="s">
        <v>1072</v>
      </c>
      <c r="J11" s="23" t="s">
        <v>883</v>
      </c>
      <c r="K11" s="21" t="s">
        <v>30</v>
      </c>
      <c r="L11" s="23" t="s">
        <v>30</v>
      </c>
      <c r="M11" s="23" t="s">
        <v>2859</v>
      </c>
      <c r="N11" s="21" t="s">
        <v>30</v>
      </c>
      <c r="O11" s="23" t="s">
        <v>173</v>
      </c>
      <c r="P11" t="s">
        <v>203</v>
      </c>
      <c r="Q11" s="21" t="s">
        <v>95</v>
      </c>
      <c r="R11" s="23" t="s">
        <v>145</v>
      </c>
      <c r="S11" s="23" t="s">
        <v>943</v>
      </c>
      <c r="T11" s="23" t="s">
        <v>2860</v>
      </c>
      <c r="U11" s="181">
        <v>3.71</v>
      </c>
      <c r="V11" s="158">
        <v>33.929000000000002</v>
      </c>
      <c r="W11" s="158">
        <v>125.875</v>
      </c>
      <c r="X11" s="180">
        <v>0</v>
      </c>
      <c r="Y11" s="180">
        <v>4.6804794743610502E-4</v>
      </c>
      <c r="Z11" s="180">
        <v>6.9031174124280299E-5</v>
      </c>
    </row>
    <row r="12" spans="1:27">
      <c r="A12" s="23">
        <v>161</v>
      </c>
      <c r="B12" s="23">
        <v>9943</v>
      </c>
      <c r="C12" s="23" t="s">
        <v>2861</v>
      </c>
      <c r="D12" s="2" t="s">
        <v>2862</v>
      </c>
      <c r="E12" s="23" t="s">
        <v>365</v>
      </c>
      <c r="F12" s="23" t="s">
        <v>2863</v>
      </c>
      <c r="G12" s="23">
        <v>27971038</v>
      </c>
      <c r="H12" s="23" t="s">
        <v>33</v>
      </c>
      <c r="I12" s="2" t="s">
        <v>1072</v>
      </c>
      <c r="J12" s="23" t="s">
        <v>617</v>
      </c>
      <c r="K12" s="21" t="s">
        <v>30</v>
      </c>
      <c r="L12" s="23"/>
      <c r="M12" s="23"/>
      <c r="N12" s="21" t="s">
        <v>350</v>
      </c>
      <c r="O12" s="23" t="s">
        <v>173</v>
      </c>
      <c r="P12" t="s">
        <v>2864</v>
      </c>
      <c r="Q12" s="21" t="s">
        <v>34</v>
      </c>
      <c r="R12" s="23" t="s">
        <v>145</v>
      </c>
      <c r="S12" s="23"/>
      <c r="T12" s="23" t="s">
        <v>2865</v>
      </c>
      <c r="U12" s="181">
        <v>1</v>
      </c>
      <c r="V12" s="158">
        <v>845.39499999999998</v>
      </c>
      <c r="W12" s="158">
        <v>845.39499999999998</v>
      </c>
      <c r="X12" s="180">
        <v>0</v>
      </c>
      <c r="Y12" s="180">
        <v>3.1434685718906702E-3</v>
      </c>
      <c r="Z12" s="180">
        <v>4.6362200182495302E-4</v>
      </c>
    </row>
    <row r="13" spans="1:27">
      <c r="A13" s="23">
        <v>161</v>
      </c>
      <c r="B13" s="23">
        <v>9943</v>
      </c>
      <c r="C13" s="23" t="s">
        <v>2866</v>
      </c>
      <c r="D13" s="2" t="s">
        <v>2862</v>
      </c>
      <c r="E13" s="23" t="s">
        <v>365</v>
      </c>
      <c r="F13" s="23" t="s">
        <v>2867</v>
      </c>
      <c r="G13" s="23">
        <v>27970001</v>
      </c>
      <c r="H13" s="23" t="s">
        <v>33</v>
      </c>
      <c r="I13" s="2" t="s">
        <v>1072</v>
      </c>
      <c r="J13" s="23" t="s">
        <v>895</v>
      </c>
      <c r="K13" s="21" t="s">
        <v>30</v>
      </c>
      <c r="L13" s="23" t="s">
        <v>272</v>
      </c>
      <c r="M13" s="23" t="s">
        <v>2868</v>
      </c>
      <c r="N13" s="21" t="s">
        <v>30</v>
      </c>
      <c r="O13" s="23" t="s">
        <v>173</v>
      </c>
      <c r="P13" t="s">
        <v>2869</v>
      </c>
      <c r="Q13" s="21" t="s">
        <v>34</v>
      </c>
      <c r="R13" s="23" t="s">
        <v>145</v>
      </c>
      <c r="S13" s="23" t="s">
        <v>943</v>
      </c>
      <c r="T13" s="23" t="s">
        <v>2870</v>
      </c>
      <c r="U13" s="181">
        <v>1</v>
      </c>
      <c r="V13" s="158">
        <v>3153.2170000000001</v>
      </c>
      <c r="W13" s="158">
        <v>3153.2170000000001</v>
      </c>
      <c r="X13" s="180">
        <v>0</v>
      </c>
      <c r="Y13" s="180">
        <v>1.17247395164021E-2</v>
      </c>
      <c r="Z13" s="180">
        <v>1.72925132895509E-3</v>
      </c>
    </row>
    <row r="14" spans="1:27">
      <c r="A14" s="23">
        <v>161</v>
      </c>
      <c r="B14" s="23">
        <v>9943</v>
      </c>
      <c r="C14" s="23" t="s">
        <v>2871</v>
      </c>
      <c r="D14" s="2" t="s">
        <v>2872</v>
      </c>
      <c r="E14" s="23" t="s">
        <v>33</v>
      </c>
      <c r="F14" s="23" t="s">
        <v>2873</v>
      </c>
      <c r="G14" s="23">
        <v>27970016</v>
      </c>
      <c r="H14" s="23" t="s">
        <v>33</v>
      </c>
      <c r="I14" s="2" t="s">
        <v>1072</v>
      </c>
      <c r="J14" s="23" t="s">
        <v>899</v>
      </c>
      <c r="K14" s="21" t="s">
        <v>90</v>
      </c>
      <c r="L14" s="23" t="s">
        <v>30</v>
      </c>
      <c r="M14" s="23" t="s">
        <v>2874</v>
      </c>
      <c r="N14" s="21" t="s">
        <v>91</v>
      </c>
      <c r="O14" s="23" t="s">
        <v>173</v>
      </c>
      <c r="P14" t="s">
        <v>2875</v>
      </c>
      <c r="Q14" s="21" t="s">
        <v>95</v>
      </c>
      <c r="R14" s="23" t="s">
        <v>145</v>
      </c>
      <c r="S14" s="23" t="s">
        <v>208</v>
      </c>
      <c r="T14" s="23" t="s">
        <v>2824</v>
      </c>
      <c r="U14" s="181">
        <v>3.71</v>
      </c>
      <c r="V14" s="158">
        <v>542.96400000000006</v>
      </c>
      <c r="W14" s="158">
        <v>2014.3969999999999</v>
      </c>
      <c r="X14" s="180">
        <v>1.1720000000000001E-3</v>
      </c>
      <c r="Y14" s="180">
        <v>7.4902175580380502E-3</v>
      </c>
      <c r="Z14" s="180">
        <v>1.10471270157263E-3</v>
      </c>
    </row>
    <row r="15" spans="1:27">
      <c r="A15" s="23">
        <v>161</v>
      </c>
      <c r="B15" s="23">
        <v>9943</v>
      </c>
      <c r="C15" s="23" t="s">
        <v>2876</v>
      </c>
      <c r="D15" s="2" t="s">
        <v>2877</v>
      </c>
      <c r="E15" s="23" t="s">
        <v>33</v>
      </c>
      <c r="F15" s="23" t="s">
        <v>2878</v>
      </c>
      <c r="G15" s="23">
        <v>27970018</v>
      </c>
      <c r="H15" s="23" t="s">
        <v>33</v>
      </c>
      <c r="I15" s="2" t="s">
        <v>1072</v>
      </c>
      <c r="J15" s="23" t="s">
        <v>617</v>
      </c>
      <c r="K15" s="21" t="s">
        <v>30</v>
      </c>
      <c r="L15" s="23"/>
      <c r="M15" s="23"/>
      <c r="N15" s="21" t="s">
        <v>30</v>
      </c>
      <c r="O15" s="23" t="s">
        <v>173</v>
      </c>
      <c r="P15" t="s">
        <v>2879</v>
      </c>
      <c r="Q15" s="21" t="s">
        <v>95</v>
      </c>
      <c r="R15" s="23" t="s">
        <v>145</v>
      </c>
      <c r="S15" s="23"/>
      <c r="T15" s="23" t="s">
        <v>2865</v>
      </c>
      <c r="U15" s="181">
        <v>3.71</v>
      </c>
      <c r="V15" s="158">
        <v>199.232</v>
      </c>
      <c r="W15" s="158">
        <v>739.15</v>
      </c>
      <c r="X15" s="180">
        <v>0</v>
      </c>
      <c r="Y15" s="180">
        <v>2.7484108335184198E-3</v>
      </c>
      <c r="Z15" s="180">
        <v>4.0535596374892402E-4</v>
      </c>
    </row>
    <row r="16" spans="1:27">
      <c r="A16" s="23">
        <v>161</v>
      </c>
      <c r="B16" s="23">
        <v>9943</v>
      </c>
      <c r="C16" s="23" t="s">
        <v>2820</v>
      </c>
      <c r="D16" s="2" t="s">
        <v>2821</v>
      </c>
      <c r="E16" s="23" t="s">
        <v>1363</v>
      </c>
      <c r="F16" s="23" t="s">
        <v>2822</v>
      </c>
      <c r="G16" s="23">
        <v>27970027</v>
      </c>
      <c r="H16" s="23" t="s">
        <v>33</v>
      </c>
      <c r="I16" s="2" t="s">
        <v>1072</v>
      </c>
      <c r="J16" s="23" t="s">
        <v>901</v>
      </c>
      <c r="K16" s="21" t="s">
        <v>90</v>
      </c>
      <c r="L16" s="23"/>
      <c r="M16" s="23" t="s">
        <v>272</v>
      </c>
      <c r="N16" s="21" t="s">
        <v>30</v>
      </c>
      <c r="O16" s="23" t="s">
        <v>173</v>
      </c>
      <c r="P16" t="s">
        <v>2823</v>
      </c>
      <c r="Q16" s="21" t="s">
        <v>95</v>
      </c>
      <c r="R16" s="23" t="s">
        <v>941</v>
      </c>
      <c r="S16" s="23"/>
      <c r="T16" s="23" t="s">
        <v>2824</v>
      </c>
      <c r="U16" s="181">
        <v>3.71</v>
      </c>
      <c r="V16" s="158">
        <v>243.52</v>
      </c>
      <c r="W16" s="158">
        <v>903.46</v>
      </c>
      <c r="X16" s="180">
        <v>0</v>
      </c>
      <c r="Y16" s="180">
        <v>3.3593731471850902E-3</v>
      </c>
      <c r="Z16" s="180">
        <v>4.9546520595183897E-4</v>
      </c>
    </row>
    <row r="17" spans="1:26">
      <c r="A17" s="23">
        <v>161</v>
      </c>
      <c r="B17" s="23">
        <v>9943</v>
      </c>
      <c r="C17" s="23" t="s">
        <v>2880</v>
      </c>
      <c r="D17" s="2" t="s">
        <v>2881</v>
      </c>
      <c r="E17" s="23" t="s">
        <v>365</v>
      </c>
      <c r="F17" s="23" t="s">
        <v>2882</v>
      </c>
      <c r="G17" s="23">
        <v>604066001</v>
      </c>
      <c r="H17" s="23" t="s">
        <v>33</v>
      </c>
      <c r="I17" s="2" t="s">
        <v>1072</v>
      </c>
      <c r="J17" s="23" t="s">
        <v>888</v>
      </c>
      <c r="K17" s="21" t="s">
        <v>90</v>
      </c>
      <c r="L17" s="23" t="s">
        <v>272</v>
      </c>
      <c r="M17" s="23" t="s">
        <v>2883</v>
      </c>
      <c r="N17" s="21" t="s">
        <v>91</v>
      </c>
      <c r="O17" s="23" t="s">
        <v>173</v>
      </c>
      <c r="P17" t="s">
        <v>2884</v>
      </c>
      <c r="Q17" s="21" t="s">
        <v>95</v>
      </c>
      <c r="R17" s="23" t="s">
        <v>145</v>
      </c>
      <c r="S17" s="23" t="s">
        <v>943</v>
      </c>
      <c r="T17" s="23" t="s">
        <v>175</v>
      </c>
      <c r="U17" s="181">
        <v>3.71</v>
      </c>
      <c r="V17" s="158">
        <v>3216.3119999999999</v>
      </c>
      <c r="W17" s="158">
        <v>11932.518</v>
      </c>
      <c r="X17" s="180">
        <v>0</v>
      </c>
      <c r="Y17" s="180">
        <v>4.4369182374887801E-2</v>
      </c>
      <c r="Z17" s="180">
        <v>6.5438952804956997E-3</v>
      </c>
    </row>
    <row r="18" spans="1:26">
      <c r="A18" s="23">
        <v>161</v>
      </c>
      <c r="B18" s="23">
        <v>9943</v>
      </c>
      <c r="C18" s="23" t="s">
        <v>2885</v>
      </c>
      <c r="D18" s="2" t="s">
        <v>2886</v>
      </c>
      <c r="E18" s="23" t="s">
        <v>1363</v>
      </c>
      <c r="F18" s="23" t="s">
        <v>2887</v>
      </c>
      <c r="G18" s="23">
        <v>35196</v>
      </c>
      <c r="H18" s="23" t="s">
        <v>33</v>
      </c>
      <c r="I18" s="2" t="s">
        <v>1074</v>
      </c>
      <c r="J18" s="23" t="s">
        <v>899</v>
      </c>
      <c r="K18" s="21" t="s">
        <v>30</v>
      </c>
      <c r="L18" s="23" t="s">
        <v>272</v>
      </c>
      <c r="M18" s="23" t="s">
        <v>2888</v>
      </c>
      <c r="N18" s="21" t="s">
        <v>30</v>
      </c>
      <c r="O18" s="23" t="s">
        <v>173</v>
      </c>
      <c r="P18" t="s">
        <v>203</v>
      </c>
      <c r="Q18" s="21" t="s">
        <v>34</v>
      </c>
      <c r="R18" s="23" t="s">
        <v>145</v>
      </c>
      <c r="S18" s="23" t="s">
        <v>208</v>
      </c>
      <c r="T18" s="23" t="s">
        <v>2839</v>
      </c>
      <c r="U18" s="181">
        <v>1</v>
      </c>
      <c r="V18" s="158">
        <v>9835.9480000000003</v>
      </c>
      <c r="W18" s="158">
        <v>9835.9480000000003</v>
      </c>
      <c r="X18" s="180">
        <v>0</v>
      </c>
      <c r="Y18" s="180">
        <v>3.6573420719854498E-2</v>
      </c>
      <c r="Z18" s="180">
        <v>5.39411867494086E-3</v>
      </c>
    </row>
    <row r="19" spans="1:26">
      <c r="A19" s="23">
        <v>161</v>
      </c>
      <c r="B19" s="23">
        <v>9943</v>
      </c>
      <c r="C19" s="23" t="s">
        <v>2889</v>
      </c>
      <c r="D19" s="2" t="s">
        <v>2890</v>
      </c>
      <c r="E19" s="23" t="s">
        <v>364</v>
      </c>
      <c r="F19" s="23" t="s">
        <v>2891</v>
      </c>
      <c r="G19" s="23">
        <v>78923</v>
      </c>
      <c r="H19" s="23" t="s">
        <v>33</v>
      </c>
      <c r="I19" s="2" t="s">
        <v>1072</v>
      </c>
      <c r="J19" s="23" t="s">
        <v>897</v>
      </c>
      <c r="K19" s="21" t="s">
        <v>30</v>
      </c>
      <c r="L19" s="23" t="s">
        <v>30</v>
      </c>
      <c r="M19" s="23" t="s">
        <v>2892</v>
      </c>
      <c r="N19" s="21" t="s">
        <v>30</v>
      </c>
      <c r="O19" s="23" t="s">
        <v>173</v>
      </c>
      <c r="P19" t="s">
        <v>2893</v>
      </c>
      <c r="Q19" s="21" t="s">
        <v>34</v>
      </c>
      <c r="R19" s="23" t="s">
        <v>145</v>
      </c>
      <c r="S19" s="23" t="s">
        <v>208</v>
      </c>
      <c r="T19" s="23" t="s">
        <v>2894</v>
      </c>
      <c r="U19" s="181">
        <v>1</v>
      </c>
      <c r="V19" s="158">
        <v>6941.5429999999997</v>
      </c>
      <c r="W19" s="158">
        <v>6941.5429999999997</v>
      </c>
      <c r="X19" s="180">
        <v>0</v>
      </c>
      <c r="Y19" s="180">
        <v>2.5811031585523801E-2</v>
      </c>
      <c r="Z19" s="180">
        <v>3.8068019002493901E-3</v>
      </c>
    </row>
    <row r="20" spans="1:26">
      <c r="A20" s="2">
        <v>161</v>
      </c>
      <c r="B20" s="2">
        <v>9943</v>
      </c>
      <c r="C20" s="2" t="s">
        <v>2889</v>
      </c>
      <c r="D20" s="2" t="s">
        <v>2895</v>
      </c>
      <c r="E20" s="23" t="s">
        <v>1363</v>
      </c>
      <c r="F20" s="2" t="s">
        <v>2896</v>
      </c>
      <c r="G20" s="2">
        <v>27970003</v>
      </c>
      <c r="H20" s="23" t="s">
        <v>33</v>
      </c>
      <c r="I20" s="2" t="s">
        <v>1072</v>
      </c>
      <c r="J20" s="23" t="s">
        <v>897</v>
      </c>
      <c r="K20" s="21" t="s">
        <v>30</v>
      </c>
      <c r="L20" s="23" t="s">
        <v>30</v>
      </c>
      <c r="M20" s="23" t="s">
        <v>2892</v>
      </c>
      <c r="N20" s="21" t="s">
        <v>30</v>
      </c>
      <c r="O20" s="23" t="s">
        <v>173</v>
      </c>
      <c r="P20" t="s">
        <v>2897</v>
      </c>
      <c r="Q20" s="2" t="s">
        <v>34</v>
      </c>
      <c r="R20" s="23" t="s">
        <v>145</v>
      </c>
      <c r="S20" s="23" t="s">
        <v>208</v>
      </c>
      <c r="T20" s="2" t="s">
        <v>2898</v>
      </c>
      <c r="U20" s="166">
        <v>1</v>
      </c>
      <c r="V20" s="156">
        <v>4419.5469999999996</v>
      </c>
      <c r="W20" s="156">
        <v>4419.5469999999996</v>
      </c>
      <c r="X20" s="172">
        <v>1.9880000000000002E-3</v>
      </c>
      <c r="Y20" s="172">
        <v>1.6433387782435499E-2</v>
      </c>
      <c r="Z20" s="172">
        <v>2.4237176119995402E-3</v>
      </c>
    </row>
    <row r="21" spans="1:26">
      <c r="A21" s="2">
        <v>161</v>
      </c>
      <c r="B21" s="2">
        <v>9943</v>
      </c>
      <c r="C21" s="2" t="s">
        <v>2834</v>
      </c>
      <c r="D21" s="2" t="s">
        <v>2835</v>
      </c>
      <c r="E21" s="2" t="s">
        <v>1363</v>
      </c>
      <c r="F21" s="2" t="s">
        <v>2899</v>
      </c>
      <c r="G21" s="2">
        <v>27970014</v>
      </c>
      <c r="H21" s="2" t="s">
        <v>33</v>
      </c>
      <c r="I21" s="2" t="s">
        <v>1074</v>
      </c>
      <c r="J21" s="2" t="s">
        <v>899</v>
      </c>
      <c r="K21" s="2" t="s">
        <v>30</v>
      </c>
      <c r="L21" s="2" t="s">
        <v>272</v>
      </c>
      <c r="M21" s="2" t="s">
        <v>2837</v>
      </c>
      <c r="N21" s="2" t="s">
        <v>30</v>
      </c>
      <c r="O21" s="2" t="s">
        <v>173</v>
      </c>
      <c r="P21" t="s">
        <v>2900</v>
      </c>
      <c r="Q21" s="2" t="s">
        <v>34</v>
      </c>
      <c r="R21" s="2" t="s">
        <v>145</v>
      </c>
      <c r="S21" s="2" t="s">
        <v>208</v>
      </c>
      <c r="T21" s="2" t="s">
        <v>2839</v>
      </c>
      <c r="U21" s="166">
        <v>1</v>
      </c>
      <c r="V21" s="156">
        <v>7196.6850000000004</v>
      </c>
      <c r="W21" s="156">
        <v>7196.6850000000004</v>
      </c>
      <c r="X21" s="172">
        <v>0</v>
      </c>
      <c r="Y21" s="172">
        <v>2.67597368578818E-2</v>
      </c>
      <c r="Z21" s="172">
        <v>3.9467239727796E-3</v>
      </c>
    </row>
    <row r="22" spans="1:26">
      <c r="A22" s="2">
        <v>161</v>
      </c>
      <c r="B22" s="2">
        <v>9943</v>
      </c>
      <c r="C22" s="2" t="s">
        <v>2901</v>
      </c>
      <c r="D22" s="2" t="s">
        <v>2902</v>
      </c>
      <c r="E22" s="2" t="s">
        <v>1363</v>
      </c>
      <c r="F22" s="2" t="s">
        <v>2903</v>
      </c>
      <c r="G22" s="2">
        <v>604008921</v>
      </c>
      <c r="H22" s="2" t="s">
        <v>33</v>
      </c>
      <c r="I22" s="2" t="s">
        <v>1072</v>
      </c>
      <c r="J22" s="2" t="s">
        <v>883</v>
      </c>
      <c r="K22" s="2" t="s">
        <v>30</v>
      </c>
      <c r="L22" s="2" t="s">
        <v>30</v>
      </c>
      <c r="M22" s="2" t="s">
        <v>2904</v>
      </c>
      <c r="N22" s="2" t="s">
        <v>30</v>
      </c>
      <c r="O22" s="2" t="s">
        <v>173</v>
      </c>
      <c r="P22" t="s">
        <v>2905</v>
      </c>
      <c r="Q22" s="2" t="s">
        <v>95</v>
      </c>
      <c r="R22" s="2" t="s">
        <v>145</v>
      </c>
      <c r="S22" s="2" t="s">
        <v>208</v>
      </c>
      <c r="T22" s="2" t="s">
        <v>2906</v>
      </c>
      <c r="U22" s="166">
        <v>3.71</v>
      </c>
      <c r="V22" s="156">
        <v>2007.999</v>
      </c>
      <c r="W22" s="156">
        <v>7449.6750000000002</v>
      </c>
      <c r="X22" s="172">
        <v>0</v>
      </c>
      <c r="Y22" s="172">
        <v>2.77004409300994E-2</v>
      </c>
      <c r="Z22" s="172">
        <v>4.0854659691164901E-3</v>
      </c>
    </row>
    <row r="23" spans="1:26">
      <c r="A23" s="2">
        <v>161</v>
      </c>
      <c r="B23" s="2">
        <v>9943</v>
      </c>
      <c r="C23" s="2" t="s">
        <v>2907</v>
      </c>
      <c r="D23" s="2" t="s">
        <v>2908</v>
      </c>
      <c r="E23" s="2" t="s">
        <v>33</v>
      </c>
      <c r="F23" s="2" t="s">
        <v>2909</v>
      </c>
      <c r="G23" s="2">
        <v>27970031</v>
      </c>
      <c r="H23" s="2" t="s">
        <v>33</v>
      </c>
      <c r="I23" s="2" t="s">
        <v>1072</v>
      </c>
      <c r="J23" s="2" t="s">
        <v>617</v>
      </c>
      <c r="K23" s="2" t="s">
        <v>30</v>
      </c>
      <c r="M23" s="2" t="s">
        <v>30</v>
      </c>
      <c r="N23" s="2" t="s">
        <v>30</v>
      </c>
      <c r="O23" s="2" t="s">
        <v>173</v>
      </c>
      <c r="P23" t="s">
        <v>2910</v>
      </c>
      <c r="Q23" s="2" t="s">
        <v>34</v>
      </c>
      <c r="R23" s="2" t="s">
        <v>941</v>
      </c>
      <c r="T23" s="2" t="s">
        <v>175</v>
      </c>
      <c r="U23" s="166">
        <v>1</v>
      </c>
      <c r="V23" s="156">
        <v>532.649</v>
      </c>
      <c r="W23" s="156">
        <v>532.649</v>
      </c>
      <c r="X23" s="172">
        <v>0</v>
      </c>
      <c r="Y23" s="172">
        <v>1.98057198897602E-3</v>
      </c>
      <c r="Z23" s="172">
        <v>2.92109410126919E-4</v>
      </c>
    </row>
    <row r="24" spans="1:26">
      <c r="A24" s="2">
        <v>161</v>
      </c>
      <c r="B24" s="2">
        <v>9943</v>
      </c>
      <c r="C24" s="2" t="s">
        <v>2856</v>
      </c>
      <c r="D24" s="2" t="s">
        <v>2911</v>
      </c>
      <c r="E24" s="2" t="s">
        <v>1363</v>
      </c>
      <c r="F24" s="2" t="s">
        <v>2912</v>
      </c>
      <c r="G24" s="2">
        <v>27970010</v>
      </c>
      <c r="H24" s="2" t="s">
        <v>33</v>
      </c>
      <c r="I24" s="2" t="s">
        <v>1072</v>
      </c>
      <c r="J24" s="2" t="s">
        <v>883</v>
      </c>
      <c r="K24" s="2" t="s">
        <v>30</v>
      </c>
      <c r="L24" s="2" t="s">
        <v>30</v>
      </c>
      <c r="M24" s="2" t="s">
        <v>2859</v>
      </c>
      <c r="N24" s="2" t="s">
        <v>30</v>
      </c>
      <c r="O24" s="2" t="s">
        <v>173</v>
      </c>
      <c r="P24" t="s">
        <v>2913</v>
      </c>
      <c r="Q24" s="2" t="s">
        <v>95</v>
      </c>
      <c r="R24" s="2" t="s">
        <v>145</v>
      </c>
      <c r="S24" s="2" t="s">
        <v>943</v>
      </c>
      <c r="T24" s="2" t="s">
        <v>2860</v>
      </c>
      <c r="U24" s="166">
        <v>3.71</v>
      </c>
      <c r="V24" s="156">
        <v>2855.7660000000001</v>
      </c>
      <c r="W24" s="156">
        <v>10594.892</v>
      </c>
      <c r="X24" s="172">
        <v>0</v>
      </c>
      <c r="Y24" s="172">
        <v>3.9395433383376602E-2</v>
      </c>
      <c r="Z24" s="172">
        <v>5.8103299811193103E-3</v>
      </c>
    </row>
    <row r="25" spans="1:26">
      <c r="A25" s="2">
        <v>161</v>
      </c>
      <c r="B25" s="2">
        <v>9943</v>
      </c>
      <c r="C25" s="2" t="s">
        <v>2834</v>
      </c>
      <c r="D25" s="2" t="s">
        <v>2835</v>
      </c>
      <c r="E25" s="2" t="s">
        <v>1363</v>
      </c>
      <c r="F25" s="2" t="s">
        <v>2914</v>
      </c>
      <c r="G25" s="2">
        <v>36434</v>
      </c>
      <c r="H25" s="2" t="s">
        <v>33</v>
      </c>
      <c r="I25" s="2" t="s">
        <v>1074</v>
      </c>
      <c r="J25" s="2" t="s">
        <v>899</v>
      </c>
      <c r="K25" s="2" t="s">
        <v>30</v>
      </c>
      <c r="L25" s="2" t="s">
        <v>30</v>
      </c>
      <c r="M25" s="2" t="s">
        <v>2837</v>
      </c>
      <c r="N25" s="2" t="s">
        <v>30</v>
      </c>
      <c r="O25" s="2" t="s">
        <v>173</v>
      </c>
      <c r="P25" t="s">
        <v>2915</v>
      </c>
      <c r="Q25" s="2" t="s">
        <v>34</v>
      </c>
      <c r="R25" s="11" t="s">
        <v>145</v>
      </c>
      <c r="S25" s="2" t="s">
        <v>208</v>
      </c>
      <c r="T25" s="2" t="s">
        <v>2839</v>
      </c>
      <c r="U25" s="166">
        <v>1</v>
      </c>
      <c r="V25" s="156">
        <v>10202.056</v>
      </c>
      <c r="W25" s="156">
        <v>10202.056</v>
      </c>
      <c r="X25" s="172">
        <v>0</v>
      </c>
      <c r="Y25" s="172">
        <v>3.79347344213996E-2</v>
      </c>
      <c r="Z25" s="172">
        <v>5.5948952912766503E-3</v>
      </c>
    </row>
    <row r="26" spans="1:26">
      <c r="A26" s="2">
        <v>161</v>
      </c>
      <c r="B26" s="2">
        <v>9943</v>
      </c>
      <c r="C26" s="2" t="s">
        <v>2916</v>
      </c>
      <c r="D26" s="2" t="s">
        <v>2917</v>
      </c>
      <c r="E26" s="2" t="s">
        <v>1363</v>
      </c>
      <c r="F26" s="2" t="s">
        <v>2918</v>
      </c>
      <c r="G26" s="2">
        <v>34785</v>
      </c>
      <c r="H26" s="2" t="s">
        <v>33</v>
      </c>
      <c r="I26" s="2" t="s">
        <v>1072</v>
      </c>
      <c r="J26" s="2" t="s">
        <v>888</v>
      </c>
      <c r="K26" s="2" t="s">
        <v>30</v>
      </c>
      <c r="L26" s="2" t="s">
        <v>30</v>
      </c>
      <c r="M26" s="2" t="s">
        <v>2919</v>
      </c>
      <c r="N26" s="2" t="s">
        <v>30</v>
      </c>
      <c r="O26" s="2" t="s">
        <v>173</v>
      </c>
      <c r="P26" t="s">
        <v>203</v>
      </c>
      <c r="Q26" s="2" t="s">
        <v>34</v>
      </c>
      <c r="R26" s="11" t="s">
        <v>145</v>
      </c>
      <c r="S26" s="2" t="s">
        <v>943</v>
      </c>
      <c r="T26" s="2" t="s">
        <v>2855</v>
      </c>
      <c r="U26" s="166">
        <v>1</v>
      </c>
      <c r="V26" s="156">
        <v>47.81</v>
      </c>
      <c r="W26" s="156">
        <v>47.81</v>
      </c>
      <c r="X26" s="172">
        <v>0</v>
      </c>
      <c r="Y26" s="172">
        <v>1.7777409606797699E-4</v>
      </c>
      <c r="Z26" s="172">
        <v>2.6219438943550399E-5</v>
      </c>
    </row>
    <row r="27" spans="1:26">
      <c r="A27" s="2">
        <v>161</v>
      </c>
      <c r="B27" s="2">
        <v>9943</v>
      </c>
      <c r="C27" s="2" t="s">
        <v>2920</v>
      </c>
      <c r="D27" s="2" t="s">
        <v>2921</v>
      </c>
      <c r="E27" s="2" t="s">
        <v>364</v>
      </c>
      <c r="F27" s="2" t="s">
        <v>2922</v>
      </c>
      <c r="G27" s="2">
        <v>47845</v>
      </c>
      <c r="H27" s="2" t="s">
        <v>33</v>
      </c>
      <c r="I27" s="2" t="s">
        <v>1072</v>
      </c>
      <c r="J27" s="2" t="s">
        <v>888</v>
      </c>
      <c r="K27" s="2" t="s">
        <v>90</v>
      </c>
      <c r="L27" s="2" t="s">
        <v>30</v>
      </c>
      <c r="M27" s="2" t="s">
        <v>2919</v>
      </c>
      <c r="N27" s="2" t="s">
        <v>350</v>
      </c>
      <c r="O27" s="2" t="s">
        <v>173</v>
      </c>
      <c r="P27" t="s">
        <v>2923</v>
      </c>
      <c r="Q27" s="2" t="s">
        <v>34</v>
      </c>
      <c r="R27" s="2" t="s">
        <v>145</v>
      </c>
      <c r="S27" s="2" t="s">
        <v>943</v>
      </c>
      <c r="T27" s="2" t="s">
        <v>2855</v>
      </c>
      <c r="U27" s="166">
        <v>1</v>
      </c>
      <c r="V27" s="156">
        <v>4164.5110000000004</v>
      </c>
      <c r="W27" s="156">
        <v>4164.5110000000004</v>
      </c>
      <c r="X27" s="172">
        <v>0</v>
      </c>
      <c r="Y27" s="172">
        <v>1.5485075627959199E-2</v>
      </c>
      <c r="Z27" s="172">
        <v>2.28385351940299E-3</v>
      </c>
    </row>
    <row r="28" spans="1:26">
      <c r="A28" s="2">
        <v>161</v>
      </c>
      <c r="B28" s="2">
        <v>9943</v>
      </c>
      <c r="C28" s="2" t="s">
        <v>2924</v>
      </c>
      <c r="D28" s="2" t="s">
        <v>2835</v>
      </c>
      <c r="E28" s="2" t="s">
        <v>1363</v>
      </c>
      <c r="F28" s="2" t="s">
        <v>2925</v>
      </c>
      <c r="G28" s="2">
        <v>27970047</v>
      </c>
      <c r="H28" s="2" t="s">
        <v>33</v>
      </c>
      <c r="I28" s="2" t="s">
        <v>1074</v>
      </c>
      <c r="J28" s="2" t="s">
        <v>617</v>
      </c>
      <c r="K28" s="2" t="s">
        <v>30</v>
      </c>
      <c r="O28" s="2" t="s">
        <v>173</v>
      </c>
      <c r="P28" t="s">
        <v>2926</v>
      </c>
      <c r="Q28" s="2" t="s">
        <v>34</v>
      </c>
      <c r="R28" s="2" t="s">
        <v>145</v>
      </c>
      <c r="T28" s="2" t="s">
        <v>2839</v>
      </c>
      <c r="U28" s="166">
        <v>1</v>
      </c>
      <c r="V28" s="156">
        <v>5358.3509999999997</v>
      </c>
      <c r="W28" s="156">
        <v>5358.3509999999997</v>
      </c>
      <c r="X28" s="172">
        <v>0</v>
      </c>
      <c r="Y28" s="172">
        <v>1.99241834899033E-2</v>
      </c>
      <c r="Z28" s="172">
        <v>2.9385659894671E-3</v>
      </c>
    </row>
    <row r="29" spans="1:26">
      <c r="A29" s="2">
        <v>161</v>
      </c>
      <c r="B29" s="2">
        <v>9943</v>
      </c>
      <c r="C29" s="2" t="s">
        <v>2927</v>
      </c>
      <c r="D29" s="2" t="s">
        <v>2928</v>
      </c>
      <c r="E29" s="2" t="s">
        <v>33</v>
      </c>
      <c r="F29" s="2" t="s">
        <v>2929</v>
      </c>
      <c r="G29" s="2">
        <v>27970028</v>
      </c>
      <c r="H29" s="2" t="s">
        <v>33</v>
      </c>
      <c r="I29" s="2" t="s">
        <v>1072</v>
      </c>
      <c r="J29" s="2" t="s">
        <v>895</v>
      </c>
      <c r="K29" s="2" t="s">
        <v>90</v>
      </c>
      <c r="L29" s="2" t="s">
        <v>287</v>
      </c>
      <c r="M29" s="2" t="s">
        <v>2930</v>
      </c>
      <c r="N29" s="2" t="s">
        <v>350</v>
      </c>
      <c r="O29" s="2" t="s">
        <v>173</v>
      </c>
      <c r="P29" t="s">
        <v>2931</v>
      </c>
      <c r="Q29" s="2" t="s">
        <v>1225</v>
      </c>
      <c r="R29" s="2" t="s">
        <v>145</v>
      </c>
      <c r="S29" s="2" t="s">
        <v>208</v>
      </c>
      <c r="T29" s="2" t="s">
        <v>2932</v>
      </c>
      <c r="U29" s="166">
        <v>4.1524000000000001</v>
      </c>
      <c r="V29" s="156">
        <v>841.85199999999998</v>
      </c>
      <c r="W29" s="156">
        <v>3495.7040000000002</v>
      </c>
      <c r="X29" s="172">
        <v>0</v>
      </c>
      <c r="Y29" s="172">
        <v>1.2998224346707299E-2</v>
      </c>
      <c r="Z29" s="172">
        <v>1.91707429356156E-3</v>
      </c>
    </row>
    <row r="30" spans="1:26">
      <c r="A30" s="2">
        <v>161</v>
      </c>
      <c r="B30" s="2">
        <v>9943</v>
      </c>
      <c r="C30" s="2" t="s">
        <v>2933</v>
      </c>
      <c r="D30" s="2" t="s">
        <v>2081</v>
      </c>
      <c r="E30" s="2" t="s">
        <v>1363</v>
      </c>
      <c r="F30" s="2" t="s">
        <v>2934</v>
      </c>
      <c r="G30" s="2">
        <v>27970040</v>
      </c>
      <c r="H30" s="2" t="s">
        <v>33</v>
      </c>
      <c r="I30" s="2" t="s">
        <v>1072</v>
      </c>
      <c r="J30" s="2" t="s">
        <v>617</v>
      </c>
      <c r="K30" s="2" t="s">
        <v>90</v>
      </c>
      <c r="L30" s="2" t="s">
        <v>272</v>
      </c>
      <c r="M30" s="2" t="s">
        <v>2935</v>
      </c>
      <c r="N30" s="2" t="s">
        <v>91</v>
      </c>
      <c r="O30" s="2" t="s">
        <v>173</v>
      </c>
      <c r="P30" t="s">
        <v>2936</v>
      </c>
      <c r="Q30" s="2" t="s">
        <v>95</v>
      </c>
      <c r="R30" s="2" t="s">
        <v>145</v>
      </c>
      <c r="S30" s="2" t="s">
        <v>208</v>
      </c>
      <c r="T30" s="2" t="s">
        <v>2937</v>
      </c>
      <c r="U30" s="166">
        <v>3.71</v>
      </c>
      <c r="V30" s="156">
        <v>816.66</v>
      </c>
      <c r="W30" s="156">
        <v>3029.8090000000002</v>
      </c>
      <c r="X30" s="172">
        <v>0</v>
      </c>
      <c r="Y30" s="172">
        <v>1.12658666274987E-2</v>
      </c>
      <c r="Z30" s="172">
        <v>1.6615733603445599E-3</v>
      </c>
    </row>
    <row r="31" spans="1:26">
      <c r="A31" s="2">
        <v>161</v>
      </c>
      <c r="B31" s="2">
        <v>9943</v>
      </c>
      <c r="C31" s="2" t="s">
        <v>2938</v>
      </c>
      <c r="D31" s="2" t="s">
        <v>2939</v>
      </c>
      <c r="E31" s="2" t="s">
        <v>1363</v>
      </c>
      <c r="F31" s="2" t="s">
        <v>2940</v>
      </c>
      <c r="G31" s="2">
        <v>27970026</v>
      </c>
      <c r="H31" s="2" t="s">
        <v>33</v>
      </c>
      <c r="I31" s="2" t="s">
        <v>1072</v>
      </c>
      <c r="J31" s="2" t="s">
        <v>888</v>
      </c>
      <c r="K31" s="2" t="s">
        <v>90</v>
      </c>
      <c r="L31" s="2" t="s">
        <v>2941</v>
      </c>
      <c r="M31" s="2" t="s">
        <v>2942</v>
      </c>
      <c r="N31" s="2" t="s">
        <v>350</v>
      </c>
      <c r="O31" s="2" t="s">
        <v>173</v>
      </c>
      <c r="P31" t="s">
        <v>2943</v>
      </c>
      <c r="Q31" s="2" t="s">
        <v>1225</v>
      </c>
      <c r="R31" s="2" t="s">
        <v>145</v>
      </c>
      <c r="S31" s="2" t="s">
        <v>943</v>
      </c>
      <c r="T31" s="2" t="s">
        <v>2860</v>
      </c>
      <c r="U31" s="166">
        <v>4.1524000000000001</v>
      </c>
      <c r="V31" s="156">
        <v>1362.9010000000001</v>
      </c>
      <c r="W31" s="156">
        <v>5659.3109999999997</v>
      </c>
      <c r="X31" s="172">
        <v>0</v>
      </c>
      <c r="Y31" s="172">
        <v>2.1043255121456699E-2</v>
      </c>
      <c r="Z31" s="172">
        <v>3.1036149531010102E-3</v>
      </c>
    </row>
    <row r="32" spans="1:26">
      <c r="A32" s="2">
        <v>161</v>
      </c>
      <c r="B32" s="2">
        <v>9943</v>
      </c>
      <c r="C32" s="2" t="s">
        <v>2944</v>
      </c>
      <c r="D32" s="2" t="s">
        <v>2945</v>
      </c>
      <c r="E32" s="2" t="s">
        <v>365</v>
      </c>
      <c r="F32" s="2" t="s">
        <v>2946</v>
      </c>
      <c r="G32" s="2">
        <v>27970049</v>
      </c>
      <c r="H32" s="2" t="s">
        <v>33</v>
      </c>
      <c r="I32" s="2" t="s">
        <v>1072</v>
      </c>
      <c r="J32" s="2" t="s">
        <v>617</v>
      </c>
      <c r="K32" s="2" t="s">
        <v>90</v>
      </c>
      <c r="O32" s="2" t="s">
        <v>173</v>
      </c>
      <c r="P32" t="s">
        <v>2947</v>
      </c>
      <c r="Q32" s="2" t="s">
        <v>95</v>
      </c>
      <c r="R32" s="2" t="s">
        <v>145</v>
      </c>
      <c r="T32" s="2" t="s">
        <v>2948</v>
      </c>
      <c r="U32" s="166">
        <v>3.71</v>
      </c>
      <c r="V32" s="156">
        <v>898.05499999999995</v>
      </c>
      <c r="W32" s="156">
        <v>3331.7829999999999</v>
      </c>
      <c r="X32" s="172">
        <v>0</v>
      </c>
      <c r="Y32" s="172">
        <v>1.23887088913456E-2</v>
      </c>
      <c r="Z32" s="172">
        <v>1.82717844472599E-3</v>
      </c>
    </row>
    <row r="33" spans="1:26">
      <c r="A33" s="2">
        <v>161</v>
      </c>
      <c r="B33" s="2">
        <v>9943</v>
      </c>
      <c r="C33" s="2" t="s">
        <v>2949</v>
      </c>
      <c r="D33" s="2" t="s">
        <v>2950</v>
      </c>
      <c r="E33" s="2" t="s">
        <v>33</v>
      </c>
      <c r="F33" s="2" t="s">
        <v>2951</v>
      </c>
      <c r="G33" s="2">
        <v>27970023</v>
      </c>
      <c r="H33" s="2" t="s">
        <v>33</v>
      </c>
      <c r="I33" s="2" t="s">
        <v>1072</v>
      </c>
      <c r="J33" s="2" t="s">
        <v>888</v>
      </c>
      <c r="K33" s="2" t="s">
        <v>90</v>
      </c>
      <c r="L33" s="2" t="s">
        <v>91</v>
      </c>
      <c r="M33" s="2" t="s">
        <v>2952</v>
      </c>
      <c r="N33" s="2" t="s">
        <v>350</v>
      </c>
      <c r="O33" s="2" t="s">
        <v>173</v>
      </c>
      <c r="P33" t="s">
        <v>2953</v>
      </c>
      <c r="Q33" s="2" t="s">
        <v>95</v>
      </c>
      <c r="R33" s="2" t="s">
        <v>145</v>
      </c>
      <c r="S33" s="2" t="s">
        <v>943</v>
      </c>
      <c r="T33" s="2" t="s">
        <v>2824</v>
      </c>
      <c r="U33" s="166">
        <v>3.71</v>
      </c>
      <c r="V33" s="156">
        <v>1228.953</v>
      </c>
      <c r="W33" s="156">
        <v>4559.415</v>
      </c>
      <c r="X33" s="172">
        <v>0</v>
      </c>
      <c r="Y33" s="172">
        <v>1.6953464858586599E-2</v>
      </c>
      <c r="Z33" s="172">
        <v>2.5004224269624098E-3</v>
      </c>
    </row>
    <row r="34" spans="1:26">
      <c r="A34" s="2">
        <v>161</v>
      </c>
      <c r="B34" s="2">
        <v>9943</v>
      </c>
      <c r="C34" s="2" t="s">
        <v>2954</v>
      </c>
      <c r="D34" s="2" t="s">
        <v>1412</v>
      </c>
      <c r="E34" s="2" t="s">
        <v>220</v>
      </c>
      <c r="F34" s="2" t="s">
        <v>2955</v>
      </c>
      <c r="G34" s="2">
        <v>27970048</v>
      </c>
      <c r="H34" s="2" t="s">
        <v>33</v>
      </c>
      <c r="I34" s="2" t="s">
        <v>1075</v>
      </c>
      <c r="J34" s="2" t="s">
        <v>617</v>
      </c>
      <c r="K34" s="2" t="s">
        <v>90</v>
      </c>
      <c r="O34" s="2" t="s">
        <v>173</v>
      </c>
      <c r="P34" t="s">
        <v>2956</v>
      </c>
      <c r="Q34" s="2" t="s">
        <v>95</v>
      </c>
      <c r="R34" s="2" t="s">
        <v>145</v>
      </c>
      <c r="T34" s="2" t="s">
        <v>2957</v>
      </c>
      <c r="U34" s="166">
        <v>3.71</v>
      </c>
      <c r="V34" s="156">
        <v>1186.566</v>
      </c>
      <c r="W34" s="156">
        <v>4402.1610000000001</v>
      </c>
      <c r="X34" s="172">
        <v>0</v>
      </c>
      <c r="Y34" s="172">
        <v>1.63687409283053E-2</v>
      </c>
      <c r="Z34" s="172">
        <v>2.4141830156649202E-3</v>
      </c>
    </row>
    <row r="35" spans="1:26">
      <c r="A35" s="2">
        <v>161</v>
      </c>
      <c r="B35" s="2">
        <v>9943</v>
      </c>
      <c r="C35" s="2" t="s">
        <v>2866</v>
      </c>
      <c r="D35" s="2" t="s">
        <v>2862</v>
      </c>
      <c r="E35" s="2" t="s">
        <v>365</v>
      </c>
      <c r="F35" s="2" t="s">
        <v>2958</v>
      </c>
      <c r="G35" s="2">
        <v>27970038</v>
      </c>
      <c r="H35" s="2" t="s">
        <v>33</v>
      </c>
      <c r="I35" s="2" t="s">
        <v>1072</v>
      </c>
      <c r="J35" s="2" t="s">
        <v>895</v>
      </c>
      <c r="K35" s="2" t="s">
        <v>30</v>
      </c>
      <c r="L35" s="2" t="s">
        <v>272</v>
      </c>
      <c r="M35" s="2" t="s">
        <v>2868</v>
      </c>
      <c r="N35" s="2" t="s">
        <v>30</v>
      </c>
      <c r="O35" s="2" t="s">
        <v>173</v>
      </c>
      <c r="P35" t="s">
        <v>2864</v>
      </c>
      <c r="Q35" s="2" t="s">
        <v>34</v>
      </c>
      <c r="R35" s="2" t="s">
        <v>941</v>
      </c>
      <c r="S35" s="2" t="s">
        <v>943</v>
      </c>
      <c r="T35" s="2" t="s">
        <v>2865</v>
      </c>
      <c r="U35" s="166">
        <v>1</v>
      </c>
      <c r="V35" s="156">
        <v>1625.76</v>
      </c>
      <c r="W35" s="156">
        <v>1625.76</v>
      </c>
      <c r="X35" s="172">
        <v>0</v>
      </c>
      <c r="Y35" s="172">
        <v>6.0451318690205201E-3</v>
      </c>
      <c r="Z35" s="172">
        <v>8.9158077274029395E-4</v>
      </c>
    </row>
    <row r="36" spans="1:26">
      <c r="A36" s="2">
        <v>161</v>
      </c>
      <c r="B36" s="2">
        <v>9943</v>
      </c>
      <c r="C36" s="2" t="s">
        <v>2959</v>
      </c>
      <c r="D36" s="2" t="s">
        <v>2960</v>
      </c>
      <c r="E36" s="2" t="s">
        <v>33</v>
      </c>
      <c r="F36" s="2" t="s">
        <v>2961</v>
      </c>
      <c r="G36" s="2">
        <v>27970045</v>
      </c>
      <c r="H36" s="2" t="s">
        <v>33</v>
      </c>
      <c r="I36" s="2" t="s">
        <v>1074</v>
      </c>
      <c r="J36" s="2" t="s">
        <v>895</v>
      </c>
      <c r="K36" s="2" t="s">
        <v>90</v>
      </c>
      <c r="L36" s="2" t="s">
        <v>272</v>
      </c>
      <c r="M36" s="2" t="s">
        <v>2962</v>
      </c>
      <c r="N36" s="2" t="s">
        <v>91</v>
      </c>
      <c r="O36" s="2" t="s">
        <v>173</v>
      </c>
      <c r="P36" t="s">
        <v>2963</v>
      </c>
      <c r="Q36" s="2" t="s">
        <v>95</v>
      </c>
      <c r="R36" s="2" t="s">
        <v>145</v>
      </c>
      <c r="S36" s="2" t="s">
        <v>208</v>
      </c>
      <c r="T36" s="2" t="s">
        <v>2839</v>
      </c>
      <c r="U36" s="166">
        <v>3.71</v>
      </c>
      <c r="V36" s="156">
        <v>2999.3180000000002</v>
      </c>
      <c r="W36" s="156">
        <v>11127.47</v>
      </c>
      <c r="X36" s="172">
        <v>0</v>
      </c>
      <c r="Y36" s="172">
        <v>4.13757394633874E-2</v>
      </c>
      <c r="Z36" s="172">
        <v>6.10240017302471E-3</v>
      </c>
    </row>
    <row r="37" spans="1:26">
      <c r="A37" s="2">
        <v>161</v>
      </c>
      <c r="B37" s="2">
        <v>9943</v>
      </c>
      <c r="C37" s="2" t="s">
        <v>2964</v>
      </c>
      <c r="D37" s="2" t="s">
        <v>2965</v>
      </c>
      <c r="E37" s="2" t="s">
        <v>33</v>
      </c>
      <c r="F37" s="2" t="s">
        <v>2966</v>
      </c>
      <c r="G37" s="2">
        <v>27970050</v>
      </c>
      <c r="H37" s="2" t="s">
        <v>33</v>
      </c>
      <c r="I37" s="2" t="s">
        <v>1074</v>
      </c>
      <c r="J37" s="2" t="s">
        <v>617</v>
      </c>
      <c r="K37" s="2" t="s">
        <v>90</v>
      </c>
      <c r="O37" s="2" t="s">
        <v>173</v>
      </c>
      <c r="P37" t="s">
        <v>2937</v>
      </c>
      <c r="Q37" s="2" t="s">
        <v>95</v>
      </c>
      <c r="R37" s="2" t="s">
        <v>145</v>
      </c>
      <c r="T37" s="2" t="s">
        <v>2937</v>
      </c>
      <c r="U37" s="166">
        <v>3.71</v>
      </c>
      <c r="V37" s="156">
        <v>1900</v>
      </c>
      <c r="W37" s="156">
        <v>7049</v>
      </c>
      <c r="X37" s="172">
        <v>0</v>
      </c>
      <c r="Y37" s="172">
        <v>2.62105935345473E-2</v>
      </c>
      <c r="Z37" s="172">
        <v>3.86573225263651E-3</v>
      </c>
    </row>
    <row r="38" spans="1:26">
      <c r="A38" s="2">
        <v>161</v>
      </c>
      <c r="B38" s="2">
        <v>9943</v>
      </c>
      <c r="C38" s="2" t="s">
        <v>2856</v>
      </c>
      <c r="D38" s="2" t="s">
        <v>2911</v>
      </c>
      <c r="E38" s="2" t="s">
        <v>1363</v>
      </c>
      <c r="F38" s="2" t="s">
        <v>2912</v>
      </c>
      <c r="G38" s="2">
        <v>27970046</v>
      </c>
      <c r="H38" s="2" t="s">
        <v>33</v>
      </c>
      <c r="I38" s="2" t="s">
        <v>1072</v>
      </c>
      <c r="J38" s="2" t="s">
        <v>883</v>
      </c>
      <c r="K38" s="2" t="s">
        <v>30</v>
      </c>
      <c r="L38" s="2" t="s">
        <v>30</v>
      </c>
      <c r="M38" s="2" t="s">
        <v>2859</v>
      </c>
      <c r="N38" s="2" t="s">
        <v>30</v>
      </c>
      <c r="O38" s="2" t="s">
        <v>173</v>
      </c>
      <c r="P38" t="s">
        <v>2967</v>
      </c>
      <c r="Q38" s="2" t="s">
        <v>95</v>
      </c>
      <c r="R38" s="2" t="s">
        <v>145</v>
      </c>
      <c r="S38" s="2" t="s">
        <v>943</v>
      </c>
      <c r="T38" s="2" t="s">
        <v>2860</v>
      </c>
      <c r="U38" s="166">
        <v>3.71</v>
      </c>
      <c r="V38" s="156">
        <v>656.30399999999997</v>
      </c>
      <c r="W38" s="156">
        <v>2434.8870000000002</v>
      </c>
      <c r="X38" s="172">
        <v>0</v>
      </c>
      <c r="Y38" s="172">
        <v>9.0537418504839304E-3</v>
      </c>
      <c r="Z38" s="172">
        <v>1.3353128319024601E-3</v>
      </c>
    </row>
    <row r="39" spans="1:26">
      <c r="A39" s="2">
        <v>161</v>
      </c>
      <c r="B39" s="2">
        <v>9943</v>
      </c>
      <c r="C39" s="2" t="s">
        <v>2968</v>
      </c>
      <c r="D39" s="2" t="s">
        <v>2846</v>
      </c>
      <c r="E39" s="2" t="s">
        <v>364</v>
      </c>
      <c r="F39" s="2" t="s">
        <v>2969</v>
      </c>
      <c r="G39" s="2">
        <v>604051641</v>
      </c>
      <c r="H39" s="2" t="s">
        <v>33</v>
      </c>
      <c r="I39" s="2" t="s">
        <v>1074</v>
      </c>
      <c r="J39" s="2" t="s">
        <v>897</v>
      </c>
      <c r="K39" s="2" t="s">
        <v>90</v>
      </c>
      <c r="L39" s="2" t="s">
        <v>272</v>
      </c>
      <c r="M39" s="2" t="s">
        <v>2970</v>
      </c>
      <c r="N39" s="2" t="s">
        <v>91</v>
      </c>
      <c r="O39" s="2" t="s">
        <v>173</v>
      </c>
      <c r="P39" t="s">
        <v>2971</v>
      </c>
      <c r="Q39" s="2" t="s">
        <v>95</v>
      </c>
      <c r="R39" s="2" t="s">
        <v>206</v>
      </c>
      <c r="S39" s="2" t="s">
        <v>208</v>
      </c>
      <c r="T39" s="2" t="s">
        <v>2839</v>
      </c>
      <c r="U39" s="166">
        <v>3.71</v>
      </c>
      <c r="V39" s="156">
        <v>998.98900000000003</v>
      </c>
      <c r="W39" s="156">
        <v>3706.2489999999998</v>
      </c>
      <c r="X39" s="172">
        <v>0</v>
      </c>
      <c r="Y39" s="172">
        <v>1.37811008264432E-2</v>
      </c>
      <c r="Z39" s="172">
        <v>2.0325387088773201E-3</v>
      </c>
    </row>
    <row r="40" spans="1:26">
      <c r="A40" s="2">
        <v>161</v>
      </c>
      <c r="B40" s="2">
        <v>9943</v>
      </c>
      <c r="C40" s="2" t="s">
        <v>2972</v>
      </c>
      <c r="D40" s="2" t="s">
        <v>2973</v>
      </c>
      <c r="E40" s="2" t="s">
        <v>365</v>
      </c>
      <c r="F40" s="2" t="s">
        <v>2974</v>
      </c>
      <c r="G40" s="2">
        <v>62000074</v>
      </c>
      <c r="H40" s="2" t="s">
        <v>33</v>
      </c>
      <c r="I40" s="2" t="s">
        <v>1076</v>
      </c>
      <c r="J40" s="2" t="s">
        <v>889</v>
      </c>
      <c r="K40" s="2" t="s">
        <v>90</v>
      </c>
      <c r="L40" s="2" t="s">
        <v>91</v>
      </c>
      <c r="M40" s="2" t="s">
        <v>2975</v>
      </c>
      <c r="N40" s="2" t="s">
        <v>91</v>
      </c>
      <c r="O40" s="2" t="s">
        <v>173</v>
      </c>
      <c r="P40" t="s">
        <v>2976</v>
      </c>
      <c r="Q40" s="2" t="s">
        <v>95</v>
      </c>
      <c r="R40" s="2" t="s">
        <v>145</v>
      </c>
      <c r="S40" s="2" t="s">
        <v>943</v>
      </c>
      <c r="T40" s="2" t="s">
        <v>2824</v>
      </c>
      <c r="U40" s="166">
        <v>3.71</v>
      </c>
      <c r="V40" s="156">
        <v>1172.6880000000001</v>
      </c>
      <c r="W40" s="156">
        <v>4350.6710000000003</v>
      </c>
      <c r="X40" s="172">
        <v>0</v>
      </c>
      <c r="Y40" s="172">
        <v>1.61772817923918E-2</v>
      </c>
      <c r="Z40" s="172">
        <v>2.3859452057966701E-3</v>
      </c>
    </row>
    <row r="41" spans="1:26">
      <c r="A41" s="2">
        <v>161</v>
      </c>
      <c r="B41" s="2">
        <v>9943</v>
      </c>
      <c r="C41" s="2" t="s">
        <v>2977</v>
      </c>
      <c r="D41" s="2" t="s">
        <v>2973</v>
      </c>
      <c r="E41" s="2" t="s">
        <v>365</v>
      </c>
      <c r="F41" s="2" t="s">
        <v>2978</v>
      </c>
      <c r="G41" s="2">
        <v>60390077</v>
      </c>
      <c r="H41" s="2" t="s">
        <v>33</v>
      </c>
      <c r="I41" s="2" t="s">
        <v>1076</v>
      </c>
      <c r="J41" s="2" t="s">
        <v>889</v>
      </c>
      <c r="K41" s="2" t="s">
        <v>90</v>
      </c>
      <c r="L41" s="2" t="s">
        <v>91</v>
      </c>
      <c r="M41" s="2" t="s">
        <v>2975</v>
      </c>
      <c r="N41" s="2" t="s">
        <v>91</v>
      </c>
      <c r="O41" s="2" t="s">
        <v>173</v>
      </c>
      <c r="P41" t="s">
        <v>2979</v>
      </c>
      <c r="Q41" s="2" t="s">
        <v>95</v>
      </c>
      <c r="R41" s="2" t="s">
        <v>145</v>
      </c>
      <c r="S41" s="2" t="s">
        <v>943</v>
      </c>
      <c r="T41" s="2" t="s">
        <v>2980</v>
      </c>
      <c r="U41" s="166">
        <v>3.71</v>
      </c>
      <c r="V41" s="156">
        <v>879.49900000000002</v>
      </c>
      <c r="W41" s="156">
        <v>3262.9409999999998</v>
      </c>
      <c r="X41" s="172">
        <v>0</v>
      </c>
      <c r="Y41" s="172">
        <v>1.21327320705757E-2</v>
      </c>
      <c r="Z41" s="172">
        <v>1.7894250893632699E-3</v>
      </c>
    </row>
    <row r="42" spans="1:26">
      <c r="A42" s="2">
        <v>161</v>
      </c>
      <c r="B42" s="2">
        <v>9943</v>
      </c>
      <c r="C42" s="2" t="s">
        <v>2981</v>
      </c>
      <c r="D42" s="2" t="s">
        <v>2982</v>
      </c>
      <c r="E42" s="2" t="s">
        <v>33</v>
      </c>
      <c r="F42" s="2" t="s">
        <v>2983</v>
      </c>
      <c r="G42" s="2">
        <v>60398484</v>
      </c>
      <c r="H42" s="2" t="s">
        <v>33</v>
      </c>
      <c r="I42" s="2" t="s">
        <v>1072</v>
      </c>
      <c r="J42" s="2" t="s">
        <v>883</v>
      </c>
      <c r="K42" s="2" t="s">
        <v>90</v>
      </c>
      <c r="L42" s="2" t="s">
        <v>2984</v>
      </c>
      <c r="M42" s="2" t="s">
        <v>2985</v>
      </c>
      <c r="N42" s="2" t="s">
        <v>30</v>
      </c>
      <c r="O42" s="2" t="s">
        <v>173</v>
      </c>
      <c r="P42" t="s">
        <v>2986</v>
      </c>
      <c r="Q42" s="2" t="s">
        <v>95</v>
      </c>
      <c r="R42" s="2" t="s">
        <v>145</v>
      </c>
      <c r="S42" s="2" t="s">
        <v>208</v>
      </c>
      <c r="T42" s="2" t="s">
        <v>2980</v>
      </c>
      <c r="U42" s="166">
        <v>3.71</v>
      </c>
      <c r="V42" s="156">
        <v>1253.922</v>
      </c>
      <c r="W42" s="156">
        <v>4652.0519999999997</v>
      </c>
      <c r="X42" s="172">
        <v>0</v>
      </c>
      <c r="Y42" s="172">
        <v>1.7297920129943498E-2</v>
      </c>
      <c r="Z42" s="172">
        <v>2.55122523882243E-3</v>
      </c>
    </row>
    <row r="43" spans="1:26">
      <c r="A43" s="2">
        <v>161</v>
      </c>
      <c r="B43" s="2">
        <v>9943</v>
      </c>
      <c r="C43" s="2" t="s">
        <v>2987</v>
      </c>
      <c r="D43" s="2" t="s">
        <v>2988</v>
      </c>
      <c r="E43" s="2" t="s">
        <v>33</v>
      </c>
      <c r="F43" s="2" t="s">
        <v>2989</v>
      </c>
      <c r="G43" s="2">
        <v>60416385</v>
      </c>
      <c r="H43" s="2" t="s">
        <v>33</v>
      </c>
      <c r="I43" s="2" t="s">
        <v>1072</v>
      </c>
      <c r="J43" s="2" t="s">
        <v>895</v>
      </c>
      <c r="K43" s="2" t="s">
        <v>90</v>
      </c>
      <c r="L43" s="2" t="s">
        <v>2941</v>
      </c>
      <c r="M43" s="2" t="s">
        <v>2990</v>
      </c>
      <c r="N43" s="2" t="s">
        <v>350</v>
      </c>
      <c r="O43" s="2" t="s">
        <v>173</v>
      </c>
      <c r="P43" t="s">
        <v>2991</v>
      </c>
      <c r="Q43" s="2" t="s">
        <v>1225</v>
      </c>
      <c r="R43" s="2" t="s">
        <v>145</v>
      </c>
      <c r="S43" s="2" t="s">
        <v>208</v>
      </c>
      <c r="T43" s="2" t="s">
        <v>2855</v>
      </c>
      <c r="U43" s="166">
        <v>4.1524000000000001</v>
      </c>
      <c r="V43" s="156">
        <v>947.87</v>
      </c>
      <c r="W43" s="156">
        <v>3935.9340000000002</v>
      </c>
      <c r="X43" s="172">
        <v>0</v>
      </c>
      <c r="Y43" s="172">
        <v>1.4635150837516001E-2</v>
      </c>
      <c r="Z43" s="172">
        <v>2.15850032316954E-3</v>
      </c>
    </row>
    <row r="44" spans="1:26">
      <c r="A44" s="2">
        <v>161</v>
      </c>
      <c r="B44" s="2">
        <v>9943</v>
      </c>
      <c r="C44" s="2" t="s">
        <v>2992</v>
      </c>
      <c r="D44" s="2" t="s">
        <v>2993</v>
      </c>
      <c r="E44" s="2" t="s">
        <v>365</v>
      </c>
      <c r="F44" s="2" t="s">
        <v>2994</v>
      </c>
      <c r="G44" s="2">
        <v>60408978</v>
      </c>
      <c r="H44" s="2" t="s">
        <v>33</v>
      </c>
      <c r="I44" s="2" t="s">
        <v>1076</v>
      </c>
      <c r="J44" s="2" t="s">
        <v>617</v>
      </c>
      <c r="K44" s="2" t="s">
        <v>90</v>
      </c>
      <c r="N44" s="2" t="s">
        <v>91</v>
      </c>
      <c r="O44" s="2" t="s">
        <v>173</v>
      </c>
      <c r="P44" t="s">
        <v>2995</v>
      </c>
      <c r="Q44" s="2" t="s">
        <v>95</v>
      </c>
      <c r="R44" s="2" t="s">
        <v>145</v>
      </c>
      <c r="T44" s="2" t="s">
        <v>2860</v>
      </c>
      <c r="U44" s="166">
        <v>3.71</v>
      </c>
      <c r="V44" s="156">
        <v>4830.72</v>
      </c>
      <c r="W44" s="156">
        <v>17921.971000000001</v>
      </c>
      <c r="X44" s="172">
        <v>0</v>
      </c>
      <c r="Y44" s="172">
        <v>6.6640020210109605E-2</v>
      </c>
      <c r="Z44" s="172">
        <v>9.8285632144506502E-3</v>
      </c>
    </row>
    <row r="45" spans="1:26">
      <c r="A45" s="2">
        <v>161</v>
      </c>
      <c r="B45" s="2">
        <v>9943</v>
      </c>
      <c r="C45" s="2" t="s">
        <v>2996</v>
      </c>
      <c r="D45" s="2" t="s">
        <v>2997</v>
      </c>
      <c r="E45" s="2" t="s">
        <v>33</v>
      </c>
      <c r="F45" s="2" t="s">
        <v>2998</v>
      </c>
      <c r="G45" s="2">
        <v>27970041</v>
      </c>
      <c r="H45" s="2" t="s">
        <v>33</v>
      </c>
      <c r="I45" s="2" t="s">
        <v>1072</v>
      </c>
      <c r="J45" s="2" t="s">
        <v>617</v>
      </c>
      <c r="K45" s="2" t="s">
        <v>90</v>
      </c>
      <c r="N45" s="2" t="s">
        <v>91</v>
      </c>
      <c r="O45" s="2" t="s">
        <v>173</v>
      </c>
      <c r="P45" t="s">
        <v>2999</v>
      </c>
      <c r="Q45" s="2" t="s">
        <v>95</v>
      </c>
      <c r="R45" s="2" t="s">
        <v>145</v>
      </c>
      <c r="T45" s="2" t="s">
        <v>3000</v>
      </c>
      <c r="U45" s="166">
        <v>3.71</v>
      </c>
      <c r="V45" s="156">
        <v>292.73599999999999</v>
      </c>
      <c r="W45" s="156">
        <v>1086.0519999999999</v>
      </c>
      <c r="X45" s="172">
        <v>0</v>
      </c>
      <c r="Y45" s="172">
        <v>4.0383144123101299E-3</v>
      </c>
      <c r="Z45" s="172">
        <v>5.9560048685573298E-4</v>
      </c>
    </row>
    <row r="46" spans="1:26">
      <c r="A46" s="2">
        <v>161</v>
      </c>
      <c r="B46" s="2">
        <v>9943</v>
      </c>
      <c r="C46" s="2" t="s">
        <v>3001</v>
      </c>
      <c r="D46" s="2" t="s">
        <v>3002</v>
      </c>
      <c r="E46" s="2" t="s">
        <v>220</v>
      </c>
      <c r="F46" s="2" t="s">
        <v>3003</v>
      </c>
      <c r="G46" s="2">
        <v>98405711</v>
      </c>
      <c r="H46" s="2" t="s">
        <v>33</v>
      </c>
      <c r="I46" s="2" t="s">
        <v>1076</v>
      </c>
      <c r="J46" s="2" t="s">
        <v>889</v>
      </c>
      <c r="K46" s="2" t="s">
        <v>90</v>
      </c>
      <c r="L46" s="2" t="s">
        <v>337</v>
      </c>
      <c r="M46" s="2" t="s">
        <v>3004</v>
      </c>
      <c r="N46" s="2" t="s">
        <v>30</v>
      </c>
      <c r="O46" s="2" t="s">
        <v>173</v>
      </c>
      <c r="P46" t="s">
        <v>3005</v>
      </c>
      <c r="Q46" s="2" t="s">
        <v>95</v>
      </c>
      <c r="R46" s="2" t="s">
        <v>145</v>
      </c>
      <c r="S46" s="2" t="s">
        <v>943</v>
      </c>
      <c r="T46" s="2" t="s">
        <v>3006</v>
      </c>
      <c r="U46" s="166">
        <v>3.71</v>
      </c>
      <c r="V46" s="156">
        <v>95.28</v>
      </c>
      <c r="W46" s="156">
        <v>353.48700000000002</v>
      </c>
      <c r="X46" s="172">
        <v>0</v>
      </c>
      <c r="Y46" s="172">
        <v>1.31438721007067E-3</v>
      </c>
      <c r="Z46" s="172">
        <v>1.9385555018912201E-4</v>
      </c>
    </row>
    <row r="47" spans="1:26">
      <c r="A47" s="2">
        <v>161</v>
      </c>
      <c r="B47" s="2">
        <v>9943</v>
      </c>
      <c r="C47" s="2" t="s">
        <v>2825</v>
      </c>
      <c r="D47" s="2" t="s">
        <v>2826</v>
      </c>
      <c r="E47" s="2" t="s">
        <v>33</v>
      </c>
      <c r="F47" s="2" t="s">
        <v>2827</v>
      </c>
      <c r="G47" s="2">
        <v>27970029</v>
      </c>
      <c r="H47" s="2" t="s">
        <v>33</v>
      </c>
      <c r="I47" s="2" t="s">
        <v>1072</v>
      </c>
      <c r="J47" s="2" t="s">
        <v>903</v>
      </c>
      <c r="K47" s="2" t="s">
        <v>90</v>
      </c>
      <c r="M47" s="2" t="s">
        <v>347</v>
      </c>
      <c r="N47" s="2" t="s">
        <v>347</v>
      </c>
      <c r="O47" s="2" t="s">
        <v>173</v>
      </c>
      <c r="P47" t="s">
        <v>2828</v>
      </c>
      <c r="Q47" s="2" t="s">
        <v>95</v>
      </c>
      <c r="R47" s="2" t="s">
        <v>941</v>
      </c>
      <c r="T47" s="2" t="s">
        <v>175</v>
      </c>
      <c r="U47" s="166">
        <v>3.71</v>
      </c>
      <c r="V47" s="156">
        <v>515.12</v>
      </c>
      <c r="W47" s="156">
        <v>1911.095</v>
      </c>
      <c r="X47" s="172">
        <v>0</v>
      </c>
      <c r="Y47" s="172">
        <v>7.1061047162724999E-3</v>
      </c>
      <c r="Z47" s="172">
        <v>1.0480608978235999E-3</v>
      </c>
    </row>
    <row r="48" spans="1:26">
      <c r="A48" s="2">
        <v>161</v>
      </c>
      <c r="B48" s="2">
        <v>9943</v>
      </c>
      <c r="C48" s="2" t="s">
        <v>3007</v>
      </c>
      <c r="D48" s="2" t="s">
        <v>3008</v>
      </c>
      <c r="E48" s="2" t="s">
        <v>33</v>
      </c>
      <c r="F48" s="2" t="s">
        <v>3009</v>
      </c>
      <c r="G48" s="2">
        <v>27970043</v>
      </c>
      <c r="H48" s="2" t="s">
        <v>33</v>
      </c>
      <c r="I48" s="2" t="s">
        <v>1072</v>
      </c>
      <c r="J48" s="2" t="s">
        <v>617</v>
      </c>
      <c r="K48" s="2" t="s">
        <v>90</v>
      </c>
      <c r="N48" s="2" t="s">
        <v>91</v>
      </c>
      <c r="O48" s="2" t="s">
        <v>173</v>
      </c>
      <c r="P48" t="s">
        <v>3010</v>
      </c>
      <c r="Q48" s="2" t="s">
        <v>95</v>
      </c>
      <c r="R48" s="2" t="s">
        <v>145</v>
      </c>
      <c r="T48" s="2" t="s">
        <v>175</v>
      </c>
      <c r="U48" s="166">
        <v>3.71</v>
      </c>
      <c r="V48" s="156">
        <v>243.03700000000001</v>
      </c>
      <c r="W48" s="156">
        <v>901.66600000000005</v>
      </c>
      <c r="X48" s="172">
        <v>0</v>
      </c>
      <c r="Y48" s="172">
        <v>3.35270186137808E-3</v>
      </c>
      <c r="Z48" s="172">
        <v>4.9448127536374598E-4</v>
      </c>
    </row>
    <row r="49" spans="1:26">
      <c r="A49" s="2">
        <v>161</v>
      </c>
      <c r="B49" s="2">
        <v>9943</v>
      </c>
      <c r="C49" s="2" t="s">
        <v>3011</v>
      </c>
      <c r="E49" s="2" t="s">
        <v>145</v>
      </c>
      <c r="F49" s="2" t="s">
        <v>3012</v>
      </c>
      <c r="G49" s="2">
        <v>27970042</v>
      </c>
      <c r="H49" s="2" t="s">
        <v>33</v>
      </c>
      <c r="I49" s="2" t="s">
        <v>1072</v>
      </c>
      <c r="J49" s="2" t="s">
        <v>617</v>
      </c>
      <c r="K49" s="2" t="s">
        <v>90</v>
      </c>
      <c r="N49" s="2" t="s">
        <v>91</v>
      </c>
      <c r="O49" s="2" t="s">
        <v>173</v>
      </c>
      <c r="P49" t="s">
        <v>3013</v>
      </c>
      <c r="Q49" s="2" t="s">
        <v>95</v>
      </c>
      <c r="R49" s="2" t="s">
        <v>145</v>
      </c>
      <c r="T49" s="2" t="s">
        <v>175</v>
      </c>
      <c r="U49" s="166">
        <v>3.71</v>
      </c>
      <c r="V49" s="156">
        <v>430.065</v>
      </c>
      <c r="W49" s="156">
        <v>1595.54</v>
      </c>
      <c r="X49" s="172">
        <v>0</v>
      </c>
      <c r="Y49" s="172">
        <v>5.9327619665430001E-3</v>
      </c>
      <c r="Z49" s="172">
        <v>8.7500762815810801E-4</v>
      </c>
    </row>
    <row r="50" spans="1:26">
      <c r="A50" s="2">
        <v>161</v>
      </c>
      <c r="B50" s="2">
        <v>9943</v>
      </c>
      <c r="C50" s="2" t="s">
        <v>3014</v>
      </c>
      <c r="D50" s="2" t="s">
        <v>3015</v>
      </c>
      <c r="E50" s="2" t="s">
        <v>33</v>
      </c>
      <c r="F50" s="2" t="s">
        <v>3016</v>
      </c>
      <c r="G50" s="2">
        <v>27970032</v>
      </c>
      <c r="H50" s="2" t="s">
        <v>33</v>
      </c>
      <c r="I50" s="2" t="s">
        <v>1072</v>
      </c>
      <c r="J50" s="2" t="s">
        <v>891</v>
      </c>
      <c r="K50" s="2" t="s">
        <v>90</v>
      </c>
      <c r="M50" s="2" t="s">
        <v>91</v>
      </c>
      <c r="N50" s="2" t="s">
        <v>91</v>
      </c>
      <c r="O50" s="2" t="s">
        <v>173</v>
      </c>
      <c r="P50" t="s">
        <v>3017</v>
      </c>
      <c r="Q50" s="2" t="s">
        <v>95</v>
      </c>
      <c r="R50" s="2" t="s">
        <v>941</v>
      </c>
      <c r="T50" s="2" t="s">
        <v>2824</v>
      </c>
      <c r="U50" s="166">
        <v>3.71</v>
      </c>
      <c r="V50" s="156">
        <v>1859.5409999999999</v>
      </c>
      <c r="W50" s="156">
        <v>6898.8959999999997</v>
      </c>
      <c r="X50" s="172">
        <v>0</v>
      </c>
      <c r="Y50" s="172">
        <v>2.5652454547429801E-2</v>
      </c>
      <c r="Z50" s="172">
        <v>3.7834137854446002E-3</v>
      </c>
    </row>
    <row r="51" spans="1:26">
      <c r="A51" s="2">
        <v>161</v>
      </c>
      <c r="B51" s="2">
        <v>9943</v>
      </c>
      <c r="C51" s="2" t="s">
        <v>3018</v>
      </c>
      <c r="D51" s="2" t="s">
        <v>3019</v>
      </c>
      <c r="E51" s="2" t="s">
        <v>365</v>
      </c>
      <c r="F51" s="2" t="s">
        <v>3020</v>
      </c>
      <c r="G51" s="2">
        <v>27970020</v>
      </c>
      <c r="H51" s="2" t="s">
        <v>33</v>
      </c>
      <c r="I51" s="2" t="s">
        <v>1075</v>
      </c>
      <c r="J51" s="2" t="s">
        <v>886</v>
      </c>
      <c r="K51" s="2" t="s">
        <v>90</v>
      </c>
      <c r="M51" s="2" t="s">
        <v>91</v>
      </c>
      <c r="N51" s="2" t="s">
        <v>91</v>
      </c>
      <c r="O51" s="2" t="s">
        <v>173</v>
      </c>
      <c r="P51" t="s">
        <v>3021</v>
      </c>
      <c r="Q51" s="2" t="s">
        <v>95</v>
      </c>
      <c r="R51" s="2" t="s">
        <v>941</v>
      </c>
      <c r="T51" s="2" t="s">
        <v>2824</v>
      </c>
      <c r="U51" s="166">
        <v>3.71</v>
      </c>
      <c r="V51" s="156">
        <v>224.52600000000001</v>
      </c>
      <c r="W51" s="156">
        <v>832.99099999999999</v>
      </c>
      <c r="X51" s="172">
        <v>0</v>
      </c>
      <c r="Y51" s="172">
        <v>3.0973472231251402E-3</v>
      </c>
      <c r="Z51" s="172">
        <v>4.5681968408182397E-4</v>
      </c>
    </row>
    <row r="52" spans="1:26">
      <c r="A52" s="2">
        <v>161</v>
      </c>
      <c r="B52" s="2">
        <v>9943</v>
      </c>
      <c r="C52" s="2" t="s">
        <v>3022</v>
      </c>
      <c r="D52" s="2" t="s">
        <v>1804</v>
      </c>
      <c r="E52" s="2" t="s">
        <v>1363</v>
      </c>
      <c r="F52" s="2" t="s">
        <v>3023</v>
      </c>
      <c r="G52" s="2">
        <v>62012539</v>
      </c>
      <c r="H52" s="2" t="s">
        <v>33</v>
      </c>
      <c r="I52" s="2" t="s">
        <v>1076</v>
      </c>
      <c r="J52" s="2" t="s">
        <v>889</v>
      </c>
      <c r="K52" s="2" t="s">
        <v>90</v>
      </c>
      <c r="L52" s="2" t="s">
        <v>272</v>
      </c>
      <c r="M52" s="2" t="s">
        <v>3024</v>
      </c>
      <c r="N52" s="2" t="s">
        <v>91</v>
      </c>
      <c r="O52" s="2" t="s">
        <v>173</v>
      </c>
      <c r="P52" t="s">
        <v>3025</v>
      </c>
      <c r="Q52" s="2" t="s">
        <v>95</v>
      </c>
      <c r="R52" s="2" t="s">
        <v>145</v>
      </c>
      <c r="S52" s="2" t="s">
        <v>208</v>
      </c>
      <c r="T52" s="2" t="s">
        <v>2894</v>
      </c>
      <c r="U52" s="166">
        <v>3.71</v>
      </c>
      <c r="V52" s="156">
        <v>2483.6759999999999</v>
      </c>
      <c r="W52" s="156">
        <v>9214.4380000000001</v>
      </c>
      <c r="X52" s="172">
        <v>0</v>
      </c>
      <c r="Y52" s="172">
        <v>3.42624326881633E-2</v>
      </c>
      <c r="Z52" s="172">
        <v>5.0532770622627498E-3</v>
      </c>
    </row>
    <row r="53" spans="1:26">
      <c r="A53" s="2">
        <v>161</v>
      </c>
      <c r="B53" s="2">
        <v>9943</v>
      </c>
      <c r="C53" s="2" t="s">
        <v>3026</v>
      </c>
      <c r="D53" s="2" t="s">
        <v>3027</v>
      </c>
      <c r="E53" s="2" t="s">
        <v>365</v>
      </c>
      <c r="F53" s="2" t="s">
        <v>3028</v>
      </c>
      <c r="G53" s="2">
        <v>62012828</v>
      </c>
      <c r="H53" s="2" t="s">
        <v>33</v>
      </c>
      <c r="I53" s="2" t="s">
        <v>1072</v>
      </c>
      <c r="J53" s="2" t="s">
        <v>883</v>
      </c>
      <c r="K53" s="2" t="s">
        <v>90</v>
      </c>
      <c r="L53" s="2" t="s">
        <v>272</v>
      </c>
      <c r="M53" s="2" t="s">
        <v>3029</v>
      </c>
      <c r="N53" s="2" t="s">
        <v>91</v>
      </c>
      <c r="O53" s="2" t="s">
        <v>173</v>
      </c>
      <c r="P53" t="s">
        <v>3030</v>
      </c>
      <c r="Q53" s="2" t="s">
        <v>95</v>
      </c>
      <c r="R53" s="2" t="s">
        <v>145</v>
      </c>
      <c r="S53" s="2" t="s">
        <v>208</v>
      </c>
      <c r="T53" s="2" t="s">
        <v>3000</v>
      </c>
      <c r="U53" s="166">
        <v>3.71</v>
      </c>
      <c r="V53" s="156">
        <v>2648.13</v>
      </c>
      <c r="W53" s="156">
        <v>9824.5619999999999</v>
      </c>
      <c r="X53" s="172">
        <v>0</v>
      </c>
      <c r="Y53" s="172">
        <v>3.6531083577803602E-2</v>
      </c>
      <c r="Z53" s="172">
        <v>5.3878744800013303E-3</v>
      </c>
    </row>
    <row r="54" spans="1:26">
      <c r="A54" s="2">
        <v>161</v>
      </c>
      <c r="B54" s="2">
        <v>9943</v>
      </c>
      <c r="C54" s="2" t="s">
        <v>3031</v>
      </c>
      <c r="D54" s="2" t="s">
        <v>3032</v>
      </c>
      <c r="E54" s="2" t="s">
        <v>33</v>
      </c>
      <c r="F54" s="2" t="s">
        <v>3033</v>
      </c>
      <c r="G54" s="2">
        <v>27970025</v>
      </c>
      <c r="H54" s="2" t="s">
        <v>33</v>
      </c>
      <c r="I54" s="2" t="s">
        <v>1072</v>
      </c>
      <c r="J54" s="2" t="s">
        <v>901</v>
      </c>
      <c r="K54" s="2" t="s">
        <v>90</v>
      </c>
      <c r="M54" s="2" t="s">
        <v>272</v>
      </c>
      <c r="N54" s="2" t="s">
        <v>91</v>
      </c>
      <c r="O54" s="2" t="s">
        <v>173</v>
      </c>
      <c r="P54" t="s">
        <v>3034</v>
      </c>
      <c r="Q54" s="2" t="s">
        <v>95</v>
      </c>
      <c r="R54" s="2" t="s">
        <v>941</v>
      </c>
      <c r="T54" s="2" t="s">
        <v>2824</v>
      </c>
      <c r="U54" s="166">
        <v>3.71</v>
      </c>
      <c r="V54" s="156">
        <v>278.50799999999998</v>
      </c>
      <c r="W54" s="156">
        <v>1033.2650000000001</v>
      </c>
      <c r="X54" s="172">
        <v>0</v>
      </c>
      <c r="Y54" s="172">
        <v>3.8420315705893198E-3</v>
      </c>
      <c r="Z54" s="172">
        <v>5.6665124116699397E-4</v>
      </c>
    </row>
    <row r="55" spans="1:26">
      <c r="A55" s="2">
        <v>161</v>
      </c>
      <c r="B55" s="2">
        <v>9943</v>
      </c>
      <c r="C55" s="2" t="s">
        <v>3035</v>
      </c>
      <c r="D55" s="2" t="s">
        <v>3036</v>
      </c>
      <c r="E55" s="2" t="s">
        <v>33</v>
      </c>
      <c r="F55" s="2" t="s">
        <v>3037</v>
      </c>
      <c r="G55" s="2">
        <v>27970005</v>
      </c>
      <c r="H55" s="2" t="s">
        <v>33</v>
      </c>
      <c r="I55" s="2" t="s">
        <v>1072</v>
      </c>
      <c r="J55" s="2" t="s">
        <v>903</v>
      </c>
      <c r="K55" s="2" t="s">
        <v>90</v>
      </c>
      <c r="L55" s="2" t="s">
        <v>272</v>
      </c>
      <c r="M55" s="2" t="s">
        <v>3038</v>
      </c>
      <c r="N55" s="2" t="s">
        <v>350</v>
      </c>
      <c r="O55" s="2" t="s">
        <v>173</v>
      </c>
      <c r="P55" t="s">
        <v>3039</v>
      </c>
      <c r="Q55" s="2" t="s">
        <v>95</v>
      </c>
      <c r="R55" s="2" t="s">
        <v>145</v>
      </c>
      <c r="S55" s="2" t="s">
        <v>943</v>
      </c>
      <c r="T55" s="2" t="s">
        <v>2839</v>
      </c>
      <c r="U55" s="166">
        <v>3.71</v>
      </c>
      <c r="V55" s="156">
        <v>2412.3690000000001</v>
      </c>
      <c r="W55" s="156">
        <v>8949.8889999999992</v>
      </c>
      <c r="X55" s="172">
        <v>0</v>
      </c>
      <c r="Y55" s="172">
        <v>3.3278749008521201E-2</v>
      </c>
      <c r="Z55" s="172">
        <v>4.9081961154397603E-3</v>
      </c>
    </row>
    <row r="56" spans="1:26">
      <c r="A56" s="2">
        <v>161</v>
      </c>
      <c r="B56" s="2">
        <v>9943</v>
      </c>
      <c r="C56" s="2" t="s">
        <v>3040</v>
      </c>
      <c r="D56" s="2" t="s">
        <v>3041</v>
      </c>
      <c r="E56" s="2" t="s">
        <v>33</v>
      </c>
      <c r="F56" s="2" t="s">
        <v>3042</v>
      </c>
      <c r="G56" s="2">
        <v>62007695</v>
      </c>
      <c r="H56" s="2" t="s">
        <v>33</v>
      </c>
      <c r="I56" s="2" t="s">
        <v>1072</v>
      </c>
      <c r="J56" s="2" t="s">
        <v>617</v>
      </c>
      <c r="K56" s="2" t="s">
        <v>90</v>
      </c>
      <c r="L56" s="2" t="s">
        <v>2941</v>
      </c>
      <c r="M56" s="2" t="s">
        <v>3043</v>
      </c>
      <c r="N56" s="2" t="s">
        <v>350</v>
      </c>
      <c r="O56" s="2" t="s">
        <v>173</v>
      </c>
      <c r="P56" t="s">
        <v>3044</v>
      </c>
      <c r="Q56" s="2" t="s">
        <v>1225</v>
      </c>
      <c r="R56" s="2" t="s">
        <v>145</v>
      </c>
      <c r="S56" s="2" t="s">
        <v>208</v>
      </c>
      <c r="T56" s="2" t="s">
        <v>2894</v>
      </c>
      <c r="U56" s="166">
        <v>4.1524000000000001</v>
      </c>
      <c r="V56" s="156">
        <v>1175.55</v>
      </c>
      <c r="W56" s="156">
        <v>4881.3549999999996</v>
      </c>
      <c r="X56" s="172">
        <v>0</v>
      </c>
      <c r="Y56" s="172">
        <v>1.8150547363202499E-2</v>
      </c>
      <c r="Z56" s="172">
        <v>2.67697701131628E-3</v>
      </c>
    </row>
    <row r="57" spans="1:26">
      <c r="A57" s="2">
        <v>161</v>
      </c>
      <c r="B57" s="2">
        <v>9943</v>
      </c>
      <c r="C57" s="2" t="s">
        <v>3045</v>
      </c>
      <c r="D57" s="2" t="s">
        <v>3041</v>
      </c>
      <c r="E57" s="2" t="s">
        <v>33</v>
      </c>
      <c r="F57" s="2" t="s">
        <v>3046</v>
      </c>
      <c r="G57" s="2">
        <v>62011416</v>
      </c>
      <c r="H57" s="2" t="s">
        <v>33</v>
      </c>
      <c r="I57" s="2" t="s">
        <v>1072</v>
      </c>
      <c r="J57" s="2" t="s">
        <v>617</v>
      </c>
      <c r="K57" s="2" t="s">
        <v>90</v>
      </c>
      <c r="L57" s="2" t="s">
        <v>91</v>
      </c>
      <c r="M57" s="2" t="s">
        <v>3047</v>
      </c>
      <c r="N57" s="2" t="s">
        <v>91</v>
      </c>
      <c r="O57" s="2" t="s">
        <v>173</v>
      </c>
      <c r="P57" t="s">
        <v>3048</v>
      </c>
      <c r="Q57" s="2" t="s">
        <v>95</v>
      </c>
      <c r="R57" s="2" t="s">
        <v>145</v>
      </c>
      <c r="S57" s="2" t="s">
        <v>208</v>
      </c>
      <c r="T57" s="2" t="s">
        <v>2865</v>
      </c>
      <c r="U57" s="166">
        <v>3.71</v>
      </c>
      <c r="V57" s="156">
        <v>567.00699999999995</v>
      </c>
      <c r="W57" s="156">
        <v>2103.5970000000002</v>
      </c>
      <c r="X57" s="172">
        <v>0</v>
      </c>
      <c r="Y57" s="172">
        <v>7.8218916889690009E-3</v>
      </c>
      <c r="Z57" s="172">
        <v>1.15363045628181E-3</v>
      </c>
    </row>
    <row r="58" spans="1:26">
      <c r="A58" s="2">
        <v>161</v>
      </c>
      <c r="B58" s="2">
        <v>9943</v>
      </c>
      <c r="C58" s="2" t="s">
        <v>3049</v>
      </c>
      <c r="D58" s="2" t="s">
        <v>3050</v>
      </c>
      <c r="E58" s="2" t="s">
        <v>365</v>
      </c>
      <c r="F58" s="2" t="s">
        <v>3051</v>
      </c>
      <c r="G58" s="2">
        <v>27970036</v>
      </c>
      <c r="H58" s="2" t="s">
        <v>33</v>
      </c>
      <c r="I58" s="2" t="s">
        <v>1072</v>
      </c>
      <c r="J58" s="2" t="s">
        <v>617</v>
      </c>
      <c r="K58" s="2" t="s">
        <v>90</v>
      </c>
      <c r="M58" s="2" t="s">
        <v>91</v>
      </c>
      <c r="N58" s="2" t="s">
        <v>91</v>
      </c>
      <c r="O58" s="2" t="s">
        <v>173</v>
      </c>
      <c r="P58" t="s">
        <v>3052</v>
      </c>
      <c r="Q58" s="2" t="s">
        <v>95</v>
      </c>
      <c r="R58" s="2" t="s">
        <v>941</v>
      </c>
      <c r="T58" s="2" t="s">
        <v>2824</v>
      </c>
      <c r="U58" s="166">
        <v>3.71</v>
      </c>
      <c r="V58" s="156">
        <v>434.59100000000001</v>
      </c>
      <c r="W58" s="156">
        <v>1612.3330000000001</v>
      </c>
      <c r="X58" s="172">
        <v>0</v>
      </c>
      <c r="Y58" s="172">
        <v>5.9952040925138998E-3</v>
      </c>
      <c r="Z58" s="172">
        <v>8.84217054872185E-4</v>
      </c>
    </row>
    <row r="59" spans="1:26">
      <c r="A59" s="2">
        <v>161</v>
      </c>
      <c r="B59" s="2">
        <v>9943</v>
      </c>
      <c r="C59" s="2" t="s">
        <v>3053</v>
      </c>
      <c r="D59" s="2" t="s">
        <v>3054</v>
      </c>
      <c r="E59" s="2" t="s">
        <v>33</v>
      </c>
      <c r="F59" s="2" t="s">
        <v>3055</v>
      </c>
      <c r="G59" s="2">
        <v>27970021</v>
      </c>
      <c r="H59" s="2" t="s">
        <v>33</v>
      </c>
      <c r="I59" s="2" t="s">
        <v>1072</v>
      </c>
      <c r="J59" s="2" t="s">
        <v>889</v>
      </c>
      <c r="K59" s="2" t="s">
        <v>90</v>
      </c>
      <c r="M59" s="2" t="s">
        <v>91</v>
      </c>
      <c r="N59" s="2" t="s">
        <v>91</v>
      </c>
      <c r="O59" s="2" t="s">
        <v>173</v>
      </c>
      <c r="P59" t="s">
        <v>3056</v>
      </c>
      <c r="Q59" s="2" t="s">
        <v>95</v>
      </c>
      <c r="R59" s="2" t="s">
        <v>941</v>
      </c>
      <c r="T59" s="2" t="s">
        <v>3057</v>
      </c>
      <c r="U59" s="166">
        <v>3.71</v>
      </c>
      <c r="V59" s="156">
        <v>588.64200000000005</v>
      </c>
      <c r="W59" s="156">
        <v>2183.8620000000001</v>
      </c>
      <c r="X59" s="172">
        <v>0</v>
      </c>
      <c r="Y59" s="172">
        <v>8.1203453680857799E-3</v>
      </c>
      <c r="Z59" s="172">
        <v>1.1976486129770801E-3</v>
      </c>
    </row>
    <row r="60" spans="1:26">
      <c r="A60" s="2">
        <v>161</v>
      </c>
      <c r="B60" s="2">
        <v>9943</v>
      </c>
      <c r="C60" s="2" t="s">
        <v>3058</v>
      </c>
      <c r="D60" s="2" t="s">
        <v>3059</v>
      </c>
      <c r="E60" s="2" t="s">
        <v>365</v>
      </c>
      <c r="F60" s="2" t="s">
        <v>3060</v>
      </c>
      <c r="G60" s="2">
        <v>62007091</v>
      </c>
      <c r="H60" s="2" t="s">
        <v>33</v>
      </c>
      <c r="I60" s="2" t="s">
        <v>1072</v>
      </c>
      <c r="J60" s="2" t="s">
        <v>888</v>
      </c>
      <c r="K60" s="2" t="s">
        <v>90</v>
      </c>
      <c r="L60" s="2" t="s">
        <v>2941</v>
      </c>
      <c r="M60" s="2" t="s">
        <v>3061</v>
      </c>
      <c r="N60" s="2" t="s">
        <v>91</v>
      </c>
      <c r="O60" s="2" t="s">
        <v>173</v>
      </c>
      <c r="P60" t="s">
        <v>3062</v>
      </c>
      <c r="Q60" s="2" t="s">
        <v>95</v>
      </c>
      <c r="R60" s="2" t="s">
        <v>145</v>
      </c>
      <c r="S60" s="2" t="s">
        <v>943</v>
      </c>
      <c r="T60" s="2" t="s">
        <v>3063</v>
      </c>
      <c r="U60" s="166">
        <v>3.71</v>
      </c>
      <c r="V60" s="156">
        <v>3162.84</v>
      </c>
      <c r="W60" s="156">
        <v>11734.136</v>
      </c>
      <c r="X60" s="172">
        <v>4.6020000000000002E-3</v>
      </c>
      <c r="Y60" s="172">
        <v>4.3631533373067202E-2</v>
      </c>
      <c r="Z60" s="172">
        <v>6.4351013482368E-3</v>
      </c>
    </row>
    <row r="61" spans="1:26">
      <c r="A61" s="2">
        <v>161</v>
      </c>
      <c r="B61" s="2">
        <v>9943</v>
      </c>
      <c r="C61" s="2" t="s">
        <v>3064</v>
      </c>
      <c r="D61" s="2" t="s">
        <v>3065</v>
      </c>
      <c r="E61" s="2" t="s">
        <v>33</v>
      </c>
      <c r="F61" s="2" t="s">
        <v>3064</v>
      </c>
      <c r="G61" s="2">
        <v>27970044</v>
      </c>
      <c r="H61" s="2" t="s">
        <v>33</v>
      </c>
      <c r="I61" s="2" t="s">
        <v>1072</v>
      </c>
      <c r="J61" s="2" t="s">
        <v>617</v>
      </c>
      <c r="K61" s="2" t="s">
        <v>90</v>
      </c>
      <c r="N61" s="2" t="s">
        <v>307</v>
      </c>
      <c r="O61" s="2" t="s">
        <v>173</v>
      </c>
      <c r="P61" t="s">
        <v>3066</v>
      </c>
      <c r="Q61" s="2" t="s">
        <v>95</v>
      </c>
      <c r="R61" s="2" t="s">
        <v>145</v>
      </c>
      <c r="T61" s="2" t="s">
        <v>175</v>
      </c>
      <c r="U61" s="166">
        <v>3.71</v>
      </c>
      <c r="V61" s="156">
        <v>914.654</v>
      </c>
      <c r="W61" s="156">
        <v>3393.3649999999998</v>
      </c>
      <c r="X61" s="172">
        <v>0</v>
      </c>
      <c r="Y61" s="172">
        <v>1.2617690558816E-2</v>
      </c>
      <c r="Z61" s="172">
        <v>1.8609503551573999E-3</v>
      </c>
    </row>
    <row r="62" spans="1:26">
      <c r="A62" s="2">
        <v>161</v>
      </c>
      <c r="B62" s="2">
        <v>9943</v>
      </c>
      <c r="C62" s="2" t="s">
        <v>3067</v>
      </c>
      <c r="D62" s="2" t="s">
        <v>3068</v>
      </c>
      <c r="E62" s="2" t="s">
        <v>33</v>
      </c>
      <c r="F62" s="2" t="s">
        <v>3069</v>
      </c>
      <c r="G62" s="2">
        <v>27970022</v>
      </c>
      <c r="H62" s="2" t="s">
        <v>33</v>
      </c>
      <c r="I62" s="2" t="s">
        <v>1072</v>
      </c>
      <c r="J62" s="2" t="s">
        <v>901</v>
      </c>
      <c r="K62" s="2" t="s">
        <v>30</v>
      </c>
      <c r="M62" s="2" t="s">
        <v>30</v>
      </c>
      <c r="N62" s="2" t="s">
        <v>350</v>
      </c>
      <c r="O62" s="2" t="s">
        <v>173</v>
      </c>
      <c r="P62" t="s">
        <v>3070</v>
      </c>
      <c r="Q62" s="2" t="s">
        <v>95</v>
      </c>
      <c r="R62" s="2" t="s">
        <v>941</v>
      </c>
      <c r="T62" s="2" t="s">
        <v>3071</v>
      </c>
      <c r="U62" s="166">
        <v>3.71</v>
      </c>
      <c r="V62" s="156">
        <v>224.245</v>
      </c>
      <c r="W62" s="156">
        <v>831.947</v>
      </c>
      <c r="X62" s="172">
        <v>0</v>
      </c>
      <c r="Y62" s="172">
        <v>3.0934643444137898E-3</v>
      </c>
      <c r="Z62" s="172">
        <v>4.5624700840213002E-4</v>
      </c>
    </row>
    <row r="63" spans="1:26">
      <c r="A63" s="2">
        <v>161</v>
      </c>
      <c r="B63" s="2">
        <v>9943</v>
      </c>
      <c r="C63" s="2" t="s">
        <v>3072</v>
      </c>
      <c r="D63" s="2" t="s">
        <v>3073</v>
      </c>
      <c r="E63" s="2" t="s">
        <v>33</v>
      </c>
      <c r="F63" s="2" t="s">
        <v>3074</v>
      </c>
      <c r="G63" s="2">
        <v>27970037</v>
      </c>
      <c r="H63" s="2" t="s">
        <v>33</v>
      </c>
      <c r="I63" s="2" t="s">
        <v>1076</v>
      </c>
      <c r="J63" s="2" t="s">
        <v>889</v>
      </c>
      <c r="K63" s="2" t="s">
        <v>90</v>
      </c>
      <c r="M63" s="2" t="s">
        <v>347</v>
      </c>
      <c r="N63" s="2" t="s">
        <v>347</v>
      </c>
      <c r="O63" s="2" t="s">
        <v>173</v>
      </c>
      <c r="P63" t="s">
        <v>3075</v>
      </c>
      <c r="Q63" s="2" t="s">
        <v>1229</v>
      </c>
      <c r="R63" s="2" t="s">
        <v>941</v>
      </c>
      <c r="T63" s="2" t="s">
        <v>2870</v>
      </c>
      <c r="U63" s="166">
        <v>4.9748000000000001</v>
      </c>
      <c r="V63" s="156">
        <v>148.65199999999999</v>
      </c>
      <c r="W63" s="156">
        <v>739.51599999999996</v>
      </c>
      <c r="X63" s="172">
        <v>0</v>
      </c>
      <c r="Y63" s="172">
        <v>2.74977180204742E-3</v>
      </c>
      <c r="Z63" s="172">
        <v>4.0555668945665898E-4</v>
      </c>
    </row>
    <row r="64" spans="1:26">
      <c r="A64" s="2">
        <v>161</v>
      </c>
      <c r="B64" s="2">
        <v>9943</v>
      </c>
      <c r="C64" s="2" t="s">
        <v>3076</v>
      </c>
      <c r="D64" s="2" t="s">
        <v>3077</v>
      </c>
      <c r="E64" s="2" t="s">
        <v>33</v>
      </c>
      <c r="F64" s="2" t="s">
        <v>3078</v>
      </c>
      <c r="G64" s="2">
        <v>27970030</v>
      </c>
      <c r="H64" s="2" t="s">
        <v>33</v>
      </c>
      <c r="I64" s="2" t="s">
        <v>1072</v>
      </c>
      <c r="J64" s="2" t="s">
        <v>901</v>
      </c>
      <c r="K64" s="2" t="s">
        <v>90</v>
      </c>
      <c r="M64" s="2" t="s">
        <v>307</v>
      </c>
      <c r="N64" s="2" t="s">
        <v>347</v>
      </c>
      <c r="O64" s="2" t="s">
        <v>173</v>
      </c>
      <c r="P64" t="s">
        <v>3079</v>
      </c>
      <c r="Q64" s="2" t="s">
        <v>1225</v>
      </c>
      <c r="R64" s="2" t="s">
        <v>941</v>
      </c>
      <c r="T64" s="2" t="s">
        <v>2870</v>
      </c>
      <c r="U64" s="166">
        <v>4.1524000000000001</v>
      </c>
      <c r="V64" s="156">
        <v>142.11500000000001</v>
      </c>
      <c r="W64" s="156">
        <v>590.11800000000005</v>
      </c>
      <c r="X64" s="172">
        <v>0</v>
      </c>
      <c r="Y64" s="172">
        <v>2.1942593234389502E-3</v>
      </c>
      <c r="Z64" s="172">
        <v>3.2362559917179803E-4</v>
      </c>
    </row>
    <row r="65" spans="1:26">
      <c r="A65" s="2">
        <v>161</v>
      </c>
      <c r="B65" s="2">
        <v>9943</v>
      </c>
      <c r="C65" s="2" t="s">
        <v>2880</v>
      </c>
      <c r="D65" s="2" t="s">
        <v>2881</v>
      </c>
      <c r="E65" s="2" t="s">
        <v>365</v>
      </c>
      <c r="F65" s="2" t="s">
        <v>3080</v>
      </c>
      <c r="G65" s="2">
        <v>27970004</v>
      </c>
      <c r="H65" s="2" t="s">
        <v>33</v>
      </c>
      <c r="I65" s="2" t="s">
        <v>1072</v>
      </c>
      <c r="J65" s="2" t="s">
        <v>888</v>
      </c>
      <c r="K65" s="2" t="s">
        <v>90</v>
      </c>
      <c r="L65" s="2" t="s">
        <v>91</v>
      </c>
      <c r="M65" s="2" t="s">
        <v>2883</v>
      </c>
      <c r="N65" s="2" t="s">
        <v>91</v>
      </c>
      <c r="O65" s="2" t="s">
        <v>173</v>
      </c>
      <c r="P65" t="s">
        <v>3081</v>
      </c>
      <c r="Q65" s="2" t="s">
        <v>95</v>
      </c>
      <c r="R65" s="2" t="s">
        <v>145</v>
      </c>
      <c r="S65" s="2" t="s">
        <v>943</v>
      </c>
      <c r="T65" s="2" t="s">
        <v>2894</v>
      </c>
      <c r="U65" s="166">
        <v>3.71</v>
      </c>
      <c r="V65" s="156">
        <v>174.33</v>
      </c>
      <c r="W65" s="156">
        <v>646.76599999999996</v>
      </c>
      <c r="X65" s="172">
        <v>0</v>
      </c>
      <c r="Y65" s="172">
        <v>2.4048954154318601E-3</v>
      </c>
      <c r="Z65" s="172">
        <v>3.5469176840268699E-4</v>
      </c>
    </row>
    <row r="66" spans="1:26">
      <c r="A66" s="2">
        <v>161</v>
      </c>
      <c r="B66" s="2">
        <v>9943</v>
      </c>
      <c r="C66" s="2" t="s">
        <v>2880</v>
      </c>
      <c r="D66" s="2" t="s">
        <v>2881</v>
      </c>
      <c r="E66" s="2" t="s">
        <v>365</v>
      </c>
      <c r="F66" s="2" t="s">
        <v>3082</v>
      </c>
      <c r="G66" s="2">
        <v>62007406</v>
      </c>
      <c r="H66" s="2" t="s">
        <v>33</v>
      </c>
      <c r="I66" s="2" t="s">
        <v>1072</v>
      </c>
      <c r="J66" s="2" t="s">
        <v>888</v>
      </c>
      <c r="K66" s="2" t="s">
        <v>90</v>
      </c>
      <c r="L66" s="2" t="s">
        <v>272</v>
      </c>
      <c r="M66" s="2" t="s">
        <v>2883</v>
      </c>
      <c r="N66" s="2" t="s">
        <v>91</v>
      </c>
      <c r="O66" s="2" t="s">
        <v>173</v>
      </c>
      <c r="P66" t="s">
        <v>3083</v>
      </c>
      <c r="Q66" s="2" t="s">
        <v>95</v>
      </c>
      <c r="R66" s="2" t="s">
        <v>145</v>
      </c>
      <c r="S66" s="2" t="s">
        <v>943</v>
      </c>
      <c r="T66" s="2" t="s">
        <v>175</v>
      </c>
      <c r="U66" s="166">
        <v>3.71</v>
      </c>
      <c r="V66" s="156">
        <v>450.35700000000003</v>
      </c>
      <c r="W66" s="156">
        <v>1670.8230000000001</v>
      </c>
      <c r="X66" s="172">
        <v>1.6869999999999999E-3</v>
      </c>
      <c r="Y66" s="172">
        <v>6.2126918123502801E-3</v>
      </c>
      <c r="Z66" s="172">
        <v>9.1629375286896096E-4</v>
      </c>
    </row>
    <row r="67" spans="1:26">
      <c r="A67" s="2">
        <v>161</v>
      </c>
      <c r="B67" s="2">
        <v>9943</v>
      </c>
      <c r="C67" s="2" t="s">
        <v>3084</v>
      </c>
      <c r="D67" s="2" t="s">
        <v>3085</v>
      </c>
      <c r="E67" s="2" t="s">
        <v>33</v>
      </c>
      <c r="F67" s="2" t="s">
        <v>3086</v>
      </c>
      <c r="G67" s="2">
        <v>27970035</v>
      </c>
      <c r="H67" s="2" t="s">
        <v>33</v>
      </c>
      <c r="I67" s="2" t="s">
        <v>1072</v>
      </c>
      <c r="J67" s="2" t="s">
        <v>897</v>
      </c>
      <c r="K67" s="2" t="s">
        <v>30</v>
      </c>
      <c r="M67" s="2" t="s">
        <v>30</v>
      </c>
      <c r="N67" s="2" t="s">
        <v>91</v>
      </c>
      <c r="O67" s="2" t="s">
        <v>173</v>
      </c>
      <c r="P67" t="s">
        <v>3087</v>
      </c>
      <c r="Q67" s="2" t="s">
        <v>95</v>
      </c>
      <c r="R67" s="2" t="s">
        <v>941</v>
      </c>
      <c r="T67" s="2" t="s">
        <v>2824</v>
      </c>
      <c r="U67" s="166">
        <v>3.71</v>
      </c>
      <c r="V67" s="156">
        <v>61.414000000000001</v>
      </c>
      <c r="W67" s="156">
        <v>227.845</v>
      </c>
      <c r="X67" s="172">
        <v>0</v>
      </c>
      <c r="Y67" s="172">
        <v>8.4720670774561405E-4</v>
      </c>
      <c r="Z67" s="172">
        <v>1.24952313287581E-4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6</v>
      </c>
      <c r="J1" s="22" t="s">
        <v>7</v>
      </c>
      <c r="K1" s="22" t="s">
        <v>376</v>
      </c>
      <c r="L1" s="22" t="s">
        <v>1164</v>
      </c>
      <c r="M1" s="22" t="s">
        <v>184</v>
      </c>
      <c r="N1" s="22" t="s">
        <v>1165</v>
      </c>
      <c r="O1" s="22" t="s">
        <v>159</v>
      </c>
      <c r="P1" s="22" t="s">
        <v>192</v>
      </c>
      <c r="Q1" s="22" t="s">
        <v>11</v>
      </c>
      <c r="R1" s="22" t="s">
        <v>185</v>
      </c>
      <c r="S1" s="22" t="s">
        <v>186</v>
      </c>
      <c r="T1" s="22" t="s">
        <v>168</v>
      </c>
      <c r="U1" s="176" t="s">
        <v>1166</v>
      </c>
      <c r="V1" s="22" t="s">
        <v>1167</v>
      </c>
      <c r="W1" s="22" t="s">
        <v>17</v>
      </c>
      <c r="X1" s="176" t="s">
        <v>19</v>
      </c>
      <c r="Y1" s="165" t="s">
        <v>18</v>
      </c>
      <c r="Z1" s="22" t="s">
        <v>20</v>
      </c>
      <c r="AA1" s="171" t="s">
        <v>24</v>
      </c>
      <c r="AB1" s="171" t="s">
        <v>25</v>
      </c>
    </row>
    <row r="2" spans="1:28">
      <c r="A2" s="23">
        <v>161</v>
      </c>
      <c r="B2" s="23">
        <v>9938</v>
      </c>
      <c r="C2" s="23" t="s">
        <v>1379</v>
      </c>
      <c r="D2" s="23" t="s">
        <v>1380</v>
      </c>
      <c r="E2" s="21" t="s">
        <v>1363</v>
      </c>
      <c r="F2" s="23" t="s">
        <v>1381</v>
      </c>
      <c r="G2" s="23" t="s">
        <v>1382</v>
      </c>
      <c r="H2" s="23" t="s">
        <v>33</v>
      </c>
      <c r="I2" s="21" t="s">
        <v>30</v>
      </c>
      <c r="J2" s="21" t="s">
        <v>30</v>
      </c>
      <c r="K2" s="23" t="s">
        <v>379</v>
      </c>
      <c r="L2" s="23" t="s">
        <v>1383</v>
      </c>
      <c r="M2" s="23" t="s">
        <v>488</v>
      </c>
      <c r="N2" s="23" t="s">
        <v>1384</v>
      </c>
      <c r="O2" s="23" t="s">
        <v>173</v>
      </c>
      <c r="P2" s="23" t="s">
        <v>1385</v>
      </c>
      <c r="Q2" s="21" t="s">
        <v>34</v>
      </c>
      <c r="R2" s="23" t="s">
        <v>145</v>
      </c>
      <c r="S2" s="23"/>
      <c r="T2" s="23" t="s">
        <v>175</v>
      </c>
      <c r="U2" s="182">
        <v>11200</v>
      </c>
      <c r="V2" s="158">
        <v>0</v>
      </c>
      <c r="W2" s="158">
        <v>192</v>
      </c>
      <c r="X2" s="182">
        <v>74.096000000000004</v>
      </c>
      <c r="Y2" s="181">
        <v>1</v>
      </c>
      <c r="Z2" s="158">
        <v>0.14199999999999999</v>
      </c>
      <c r="AA2" s="180">
        <v>0.94477889866604303</v>
      </c>
      <c r="AB2" s="180">
        <v>2.1451587313426402E-6</v>
      </c>
    </row>
    <row r="3" spans="1:28">
      <c r="A3" s="23">
        <v>161</v>
      </c>
      <c r="B3" s="23">
        <v>9938</v>
      </c>
      <c r="C3" s="23" t="s">
        <v>1386</v>
      </c>
      <c r="D3" s="23" t="s">
        <v>1387</v>
      </c>
      <c r="E3" s="21" t="s">
        <v>1363</v>
      </c>
      <c r="F3" s="23" t="s">
        <v>1388</v>
      </c>
      <c r="G3" s="23" t="s">
        <v>1389</v>
      </c>
      <c r="H3" s="23" t="s">
        <v>223</v>
      </c>
      <c r="I3" s="21" t="s">
        <v>30</v>
      </c>
      <c r="J3" s="21" t="s">
        <v>30</v>
      </c>
      <c r="K3" s="23" t="s">
        <v>379</v>
      </c>
      <c r="L3" s="23" t="s">
        <v>1389</v>
      </c>
      <c r="M3" s="23" t="s">
        <v>525</v>
      </c>
      <c r="N3" s="23" t="s">
        <v>1390</v>
      </c>
      <c r="O3" s="23" t="s">
        <v>173</v>
      </c>
      <c r="P3" s="23" t="s">
        <v>1391</v>
      </c>
      <c r="Q3" s="21" t="s">
        <v>34</v>
      </c>
      <c r="R3" s="23" t="s">
        <v>145</v>
      </c>
      <c r="S3" s="23"/>
      <c r="T3" s="23" t="s">
        <v>1392</v>
      </c>
      <c r="U3" s="182">
        <v>22.5</v>
      </c>
      <c r="V3" s="158">
        <v>1</v>
      </c>
      <c r="W3" s="158">
        <v>1985</v>
      </c>
      <c r="X3" s="182">
        <v>0.41899999999999998</v>
      </c>
      <c r="Y3" s="181">
        <v>1</v>
      </c>
      <c r="Z3" s="158">
        <v>8.0000000000000002E-3</v>
      </c>
      <c r="AA3" s="180">
        <v>5.52211013339566E-2</v>
      </c>
      <c r="AB3" s="180">
        <v>1.25381745769458E-7</v>
      </c>
    </row>
    <row r="4" spans="1:28">
      <c r="A4" s="23">
        <v>161</v>
      </c>
      <c r="B4" s="23">
        <v>9942</v>
      </c>
      <c r="C4" s="23" t="s">
        <v>1379</v>
      </c>
      <c r="D4" s="23" t="s">
        <v>1380</v>
      </c>
      <c r="E4" s="21" t="s">
        <v>1363</v>
      </c>
      <c r="F4" s="23" t="s">
        <v>1381</v>
      </c>
      <c r="G4" s="23" t="s">
        <v>1382</v>
      </c>
      <c r="H4" s="23" t="s">
        <v>33</v>
      </c>
      <c r="I4" s="21" t="s">
        <v>30</v>
      </c>
      <c r="J4" s="21" t="s">
        <v>30</v>
      </c>
      <c r="K4" s="23" t="s">
        <v>379</v>
      </c>
      <c r="L4" s="23" t="s">
        <v>1383</v>
      </c>
      <c r="M4" s="23" t="s">
        <v>488</v>
      </c>
      <c r="N4" s="23" t="s">
        <v>1384</v>
      </c>
      <c r="O4" s="23" t="s">
        <v>173</v>
      </c>
      <c r="P4" s="23" t="s">
        <v>1385</v>
      </c>
      <c r="Q4" s="21" t="s">
        <v>34</v>
      </c>
      <c r="R4" s="23" t="s">
        <v>145</v>
      </c>
      <c r="S4" s="23"/>
      <c r="T4" s="23" t="s">
        <v>175</v>
      </c>
      <c r="U4" s="182">
        <v>11200</v>
      </c>
      <c r="V4" s="158">
        <v>0</v>
      </c>
      <c r="W4" s="158">
        <v>289</v>
      </c>
      <c r="X4" s="182">
        <v>74.096000000000004</v>
      </c>
      <c r="Y4" s="181">
        <v>1</v>
      </c>
      <c r="Z4" s="158">
        <v>0.214</v>
      </c>
      <c r="AA4" s="180">
        <v>0.94221622915356296</v>
      </c>
      <c r="AB4" s="180">
        <v>2.3364045534993798E-6</v>
      </c>
    </row>
    <row r="5" spans="1:28">
      <c r="A5" s="23">
        <v>161</v>
      </c>
      <c r="B5" s="23">
        <v>9942</v>
      </c>
      <c r="C5" s="23" t="s">
        <v>1386</v>
      </c>
      <c r="D5" s="23" t="s">
        <v>1387</v>
      </c>
      <c r="E5" s="21" t="s">
        <v>1363</v>
      </c>
      <c r="F5" s="23" t="s">
        <v>1388</v>
      </c>
      <c r="G5" s="23" t="s">
        <v>1389</v>
      </c>
      <c r="H5" s="23" t="s">
        <v>223</v>
      </c>
      <c r="I5" s="21" t="s">
        <v>30</v>
      </c>
      <c r="J5" s="21" t="s">
        <v>30</v>
      </c>
      <c r="K5" s="23" t="s">
        <v>379</v>
      </c>
      <c r="L5" s="23" t="s">
        <v>1389</v>
      </c>
      <c r="M5" s="23" t="s">
        <v>525</v>
      </c>
      <c r="N5" s="23" t="s">
        <v>1390</v>
      </c>
      <c r="O5" s="23" t="s">
        <v>173</v>
      </c>
      <c r="P5" s="23" t="s">
        <v>1391</v>
      </c>
      <c r="Q5" s="21" t="s">
        <v>34</v>
      </c>
      <c r="R5" s="23" t="s">
        <v>145</v>
      </c>
      <c r="S5" s="23"/>
      <c r="T5" s="23" t="s">
        <v>1392</v>
      </c>
      <c r="U5" s="182">
        <v>22.5</v>
      </c>
      <c r="V5" s="158">
        <v>1</v>
      </c>
      <c r="W5" s="158">
        <v>3135</v>
      </c>
      <c r="X5" s="182">
        <v>0.41899999999999998</v>
      </c>
      <c r="Y5" s="181">
        <v>1</v>
      </c>
      <c r="Z5" s="158">
        <v>1.2999999999999999E-2</v>
      </c>
      <c r="AA5" s="180">
        <v>5.7783770846436801E-2</v>
      </c>
      <c r="AB5" s="180">
        <v>1.4328586278466301E-7</v>
      </c>
    </row>
    <row r="6" spans="1:28">
      <c r="A6" s="23">
        <v>161</v>
      </c>
      <c r="B6" s="23">
        <v>9943</v>
      </c>
      <c r="C6" s="23" t="s">
        <v>1379</v>
      </c>
      <c r="D6" s="23" t="s">
        <v>1380</v>
      </c>
      <c r="E6" s="21" t="s">
        <v>1363</v>
      </c>
      <c r="F6" s="23" t="s">
        <v>1381</v>
      </c>
      <c r="G6" s="23" t="s">
        <v>1382</v>
      </c>
      <c r="H6" s="23" t="s">
        <v>33</v>
      </c>
      <c r="I6" s="21" t="s">
        <v>30</v>
      </c>
      <c r="J6" s="21" t="s">
        <v>30</v>
      </c>
      <c r="K6" s="23" t="s">
        <v>379</v>
      </c>
      <c r="L6" s="23" t="s">
        <v>1383</v>
      </c>
      <c r="M6" s="23" t="s">
        <v>488</v>
      </c>
      <c r="N6" s="23" t="s">
        <v>1384</v>
      </c>
      <c r="O6" s="23" t="s">
        <v>173</v>
      </c>
      <c r="P6" s="23" t="s">
        <v>1385</v>
      </c>
      <c r="Q6" s="21" t="s">
        <v>34</v>
      </c>
      <c r="R6" s="23" t="s">
        <v>145</v>
      </c>
      <c r="S6" s="23"/>
      <c r="T6" s="23" t="s">
        <v>175</v>
      </c>
      <c r="U6" s="182">
        <v>11200</v>
      </c>
      <c r="V6" s="158">
        <v>0</v>
      </c>
      <c r="W6" s="158">
        <v>1251</v>
      </c>
      <c r="X6" s="182">
        <v>74.096000000000004</v>
      </c>
      <c r="Y6" s="181">
        <v>1</v>
      </c>
      <c r="Z6" s="158">
        <v>0.92700000000000005</v>
      </c>
      <c r="AA6" s="180">
        <v>0.94443822510997499</v>
      </c>
      <c r="AB6" s="180">
        <v>5.0834239826384603E-7</v>
      </c>
    </row>
    <row r="7" spans="1:28">
      <c r="A7" s="23">
        <v>161</v>
      </c>
      <c r="B7" s="23">
        <v>9943</v>
      </c>
      <c r="C7" s="23" t="s">
        <v>1386</v>
      </c>
      <c r="D7" s="23" t="s">
        <v>1387</v>
      </c>
      <c r="E7" s="21" t="s">
        <v>1363</v>
      </c>
      <c r="F7" s="23" t="s">
        <v>1388</v>
      </c>
      <c r="G7" s="23" t="s">
        <v>1389</v>
      </c>
      <c r="H7" s="23" t="s">
        <v>223</v>
      </c>
      <c r="I7" s="21" t="s">
        <v>30</v>
      </c>
      <c r="J7" s="21" t="s">
        <v>30</v>
      </c>
      <c r="K7" s="23" t="s">
        <v>379</v>
      </c>
      <c r="L7" s="23" t="s">
        <v>1389</v>
      </c>
      <c r="M7" s="23" t="s">
        <v>525</v>
      </c>
      <c r="N7" s="23" t="s">
        <v>1390</v>
      </c>
      <c r="O7" s="23" t="s">
        <v>173</v>
      </c>
      <c r="P7" s="23" t="s">
        <v>1391</v>
      </c>
      <c r="Q7" s="21" t="s">
        <v>34</v>
      </c>
      <c r="R7" s="23" t="s">
        <v>145</v>
      </c>
      <c r="S7" s="23"/>
      <c r="T7" s="23" t="s">
        <v>1392</v>
      </c>
      <c r="U7" s="182">
        <v>22.5</v>
      </c>
      <c r="V7" s="158">
        <v>1</v>
      </c>
      <c r="W7" s="158">
        <v>13018</v>
      </c>
      <c r="X7" s="182">
        <v>0.41899999999999998</v>
      </c>
      <c r="Y7" s="181">
        <v>1</v>
      </c>
      <c r="Z7" s="158">
        <v>5.5E-2</v>
      </c>
      <c r="AA7" s="180">
        <v>5.5561774890024999E-2</v>
      </c>
      <c r="AB7" s="180">
        <v>2.99060384771088E-8</v>
      </c>
    </row>
    <row r="8" spans="1:28">
      <c r="A8" s="23">
        <v>161</v>
      </c>
      <c r="B8" s="23">
        <v>12468</v>
      </c>
      <c r="C8" s="23" t="s">
        <v>1379</v>
      </c>
      <c r="D8" s="23" t="s">
        <v>1380</v>
      </c>
      <c r="E8" s="21" t="s">
        <v>1363</v>
      </c>
      <c r="F8" s="23" t="s">
        <v>1381</v>
      </c>
      <c r="G8" s="23" t="s">
        <v>1382</v>
      </c>
      <c r="H8" s="23" t="s">
        <v>33</v>
      </c>
      <c r="I8" s="21" t="s">
        <v>30</v>
      </c>
      <c r="J8" s="21" t="s">
        <v>30</v>
      </c>
      <c r="K8" s="23" t="s">
        <v>379</v>
      </c>
      <c r="L8" s="23" t="s">
        <v>1383</v>
      </c>
      <c r="M8" s="23" t="s">
        <v>488</v>
      </c>
      <c r="N8" s="23" t="s">
        <v>1384</v>
      </c>
      <c r="O8" s="23" t="s">
        <v>173</v>
      </c>
      <c r="P8" s="23" t="s">
        <v>1385</v>
      </c>
      <c r="Q8" s="21" t="s">
        <v>34</v>
      </c>
      <c r="R8" s="23" t="s">
        <v>145</v>
      </c>
      <c r="S8" s="23"/>
      <c r="T8" s="23" t="s">
        <v>175</v>
      </c>
      <c r="U8" s="182">
        <v>11200</v>
      </c>
      <c r="V8" s="158">
        <v>0</v>
      </c>
      <c r="W8" s="158">
        <v>212</v>
      </c>
      <c r="X8" s="182">
        <v>74.096000000000004</v>
      </c>
      <c r="Y8" s="181">
        <v>1</v>
      </c>
      <c r="Z8" s="158">
        <v>0.157</v>
      </c>
      <c r="AA8" s="180">
        <v>0.99214203598407402</v>
      </c>
      <c r="AB8" s="180">
        <v>1.02976944145388E-5</v>
      </c>
    </row>
    <row r="9" spans="1:28">
      <c r="A9" s="23">
        <v>161</v>
      </c>
      <c r="B9" s="23">
        <v>12468</v>
      </c>
      <c r="C9" s="23" t="s">
        <v>1386</v>
      </c>
      <c r="D9" s="23" t="s">
        <v>1387</v>
      </c>
      <c r="E9" s="21" t="s">
        <v>1363</v>
      </c>
      <c r="F9" s="23" t="s">
        <v>1388</v>
      </c>
      <c r="G9" s="23" t="s">
        <v>1389</v>
      </c>
      <c r="H9" s="23" t="s">
        <v>223</v>
      </c>
      <c r="I9" s="21" t="s">
        <v>30</v>
      </c>
      <c r="J9" s="21" t="s">
        <v>30</v>
      </c>
      <c r="K9" s="23" t="s">
        <v>379</v>
      </c>
      <c r="L9" s="23" t="s">
        <v>1389</v>
      </c>
      <c r="M9" s="23" t="s">
        <v>525</v>
      </c>
      <c r="N9" s="23" t="s">
        <v>1390</v>
      </c>
      <c r="O9" s="23" t="s">
        <v>173</v>
      </c>
      <c r="P9" s="23" t="s">
        <v>1391</v>
      </c>
      <c r="Q9" s="21" t="s">
        <v>34</v>
      </c>
      <c r="R9" s="23" t="s">
        <v>145</v>
      </c>
      <c r="S9" s="23"/>
      <c r="T9" s="23" t="s">
        <v>1392</v>
      </c>
      <c r="U9" s="182">
        <v>22.5</v>
      </c>
      <c r="V9" s="158">
        <v>1</v>
      </c>
      <c r="W9" s="158">
        <v>297</v>
      </c>
      <c r="X9" s="182">
        <v>0.41899999999999998</v>
      </c>
      <c r="Y9" s="181">
        <v>1</v>
      </c>
      <c r="Z9" s="158">
        <v>1E-3</v>
      </c>
      <c r="AA9" s="180">
        <v>7.8579640159258807E-3</v>
      </c>
      <c r="AB9" s="180">
        <v>8.1559806178543899E-8</v>
      </c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184</v>
      </c>
      <c r="M1" s="22" t="s">
        <v>216</v>
      </c>
      <c r="N1" s="22" t="s">
        <v>1165</v>
      </c>
      <c r="O1" s="22" t="s">
        <v>159</v>
      </c>
      <c r="P1" s="22" t="s">
        <v>192</v>
      </c>
      <c r="Q1" s="22" t="s">
        <v>11</v>
      </c>
      <c r="R1" s="22" t="s">
        <v>185</v>
      </c>
      <c r="S1" s="22" t="s">
        <v>186</v>
      </c>
      <c r="T1" s="22" t="s">
        <v>168</v>
      </c>
      <c r="U1" s="22" t="s">
        <v>1166</v>
      </c>
      <c r="V1" s="22" t="s">
        <v>1167</v>
      </c>
      <c r="W1" s="22" t="s">
        <v>17</v>
      </c>
      <c r="X1" s="22" t="s">
        <v>19</v>
      </c>
      <c r="Y1" s="22" t="s">
        <v>18</v>
      </c>
      <c r="Z1" s="22" t="s">
        <v>1393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R2" sqref="R2:R10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1180</v>
      </c>
      <c r="E1" s="22" t="s">
        <v>1181</v>
      </c>
      <c r="F1" s="176" t="s">
        <v>18</v>
      </c>
      <c r="G1" s="22" t="s">
        <v>1182</v>
      </c>
      <c r="H1" s="22" t="s">
        <v>1183</v>
      </c>
      <c r="I1" s="22" t="s">
        <v>1184</v>
      </c>
      <c r="J1" s="22" t="s">
        <v>1185</v>
      </c>
      <c r="K1" s="22" t="s">
        <v>1186</v>
      </c>
      <c r="L1" s="22" t="s">
        <v>1187</v>
      </c>
      <c r="M1" s="176" t="s">
        <v>18</v>
      </c>
      <c r="N1" s="22" t="s">
        <v>1188</v>
      </c>
      <c r="O1" s="22" t="s">
        <v>1189</v>
      </c>
      <c r="P1" s="22" t="s">
        <v>1341</v>
      </c>
      <c r="Q1" s="22" t="s">
        <v>1342</v>
      </c>
      <c r="R1" s="22" t="s">
        <v>1343</v>
      </c>
      <c r="S1" s="22" t="s">
        <v>6</v>
      </c>
      <c r="T1" s="22" t="s">
        <v>7</v>
      </c>
      <c r="U1" s="22" t="s">
        <v>1193</v>
      </c>
      <c r="V1" s="22" t="s">
        <v>974</v>
      </c>
      <c r="W1" s="22" t="s">
        <v>981</v>
      </c>
      <c r="X1" s="22" t="s">
        <v>374</v>
      </c>
      <c r="Y1" s="22" t="s">
        <v>159</v>
      </c>
      <c r="Z1" s="22" t="s">
        <v>1194</v>
      </c>
      <c r="AA1" s="22" t="s">
        <v>1195</v>
      </c>
      <c r="AB1" s="22" t="s">
        <v>945</v>
      </c>
      <c r="AC1" s="22" t="s">
        <v>953</v>
      </c>
      <c r="AD1" s="22" t="s">
        <v>1196</v>
      </c>
      <c r="AE1" s="22" t="s">
        <v>971</v>
      </c>
      <c r="AF1" s="22" t="s">
        <v>956</v>
      </c>
      <c r="AG1" s="22" t="s">
        <v>967</v>
      </c>
      <c r="AH1" s="167" t="s">
        <v>1197</v>
      </c>
      <c r="AI1" s="22" t="s">
        <v>1198</v>
      </c>
      <c r="AJ1" s="22" t="s">
        <v>1199</v>
      </c>
      <c r="AK1" s="22" t="s">
        <v>996</v>
      </c>
      <c r="AL1" s="22" t="s">
        <v>1200</v>
      </c>
      <c r="AM1" s="22" t="s">
        <v>1201</v>
      </c>
      <c r="AN1" s="171" t="s">
        <v>24</v>
      </c>
      <c r="AO1" s="171" t="s">
        <v>25</v>
      </c>
    </row>
    <row r="2" spans="1:41">
      <c r="A2" s="12" t="s">
        <v>1344</v>
      </c>
      <c r="B2" s="12" t="s">
        <v>1345</v>
      </c>
      <c r="C2" s="12" t="s">
        <v>1092</v>
      </c>
      <c r="D2" s="1" t="s">
        <v>1346</v>
      </c>
      <c r="E2" s="12" t="s">
        <v>34</v>
      </c>
      <c r="F2" s="190">
        <v>1</v>
      </c>
      <c r="G2" s="163">
        <v>12923165</v>
      </c>
      <c r="H2" s="155">
        <v>12913.686</v>
      </c>
      <c r="I2" s="164">
        <v>4.8427999999999999E-2</v>
      </c>
      <c r="J2" s="155">
        <v>6.9999999999999999E-6</v>
      </c>
      <c r="K2" s="11" t="s">
        <v>1346</v>
      </c>
      <c r="L2" s="12" t="s">
        <v>1225</v>
      </c>
      <c r="M2" s="191">
        <v>4.1524000000000001</v>
      </c>
      <c r="N2" s="164">
        <v>-3070000</v>
      </c>
      <c r="O2" s="164">
        <v>-3070</v>
      </c>
      <c r="P2" s="164">
        <v>-1.9999999999999999E-6</v>
      </c>
      <c r="Q2" s="164">
        <v>4.3640999999999999E-2</v>
      </c>
      <c r="R2" s="163">
        <v>165.81800000000001</v>
      </c>
      <c r="S2" s="11" t="s">
        <v>30</v>
      </c>
      <c r="T2" s="21" t="s">
        <v>1347</v>
      </c>
      <c r="U2" s="12" t="s">
        <v>795</v>
      </c>
      <c r="V2" s="12" t="s">
        <v>976</v>
      </c>
      <c r="W2" s="11" t="s">
        <v>990</v>
      </c>
      <c r="X2" s="12" t="s">
        <v>1348</v>
      </c>
      <c r="Y2" s="12" t="s">
        <v>173</v>
      </c>
      <c r="Z2" s="1" t="s">
        <v>1349</v>
      </c>
      <c r="AA2" s="27" t="s">
        <v>1350</v>
      </c>
      <c r="AB2" s="12" t="s">
        <v>952</v>
      </c>
      <c r="AC2" s="12" t="s">
        <v>954</v>
      </c>
      <c r="AD2" s="12" t="s">
        <v>390</v>
      </c>
      <c r="AE2" s="12" t="s">
        <v>972</v>
      </c>
      <c r="AF2" s="12" t="s">
        <v>952</v>
      </c>
      <c r="AG2" s="12" t="s">
        <v>952</v>
      </c>
      <c r="AH2" s="192">
        <v>0</v>
      </c>
      <c r="AI2" s="163">
        <v>4.2095000000000002</v>
      </c>
      <c r="AJ2" s="11" t="s">
        <v>1351</v>
      </c>
      <c r="AK2" s="12" t="s">
        <v>173</v>
      </c>
      <c r="AL2" s="11" t="s">
        <v>173</v>
      </c>
      <c r="AM2" s="11" t="s">
        <v>1352</v>
      </c>
      <c r="AN2" s="180">
        <v>3.8452E-2</v>
      </c>
      <c r="AO2" s="180">
        <v>0</v>
      </c>
    </row>
    <row r="3" spans="1:41">
      <c r="A3" s="12" t="s">
        <v>1344</v>
      </c>
      <c r="B3" s="12" t="s">
        <v>1345</v>
      </c>
      <c r="C3" s="12" t="s">
        <v>1092</v>
      </c>
      <c r="D3" s="1" t="s">
        <v>1353</v>
      </c>
      <c r="E3" s="12" t="s">
        <v>34</v>
      </c>
      <c r="F3" s="190">
        <v>1</v>
      </c>
      <c r="G3" s="163">
        <v>48140175</v>
      </c>
      <c r="H3" s="155">
        <v>48203.372000000003</v>
      </c>
      <c r="I3" s="164">
        <v>0.18076900000000001</v>
      </c>
      <c r="J3" s="155">
        <v>2.5999999999999998E-5</v>
      </c>
      <c r="K3" s="11" t="s">
        <v>1353</v>
      </c>
      <c r="L3" s="12" t="s">
        <v>95</v>
      </c>
      <c r="M3" s="191">
        <v>3.71</v>
      </c>
      <c r="N3" s="164">
        <v>-12750000</v>
      </c>
      <c r="O3" s="164">
        <v>-12750</v>
      </c>
      <c r="P3" s="164">
        <v>-6.9999999999999999E-6</v>
      </c>
      <c r="Q3" s="164">
        <v>0.18124399999999999</v>
      </c>
      <c r="R3" s="163">
        <v>900.87199999999996</v>
      </c>
      <c r="S3" s="11" t="s">
        <v>30</v>
      </c>
      <c r="T3" s="21" t="s">
        <v>1347</v>
      </c>
      <c r="U3" s="12" t="s">
        <v>795</v>
      </c>
      <c r="V3" s="12" t="s">
        <v>976</v>
      </c>
      <c r="W3" s="11" t="s">
        <v>990</v>
      </c>
      <c r="X3" s="12" t="s">
        <v>1354</v>
      </c>
      <c r="Y3" s="12" t="s">
        <v>173</v>
      </c>
      <c r="Z3" s="1" t="s">
        <v>1349</v>
      </c>
      <c r="AA3" s="27" t="s">
        <v>1350</v>
      </c>
      <c r="AB3" s="12" t="s">
        <v>952</v>
      </c>
      <c r="AC3" s="12" t="s">
        <v>954</v>
      </c>
      <c r="AD3" s="12" t="s">
        <v>390</v>
      </c>
      <c r="AE3" s="12" t="s">
        <v>972</v>
      </c>
      <c r="AF3" s="12" t="s">
        <v>952</v>
      </c>
      <c r="AG3" s="12" t="s">
        <v>952</v>
      </c>
      <c r="AH3" s="169">
        <v>0</v>
      </c>
      <c r="AI3" s="163">
        <v>3.7757000000000001</v>
      </c>
      <c r="AJ3" s="12" t="s">
        <v>1351</v>
      </c>
      <c r="AK3" s="12" t="s">
        <v>173</v>
      </c>
      <c r="AL3" s="11" t="s">
        <v>173</v>
      </c>
      <c r="AM3" s="11" t="s">
        <v>1352</v>
      </c>
      <c r="AN3" s="180">
        <v>0.20890400000000001</v>
      </c>
      <c r="AO3" s="180">
        <v>0</v>
      </c>
    </row>
    <row r="4" spans="1:41">
      <c r="A4" s="12" t="s">
        <v>1344</v>
      </c>
      <c r="B4" s="12" t="s">
        <v>1345</v>
      </c>
      <c r="C4" s="12" t="s">
        <v>1092</v>
      </c>
      <c r="D4" s="1" t="s">
        <v>1355</v>
      </c>
      <c r="E4" s="12" t="s">
        <v>34</v>
      </c>
      <c r="F4" s="190">
        <v>1</v>
      </c>
      <c r="G4" s="163">
        <v>47729625</v>
      </c>
      <c r="H4" s="155">
        <v>48117.728000000003</v>
      </c>
      <c r="I4" s="164">
        <v>0.180447</v>
      </c>
      <c r="J4" s="155">
        <v>2.5999999999999998E-5</v>
      </c>
      <c r="K4" s="11" t="s">
        <v>1355</v>
      </c>
      <c r="L4" s="12" t="s">
        <v>95</v>
      </c>
      <c r="M4" s="191">
        <v>3.71</v>
      </c>
      <c r="N4" s="164">
        <v>-12750000</v>
      </c>
      <c r="O4" s="164">
        <v>-12750</v>
      </c>
      <c r="P4" s="164">
        <v>-6.9999999999999999E-6</v>
      </c>
      <c r="Q4" s="164">
        <v>0.18124399999999999</v>
      </c>
      <c r="R4" s="163">
        <v>815.22799999999995</v>
      </c>
      <c r="S4" s="11" t="s">
        <v>30</v>
      </c>
      <c r="T4" s="21" t="s">
        <v>1347</v>
      </c>
      <c r="U4" s="12" t="s">
        <v>795</v>
      </c>
      <c r="V4" s="12" t="s">
        <v>976</v>
      </c>
      <c r="W4" s="11" t="s">
        <v>990</v>
      </c>
      <c r="X4" s="12" t="s">
        <v>1354</v>
      </c>
      <c r="Y4" s="12" t="s">
        <v>173</v>
      </c>
      <c r="Z4" s="1" t="s">
        <v>1349</v>
      </c>
      <c r="AA4" s="27" t="s">
        <v>1356</v>
      </c>
      <c r="AB4" s="12" t="s">
        <v>952</v>
      </c>
      <c r="AC4" s="12" t="s">
        <v>954</v>
      </c>
      <c r="AD4" s="12" t="s">
        <v>390</v>
      </c>
      <c r="AE4" s="12" t="s">
        <v>972</v>
      </c>
      <c r="AF4" s="12" t="s">
        <v>952</v>
      </c>
      <c r="AG4" s="12" t="s">
        <v>952</v>
      </c>
      <c r="AH4" s="169">
        <v>0</v>
      </c>
      <c r="AI4" s="163">
        <v>3.7435</v>
      </c>
      <c r="AJ4" s="12" t="s">
        <v>1351</v>
      </c>
      <c r="AK4" s="12" t="s">
        <v>173</v>
      </c>
      <c r="AL4" s="11" t="s">
        <v>173</v>
      </c>
      <c r="AM4" s="11" t="s">
        <v>1352</v>
      </c>
      <c r="AN4" s="180">
        <v>0.18904399999999999</v>
      </c>
      <c r="AO4" s="180">
        <v>0</v>
      </c>
    </row>
    <row r="5" spans="1:41">
      <c r="A5" s="12" t="s">
        <v>1344</v>
      </c>
      <c r="B5" s="12" t="s">
        <v>1345</v>
      </c>
      <c r="C5" s="12" t="s">
        <v>1092</v>
      </c>
      <c r="D5" s="1" t="s">
        <v>1355</v>
      </c>
      <c r="E5" s="12" t="s">
        <v>34</v>
      </c>
      <c r="F5" s="190">
        <v>1</v>
      </c>
      <c r="G5" s="163">
        <v>68650174.75</v>
      </c>
      <c r="H5" s="155">
        <v>69208.388999999996</v>
      </c>
      <c r="I5" s="164">
        <v>0.25953999999999999</v>
      </c>
      <c r="J5" s="155">
        <v>3.8000000000000002E-5</v>
      </c>
      <c r="K5" s="11" t="s">
        <v>1355</v>
      </c>
      <c r="L5" s="12" t="s">
        <v>95</v>
      </c>
      <c r="M5" s="191">
        <v>3.71</v>
      </c>
      <c r="N5" s="164">
        <v>-18338500</v>
      </c>
      <c r="O5" s="164">
        <v>-18338.5</v>
      </c>
      <c r="P5" s="164">
        <v>-1.0000000000000001E-5</v>
      </c>
      <c r="Q5" s="164">
        <v>0.26068599999999997</v>
      </c>
      <c r="R5" s="163">
        <v>1172.5540000000001</v>
      </c>
      <c r="S5" s="11" t="s">
        <v>30</v>
      </c>
      <c r="T5" s="21" t="s">
        <v>30</v>
      </c>
      <c r="U5" s="12" t="s">
        <v>795</v>
      </c>
      <c r="V5" s="12" t="s">
        <v>976</v>
      </c>
      <c r="W5" s="11" t="s">
        <v>990</v>
      </c>
      <c r="X5" s="12" t="s">
        <v>1354</v>
      </c>
      <c r="Y5" s="12" t="s">
        <v>173</v>
      </c>
      <c r="Z5" s="1" t="s">
        <v>1349</v>
      </c>
      <c r="AA5" s="27" t="s">
        <v>1356</v>
      </c>
      <c r="AB5" s="12" t="s">
        <v>952</v>
      </c>
      <c r="AC5" s="12" t="s">
        <v>954</v>
      </c>
      <c r="AD5" s="12" t="s">
        <v>390</v>
      </c>
      <c r="AE5" s="12" t="s">
        <v>972</v>
      </c>
      <c r="AF5" s="12" t="s">
        <v>952</v>
      </c>
      <c r="AG5" s="12" t="s">
        <v>952</v>
      </c>
      <c r="AH5" s="169">
        <v>0</v>
      </c>
      <c r="AI5" s="163">
        <v>3.7435</v>
      </c>
      <c r="AJ5" s="12" t="s">
        <v>1351</v>
      </c>
      <c r="AK5" s="12" t="s">
        <v>173</v>
      </c>
      <c r="AL5" s="11" t="s">
        <v>173</v>
      </c>
      <c r="AM5" s="11" t="s">
        <v>1352</v>
      </c>
      <c r="AN5" s="180">
        <v>0.27190500000000001</v>
      </c>
      <c r="AO5" s="180">
        <v>9.9999999999999995E-7</v>
      </c>
    </row>
    <row r="6" spans="1:41">
      <c r="A6" s="12" t="s">
        <v>1344</v>
      </c>
      <c r="B6" s="12" t="s">
        <v>1345</v>
      </c>
      <c r="C6" s="12" t="s">
        <v>1092</v>
      </c>
      <c r="D6" s="1" t="s">
        <v>1357</v>
      </c>
      <c r="E6" s="12" t="s">
        <v>34</v>
      </c>
      <c r="F6" s="190">
        <v>1</v>
      </c>
      <c r="G6" s="163">
        <v>69240674.450000003</v>
      </c>
      <c r="H6" s="155">
        <v>69331.570999999996</v>
      </c>
      <c r="I6" s="164">
        <v>0.26000200000000001</v>
      </c>
      <c r="J6" s="155">
        <v>3.8000000000000002E-5</v>
      </c>
      <c r="K6" s="11" t="s">
        <v>1357</v>
      </c>
      <c r="L6" s="12" t="s">
        <v>95</v>
      </c>
      <c r="M6" s="191">
        <v>3.71</v>
      </c>
      <c r="N6" s="164">
        <v>-18338500</v>
      </c>
      <c r="O6" s="164">
        <v>-18338.5</v>
      </c>
      <c r="P6" s="164">
        <v>-1.0000000000000001E-5</v>
      </c>
      <c r="Q6" s="164">
        <v>0.26068599999999997</v>
      </c>
      <c r="R6" s="163">
        <v>1295.7360000000001</v>
      </c>
      <c r="S6" s="11" t="s">
        <v>30</v>
      </c>
      <c r="T6" s="21" t="s">
        <v>30</v>
      </c>
      <c r="U6" s="12" t="s">
        <v>795</v>
      </c>
      <c r="V6" s="12" t="s">
        <v>976</v>
      </c>
      <c r="W6" s="11" t="s">
        <v>990</v>
      </c>
      <c r="X6" s="12" t="s">
        <v>1354</v>
      </c>
      <c r="Y6" s="12" t="s">
        <v>173</v>
      </c>
      <c r="Z6" s="1" t="s">
        <v>1349</v>
      </c>
      <c r="AA6" s="27" t="s">
        <v>1350</v>
      </c>
      <c r="AB6" s="12" t="s">
        <v>952</v>
      </c>
      <c r="AC6" s="12" t="s">
        <v>954</v>
      </c>
      <c r="AD6" s="12" t="s">
        <v>390</v>
      </c>
      <c r="AE6" s="12" t="s">
        <v>972</v>
      </c>
      <c r="AF6" s="12" t="s">
        <v>952</v>
      </c>
      <c r="AG6" s="12" t="s">
        <v>952</v>
      </c>
      <c r="AH6" s="169">
        <v>0</v>
      </c>
      <c r="AI6" s="163">
        <v>3.7757000000000001</v>
      </c>
      <c r="AJ6" s="12" t="s">
        <v>1351</v>
      </c>
      <c r="AK6" s="12" t="s">
        <v>173</v>
      </c>
      <c r="AL6" s="11" t="s">
        <v>173</v>
      </c>
      <c r="AM6" s="11" t="s">
        <v>1352</v>
      </c>
      <c r="AN6" s="180">
        <v>0.30047000000000001</v>
      </c>
      <c r="AO6" s="180">
        <v>9.9999999999999995E-7</v>
      </c>
    </row>
    <row r="7" spans="1:41">
      <c r="A7" s="12" t="s">
        <v>1344</v>
      </c>
      <c r="B7" s="12" t="s">
        <v>1345</v>
      </c>
      <c r="C7" s="12" t="s">
        <v>1092</v>
      </c>
      <c r="D7" s="1" t="s">
        <v>1358</v>
      </c>
      <c r="E7" s="12" t="s">
        <v>34</v>
      </c>
      <c r="F7" s="190">
        <v>1</v>
      </c>
      <c r="G7" s="163">
        <v>18870000</v>
      </c>
      <c r="H7" s="155">
        <v>18883.155999999999</v>
      </c>
      <c r="I7" s="164">
        <v>7.0814000000000002E-2</v>
      </c>
      <c r="J7" s="155">
        <v>1.0000000000000001E-5</v>
      </c>
      <c r="K7" s="11" t="s">
        <v>1358</v>
      </c>
      <c r="L7" s="12" t="s">
        <v>95</v>
      </c>
      <c r="M7" s="191">
        <v>3.71</v>
      </c>
      <c r="N7" s="164">
        <v>-5100000</v>
      </c>
      <c r="O7" s="164">
        <v>-5100</v>
      </c>
      <c r="P7" s="164">
        <v>-3.0000000000000001E-6</v>
      </c>
      <c r="Q7" s="164">
        <v>7.2498000000000007E-2</v>
      </c>
      <c r="R7" s="163">
        <v>-37.844000000000001</v>
      </c>
      <c r="S7" s="11" t="s">
        <v>30</v>
      </c>
      <c r="T7" s="21" t="s">
        <v>30</v>
      </c>
      <c r="U7" s="12" t="s">
        <v>795</v>
      </c>
      <c r="V7" s="12" t="s">
        <v>976</v>
      </c>
      <c r="W7" s="11" t="s">
        <v>990</v>
      </c>
      <c r="X7" s="12" t="s">
        <v>1354</v>
      </c>
      <c r="Y7" s="12" t="s">
        <v>173</v>
      </c>
      <c r="Z7" s="1" t="s">
        <v>1359</v>
      </c>
      <c r="AA7" s="27" t="s">
        <v>1360</v>
      </c>
      <c r="AB7" s="12" t="s">
        <v>952</v>
      </c>
      <c r="AC7" s="12" t="s">
        <v>954</v>
      </c>
      <c r="AD7" s="12" t="s">
        <v>390</v>
      </c>
      <c r="AE7" s="12" t="s">
        <v>972</v>
      </c>
      <c r="AF7" s="12" t="s">
        <v>952</v>
      </c>
      <c r="AG7" s="12" t="s">
        <v>952</v>
      </c>
      <c r="AH7" s="169">
        <v>0</v>
      </c>
      <c r="AI7" s="163">
        <v>3.7</v>
      </c>
      <c r="AJ7" s="12" t="s">
        <v>1351</v>
      </c>
      <c r="AK7" s="12" t="s">
        <v>173</v>
      </c>
      <c r="AL7" s="11" t="s">
        <v>173</v>
      </c>
      <c r="AM7" s="11" t="s">
        <v>1352</v>
      </c>
      <c r="AN7" s="180">
        <v>-8.7760000000000008E-3</v>
      </c>
      <c r="AO7" s="180">
        <v>0</v>
      </c>
    </row>
    <row r="8" spans="1:41">
      <c r="A8" s="12" t="s">
        <v>1344</v>
      </c>
      <c r="B8" s="12" t="s">
        <v>1361</v>
      </c>
      <c r="C8" s="12" t="s">
        <v>1092</v>
      </c>
      <c r="D8" s="1" t="s">
        <v>1346</v>
      </c>
      <c r="E8" s="12" t="s">
        <v>34</v>
      </c>
      <c r="F8" s="190">
        <v>1</v>
      </c>
      <c r="G8" s="163">
        <v>294665</v>
      </c>
      <c r="H8" s="155">
        <v>294.44900000000001</v>
      </c>
      <c r="I8" s="164">
        <v>1</v>
      </c>
      <c r="J8" s="155">
        <v>1.9000000000000001E-5</v>
      </c>
      <c r="K8" s="11" t="s">
        <v>1346</v>
      </c>
      <c r="L8" s="12" t="s">
        <v>1225</v>
      </c>
      <c r="M8" s="191">
        <v>4.1524000000000001</v>
      </c>
      <c r="N8" s="164">
        <v>-70000</v>
      </c>
      <c r="O8" s="164">
        <v>-70</v>
      </c>
      <c r="P8" s="164">
        <v>-5.0000000000000004E-6</v>
      </c>
      <c r="Q8" s="164">
        <v>1</v>
      </c>
      <c r="R8" s="163">
        <v>3.7810000000000001</v>
      </c>
      <c r="S8" s="11" t="s">
        <v>30</v>
      </c>
      <c r="T8" s="21" t="s">
        <v>30</v>
      </c>
      <c r="U8" s="12" t="s">
        <v>795</v>
      </c>
      <c r="V8" s="12" t="s">
        <v>976</v>
      </c>
      <c r="W8" s="11" t="s">
        <v>990</v>
      </c>
      <c r="X8" s="12" t="s">
        <v>1348</v>
      </c>
      <c r="Y8" s="12" t="s">
        <v>173</v>
      </c>
      <c r="Z8" s="1" t="s">
        <v>1349</v>
      </c>
      <c r="AA8" s="27" t="s">
        <v>1350</v>
      </c>
      <c r="AB8" s="12" t="s">
        <v>952</v>
      </c>
      <c r="AC8" s="12" t="s">
        <v>954</v>
      </c>
      <c r="AD8" s="12" t="s">
        <v>390</v>
      </c>
      <c r="AE8" s="12" t="s">
        <v>972</v>
      </c>
      <c r="AF8" s="12" t="s">
        <v>952</v>
      </c>
      <c r="AG8" s="12" t="s">
        <v>952</v>
      </c>
      <c r="AH8" s="169">
        <v>0</v>
      </c>
      <c r="AI8" s="163">
        <v>4.2095000000000002</v>
      </c>
      <c r="AJ8" s="12" t="s">
        <v>1351</v>
      </c>
      <c r="AK8" s="12" t="s">
        <v>173</v>
      </c>
      <c r="AL8" s="11" t="s">
        <v>173</v>
      </c>
      <c r="AM8" s="11" t="s">
        <v>1352</v>
      </c>
      <c r="AN8" s="180">
        <v>1</v>
      </c>
      <c r="AO8" s="180">
        <v>0</v>
      </c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5</v>
      </c>
      <c r="H1" s="22" t="s">
        <v>1202</v>
      </c>
      <c r="I1" s="22" t="s">
        <v>6</v>
      </c>
      <c r="J1" s="22" t="s">
        <v>7</v>
      </c>
      <c r="K1" s="22" t="s">
        <v>184</v>
      </c>
      <c r="L1" s="22" t="s">
        <v>159</v>
      </c>
      <c r="M1" s="22" t="s">
        <v>1203</v>
      </c>
      <c r="N1" s="22" t="s">
        <v>1204</v>
      </c>
      <c r="O1" s="22" t="s">
        <v>1205</v>
      </c>
      <c r="P1" s="22" t="s">
        <v>9</v>
      </c>
      <c r="Q1" s="22" t="s">
        <v>10</v>
      </c>
      <c r="R1" s="22" t="s">
        <v>160</v>
      </c>
      <c r="S1" s="22" t="s">
        <v>11</v>
      </c>
      <c r="T1" s="22" t="s">
        <v>12</v>
      </c>
      <c r="U1" s="22" t="s">
        <v>161</v>
      </c>
      <c r="V1" s="167" t="s">
        <v>14</v>
      </c>
      <c r="W1" s="22" t="s">
        <v>802</v>
      </c>
      <c r="X1" s="22" t="s">
        <v>956</v>
      </c>
      <c r="Y1" s="188" t="s">
        <v>1207</v>
      </c>
      <c r="Z1" s="171" t="s">
        <v>15</v>
      </c>
      <c r="AA1" s="22" t="s">
        <v>13</v>
      </c>
      <c r="AB1" s="22" t="s">
        <v>459</v>
      </c>
      <c r="AC1" s="22" t="s">
        <v>807</v>
      </c>
      <c r="AD1" s="188" t="s">
        <v>1208</v>
      </c>
      <c r="AE1" s="171" t="s">
        <v>1209</v>
      </c>
      <c r="AF1" s="22" t="s">
        <v>1210</v>
      </c>
      <c r="AG1" s="22" t="s">
        <v>830</v>
      </c>
      <c r="AH1" s="22" t="s">
        <v>831</v>
      </c>
      <c r="AI1" s="22" t="s">
        <v>1211</v>
      </c>
      <c r="AJ1" s="22" t="s">
        <v>837</v>
      </c>
      <c r="AK1" s="22" t="s">
        <v>185</v>
      </c>
      <c r="AL1" s="22" t="s">
        <v>198</v>
      </c>
      <c r="AM1" s="22" t="s">
        <v>186</v>
      </c>
      <c r="AN1" s="22" t="s">
        <v>168</v>
      </c>
      <c r="AO1" s="22" t="s">
        <v>187</v>
      </c>
      <c r="AP1" s="167" t="s">
        <v>1212</v>
      </c>
      <c r="AQ1" s="22" t="s">
        <v>1213</v>
      </c>
      <c r="AR1" s="176" t="s">
        <v>1214</v>
      </c>
      <c r="AS1" s="165" t="s">
        <v>18</v>
      </c>
      <c r="AT1" s="22" t="s">
        <v>20</v>
      </c>
      <c r="AU1" s="22" t="s">
        <v>199</v>
      </c>
      <c r="AV1" s="22" t="s">
        <v>21</v>
      </c>
      <c r="AW1" s="22" t="s">
        <v>200</v>
      </c>
      <c r="AX1" s="22" t="s">
        <v>880</v>
      </c>
      <c r="AY1" s="22" t="s">
        <v>22</v>
      </c>
      <c r="AZ1" s="171" t="s">
        <v>24</v>
      </c>
      <c r="BA1" s="171" t="s">
        <v>25</v>
      </c>
    </row>
    <row r="2" spans="1:53">
      <c r="A2" s="2">
        <v>161</v>
      </c>
      <c r="B2" s="2">
        <v>9943</v>
      </c>
      <c r="C2" s="23" t="s">
        <v>1362</v>
      </c>
      <c r="D2" s="23" t="s">
        <v>1363</v>
      </c>
      <c r="E2" s="23" t="s">
        <v>1364</v>
      </c>
      <c r="F2" s="23" t="s">
        <v>1365</v>
      </c>
      <c r="G2" s="23" t="s">
        <v>1085</v>
      </c>
      <c r="I2" s="21" t="s">
        <v>30</v>
      </c>
      <c r="J2" s="21" t="s">
        <v>30</v>
      </c>
      <c r="K2" s="23" t="s">
        <v>526</v>
      </c>
      <c r="L2" s="23" t="s">
        <v>173</v>
      </c>
      <c r="M2" s="23" t="s">
        <v>173</v>
      </c>
      <c r="N2" s="23"/>
      <c r="O2" s="23" t="s">
        <v>1366</v>
      </c>
      <c r="P2" s="23" t="s">
        <v>225</v>
      </c>
      <c r="Q2" s="23" t="s">
        <v>226</v>
      </c>
      <c r="R2" s="23" t="s">
        <v>457</v>
      </c>
      <c r="S2" s="21" t="s">
        <v>34</v>
      </c>
      <c r="T2" s="158">
        <v>2.1800000000000002</v>
      </c>
      <c r="U2" s="23" t="s">
        <v>878</v>
      </c>
      <c r="V2" s="179">
        <v>5.9371E-2</v>
      </c>
      <c r="W2" s="23" t="s">
        <v>806</v>
      </c>
      <c r="X2" s="23" t="s">
        <v>1367</v>
      </c>
      <c r="Y2" s="189">
        <v>5.9371</v>
      </c>
      <c r="Z2" s="180">
        <v>5.21E-2</v>
      </c>
      <c r="AA2" s="23" t="s">
        <v>1368</v>
      </c>
      <c r="AB2" s="21" t="s">
        <v>461</v>
      </c>
      <c r="AC2" s="23"/>
      <c r="AD2" s="23"/>
      <c r="AE2" s="180">
        <v>0</v>
      </c>
      <c r="AF2" s="23"/>
      <c r="AG2" s="23" t="s">
        <v>173</v>
      </c>
      <c r="AH2" s="23" t="s">
        <v>832</v>
      </c>
      <c r="AI2" s="2" t="s">
        <v>1369</v>
      </c>
      <c r="AJ2" s="2" t="s">
        <v>173</v>
      </c>
      <c r="AK2" s="23" t="s">
        <v>145</v>
      </c>
      <c r="AL2" s="23" t="s">
        <v>145</v>
      </c>
      <c r="AM2" s="23" t="s">
        <v>208</v>
      </c>
      <c r="AN2" s="2" t="s">
        <v>175</v>
      </c>
      <c r="AP2" s="170">
        <v>0</v>
      </c>
      <c r="AQ2" s="156">
        <v>17337947.050000001</v>
      </c>
      <c r="AR2" s="182">
        <v>101.59099999999999</v>
      </c>
      <c r="AS2" s="181">
        <v>1</v>
      </c>
      <c r="AT2" s="158">
        <v>17613.797999999999</v>
      </c>
      <c r="AU2" s="162">
        <v>17613.797999999999</v>
      </c>
      <c r="AV2" s="30"/>
      <c r="AW2" s="30"/>
      <c r="AX2" s="21" t="s">
        <v>173</v>
      </c>
      <c r="AY2" s="23" t="s">
        <v>36</v>
      </c>
      <c r="AZ2" s="180">
        <v>0.61410090767105696</v>
      </c>
      <c r="BA2" s="180">
        <v>9.6595582566844397E-3</v>
      </c>
    </row>
    <row r="3" spans="1:53">
      <c r="A3" s="2">
        <v>161</v>
      </c>
      <c r="B3" s="2">
        <v>9943</v>
      </c>
      <c r="C3" s="23" t="s">
        <v>1370</v>
      </c>
      <c r="D3" s="23" t="s">
        <v>1363</v>
      </c>
      <c r="E3" s="23" t="s">
        <v>1371</v>
      </c>
      <c r="F3" s="23" t="s">
        <v>1372</v>
      </c>
      <c r="G3" s="23" t="s">
        <v>1086</v>
      </c>
      <c r="I3" s="21" t="s">
        <v>30</v>
      </c>
      <c r="J3" s="21" t="s">
        <v>30</v>
      </c>
      <c r="K3" s="23" t="s">
        <v>525</v>
      </c>
      <c r="L3" s="23" t="s">
        <v>173</v>
      </c>
      <c r="M3" s="23" t="s">
        <v>390</v>
      </c>
      <c r="N3" s="23"/>
      <c r="O3" s="23" t="s">
        <v>1373</v>
      </c>
      <c r="P3" s="23" t="s">
        <v>1374</v>
      </c>
      <c r="Q3" s="23" t="s">
        <v>464</v>
      </c>
      <c r="R3" s="23" t="s">
        <v>457</v>
      </c>
      <c r="S3" s="21" t="s">
        <v>34</v>
      </c>
      <c r="T3" s="158">
        <v>10.050000000000001</v>
      </c>
      <c r="U3" s="23" t="s">
        <v>145</v>
      </c>
      <c r="V3" s="179">
        <v>0.03</v>
      </c>
      <c r="W3" s="23" t="s">
        <v>806</v>
      </c>
      <c r="X3" s="23" t="s">
        <v>1367</v>
      </c>
      <c r="Y3" s="189">
        <v>3</v>
      </c>
      <c r="Z3" s="180">
        <v>4.0500000000000001E-2</v>
      </c>
      <c r="AA3" s="23" t="s">
        <v>1375</v>
      </c>
      <c r="AB3" s="21" t="s">
        <v>461</v>
      </c>
      <c r="AC3" s="23"/>
      <c r="AD3" s="23"/>
      <c r="AE3" s="180">
        <v>0</v>
      </c>
      <c r="AF3" s="23"/>
      <c r="AG3" s="23" t="s">
        <v>390</v>
      </c>
      <c r="AH3" s="23" t="s">
        <v>834</v>
      </c>
      <c r="AJ3" s="2" t="s">
        <v>390</v>
      </c>
      <c r="AK3" s="23" t="s">
        <v>942</v>
      </c>
      <c r="AL3" s="23" t="s">
        <v>1376</v>
      </c>
      <c r="AM3" s="23" t="s">
        <v>943</v>
      </c>
      <c r="AN3" s="2" t="s">
        <v>175</v>
      </c>
      <c r="AP3" s="170">
        <v>0</v>
      </c>
      <c r="AQ3" s="156">
        <v>646205</v>
      </c>
      <c r="AR3" s="182">
        <v>104.19</v>
      </c>
      <c r="AS3" s="181">
        <v>1</v>
      </c>
      <c r="AT3" s="158">
        <v>673.28099999999995</v>
      </c>
      <c r="AU3" s="158">
        <v>673.28099999999995</v>
      </c>
      <c r="AV3" s="23"/>
      <c r="AW3" s="23"/>
      <c r="AX3" s="21" t="s">
        <v>173</v>
      </c>
      <c r="AY3" s="23" t="s">
        <v>36</v>
      </c>
      <c r="AZ3" s="180">
        <v>2.34737829992335E-2</v>
      </c>
      <c r="BA3" s="180">
        <v>3.69233087841846E-4</v>
      </c>
    </row>
    <row r="4" spans="1:53">
      <c r="A4" s="2">
        <v>161</v>
      </c>
      <c r="B4" s="2">
        <v>9943</v>
      </c>
      <c r="C4" s="23" t="s">
        <v>1370</v>
      </c>
      <c r="D4" s="23" t="s">
        <v>1363</v>
      </c>
      <c r="E4" s="23" t="s">
        <v>1377</v>
      </c>
      <c r="F4" s="23" t="s">
        <v>1378</v>
      </c>
      <c r="G4" s="23" t="s">
        <v>1086</v>
      </c>
      <c r="I4" s="21" t="s">
        <v>30</v>
      </c>
      <c r="J4" s="21" t="s">
        <v>30</v>
      </c>
      <c r="K4" s="23" t="s">
        <v>525</v>
      </c>
      <c r="L4" s="23" t="s">
        <v>173</v>
      </c>
      <c r="M4" s="23" t="s">
        <v>390</v>
      </c>
      <c r="N4" s="23"/>
      <c r="O4" s="23" t="s">
        <v>1373</v>
      </c>
      <c r="P4" s="23" t="s">
        <v>1374</v>
      </c>
      <c r="Q4" s="23" t="s">
        <v>464</v>
      </c>
      <c r="R4" s="23" t="s">
        <v>457</v>
      </c>
      <c r="S4" s="21" t="s">
        <v>34</v>
      </c>
      <c r="T4" s="158">
        <v>10.050000000000001</v>
      </c>
      <c r="U4" s="23" t="s">
        <v>145</v>
      </c>
      <c r="V4" s="179">
        <v>0.03</v>
      </c>
      <c r="W4" s="23" t="s">
        <v>806</v>
      </c>
      <c r="X4" s="23" t="s">
        <v>1367</v>
      </c>
      <c r="Y4" s="189">
        <v>3</v>
      </c>
      <c r="Z4" s="180">
        <v>4.0500000000000001E-2</v>
      </c>
      <c r="AA4" s="23" t="s">
        <v>1375</v>
      </c>
      <c r="AB4" s="21" t="s">
        <v>461</v>
      </c>
      <c r="AC4" s="23"/>
      <c r="AD4" s="23"/>
      <c r="AE4" s="180">
        <v>0</v>
      </c>
      <c r="AF4" s="23"/>
      <c r="AG4" s="23" t="s">
        <v>390</v>
      </c>
      <c r="AH4" s="23" t="s">
        <v>834</v>
      </c>
      <c r="AJ4" s="2" t="s">
        <v>390</v>
      </c>
      <c r="AK4" s="23" t="s">
        <v>942</v>
      </c>
      <c r="AL4" s="23" t="s">
        <v>1376</v>
      </c>
      <c r="AM4" s="23" t="s">
        <v>943</v>
      </c>
      <c r="AN4" s="2" t="s">
        <v>175</v>
      </c>
      <c r="AP4" s="170">
        <v>0</v>
      </c>
      <c r="AQ4" s="156">
        <v>9977132.6600000001</v>
      </c>
      <c r="AR4" s="182">
        <v>104.19</v>
      </c>
      <c r="AS4" s="181">
        <v>1</v>
      </c>
      <c r="AT4" s="158">
        <v>10395.174999999999</v>
      </c>
      <c r="AU4" s="162">
        <v>10395.174999999999</v>
      </c>
      <c r="AV4" s="30"/>
      <c r="AW4" s="30"/>
      <c r="AX4" s="21" t="s">
        <v>173</v>
      </c>
      <c r="AY4" s="23" t="s">
        <v>36</v>
      </c>
      <c r="AZ4" s="180">
        <v>0.36242530932971001</v>
      </c>
      <c r="BA4" s="180">
        <v>5.7008031504855797E-3</v>
      </c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159</v>
      </c>
      <c r="M1" s="22" t="s">
        <v>216</v>
      </c>
      <c r="N1" s="22" t="s">
        <v>192</v>
      </c>
      <c r="O1" s="22" t="s">
        <v>9</v>
      </c>
      <c r="P1" s="22" t="s">
        <v>10</v>
      </c>
      <c r="Q1" s="22" t="s">
        <v>217</v>
      </c>
      <c r="R1" s="22" t="s">
        <v>11</v>
      </c>
      <c r="S1" s="22" t="s">
        <v>12</v>
      </c>
      <c r="T1" s="167" t="s">
        <v>14</v>
      </c>
      <c r="U1" s="171" t="s">
        <v>15</v>
      </c>
      <c r="V1" s="22" t="s">
        <v>185</v>
      </c>
      <c r="W1" s="22" t="s">
        <v>186</v>
      </c>
      <c r="X1" s="22" t="s">
        <v>168</v>
      </c>
      <c r="Y1" s="22" t="s">
        <v>17</v>
      </c>
      <c r="Z1" s="165" t="s">
        <v>18</v>
      </c>
      <c r="AA1" s="176" t="s">
        <v>19</v>
      </c>
      <c r="AB1" s="22" t="s">
        <v>20</v>
      </c>
      <c r="AC1" s="171" t="s">
        <v>24</v>
      </c>
      <c r="AD1" s="171" t="s">
        <v>25</v>
      </c>
    </row>
    <row r="2" spans="1:30">
      <c r="A2" s="23">
        <v>161</v>
      </c>
      <c r="B2" s="23">
        <v>9943</v>
      </c>
      <c r="C2" s="23" t="s">
        <v>218</v>
      </c>
      <c r="D2" s="23" t="s">
        <v>219</v>
      </c>
      <c r="E2" s="21" t="s">
        <v>220</v>
      </c>
      <c r="F2" s="23" t="s">
        <v>221</v>
      </c>
      <c r="G2" s="23" t="s">
        <v>222</v>
      </c>
      <c r="H2" s="23" t="s">
        <v>223</v>
      </c>
      <c r="I2" s="23"/>
      <c r="J2" s="21" t="s">
        <v>90</v>
      </c>
      <c r="K2" s="21" t="s">
        <v>91</v>
      </c>
      <c r="L2" s="23" t="s">
        <v>173</v>
      </c>
      <c r="M2" s="23" t="s">
        <v>145</v>
      </c>
      <c r="N2" s="23" t="s">
        <v>224</v>
      </c>
      <c r="O2" s="23" t="s">
        <v>225</v>
      </c>
      <c r="P2" s="23" t="s">
        <v>226</v>
      </c>
      <c r="Q2" s="23" t="s">
        <v>226</v>
      </c>
      <c r="R2" s="21" t="s">
        <v>95</v>
      </c>
      <c r="S2" s="158">
        <v>0</v>
      </c>
      <c r="T2" s="179">
        <v>0</v>
      </c>
      <c r="U2" s="180">
        <v>0</v>
      </c>
      <c r="V2" s="23" t="s">
        <v>145</v>
      </c>
      <c r="W2" s="23" t="s">
        <v>208</v>
      </c>
      <c r="X2" s="2" t="s">
        <v>227</v>
      </c>
      <c r="Y2" s="158">
        <v>45</v>
      </c>
      <c r="Z2" s="181">
        <v>3.71</v>
      </c>
      <c r="AA2" s="182">
        <v>2.7E-2</v>
      </c>
      <c r="AB2" s="158">
        <v>0</v>
      </c>
      <c r="AC2" s="180">
        <v>1</v>
      </c>
      <c r="AD2" s="180">
        <v>2.4678387199410296E-11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210</v>
      </c>
      <c r="D1" s="22" t="s">
        <v>211</v>
      </c>
      <c r="E1" s="22" t="s">
        <v>212</v>
      </c>
      <c r="F1" s="22" t="s">
        <v>5</v>
      </c>
      <c r="G1" s="22" t="s">
        <v>213</v>
      </c>
      <c r="H1" s="22" t="s">
        <v>6</v>
      </c>
      <c r="I1" s="22" t="s">
        <v>7</v>
      </c>
      <c r="J1" s="22" t="s">
        <v>159</v>
      </c>
      <c r="K1" s="22" t="s">
        <v>214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169</v>
      </c>
      <c r="R1" s="22" t="s">
        <v>18</v>
      </c>
      <c r="S1" s="22" t="s">
        <v>215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190</v>
      </c>
      <c r="D1" s="22" t="s">
        <v>5</v>
      </c>
      <c r="E1" s="22" t="s">
        <v>191</v>
      </c>
      <c r="F1" s="22" t="s">
        <v>159</v>
      </c>
      <c r="G1" s="22" t="s">
        <v>192</v>
      </c>
      <c r="H1" s="22" t="s">
        <v>193</v>
      </c>
      <c r="I1" s="22" t="s">
        <v>194</v>
      </c>
      <c r="J1" s="22" t="s">
        <v>195</v>
      </c>
      <c r="K1" s="188" t="s">
        <v>196</v>
      </c>
      <c r="L1" s="22" t="s">
        <v>197</v>
      </c>
      <c r="M1" s="22" t="s">
        <v>185</v>
      </c>
      <c r="N1" s="22" t="s">
        <v>198</v>
      </c>
      <c r="O1" s="22" t="s">
        <v>186</v>
      </c>
      <c r="P1" s="22" t="s">
        <v>168</v>
      </c>
      <c r="Q1" s="22" t="s">
        <v>11</v>
      </c>
      <c r="R1" s="22" t="s">
        <v>199</v>
      </c>
      <c r="S1" s="22" t="s">
        <v>20</v>
      </c>
      <c r="T1" s="22" t="s">
        <v>21</v>
      </c>
      <c r="U1" s="22" t="s">
        <v>200</v>
      </c>
      <c r="V1" s="22" t="s">
        <v>22</v>
      </c>
      <c r="W1" s="171" t="s">
        <v>24</v>
      </c>
      <c r="X1" s="171" t="s">
        <v>25</v>
      </c>
    </row>
    <row r="2" spans="1:24">
      <c r="A2" s="23">
        <v>161</v>
      </c>
      <c r="B2" s="23">
        <v>9943</v>
      </c>
      <c r="C2" s="23" t="s">
        <v>201</v>
      </c>
      <c r="D2" s="23" t="s">
        <v>202</v>
      </c>
      <c r="E2" s="23" t="s">
        <v>30</v>
      </c>
      <c r="F2" s="23" t="s">
        <v>173</v>
      </c>
      <c r="G2" s="23" t="s">
        <v>203</v>
      </c>
      <c r="H2" s="23" t="s">
        <v>145</v>
      </c>
      <c r="I2" s="23" t="s">
        <v>145</v>
      </c>
      <c r="J2" s="23" t="s">
        <v>204</v>
      </c>
      <c r="K2" s="23"/>
      <c r="L2" s="23" t="s">
        <v>205</v>
      </c>
      <c r="M2" s="23" t="s">
        <v>206</v>
      </c>
      <c r="N2" s="23" t="s">
        <v>207</v>
      </c>
      <c r="O2" s="23" t="s">
        <v>208</v>
      </c>
      <c r="P2" s="23" t="s">
        <v>209</v>
      </c>
      <c r="Q2" s="21" t="s">
        <v>34</v>
      </c>
      <c r="R2" s="158">
        <v>777.93399999999997</v>
      </c>
      <c r="S2" s="158">
        <v>777.93399999999997</v>
      </c>
      <c r="T2" s="23"/>
      <c r="U2" s="23"/>
      <c r="V2" s="23" t="s">
        <v>36</v>
      </c>
      <c r="W2" s="180">
        <v>1</v>
      </c>
      <c r="X2" s="180">
        <v>4.2662587398810501E-4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181</v>
      </c>
      <c r="E1" s="22" t="s">
        <v>182</v>
      </c>
      <c r="F1" s="22" t="s">
        <v>3</v>
      </c>
      <c r="G1" s="22" t="s">
        <v>4</v>
      </c>
      <c r="H1" s="22" t="s">
        <v>183</v>
      </c>
      <c r="I1" s="22" t="s">
        <v>5</v>
      </c>
      <c r="J1" s="22" t="s">
        <v>6</v>
      </c>
      <c r="K1" s="22" t="s">
        <v>7</v>
      </c>
      <c r="L1" s="22" t="s">
        <v>184</v>
      </c>
      <c r="M1" s="22" t="s">
        <v>159</v>
      </c>
      <c r="N1" s="22" t="s">
        <v>11</v>
      </c>
      <c r="O1" s="22" t="s">
        <v>185</v>
      </c>
      <c r="P1" s="22" t="s">
        <v>186</v>
      </c>
      <c r="Q1" s="22" t="s">
        <v>168</v>
      </c>
      <c r="R1" s="22" t="s">
        <v>187</v>
      </c>
      <c r="S1" s="22" t="s">
        <v>188</v>
      </c>
      <c r="T1" s="22" t="s">
        <v>189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4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165</v>
      </c>
      <c r="D1" s="22" t="s">
        <v>166</v>
      </c>
      <c r="E1" s="22" t="s">
        <v>5</v>
      </c>
      <c r="F1" s="22" t="s">
        <v>6</v>
      </c>
      <c r="G1" s="22" t="s">
        <v>7</v>
      </c>
      <c r="H1" s="22" t="s">
        <v>159</v>
      </c>
      <c r="I1" s="22" t="s">
        <v>167</v>
      </c>
      <c r="J1" s="22" t="s">
        <v>11</v>
      </c>
      <c r="K1" s="22" t="s">
        <v>168</v>
      </c>
      <c r="L1" s="22" t="s">
        <v>169</v>
      </c>
      <c r="M1" s="165" t="s">
        <v>18</v>
      </c>
      <c r="N1" s="22" t="s">
        <v>20</v>
      </c>
      <c r="O1" s="22" t="s">
        <v>21</v>
      </c>
      <c r="P1" s="22" t="s">
        <v>22</v>
      </c>
      <c r="Q1" s="171" t="s">
        <v>24</v>
      </c>
      <c r="R1" s="171" t="s">
        <v>25</v>
      </c>
    </row>
    <row r="2" spans="1:18">
      <c r="A2" s="23">
        <v>14076</v>
      </c>
      <c r="B2" s="23">
        <v>14077</v>
      </c>
      <c r="C2" s="30" t="s">
        <v>170</v>
      </c>
      <c r="D2" s="30" t="s">
        <v>171</v>
      </c>
      <c r="E2" s="30" t="s">
        <v>172</v>
      </c>
      <c r="F2" s="21" t="s">
        <v>30</v>
      </c>
      <c r="G2" s="21" t="s">
        <v>30</v>
      </c>
      <c r="H2" s="23" t="s">
        <v>173</v>
      </c>
      <c r="I2" s="23" t="s">
        <v>174</v>
      </c>
      <c r="J2" s="21" t="s">
        <v>34</v>
      </c>
      <c r="K2" s="23" t="s">
        <v>175</v>
      </c>
      <c r="L2" s="156">
        <v>-4.0549999999999997</v>
      </c>
      <c r="M2" s="181">
        <v>1</v>
      </c>
      <c r="N2" s="158">
        <v>-4.0549999999999997</v>
      </c>
      <c r="O2" s="23"/>
      <c r="P2" s="21" t="s">
        <v>36</v>
      </c>
      <c r="Q2" s="180">
        <v>0.777290240956927</v>
      </c>
      <c r="R2" s="180">
        <v>-3.4547120434411099E-4</v>
      </c>
    </row>
    <row r="3" spans="1:18">
      <c r="A3" s="23">
        <v>14076</v>
      </c>
      <c r="B3" s="23">
        <v>14077</v>
      </c>
      <c r="C3" s="30" t="s">
        <v>176</v>
      </c>
      <c r="D3" s="23" t="s">
        <v>177</v>
      </c>
      <c r="E3" s="30" t="s">
        <v>178</v>
      </c>
      <c r="F3" s="21" t="s">
        <v>30</v>
      </c>
      <c r="G3" s="21" t="s">
        <v>30</v>
      </c>
      <c r="H3" s="23" t="s">
        <v>173</v>
      </c>
      <c r="I3" s="23" t="s">
        <v>174</v>
      </c>
      <c r="J3" s="21" t="s">
        <v>34</v>
      </c>
      <c r="K3" s="23" t="s">
        <v>175</v>
      </c>
      <c r="L3" s="156">
        <v>-1.1619999999999999</v>
      </c>
      <c r="M3" s="181">
        <v>1</v>
      </c>
      <c r="N3" s="158">
        <v>-1.1619999999999999</v>
      </c>
      <c r="O3" s="23"/>
      <c r="P3" s="21" t="s">
        <v>36</v>
      </c>
      <c r="Q3" s="180">
        <v>0.222709759043073</v>
      </c>
      <c r="R3" s="180">
        <v>-9.8984658010212805E-5</v>
      </c>
    </row>
    <row r="4" spans="1:18">
      <c r="A4" s="23">
        <v>14076</v>
      </c>
      <c r="B4" s="23">
        <v>14078</v>
      </c>
      <c r="C4" s="30" t="s">
        <v>170</v>
      </c>
      <c r="D4" s="23" t="s">
        <v>171</v>
      </c>
      <c r="E4" s="30" t="s">
        <v>172</v>
      </c>
      <c r="F4" s="21" t="s">
        <v>30</v>
      </c>
      <c r="G4" s="21" t="s">
        <v>30</v>
      </c>
      <c r="H4" s="23" t="s">
        <v>173</v>
      </c>
      <c r="I4" s="23" t="s">
        <v>174</v>
      </c>
      <c r="J4" s="21" t="s">
        <v>34</v>
      </c>
      <c r="K4" s="23" t="s">
        <v>175</v>
      </c>
      <c r="L4" s="156">
        <v>-0.42799999999999999</v>
      </c>
      <c r="M4" s="181">
        <v>1</v>
      </c>
      <c r="N4" s="158">
        <v>-0.42799999999999999</v>
      </c>
      <c r="O4" s="23"/>
      <c r="P4" s="21" t="s">
        <v>36</v>
      </c>
      <c r="Q4" s="180">
        <v>0.47524818442268002</v>
      </c>
      <c r="R4" s="180">
        <v>-3.5006351736709102E-4</v>
      </c>
    </row>
    <row r="5" spans="1:18">
      <c r="A5" s="23">
        <v>14076</v>
      </c>
      <c r="B5" s="23">
        <v>14078</v>
      </c>
      <c r="C5" s="30" t="s">
        <v>176</v>
      </c>
      <c r="D5" s="23" t="s">
        <v>177</v>
      </c>
      <c r="E5" s="30" t="s">
        <v>178</v>
      </c>
      <c r="F5" s="21" t="s">
        <v>30</v>
      </c>
      <c r="G5" s="21" t="s">
        <v>30</v>
      </c>
      <c r="H5" s="23" t="s">
        <v>173</v>
      </c>
      <c r="I5" s="23" t="s">
        <v>174</v>
      </c>
      <c r="J5" s="21" t="s">
        <v>34</v>
      </c>
      <c r="K5" s="23" t="s">
        <v>175</v>
      </c>
      <c r="L5" s="156">
        <v>-0.47199999999999998</v>
      </c>
      <c r="M5" s="181">
        <v>1</v>
      </c>
      <c r="N5" s="158">
        <v>-0.47199999999999998</v>
      </c>
      <c r="O5" s="23"/>
      <c r="P5" s="21" t="s">
        <v>36</v>
      </c>
      <c r="Q5" s="180">
        <v>0.52456303995380604</v>
      </c>
      <c r="R5" s="180">
        <v>-3.8638839424515197E-4</v>
      </c>
    </row>
    <row r="6" spans="1:18">
      <c r="A6" s="23">
        <v>14076</v>
      </c>
      <c r="B6" s="23">
        <v>14078</v>
      </c>
      <c r="C6" s="30" t="s">
        <v>179</v>
      </c>
      <c r="D6" s="23" t="s">
        <v>180</v>
      </c>
      <c r="E6" s="30" t="s">
        <v>172</v>
      </c>
      <c r="F6" s="21" t="s">
        <v>30</v>
      </c>
      <c r="G6" s="21" t="s">
        <v>30</v>
      </c>
      <c r="H6" s="23" t="s">
        <v>173</v>
      </c>
      <c r="I6" s="23" t="s">
        <v>174</v>
      </c>
      <c r="J6" s="21" t="s">
        <v>34</v>
      </c>
      <c r="K6" s="23" t="s">
        <v>175</v>
      </c>
      <c r="L6" s="156">
        <v>0</v>
      </c>
      <c r="M6" s="181">
        <v>1</v>
      </c>
      <c r="N6" s="158">
        <v>0</v>
      </c>
      <c r="O6" s="23"/>
      <c r="P6" s="21" t="s">
        <v>36</v>
      </c>
      <c r="Q6" s="180">
        <v>1.8877562351478E-4</v>
      </c>
      <c r="R6" s="180">
        <v>-1.3905041813263599E-7</v>
      </c>
    </row>
    <row r="7" spans="1:18">
      <c r="A7" s="23">
        <v>14076</v>
      </c>
      <c r="B7" s="23">
        <v>14079</v>
      </c>
      <c r="C7" s="30" t="s">
        <v>170</v>
      </c>
      <c r="D7" s="23" t="s">
        <v>171</v>
      </c>
      <c r="E7" s="30" t="s">
        <v>172</v>
      </c>
      <c r="F7" s="21" t="s">
        <v>30</v>
      </c>
      <c r="G7" s="21" t="s">
        <v>30</v>
      </c>
      <c r="H7" s="23" t="s">
        <v>173</v>
      </c>
      <c r="I7" s="23" t="s">
        <v>174</v>
      </c>
      <c r="J7" s="21" t="s">
        <v>34</v>
      </c>
      <c r="K7" s="23" t="s">
        <v>175</v>
      </c>
      <c r="L7" s="156">
        <v>-1.3240000000000001</v>
      </c>
      <c r="M7" s="181">
        <v>1</v>
      </c>
      <c r="N7" s="158">
        <v>-1.3240000000000001</v>
      </c>
      <c r="O7" s="23"/>
      <c r="P7" s="21" t="s">
        <v>36</v>
      </c>
      <c r="Q7" s="180">
        <v>0.759900592313697</v>
      </c>
      <c r="R7" s="180">
        <v>-3.4756766751238398E-4</v>
      </c>
    </row>
    <row r="8" spans="1:18">
      <c r="A8" s="23">
        <v>14076</v>
      </c>
      <c r="B8" s="23">
        <v>14079</v>
      </c>
      <c r="C8" s="30" t="s">
        <v>176</v>
      </c>
      <c r="D8" s="23" t="s">
        <v>177</v>
      </c>
      <c r="E8" s="30" t="s">
        <v>178</v>
      </c>
      <c r="F8" s="21" t="s">
        <v>30</v>
      </c>
      <c r="G8" s="21" t="s">
        <v>30</v>
      </c>
      <c r="H8" s="23" t="s">
        <v>173</v>
      </c>
      <c r="I8" s="23" t="s">
        <v>174</v>
      </c>
      <c r="J8" s="21" t="s">
        <v>34</v>
      </c>
      <c r="K8" s="23" t="s">
        <v>175</v>
      </c>
      <c r="L8" s="156">
        <v>-0.41799999999999998</v>
      </c>
      <c r="M8" s="181">
        <v>1</v>
      </c>
      <c r="N8" s="158">
        <v>-0.41799999999999998</v>
      </c>
      <c r="O8" s="23"/>
      <c r="P8" s="21" t="s">
        <v>36</v>
      </c>
      <c r="Q8" s="180">
        <v>0.240099407686303</v>
      </c>
      <c r="R8" s="180">
        <v>-1.09818036654699E-4</v>
      </c>
    </row>
    <row r="9" spans="1:18">
      <c r="A9" s="23">
        <v>14076</v>
      </c>
      <c r="B9" s="23">
        <v>15394</v>
      </c>
      <c r="C9" s="30" t="s">
        <v>170</v>
      </c>
      <c r="D9" s="23" t="s">
        <v>171</v>
      </c>
      <c r="E9" s="30" t="s">
        <v>172</v>
      </c>
      <c r="F9" s="21" t="s">
        <v>30</v>
      </c>
      <c r="G9" s="21" t="s">
        <v>30</v>
      </c>
      <c r="H9" s="23" t="s">
        <v>173</v>
      </c>
      <c r="I9" s="23" t="s">
        <v>174</v>
      </c>
      <c r="J9" s="21" t="s">
        <v>34</v>
      </c>
      <c r="K9" s="23" t="s">
        <v>175</v>
      </c>
      <c r="L9" s="156">
        <v>-0.29199999999999998</v>
      </c>
      <c r="M9" s="181">
        <v>1</v>
      </c>
      <c r="N9" s="158">
        <v>-0.29199999999999998</v>
      </c>
      <c r="O9" s="23"/>
      <c r="P9" s="21" t="s">
        <v>36</v>
      </c>
      <c r="Q9" s="180">
        <v>1</v>
      </c>
      <c r="R9" s="180">
        <v>-2.7392532419975098E-4</v>
      </c>
    </row>
    <row r="10" spans="1:18">
      <c r="A10" s="23">
        <v>161</v>
      </c>
      <c r="B10" s="23">
        <v>1434</v>
      </c>
      <c r="C10" s="30" t="s">
        <v>170</v>
      </c>
      <c r="D10" s="23" t="s">
        <v>171</v>
      </c>
      <c r="E10" s="30" t="s">
        <v>172</v>
      </c>
      <c r="F10" s="21" t="s">
        <v>30</v>
      </c>
      <c r="G10" s="21" t="s">
        <v>30</v>
      </c>
      <c r="H10" s="23" t="s">
        <v>173</v>
      </c>
      <c r="I10" s="23" t="s">
        <v>174</v>
      </c>
      <c r="J10" s="21" t="s">
        <v>34</v>
      </c>
      <c r="K10" s="23" t="s">
        <v>175</v>
      </c>
      <c r="L10" s="156">
        <v>-7.8659999999999997</v>
      </c>
      <c r="M10" s="181">
        <v>1</v>
      </c>
      <c r="N10" s="158">
        <v>-7.8659999999999997</v>
      </c>
      <c r="O10" s="23"/>
      <c r="P10" s="21" t="s">
        <v>36</v>
      </c>
      <c r="Q10" s="180">
        <v>0.999898304093641</v>
      </c>
      <c r="R10" s="180">
        <v>-3.4938931656344898E-4</v>
      </c>
    </row>
    <row r="11" spans="1:18">
      <c r="A11" s="23">
        <v>161</v>
      </c>
      <c r="B11" s="23">
        <v>1434</v>
      </c>
      <c r="C11" s="30" t="s">
        <v>176</v>
      </c>
      <c r="D11" s="23" t="s">
        <v>177</v>
      </c>
      <c r="E11" s="30" t="s">
        <v>178</v>
      </c>
      <c r="F11" s="21" t="s">
        <v>30</v>
      </c>
      <c r="G11" s="21" t="s">
        <v>30</v>
      </c>
      <c r="H11" s="23" t="s">
        <v>173</v>
      </c>
      <c r="I11" s="23" t="s">
        <v>174</v>
      </c>
      <c r="J11" s="21" t="s">
        <v>34</v>
      </c>
      <c r="K11" s="23" t="s">
        <v>175</v>
      </c>
      <c r="L11" s="156">
        <v>-1E-3</v>
      </c>
      <c r="M11" s="181">
        <v>1</v>
      </c>
      <c r="N11" s="158">
        <v>-1E-3</v>
      </c>
      <c r="O11" s="23"/>
      <c r="P11" s="21" t="s">
        <v>36</v>
      </c>
      <c r="Q11" s="180">
        <v>1.01695906358409E-4</v>
      </c>
      <c r="R11" s="180">
        <v>-3.5535076991727401E-8</v>
      </c>
    </row>
    <row r="12" spans="1:18">
      <c r="A12" s="23">
        <v>161</v>
      </c>
      <c r="B12" s="23">
        <v>9938</v>
      </c>
      <c r="C12" s="30" t="s">
        <v>170</v>
      </c>
      <c r="D12" s="23" t="s">
        <v>171</v>
      </c>
      <c r="E12" s="30" t="s">
        <v>172</v>
      </c>
      <c r="F12" s="21" t="s">
        <v>30</v>
      </c>
      <c r="G12" s="21" t="s">
        <v>30</v>
      </c>
      <c r="H12" s="23" t="s">
        <v>173</v>
      </c>
      <c r="I12" s="23" t="s">
        <v>174</v>
      </c>
      <c r="J12" s="21" t="s">
        <v>34</v>
      </c>
      <c r="K12" s="23" t="s">
        <v>175</v>
      </c>
      <c r="L12" s="156">
        <v>-23.149000000000001</v>
      </c>
      <c r="M12" s="181">
        <v>1</v>
      </c>
      <c r="N12" s="158">
        <v>-23.149000000000001</v>
      </c>
      <c r="O12" s="23"/>
      <c r="P12" s="21" t="s">
        <v>36</v>
      </c>
      <c r="Q12" s="180">
        <v>1.0889131401127501</v>
      </c>
      <c r="R12" s="180">
        <v>-3.49058718627837E-4</v>
      </c>
    </row>
    <row r="13" spans="1:18">
      <c r="A13" s="23">
        <v>161</v>
      </c>
      <c r="B13" s="23">
        <v>9938</v>
      </c>
      <c r="C13" s="30" t="s">
        <v>176</v>
      </c>
      <c r="D13" s="23" t="s">
        <v>177</v>
      </c>
      <c r="E13" s="30" t="s">
        <v>178</v>
      </c>
      <c r="F13" s="21" t="s">
        <v>30</v>
      </c>
      <c r="G13" s="21" t="s">
        <v>30</v>
      </c>
      <c r="H13" s="23" t="s">
        <v>173</v>
      </c>
      <c r="I13" s="23" t="s">
        <v>174</v>
      </c>
      <c r="J13" s="21" t="s">
        <v>34</v>
      </c>
      <c r="K13" s="23" t="s">
        <v>175</v>
      </c>
      <c r="L13" s="156">
        <v>-5.5789999999999997</v>
      </c>
      <c r="M13" s="181">
        <v>1</v>
      </c>
      <c r="N13" s="158">
        <v>-5.5789999999999997</v>
      </c>
      <c r="O13" s="23"/>
      <c r="P13" s="21" t="s">
        <v>36</v>
      </c>
      <c r="Q13" s="180">
        <v>0.26244569934074802</v>
      </c>
      <c r="R13" s="180">
        <v>-8.4128803434020802E-5</v>
      </c>
    </row>
    <row r="14" spans="1:18">
      <c r="A14" s="23">
        <v>161</v>
      </c>
      <c r="B14" s="23">
        <v>9938</v>
      </c>
      <c r="C14" s="30" t="s">
        <v>179</v>
      </c>
      <c r="D14" s="23" t="s">
        <v>180</v>
      </c>
      <c r="E14" s="30" t="s">
        <v>172</v>
      </c>
      <c r="F14" s="21" t="s">
        <v>30</v>
      </c>
      <c r="G14" s="21" t="s">
        <v>30</v>
      </c>
      <c r="H14" s="23" t="s">
        <v>173</v>
      </c>
      <c r="I14" s="23" t="s">
        <v>174</v>
      </c>
      <c r="J14" s="21" t="s">
        <v>34</v>
      </c>
      <c r="K14" s="23" t="s">
        <v>175</v>
      </c>
      <c r="L14" s="156">
        <v>7.47</v>
      </c>
      <c r="M14" s="181">
        <v>1</v>
      </c>
      <c r="N14" s="158">
        <v>7.47</v>
      </c>
      <c r="O14" s="23"/>
      <c r="P14" s="21" t="s">
        <v>36</v>
      </c>
      <c r="Q14" s="180">
        <v>-0.35135883945350099</v>
      </c>
      <c r="R14" s="180">
        <v>1.1263053200506301E-4</v>
      </c>
    </row>
    <row r="15" spans="1:18">
      <c r="A15" s="23">
        <v>161</v>
      </c>
      <c r="B15" s="23">
        <v>9942</v>
      </c>
      <c r="C15" s="30" t="s">
        <v>170</v>
      </c>
      <c r="D15" s="23" t="s">
        <v>171</v>
      </c>
      <c r="E15" s="30" t="s">
        <v>172</v>
      </c>
      <c r="F15" s="21" t="s">
        <v>30</v>
      </c>
      <c r="G15" s="21" t="s">
        <v>30</v>
      </c>
      <c r="H15" s="23" t="s">
        <v>173</v>
      </c>
      <c r="I15" s="23" t="s">
        <v>174</v>
      </c>
      <c r="J15" s="21" t="s">
        <v>34</v>
      </c>
      <c r="K15" s="23" t="s">
        <v>175</v>
      </c>
      <c r="L15" s="156">
        <v>-31.806999999999999</v>
      </c>
      <c r="M15" s="181">
        <v>1</v>
      </c>
      <c r="N15" s="158">
        <v>-31.806999999999999</v>
      </c>
      <c r="O15" s="23"/>
      <c r="P15" s="21" t="s">
        <v>36</v>
      </c>
      <c r="Q15" s="180">
        <v>1.2553405871202299</v>
      </c>
      <c r="R15" s="180">
        <v>-3.4704194570753201E-4</v>
      </c>
    </row>
    <row r="16" spans="1:18">
      <c r="A16" s="23">
        <v>161</v>
      </c>
      <c r="B16" s="23">
        <v>9942</v>
      </c>
      <c r="C16" s="30" t="s">
        <v>176</v>
      </c>
      <c r="D16" s="23" t="s">
        <v>177</v>
      </c>
      <c r="E16" s="30" t="s">
        <v>178</v>
      </c>
      <c r="F16" s="21" t="s">
        <v>30</v>
      </c>
      <c r="G16" s="21" t="s">
        <v>30</v>
      </c>
      <c r="H16" s="23" t="s">
        <v>173</v>
      </c>
      <c r="I16" s="23" t="s">
        <v>174</v>
      </c>
      <c r="J16" s="21" t="s">
        <v>34</v>
      </c>
      <c r="K16" s="23" t="s">
        <v>175</v>
      </c>
      <c r="L16" s="156">
        <v>-0.59499999999999997</v>
      </c>
      <c r="M16" s="181">
        <v>1</v>
      </c>
      <c r="N16" s="158">
        <v>-0.59499999999999997</v>
      </c>
      <c r="O16" s="23"/>
      <c r="P16" s="21" t="s">
        <v>36</v>
      </c>
      <c r="Q16" s="180">
        <v>2.3473837467444601E-2</v>
      </c>
      <c r="R16" s="180">
        <v>-6.4893992208220499E-6</v>
      </c>
    </row>
    <row r="17" spans="1:18">
      <c r="A17" s="23">
        <v>161</v>
      </c>
      <c r="B17" s="23">
        <v>9942</v>
      </c>
      <c r="C17" s="30" t="s">
        <v>179</v>
      </c>
      <c r="D17" s="23" t="s">
        <v>180</v>
      </c>
      <c r="E17" s="30" t="s">
        <v>172</v>
      </c>
      <c r="F17" s="21" t="s">
        <v>30</v>
      </c>
      <c r="G17" s="21" t="s">
        <v>30</v>
      </c>
      <c r="H17" s="23" t="s">
        <v>173</v>
      </c>
      <c r="I17" s="23" t="s">
        <v>174</v>
      </c>
      <c r="J17" s="21" t="s">
        <v>34</v>
      </c>
      <c r="K17" s="23" t="s">
        <v>175</v>
      </c>
      <c r="L17" s="156">
        <v>7.0640000000000001</v>
      </c>
      <c r="M17" s="181">
        <v>1</v>
      </c>
      <c r="N17" s="158">
        <v>7.0640000000000001</v>
      </c>
      <c r="O17" s="23"/>
      <c r="P17" s="21" t="s">
        <v>36</v>
      </c>
      <c r="Q17" s="180">
        <v>-0.27881442458767802</v>
      </c>
      <c r="R17" s="180">
        <v>7.7078922957635703E-5</v>
      </c>
    </row>
    <row r="18" spans="1:18">
      <c r="A18" s="23">
        <v>161</v>
      </c>
      <c r="B18" s="23">
        <v>9943</v>
      </c>
      <c r="C18" s="30" t="s">
        <v>170</v>
      </c>
      <c r="D18" s="23" t="s">
        <v>171</v>
      </c>
      <c r="E18" s="30" t="s">
        <v>172</v>
      </c>
      <c r="F18" s="21" t="s">
        <v>30</v>
      </c>
      <c r="G18" s="21" t="s">
        <v>30</v>
      </c>
      <c r="H18" s="23" t="s">
        <v>173</v>
      </c>
      <c r="I18" s="23" t="s">
        <v>174</v>
      </c>
      <c r="J18" s="21" t="s">
        <v>34</v>
      </c>
      <c r="K18" s="23" t="s">
        <v>175</v>
      </c>
      <c r="L18" s="156">
        <v>-436.09399999999999</v>
      </c>
      <c r="M18" s="181">
        <v>1</v>
      </c>
      <c r="N18" s="158">
        <v>-436.09399999999999</v>
      </c>
      <c r="O18" s="23"/>
      <c r="P18" s="21" t="s">
        <v>36</v>
      </c>
      <c r="Q18" s="180">
        <v>1.08019885638555</v>
      </c>
      <c r="R18" s="180">
        <v>-2.3915774581356901E-4</v>
      </c>
    </row>
    <row r="19" spans="1:18">
      <c r="A19" s="23">
        <v>161</v>
      </c>
      <c r="B19" s="23">
        <v>9943</v>
      </c>
      <c r="C19" s="30" t="s">
        <v>176</v>
      </c>
      <c r="D19" s="23" t="s">
        <v>177</v>
      </c>
      <c r="E19" s="30" t="s">
        <v>178</v>
      </c>
      <c r="F19" s="21" t="s">
        <v>30</v>
      </c>
      <c r="G19" s="21" t="s">
        <v>30</v>
      </c>
      <c r="H19" s="23" t="s">
        <v>173</v>
      </c>
      <c r="I19" s="23" t="s">
        <v>174</v>
      </c>
      <c r="J19" s="21" t="s">
        <v>34</v>
      </c>
      <c r="K19" s="23" t="s">
        <v>175</v>
      </c>
      <c r="L19" s="156">
        <v>-137.904</v>
      </c>
      <c r="M19" s="181">
        <v>1</v>
      </c>
      <c r="N19" s="158">
        <v>-137.904</v>
      </c>
      <c r="O19" s="23"/>
      <c r="P19" s="21" t="s">
        <v>36</v>
      </c>
      <c r="Q19" s="180">
        <v>0.34158739321218701</v>
      </c>
      <c r="R19" s="180">
        <v>-7.5627992453457401E-5</v>
      </c>
    </row>
    <row r="20" spans="1:18">
      <c r="A20" s="2">
        <v>161</v>
      </c>
      <c r="B20" s="2">
        <v>9943</v>
      </c>
      <c r="C20" s="2" t="s">
        <v>179</v>
      </c>
      <c r="D20" s="2" t="s">
        <v>180</v>
      </c>
      <c r="E20" s="30" t="s">
        <v>172</v>
      </c>
      <c r="F20" s="21" t="s">
        <v>30</v>
      </c>
      <c r="G20" s="21" t="s">
        <v>30</v>
      </c>
      <c r="H20" s="23" t="s">
        <v>173</v>
      </c>
      <c r="I20" s="2" t="s">
        <v>174</v>
      </c>
      <c r="J20" s="2" t="s">
        <v>34</v>
      </c>
      <c r="K20" s="2" t="s">
        <v>175</v>
      </c>
      <c r="L20" s="156">
        <v>170.28200000000001</v>
      </c>
      <c r="M20" s="166">
        <v>1</v>
      </c>
      <c r="N20" s="156">
        <v>170.28200000000001</v>
      </c>
      <c r="P20" s="21" t="s">
        <v>36</v>
      </c>
      <c r="Q20" s="172">
        <v>-0.42178624959773803</v>
      </c>
      <c r="R20" s="172">
        <v>9.3384146884293505E-5</v>
      </c>
    </row>
    <row r="21" spans="1:18">
      <c r="A21" s="2">
        <v>161</v>
      </c>
      <c r="B21" s="2">
        <v>12468</v>
      </c>
      <c r="C21" s="2" t="s">
        <v>170</v>
      </c>
      <c r="D21" s="2" t="s">
        <v>171</v>
      </c>
      <c r="E21" s="2" t="s">
        <v>172</v>
      </c>
      <c r="F21" s="2" t="s">
        <v>30</v>
      </c>
      <c r="G21" s="2" t="s">
        <v>30</v>
      </c>
      <c r="H21" s="2" t="s">
        <v>173</v>
      </c>
      <c r="I21" s="2" t="s">
        <v>174</v>
      </c>
      <c r="J21" s="2" t="s">
        <v>34</v>
      </c>
      <c r="K21" s="2" t="s">
        <v>175</v>
      </c>
      <c r="L21" s="156">
        <v>-5.2770000000000001</v>
      </c>
      <c r="M21" s="166">
        <v>1</v>
      </c>
      <c r="N21" s="156">
        <v>-5.2770000000000001</v>
      </c>
      <c r="P21" s="2" t="s">
        <v>36</v>
      </c>
      <c r="Q21" s="172">
        <v>1.19624390796781</v>
      </c>
      <c r="R21" s="172">
        <v>-3.4595164340114502E-4</v>
      </c>
    </row>
    <row r="22" spans="1:18">
      <c r="A22" s="2">
        <v>161</v>
      </c>
      <c r="B22" s="2">
        <v>12468</v>
      </c>
      <c r="C22" s="2" t="s">
        <v>176</v>
      </c>
      <c r="D22" s="2" t="s">
        <v>177</v>
      </c>
      <c r="E22" s="2" t="s">
        <v>178</v>
      </c>
      <c r="F22" s="2" t="s">
        <v>30</v>
      </c>
      <c r="G22" s="2" t="s">
        <v>30</v>
      </c>
      <c r="H22" s="2" t="s">
        <v>173</v>
      </c>
      <c r="I22" s="2" t="s">
        <v>174</v>
      </c>
      <c r="J22" s="2" t="s">
        <v>34</v>
      </c>
      <c r="K22" s="2" t="s">
        <v>175</v>
      </c>
      <c r="L22" s="156">
        <v>1E-3</v>
      </c>
      <c r="M22" s="166">
        <v>1</v>
      </c>
      <c r="N22" s="156">
        <v>1E-3</v>
      </c>
      <c r="P22" s="2" t="s">
        <v>36</v>
      </c>
      <c r="Q22" s="172">
        <v>-1.4734217386376501E-4</v>
      </c>
      <c r="R22" s="172">
        <v>4.2611098665539398E-8</v>
      </c>
    </row>
    <row r="23" spans="1:18">
      <c r="A23" s="2">
        <v>161</v>
      </c>
      <c r="B23" s="2">
        <v>12468</v>
      </c>
      <c r="C23" s="2" t="s">
        <v>179</v>
      </c>
      <c r="D23" s="2" t="s">
        <v>180</v>
      </c>
      <c r="E23" s="2" t="s">
        <v>172</v>
      </c>
      <c r="F23" s="2" t="s">
        <v>30</v>
      </c>
      <c r="G23" s="2" t="s">
        <v>30</v>
      </c>
      <c r="H23" s="2" t="s">
        <v>173</v>
      </c>
      <c r="I23" s="2" t="s">
        <v>174</v>
      </c>
      <c r="J23" s="2" t="s">
        <v>34</v>
      </c>
      <c r="K23" s="2" t="s">
        <v>175</v>
      </c>
      <c r="L23" s="156">
        <v>0.86499999999999999</v>
      </c>
      <c r="M23" s="166">
        <v>1</v>
      </c>
      <c r="N23" s="156">
        <v>0.86499999999999999</v>
      </c>
      <c r="P23" s="2" t="s">
        <v>36</v>
      </c>
      <c r="Q23" s="172">
        <v>-0.19609656579394799</v>
      </c>
      <c r="R23" s="172">
        <v>5.6710783436284397E-5</v>
      </c>
    </row>
    <row r="24" spans="1:18">
      <c r="A24" s="2">
        <v>161</v>
      </c>
      <c r="B24" s="2">
        <v>15391</v>
      </c>
      <c r="C24" s="2" t="s">
        <v>170</v>
      </c>
      <c r="D24" s="2" t="s">
        <v>171</v>
      </c>
      <c r="E24" s="2" t="s">
        <v>172</v>
      </c>
      <c r="F24" s="2" t="s">
        <v>30</v>
      </c>
      <c r="G24" s="2" t="s">
        <v>30</v>
      </c>
      <c r="H24" s="2" t="s">
        <v>173</v>
      </c>
      <c r="I24" s="2" t="s">
        <v>174</v>
      </c>
      <c r="J24" s="2" t="s">
        <v>34</v>
      </c>
      <c r="K24" s="2" t="s">
        <v>175</v>
      </c>
      <c r="L24" s="156">
        <v>-0.39700000000000002</v>
      </c>
      <c r="M24" s="166">
        <v>1</v>
      </c>
      <c r="N24" s="156">
        <v>-0.39700000000000002</v>
      </c>
      <c r="P24" s="2" t="s">
        <v>36</v>
      </c>
      <c r="Q24" s="172">
        <v>1</v>
      </c>
      <c r="R24" s="172">
        <v>-1.7234876197593101E-4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  <c r="H1" s="22" t="s">
        <v>6</v>
      </c>
      <c r="I1" s="22" t="s">
        <v>7</v>
      </c>
      <c r="J1" s="22" t="s">
        <v>159</v>
      </c>
      <c r="K1" s="22" t="s">
        <v>9</v>
      </c>
      <c r="L1" s="22" t="s">
        <v>10</v>
      </c>
      <c r="M1" s="22" t="s">
        <v>160</v>
      </c>
      <c r="N1" s="22" t="s">
        <v>11</v>
      </c>
      <c r="O1" s="22" t="s">
        <v>18</v>
      </c>
      <c r="P1" s="146" t="s">
        <v>14</v>
      </c>
      <c r="Q1" s="22" t="s">
        <v>161</v>
      </c>
      <c r="R1" s="22" t="s">
        <v>162</v>
      </c>
      <c r="S1" s="22" t="s">
        <v>163</v>
      </c>
      <c r="T1" s="22" t="s">
        <v>164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7"/>
  <sheetViews>
    <sheetView rightToLeft="1" zoomScale="70" zoomScaleNormal="70" workbookViewId="0">
      <selection activeCell="M38" sqref="M38"/>
    </sheetView>
  </sheetViews>
  <sheetFormatPr defaultColWidth="11.625" defaultRowHeight="14.1" customHeight="1"/>
  <cols>
    <col min="1" max="6" width="11.625" style="194"/>
    <col min="7" max="7" width="44.375" style="194" bestFit="1" customWidth="1"/>
    <col min="8" max="8" width="11.625" style="194"/>
    <col min="9" max="9" width="12.625" style="194" customWidth="1"/>
    <col min="10" max="11" width="11.625" style="194"/>
    <col min="12" max="12" width="18.75" style="194" bestFit="1" customWidth="1"/>
    <col min="13" max="13" width="11.625" style="194"/>
    <col min="14" max="14" width="18.75" style="194" bestFit="1" customWidth="1"/>
    <col min="15" max="15" width="16.375" style="194" customWidth="1"/>
    <col min="16" max="16384" width="11.625" style="194"/>
  </cols>
  <sheetData>
    <row r="1" spans="1:22" ht="66.75" customHeight="1">
      <c r="A1" s="193" t="s">
        <v>0</v>
      </c>
      <c r="B1" s="193" t="s">
        <v>1</v>
      </c>
      <c r="C1" s="193" t="s">
        <v>5</v>
      </c>
      <c r="D1" s="193" t="s">
        <v>243</v>
      </c>
      <c r="E1" s="193" t="s">
        <v>244</v>
      </c>
      <c r="F1" s="193" t="s">
        <v>245</v>
      </c>
      <c r="G1" s="193" t="s">
        <v>246</v>
      </c>
      <c r="H1" s="193" t="s">
        <v>247</v>
      </c>
      <c r="I1" s="193" t="s">
        <v>248</v>
      </c>
      <c r="J1" s="193" t="s">
        <v>11</v>
      </c>
      <c r="K1" s="193" t="s">
        <v>249</v>
      </c>
      <c r="L1" s="193" t="s">
        <v>250</v>
      </c>
      <c r="M1" s="193" t="s">
        <v>251</v>
      </c>
      <c r="N1" s="193" t="s">
        <v>252</v>
      </c>
      <c r="O1" s="193" t="s">
        <v>253</v>
      </c>
      <c r="P1" s="193" t="s">
        <v>254</v>
      </c>
      <c r="Q1" s="193" t="s">
        <v>255</v>
      </c>
    </row>
    <row r="2" spans="1:22" ht="14.1" customHeight="1">
      <c r="A2" s="194">
        <v>161</v>
      </c>
      <c r="B2" s="194">
        <v>9943</v>
      </c>
      <c r="C2" s="194" t="s">
        <v>1076</v>
      </c>
      <c r="D2" s="194" t="s">
        <v>2977</v>
      </c>
      <c r="E2" s="194">
        <v>27092</v>
      </c>
      <c r="F2" s="195" t="s">
        <v>33</v>
      </c>
      <c r="G2" s="196" t="s">
        <v>2977</v>
      </c>
      <c r="H2" s="197">
        <v>60390077</v>
      </c>
      <c r="I2" s="195" t="s">
        <v>33</v>
      </c>
      <c r="J2" s="197" t="s">
        <v>95</v>
      </c>
      <c r="K2" s="198">
        <v>42155</v>
      </c>
      <c r="L2" s="199">
        <v>1500</v>
      </c>
      <c r="M2" s="200">
        <v>5521.5</v>
      </c>
      <c r="N2" s="201">
        <v>0</v>
      </c>
      <c r="O2" s="201">
        <v>0</v>
      </c>
      <c r="P2" s="202">
        <v>0</v>
      </c>
      <c r="Q2" s="203">
        <v>45869</v>
      </c>
    </row>
    <row r="3" spans="1:22" ht="14.1" customHeight="1">
      <c r="A3" s="194">
        <v>161</v>
      </c>
      <c r="B3" s="194">
        <v>9943</v>
      </c>
      <c r="C3" s="194" t="s">
        <v>1076</v>
      </c>
      <c r="D3" s="194" t="s">
        <v>2972</v>
      </c>
      <c r="E3" s="194">
        <v>27092</v>
      </c>
      <c r="F3" s="195" t="s">
        <v>33</v>
      </c>
      <c r="G3" s="196" t="s">
        <v>3241</v>
      </c>
      <c r="H3" s="197">
        <v>62000074</v>
      </c>
      <c r="I3" s="195" t="s">
        <v>33</v>
      </c>
      <c r="J3" s="197" t="s">
        <v>95</v>
      </c>
      <c r="K3" s="198">
        <v>42733</v>
      </c>
      <c r="L3" s="199">
        <v>1250</v>
      </c>
      <c r="M3" s="200">
        <v>4601.25</v>
      </c>
      <c r="N3" s="201">
        <v>0</v>
      </c>
      <c r="O3" s="201">
        <v>0</v>
      </c>
      <c r="P3" s="202">
        <v>0</v>
      </c>
      <c r="Q3" s="203">
        <v>45655</v>
      </c>
    </row>
    <row r="4" spans="1:22" ht="13.5" customHeight="1">
      <c r="A4" s="194">
        <v>161</v>
      </c>
      <c r="B4" s="194">
        <v>9943</v>
      </c>
      <c r="C4" s="194" t="s">
        <v>1072</v>
      </c>
      <c r="D4" s="194" t="s">
        <v>2981</v>
      </c>
      <c r="E4" s="194">
        <v>512712548</v>
      </c>
      <c r="F4" s="195" t="s">
        <v>33</v>
      </c>
      <c r="G4" s="196" t="s">
        <v>2981</v>
      </c>
      <c r="H4" s="197">
        <v>60398484</v>
      </c>
      <c r="I4" s="195" t="s">
        <v>33</v>
      </c>
      <c r="J4" s="197" t="s">
        <v>95</v>
      </c>
      <c r="K4" s="198">
        <v>41969</v>
      </c>
      <c r="L4" s="199">
        <v>2050</v>
      </c>
      <c r="M4" s="200">
        <v>7546.05</v>
      </c>
      <c r="N4" s="201">
        <v>511.12842000000001</v>
      </c>
      <c r="O4" s="201">
        <v>1896.2864382</v>
      </c>
      <c r="P4" s="202">
        <v>0.25059233360367339</v>
      </c>
      <c r="Q4" s="203">
        <v>45986</v>
      </c>
    </row>
    <row r="5" spans="1:22" ht="13.5" customHeight="1">
      <c r="A5" s="194">
        <v>161</v>
      </c>
      <c r="B5" s="194">
        <v>9943</v>
      </c>
      <c r="C5" s="194" t="s">
        <v>1076</v>
      </c>
      <c r="D5" s="194" t="s">
        <v>2992</v>
      </c>
      <c r="E5" s="194" t="s">
        <v>2993</v>
      </c>
      <c r="F5" s="195" t="s">
        <v>365</v>
      </c>
      <c r="G5" s="196" t="s">
        <v>3242</v>
      </c>
      <c r="H5" s="197">
        <v>60408978</v>
      </c>
      <c r="I5" s="195" t="s">
        <v>33</v>
      </c>
      <c r="J5" s="197" t="s">
        <v>95</v>
      </c>
      <c r="K5" s="198">
        <v>42543</v>
      </c>
      <c r="L5" s="199">
        <v>4000</v>
      </c>
      <c r="M5" s="200">
        <v>14724</v>
      </c>
      <c r="N5" s="201">
        <v>0</v>
      </c>
      <c r="O5" s="201">
        <v>0</v>
      </c>
      <c r="P5" s="202">
        <v>0</v>
      </c>
      <c r="Q5" s="203">
        <v>45809</v>
      </c>
    </row>
    <row r="6" spans="1:22" ht="14.1" customHeight="1">
      <c r="A6" s="194">
        <v>161</v>
      </c>
      <c r="B6" s="194">
        <v>9943</v>
      </c>
      <c r="C6" s="194" t="s">
        <v>1076</v>
      </c>
      <c r="D6" s="204" t="s">
        <v>2998</v>
      </c>
      <c r="E6" s="194">
        <v>6858778</v>
      </c>
      <c r="F6" s="195" t="s">
        <v>365</v>
      </c>
      <c r="G6" s="204" t="s">
        <v>2998</v>
      </c>
      <c r="H6" s="194">
        <v>27970041</v>
      </c>
      <c r="I6" s="195" t="s">
        <v>33</v>
      </c>
      <c r="J6" s="194" t="s">
        <v>95</v>
      </c>
      <c r="K6" s="198">
        <v>45062</v>
      </c>
      <c r="L6" s="205">
        <v>1500</v>
      </c>
      <c r="M6" s="206">
        <v>5638.5</v>
      </c>
      <c r="N6" s="201">
        <v>0</v>
      </c>
      <c r="O6" s="201">
        <v>0</v>
      </c>
      <c r="P6" s="207">
        <v>0.84166804000000006</v>
      </c>
      <c r="Q6" s="203">
        <v>45747</v>
      </c>
    </row>
    <row r="7" spans="1:22" ht="14.1" customHeight="1">
      <c r="A7" s="194">
        <v>161</v>
      </c>
      <c r="B7" s="194">
        <v>9943</v>
      </c>
      <c r="C7" s="194" t="s">
        <v>1076</v>
      </c>
      <c r="D7" s="194" t="s">
        <v>3001</v>
      </c>
      <c r="E7" s="194" t="s">
        <v>3002</v>
      </c>
      <c r="F7" s="195" t="s">
        <v>220</v>
      </c>
      <c r="G7" s="196" t="s">
        <v>3243</v>
      </c>
      <c r="H7" s="197">
        <v>98405711</v>
      </c>
      <c r="I7" s="195" t="s">
        <v>33</v>
      </c>
      <c r="J7" s="197" t="s">
        <v>95</v>
      </c>
      <c r="K7" s="198">
        <v>39142</v>
      </c>
      <c r="L7" s="199">
        <v>1500</v>
      </c>
      <c r="M7" s="200">
        <v>5521.5</v>
      </c>
      <c r="N7" s="201">
        <v>92.412000000000006</v>
      </c>
      <c r="O7" s="201">
        <v>342.84852000000001</v>
      </c>
      <c r="P7" s="202">
        <v>6.2913466992665035E-2</v>
      </c>
      <c r="Q7" s="203">
        <v>45736</v>
      </c>
    </row>
    <row r="8" spans="1:22" ht="14.1" customHeight="1">
      <c r="A8" s="194">
        <v>161</v>
      </c>
      <c r="B8" s="194">
        <v>9943</v>
      </c>
      <c r="C8" s="194" t="s">
        <v>1077</v>
      </c>
      <c r="D8" s="194" t="s">
        <v>2829</v>
      </c>
      <c r="E8" s="194">
        <v>6408600</v>
      </c>
      <c r="F8" s="195" t="s">
        <v>365</v>
      </c>
      <c r="G8" s="194" t="s">
        <v>3012</v>
      </c>
      <c r="H8" s="194">
        <v>27970042</v>
      </c>
      <c r="I8" s="195" t="s">
        <v>33</v>
      </c>
      <c r="J8" s="194" t="s">
        <v>95</v>
      </c>
      <c r="K8" s="198">
        <v>45084</v>
      </c>
      <c r="L8" s="205">
        <v>850</v>
      </c>
      <c r="M8" s="206">
        <v>3195.15</v>
      </c>
      <c r="N8" s="201">
        <v>524.23400000000004</v>
      </c>
      <c r="O8" s="201">
        <v>1944.90814</v>
      </c>
      <c r="P8" s="207">
        <v>0.61674588235294114</v>
      </c>
      <c r="Q8" s="203">
        <v>46934</v>
      </c>
      <c r="V8" s="208"/>
    </row>
    <row r="9" spans="1:22" ht="14.1" customHeight="1">
      <c r="A9" s="194">
        <v>161</v>
      </c>
      <c r="B9" s="194">
        <v>9943</v>
      </c>
      <c r="C9" s="194" t="s">
        <v>1076</v>
      </c>
      <c r="D9" s="194" t="s">
        <v>3014</v>
      </c>
      <c r="E9" s="194" t="s">
        <v>3244</v>
      </c>
      <c r="F9" s="195" t="s">
        <v>365</v>
      </c>
      <c r="G9" s="194" t="s">
        <v>3016</v>
      </c>
      <c r="H9" s="194">
        <v>27970032</v>
      </c>
      <c r="I9" s="195" t="s">
        <v>33</v>
      </c>
      <c r="J9" s="194" t="s">
        <v>95</v>
      </c>
      <c r="K9" s="198">
        <v>44635</v>
      </c>
      <c r="L9" s="205">
        <v>3000</v>
      </c>
      <c r="M9" s="206">
        <v>11277</v>
      </c>
      <c r="N9" s="201">
        <v>1254.0999999999999</v>
      </c>
      <c r="O9" s="201">
        <v>4652.7110000000002</v>
      </c>
      <c r="P9" s="207">
        <v>0.41803333333333331</v>
      </c>
      <c r="Q9" s="203" t="s">
        <v>3245</v>
      </c>
      <c r="V9" s="208"/>
    </row>
    <row r="10" spans="1:22" ht="14.1" customHeight="1">
      <c r="A10" s="194">
        <v>161</v>
      </c>
      <c r="B10" s="194">
        <v>9943</v>
      </c>
      <c r="C10" s="194" t="s">
        <v>1072</v>
      </c>
      <c r="D10" s="194" t="s">
        <v>2901</v>
      </c>
      <c r="E10" s="194">
        <v>540279767</v>
      </c>
      <c r="F10" s="195" t="s">
        <v>1363</v>
      </c>
      <c r="G10" s="196" t="s">
        <v>3246</v>
      </c>
      <c r="H10" s="197">
        <v>604008921</v>
      </c>
      <c r="I10" s="195" t="s">
        <v>33</v>
      </c>
      <c r="J10" s="197" t="s">
        <v>95</v>
      </c>
      <c r="K10" s="198">
        <v>42552</v>
      </c>
      <c r="L10" s="199">
        <v>1675</v>
      </c>
      <c r="M10" s="200">
        <v>6165.6750000000002</v>
      </c>
      <c r="N10" s="201">
        <v>179.685</v>
      </c>
      <c r="O10" s="201">
        <v>666.63135</v>
      </c>
      <c r="P10" s="202">
        <v>0.10954776484326534</v>
      </c>
      <c r="Q10" s="203">
        <v>46204</v>
      </c>
    </row>
    <row r="11" spans="1:22" ht="14.1" customHeight="1">
      <c r="A11" s="194">
        <v>161</v>
      </c>
      <c r="B11" s="194">
        <v>9943</v>
      </c>
      <c r="C11" s="194" t="s">
        <v>1072</v>
      </c>
      <c r="D11" s="194" t="s">
        <v>3026</v>
      </c>
      <c r="E11" s="194" t="s">
        <v>3027</v>
      </c>
      <c r="F11" s="195" t="s">
        <v>365</v>
      </c>
      <c r="G11" s="196" t="s">
        <v>3247</v>
      </c>
      <c r="H11" s="197">
        <v>62012828</v>
      </c>
      <c r="I11" s="195" t="s">
        <v>33</v>
      </c>
      <c r="J11" s="197" t="s">
        <v>95</v>
      </c>
      <c r="K11" s="198">
        <v>43266</v>
      </c>
      <c r="L11" s="199">
        <v>2700</v>
      </c>
      <c r="M11" s="200">
        <v>9938.7000000000007</v>
      </c>
      <c r="N11" s="201">
        <v>580.81399999999996</v>
      </c>
      <c r="O11" s="201">
        <v>2154.8199399999999</v>
      </c>
      <c r="P11" s="202">
        <v>0.2235653213196897</v>
      </c>
      <c r="Q11" s="203">
        <v>46188</v>
      </c>
    </row>
    <row r="12" spans="1:22" ht="14.1" customHeight="1">
      <c r="A12" s="194">
        <v>161</v>
      </c>
      <c r="B12" s="194">
        <v>9943</v>
      </c>
      <c r="C12" s="194" t="s">
        <v>1072</v>
      </c>
      <c r="D12" s="194" t="s">
        <v>3031</v>
      </c>
      <c r="E12" s="194">
        <v>104909</v>
      </c>
      <c r="F12" s="195" t="s">
        <v>365</v>
      </c>
      <c r="G12" s="194" t="s">
        <v>3033</v>
      </c>
      <c r="H12" s="194">
        <v>27970025</v>
      </c>
      <c r="I12" s="195" t="s">
        <v>33</v>
      </c>
      <c r="J12" s="194" t="s">
        <v>95</v>
      </c>
      <c r="K12" s="198">
        <v>44399</v>
      </c>
      <c r="L12" s="205">
        <v>300</v>
      </c>
      <c r="M12" s="206">
        <v>1127.7</v>
      </c>
      <c r="N12" s="201">
        <v>60</v>
      </c>
      <c r="O12" s="201">
        <v>222.6</v>
      </c>
      <c r="P12" s="207">
        <v>0.2</v>
      </c>
      <c r="Q12" s="203">
        <v>46948</v>
      </c>
    </row>
    <row r="13" spans="1:22" ht="14.1" customHeight="1">
      <c r="A13" s="194">
        <v>161</v>
      </c>
      <c r="B13" s="194">
        <v>9943</v>
      </c>
      <c r="C13" s="194" t="s">
        <v>1072</v>
      </c>
      <c r="D13" s="194" t="s">
        <v>3035</v>
      </c>
      <c r="E13" s="194">
        <v>27330</v>
      </c>
      <c r="F13" s="195" t="s">
        <v>33</v>
      </c>
      <c r="G13" s="196" t="s">
        <v>3248</v>
      </c>
      <c r="H13" s="197">
        <v>27970005</v>
      </c>
      <c r="I13" s="195" t="s">
        <v>33</v>
      </c>
      <c r="J13" s="197" t="s">
        <v>95</v>
      </c>
      <c r="K13" s="198">
        <v>43831</v>
      </c>
      <c r="L13" s="199">
        <v>2700</v>
      </c>
      <c r="M13" s="200">
        <v>9938.7000000000007</v>
      </c>
      <c r="N13" s="201">
        <v>567</v>
      </c>
      <c r="O13" s="201">
        <v>2103.5700000000002</v>
      </c>
      <c r="P13" s="202">
        <v>0.23487367563162184</v>
      </c>
      <c r="Q13" s="203">
        <v>47484</v>
      </c>
    </row>
    <row r="14" spans="1:22" ht="14.1" customHeight="1">
      <c r="A14" s="194">
        <v>161</v>
      </c>
      <c r="B14" s="194">
        <v>9943</v>
      </c>
      <c r="C14" s="194" t="s">
        <v>1077</v>
      </c>
      <c r="D14" s="194" t="s">
        <v>2933</v>
      </c>
      <c r="E14" s="194" t="s">
        <v>3249</v>
      </c>
      <c r="F14" s="195" t="s">
        <v>365</v>
      </c>
      <c r="G14" s="194" t="s">
        <v>3009</v>
      </c>
      <c r="H14" s="194">
        <v>27970043</v>
      </c>
      <c r="I14" s="195" t="s">
        <v>33</v>
      </c>
      <c r="J14" s="194" t="s">
        <v>95</v>
      </c>
      <c r="K14" s="198">
        <v>45099</v>
      </c>
      <c r="L14" s="205">
        <v>1000</v>
      </c>
      <c r="M14" s="206">
        <v>3759</v>
      </c>
      <c r="N14" s="201">
        <v>810</v>
      </c>
      <c r="O14" s="201">
        <v>3005.1</v>
      </c>
      <c r="P14" s="207">
        <v>0.81</v>
      </c>
      <c r="Q14" s="203">
        <v>46607</v>
      </c>
      <c r="V14" s="208"/>
    </row>
    <row r="15" spans="1:22" ht="14.1" customHeight="1">
      <c r="A15" s="194">
        <v>161</v>
      </c>
      <c r="B15" s="194">
        <v>9943</v>
      </c>
      <c r="C15" s="194" t="s">
        <v>1075</v>
      </c>
      <c r="D15" s="194" t="s">
        <v>3049</v>
      </c>
      <c r="E15" s="194">
        <v>6589505</v>
      </c>
      <c r="F15" s="195" t="s">
        <v>365</v>
      </c>
      <c r="G15" s="194" t="s">
        <v>3051</v>
      </c>
      <c r="H15" s="194">
        <v>27970036</v>
      </c>
      <c r="I15" s="195" t="s">
        <v>33</v>
      </c>
      <c r="J15" s="194" t="s">
        <v>95</v>
      </c>
      <c r="K15" s="198">
        <v>44887</v>
      </c>
      <c r="L15" s="205">
        <v>850</v>
      </c>
      <c r="M15" s="206">
        <v>3195.15</v>
      </c>
      <c r="N15" s="201">
        <v>465.71872999999999</v>
      </c>
      <c r="O15" s="201">
        <v>1727.8164883000002</v>
      </c>
      <c r="P15" s="207">
        <v>0.4695470705882353</v>
      </c>
      <c r="Q15" s="203">
        <v>46608</v>
      </c>
    </row>
    <row r="16" spans="1:22" ht="14.1" customHeight="1">
      <c r="A16" s="194">
        <v>161</v>
      </c>
      <c r="B16" s="194">
        <v>9943</v>
      </c>
      <c r="C16" s="194" t="s">
        <v>1076</v>
      </c>
      <c r="D16" s="194" t="s">
        <v>3053</v>
      </c>
      <c r="E16" s="194">
        <v>4926301</v>
      </c>
      <c r="F16" s="195" t="s">
        <v>365</v>
      </c>
      <c r="G16" s="194" t="s">
        <v>3055</v>
      </c>
      <c r="H16" s="194">
        <v>27970021</v>
      </c>
      <c r="I16" s="195" t="s">
        <v>33</v>
      </c>
      <c r="J16" s="194" t="s">
        <v>95</v>
      </c>
      <c r="K16" s="198">
        <v>44378</v>
      </c>
      <c r="L16" s="205">
        <v>500</v>
      </c>
      <c r="M16" s="206">
        <v>1879.5</v>
      </c>
      <c r="N16" s="201">
        <v>0</v>
      </c>
      <c r="O16" s="201">
        <v>0</v>
      </c>
      <c r="P16" s="207">
        <v>0</v>
      </c>
      <c r="Q16" s="203"/>
    </row>
    <row r="17" spans="1:17" ht="14.1" customHeight="1">
      <c r="A17" s="194">
        <v>161</v>
      </c>
      <c r="B17" s="194">
        <v>9943</v>
      </c>
      <c r="C17" s="194" t="s">
        <v>1072</v>
      </c>
      <c r="D17" s="194" t="s">
        <v>3058</v>
      </c>
      <c r="E17" s="194" t="s">
        <v>3059</v>
      </c>
      <c r="F17" s="195" t="s">
        <v>365</v>
      </c>
      <c r="G17" s="196" t="s">
        <v>3250</v>
      </c>
      <c r="H17" s="197">
        <v>62007091</v>
      </c>
      <c r="I17" s="195" t="s">
        <v>33</v>
      </c>
      <c r="J17" s="197" t="s">
        <v>95</v>
      </c>
      <c r="K17" s="198">
        <v>43221</v>
      </c>
      <c r="L17" s="199">
        <v>4350</v>
      </c>
      <c r="M17" s="200">
        <v>16012.35</v>
      </c>
      <c r="N17" s="201">
        <v>737.32500000000005</v>
      </c>
      <c r="O17" s="201">
        <v>2735.4757500000001</v>
      </c>
      <c r="P17" s="202">
        <v>0.17309168704156477</v>
      </c>
      <c r="Q17" s="203">
        <v>46874</v>
      </c>
    </row>
    <row r="18" spans="1:17" ht="14.1" customHeight="1">
      <c r="A18" s="194">
        <v>161</v>
      </c>
      <c r="B18" s="194">
        <v>9943</v>
      </c>
      <c r="C18" s="194" t="s">
        <v>1077</v>
      </c>
      <c r="D18" s="194" t="s">
        <v>3067</v>
      </c>
      <c r="E18" s="194">
        <v>540297413</v>
      </c>
      <c r="F18" s="195" t="s">
        <v>364</v>
      </c>
      <c r="G18" s="194" t="s">
        <v>3069</v>
      </c>
      <c r="H18" s="194">
        <v>27970022</v>
      </c>
      <c r="I18" s="195" t="s">
        <v>33</v>
      </c>
      <c r="J18" s="194" t="s">
        <v>95</v>
      </c>
      <c r="K18" s="198">
        <v>44385</v>
      </c>
      <c r="L18" s="205">
        <v>300</v>
      </c>
      <c r="M18" s="206">
        <v>1127.7</v>
      </c>
      <c r="N18" s="201">
        <v>90.21</v>
      </c>
      <c r="O18" s="201">
        <v>334.67909999999995</v>
      </c>
      <c r="P18" s="207">
        <v>0.30070000000000002</v>
      </c>
      <c r="Q18" s="203">
        <v>45549</v>
      </c>
    </row>
    <row r="19" spans="1:17" ht="14.1" customHeight="1">
      <c r="A19" s="194">
        <v>161</v>
      </c>
      <c r="B19" s="194">
        <v>9943</v>
      </c>
      <c r="C19" s="194" t="s">
        <v>1073</v>
      </c>
      <c r="D19" s="194" t="s">
        <v>3011</v>
      </c>
      <c r="E19" s="194" t="s">
        <v>3251</v>
      </c>
      <c r="F19" s="195" t="s">
        <v>365</v>
      </c>
      <c r="G19" s="194" t="s">
        <v>3064</v>
      </c>
      <c r="H19" s="194">
        <v>27970044</v>
      </c>
      <c r="I19" s="195" t="s">
        <v>33</v>
      </c>
      <c r="J19" s="194" t="s">
        <v>95</v>
      </c>
      <c r="K19" s="198">
        <v>45089</v>
      </c>
      <c r="L19" s="205">
        <v>1500</v>
      </c>
      <c r="M19" s="206">
        <v>5638.5</v>
      </c>
      <c r="N19" s="201">
        <v>637.51800000000003</v>
      </c>
      <c r="O19" s="201">
        <v>2365.1917799999997</v>
      </c>
      <c r="P19" s="207">
        <v>0.47001199999999999</v>
      </c>
      <c r="Q19" s="203">
        <v>46310</v>
      </c>
    </row>
    <row r="20" spans="1:17" ht="14.1" customHeight="1">
      <c r="A20" s="194">
        <v>161</v>
      </c>
      <c r="B20" s="194">
        <v>9943</v>
      </c>
      <c r="C20" s="194" t="s">
        <v>1076</v>
      </c>
      <c r="D20" s="194" t="s">
        <v>3072</v>
      </c>
      <c r="E20" s="194" t="s">
        <v>3252</v>
      </c>
      <c r="F20" s="195" t="s">
        <v>365</v>
      </c>
      <c r="G20" s="194" t="s">
        <v>3074</v>
      </c>
      <c r="H20" s="194">
        <v>27970037</v>
      </c>
      <c r="I20" s="195" t="s">
        <v>33</v>
      </c>
      <c r="J20" s="194" t="s">
        <v>1229</v>
      </c>
      <c r="K20" s="198">
        <v>44950</v>
      </c>
      <c r="L20" s="205">
        <v>600</v>
      </c>
      <c r="M20" s="206">
        <v>2850.3</v>
      </c>
      <c r="N20" s="201">
        <v>482.07900000000001</v>
      </c>
      <c r="O20" s="201">
        <v>2398.2466092</v>
      </c>
      <c r="P20" s="207">
        <v>0.80346821666666668</v>
      </c>
      <c r="Q20" s="203">
        <v>45939</v>
      </c>
    </row>
    <row r="21" spans="1:17" ht="14.1" customHeight="1">
      <c r="A21" s="194">
        <v>161</v>
      </c>
      <c r="B21" s="194">
        <v>9943</v>
      </c>
      <c r="C21" s="194" t="s">
        <v>1077</v>
      </c>
      <c r="D21" s="194" t="s">
        <v>3076</v>
      </c>
      <c r="E21" s="194" t="s">
        <v>3253</v>
      </c>
      <c r="F21" s="195" t="s">
        <v>365</v>
      </c>
      <c r="G21" s="194" t="s">
        <v>3078</v>
      </c>
      <c r="H21" s="194">
        <v>27970030</v>
      </c>
      <c r="I21" s="195" t="s">
        <v>33</v>
      </c>
      <c r="J21" s="194" t="s">
        <v>1225</v>
      </c>
      <c r="K21" s="198">
        <v>44508</v>
      </c>
      <c r="L21" s="205">
        <v>200</v>
      </c>
      <c r="M21" s="206">
        <v>804.04</v>
      </c>
      <c r="N21" s="201">
        <v>54.97</v>
      </c>
      <c r="O21" s="201">
        <v>228.257428</v>
      </c>
      <c r="P21" s="207">
        <v>0.27485029999999999</v>
      </c>
      <c r="Q21" s="203">
        <v>47066</v>
      </c>
    </row>
    <row r="22" spans="1:17" ht="14.1" customHeight="1">
      <c r="A22" s="194">
        <v>161</v>
      </c>
      <c r="B22" s="194">
        <v>9943</v>
      </c>
      <c r="C22" s="194" t="s">
        <v>1077</v>
      </c>
      <c r="D22" s="194" t="s">
        <v>2820</v>
      </c>
      <c r="E22" s="194">
        <v>107746</v>
      </c>
      <c r="F22" s="195" t="s">
        <v>365</v>
      </c>
      <c r="G22" s="194" t="s">
        <v>2822</v>
      </c>
      <c r="H22" s="194">
        <v>27970027</v>
      </c>
      <c r="I22" s="195" t="s">
        <v>33</v>
      </c>
      <c r="J22" s="194" t="s">
        <v>95</v>
      </c>
      <c r="K22" s="203">
        <v>44427</v>
      </c>
      <c r="L22" s="205">
        <v>300</v>
      </c>
      <c r="M22" s="206">
        <v>1127.7</v>
      </c>
      <c r="N22" s="201">
        <v>69</v>
      </c>
      <c r="O22" s="201">
        <v>255.99</v>
      </c>
      <c r="P22" s="207">
        <v>0.28000000000000003</v>
      </c>
      <c r="Q22" s="203">
        <v>46023</v>
      </c>
    </row>
    <row r="23" spans="1:17" ht="14.1" customHeight="1">
      <c r="A23" s="194">
        <v>161</v>
      </c>
      <c r="B23" s="194">
        <v>9943</v>
      </c>
      <c r="C23" s="194" t="s">
        <v>1072</v>
      </c>
      <c r="D23" s="194" t="s">
        <v>2880</v>
      </c>
      <c r="E23" s="194">
        <v>7836236</v>
      </c>
      <c r="F23" s="195" t="s">
        <v>365</v>
      </c>
      <c r="G23" s="196" t="s">
        <v>3080</v>
      </c>
      <c r="H23" s="197">
        <v>27970004</v>
      </c>
      <c r="I23" s="195" t="s">
        <v>33</v>
      </c>
      <c r="J23" s="197" t="s">
        <v>95</v>
      </c>
      <c r="K23" s="198">
        <v>43831</v>
      </c>
      <c r="L23" s="199">
        <v>250</v>
      </c>
      <c r="M23" s="200">
        <v>920.25</v>
      </c>
      <c r="N23" s="201">
        <v>76.25</v>
      </c>
      <c r="O23" s="201">
        <v>282.88749999999999</v>
      </c>
      <c r="P23" s="202">
        <v>0.31146291768541157</v>
      </c>
      <c r="Q23" s="203">
        <v>47484</v>
      </c>
    </row>
    <row r="24" spans="1:17" ht="14.1" customHeight="1">
      <c r="A24" s="194">
        <v>161</v>
      </c>
      <c r="B24" s="194">
        <v>9943</v>
      </c>
      <c r="C24" s="194" t="s">
        <v>1072</v>
      </c>
      <c r="D24" s="194" t="s">
        <v>2880</v>
      </c>
      <c r="E24" s="194">
        <v>7836236</v>
      </c>
      <c r="F24" s="195" t="s">
        <v>365</v>
      </c>
      <c r="G24" s="196" t="s">
        <v>3254</v>
      </c>
      <c r="H24" s="197">
        <v>604066001</v>
      </c>
      <c r="I24" s="195" t="s">
        <v>33</v>
      </c>
      <c r="J24" s="197" t="s">
        <v>95</v>
      </c>
      <c r="K24" s="198">
        <v>42491</v>
      </c>
      <c r="L24" s="199">
        <v>1500</v>
      </c>
      <c r="M24" s="200">
        <v>5521.5</v>
      </c>
      <c r="N24" s="201">
        <v>105</v>
      </c>
      <c r="O24" s="201">
        <v>389.55</v>
      </c>
      <c r="P24" s="202">
        <v>7.1483292583537084E-2</v>
      </c>
      <c r="Q24" s="203">
        <v>46296</v>
      </c>
    </row>
    <row r="25" spans="1:17" ht="14.1" customHeight="1">
      <c r="A25" s="194">
        <v>161</v>
      </c>
      <c r="B25" s="194">
        <v>9943</v>
      </c>
      <c r="C25" s="194" t="s">
        <v>1072</v>
      </c>
      <c r="D25" s="194" t="s">
        <v>2880</v>
      </c>
      <c r="E25" s="194">
        <v>7836236</v>
      </c>
      <c r="F25" s="195" t="s">
        <v>365</v>
      </c>
      <c r="G25" s="196" t="s">
        <v>3255</v>
      </c>
      <c r="H25" s="197">
        <v>62007406</v>
      </c>
      <c r="I25" s="195" t="s">
        <v>33</v>
      </c>
      <c r="J25" s="197" t="s">
        <v>95</v>
      </c>
      <c r="K25" s="198">
        <v>43221</v>
      </c>
      <c r="L25" s="199">
        <v>375</v>
      </c>
      <c r="M25" s="200">
        <v>1380.375</v>
      </c>
      <c r="N25" s="201">
        <v>37.5</v>
      </c>
      <c r="O25" s="201">
        <v>139.125</v>
      </c>
      <c r="P25" s="202">
        <v>0.10211898940505297</v>
      </c>
      <c r="Q25" s="203">
        <v>46874</v>
      </c>
    </row>
    <row r="26" spans="1:17" ht="14.1" customHeight="1">
      <c r="A26" s="194">
        <v>161</v>
      </c>
      <c r="B26" s="194">
        <v>9943</v>
      </c>
      <c r="C26" s="194" t="s">
        <v>1077</v>
      </c>
      <c r="D26" s="194" t="s">
        <v>3084</v>
      </c>
      <c r="E26" s="194">
        <v>540327830</v>
      </c>
      <c r="F26" s="195" t="s">
        <v>363</v>
      </c>
      <c r="G26" s="194" t="s">
        <v>3086</v>
      </c>
      <c r="H26" s="194">
        <v>27970035</v>
      </c>
      <c r="I26" s="195" t="s">
        <v>33</v>
      </c>
      <c r="J26" s="194" t="s">
        <v>95</v>
      </c>
      <c r="K26" s="198">
        <v>44858</v>
      </c>
      <c r="L26" s="205">
        <v>189.49799999999999</v>
      </c>
      <c r="M26" s="206">
        <v>712.32298199999991</v>
      </c>
      <c r="N26" s="201">
        <v>130.97</v>
      </c>
      <c r="O26" s="201">
        <v>485.89870000000002</v>
      </c>
      <c r="P26" s="207">
        <v>0.67476173891017321</v>
      </c>
      <c r="Q26" s="203">
        <v>47026</v>
      </c>
    </row>
    <row r="27" spans="1:17" ht="14.1" customHeight="1">
      <c r="A27" s="194">
        <v>161</v>
      </c>
      <c r="B27" s="194">
        <v>9943</v>
      </c>
      <c r="C27" s="194" t="s">
        <v>1076</v>
      </c>
      <c r="D27" s="194" t="s">
        <v>3022</v>
      </c>
      <c r="E27" s="194">
        <v>510607328</v>
      </c>
      <c r="F27" s="195" t="s">
        <v>1363</v>
      </c>
      <c r="G27" s="196" t="s">
        <v>3256</v>
      </c>
      <c r="H27" s="197">
        <v>62012539</v>
      </c>
      <c r="I27" s="195" t="s">
        <v>33</v>
      </c>
      <c r="J27" s="197" t="s">
        <v>95</v>
      </c>
      <c r="K27" s="198">
        <v>43405</v>
      </c>
      <c r="L27" s="199">
        <v>2700</v>
      </c>
      <c r="M27" s="200">
        <v>9938.7000000000007</v>
      </c>
      <c r="N27" s="201">
        <v>0</v>
      </c>
      <c r="O27" s="201">
        <v>0</v>
      </c>
      <c r="P27" s="202">
        <v>0</v>
      </c>
      <c r="Q27" s="203">
        <v>45962</v>
      </c>
    </row>
    <row r="28" spans="1:17" ht="14.1" customHeight="1">
      <c r="A28" s="194">
        <v>161</v>
      </c>
      <c r="B28" s="194">
        <v>9943</v>
      </c>
      <c r="C28" s="194" t="s">
        <v>1072</v>
      </c>
      <c r="D28" s="194" t="s">
        <v>2916</v>
      </c>
      <c r="E28" s="194">
        <v>540294725</v>
      </c>
      <c r="F28" s="195" t="s">
        <v>1363</v>
      </c>
      <c r="G28" s="196" t="s">
        <v>2916</v>
      </c>
      <c r="H28" s="197">
        <v>34785</v>
      </c>
      <c r="I28" s="195" t="s">
        <v>33</v>
      </c>
      <c r="J28" s="197" t="s">
        <v>34</v>
      </c>
      <c r="K28" s="198">
        <v>40681</v>
      </c>
      <c r="L28" s="199">
        <v>6000</v>
      </c>
      <c r="M28" s="200">
        <v>6000</v>
      </c>
      <c r="N28" s="201">
        <v>242.792</v>
      </c>
      <c r="O28" s="201">
        <v>242.792</v>
      </c>
      <c r="P28" s="202">
        <v>4.0465333333333332E-2</v>
      </c>
      <c r="Q28" s="203">
        <v>44682</v>
      </c>
    </row>
    <row r="29" spans="1:17" ht="14.1" customHeight="1">
      <c r="A29" s="194">
        <v>161</v>
      </c>
      <c r="B29" s="194">
        <v>9943</v>
      </c>
      <c r="C29" s="194" t="s">
        <v>1072</v>
      </c>
      <c r="D29" s="194" t="s">
        <v>2920</v>
      </c>
      <c r="E29" s="194">
        <v>550257596</v>
      </c>
      <c r="F29" s="195" t="s">
        <v>364</v>
      </c>
      <c r="G29" s="196" t="s">
        <v>3257</v>
      </c>
      <c r="H29" s="197">
        <v>47845</v>
      </c>
      <c r="I29" s="195" t="s">
        <v>33</v>
      </c>
      <c r="J29" s="194" t="s">
        <v>34</v>
      </c>
      <c r="K29" s="198">
        <v>42323</v>
      </c>
      <c r="L29" s="199">
        <v>7439.5320000000002</v>
      </c>
      <c r="M29" s="200">
        <v>7439.5320000000002</v>
      </c>
      <c r="N29" s="201">
        <v>733.48</v>
      </c>
      <c r="O29" s="201">
        <v>733.48</v>
      </c>
      <c r="P29" s="202">
        <v>0.10037177069740408</v>
      </c>
      <c r="Q29" s="203">
        <v>45976</v>
      </c>
    </row>
    <row r="30" spans="1:17" ht="14.1" customHeight="1">
      <c r="A30" s="194">
        <v>161</v>
      </c>
      <c r="B30" s="194">
        <v>9943</v>
      </c>
      <c r="C30" s="194" t="s">
        <v>1072</v>
      </c>
      <c r="D30" s="194" t="s">
        <v>2856</v>
      </c>
      <c r="E30" s="194">
        <v>530278498</v>
      </c>
      <c r="F30" s="195" t="s">
        <v>364</v>
      </c>
      <c r="G30" s="196" t="s">
        <v>3258</v>
      </c>
      <c r="H30" s="197">
        <v>9840783</v>
      </c>
      <c r="I30" s="195" t="s">
        <v>33</v>
      </c>
      <c r="J30" s="197" t="s">
        <v>95</v>
      </c>
      <c r="K30" s="198">
        <v>39753</v>
      </c>
      <c r="L30" s="199">
        <v>833</v>
      </c>
      <c r="M30" s="200">
        <v>3066.2730000000001</v>
      </c>
      <c r="N30" s="201">
        <v>49.97</v>
      </c>
      <c r="O30" s="201">
        <v>185.3887</v>
      </c>
      <c r="P30" s="202">
        <v>6.1259134460630214E-2</v>
      </c>
      <c r="Q30" s="203">
        <v>43405</v>
      </c>
    </row>
    <row r="31" spans="1:17" ht="14.1" customHeight="1">
      <c r="A31" s="194">
        <v>161</v>
      </c>
      <c r="B31" s="194">
        <v>9943</v>
      </c>
      <c r="C31" s="194" t="s">
        <v>1072</v>
      </c>
      <c r="D31" s="194" t="s">
        <v>2856</v>
      </c>
      <c r="E31" s="194">
        <v>530278514</v>
      </c>
      <c r="F31" s="195" t="s">
        <v>1363</v>
      </c>
      <c r="G31" s="196" t="s">
        <v>3259</v>
      </c>
      <c r="H31" s="197">
        <v>27970010</v>
      </c>
      <c r="I31" s="195" t="s">
        <v>33</v>
      </c>
      <c r="J31" s="197" t="s">
        <v>95</v>
      </c>
      <c r="K31" s="198">
        <v>43922</v>
      </c>
      <c r="L31" s="199">
        <v>2800</v>
      </c>
      <c r="M31" s="200">
        <v>10306.799999999999</v>
      </c>
      <c r="N31" s="201">
        <v>36.4</v>
      </c>
      <c r="O31" s="201">
        <v>135.04400000000001</v>
      </c>
      <c r="P31" s="202">
        <v>3.0635696821515894E-2</v>
      </c>
      <c r="Q31" s="203">
        <v>47574</v>
      </c>
    </row>
    <row r="32" spans="1:17" ht="14.1" customHeight="1">
      <c r="A32" s="194">
        <v>161</v>
      </c>
      <c r="B32" s="194">
        <v>9943</v>
      </c>
      <c r="C32" s="194" t="s">
        <v>1076</v>
      </c>
      <c r="D32" s="194" t="s">
        <v>2850</v>
      </c>
      <c r="E32" s="194">
        <v>530278654</v>
      </c>
      <c r="F32" s="195" t="s">
        <v>1363</v>
      </c>
      <c r="G32" s="196" t="s">
        <v>2850</v>
      </c>
      <c r="H32" s="197">
        <v>62011879</v>
      </c>
      <c r="I32" s="195" t="s">
        <v>33</v>
      </c>
      <c r="J32" s="194" t="s">
        <v>1225</v>
      </c>
      <c r="K32" s="198">
        <v>42887</v>
      </c>
      <c r="L32" s="199">
        <v>2500</v>
      </c>
      <c r="M32" s="200">
        <v>9947.75</v>
      </c>
      <c r="N32" s="201">
        <v>38.561</v>
      </c>
      <c r="O32" s="201">
        <v>160.12069639999999</v>
      </c>
      <c r="P32" s="202">
        <v>1.5583718147319747E-2</v>
      </c>
      <c r="Q32" s="203">
        <v>45814</v>
      </c>
    </row>
    <row r="33" spans="1:22" ht="14.1" customHeight="1">
      <c r="A33" s="194">
        <v>161</v>
      </c>
      <c r="B33" s="194">
        <v>9943</v>
      </c>
      <c r="C33" s="194" t="s">
        <v>1072</v>
      </c>
      <c r="D33" s="194" t="s">
        <v>2876</v>
      </c>
      <c r="E33" s="194" t="s">
        <v>3260</v>
      </c>
      <c r="F33" s="195" t="s">
        <v>365</v>
      </c>
      <c r="G33" s="194" t="s">
        <v>2878</v>
      </c>
      <c r="H33" s="194">
        <v>27970018</v>
      </c>
      <c r="I33" s="195" t="s">
        <v>33</v>
      </c>
      <c r="J33" s="194" t="s">
        <v>95</v>
      </c>
      <c r="K33" s="198">
        <v>44327</v>
      </c>
      <c r="L33" s="205">
        <v>300</v>
      </c>
      <c r="M33" s="206">
        <v>1127.7</v>
      </c>
      <c r="N33" s="201">
        <v>78</v>
      </c>
      <c r="O33" s="201">
        <v>289.38</v>
      </c>
      <c r="P33" s="207">
        <v>0.26</v>
      </c>
      <c r="Q33" s="203">
        <v>45775</v>
      </c>
      <c r="V33" s="208"/>
    </row>
    <row r="34" spans="1:22" ht="14.1" customHeight="1">
      <c r="A34" s="194">
        <v>161</v>
      </c>
      <c r="B34" s="194">
        <v>9943</v>
      </c>
      <c r="C34" s="194" t="s">
        <v>1072</v>
      </c>
      <c r="D34" s="194" t="s">
        <v>2987</v>
      </c>
      <c r="E34" s="194">
        <v>12151</v>
      </c>
      <c r="F34" s="195" t="s">
        <v>33</v>
      </c>
      <c r="G34" s="196" t="s">
        <v>2989</v>
      </c>
      <c r="H34" s="197">
        <v>60416385</v>
      </c>
      <c r="I34" s="195" t="s">
        <v>33</v>
      </c>
      <c r="J34" s="194" t="s">
        <v>1225</v>
      </c>
      <c r="K34" s="198">
        <v>42644</v>
      </c>
      <c r="L34" s="199">
        <v>1320.3</v>
      </c>
      <c r="M34" s="200">
        <v>5253.6057299999993</v>
      </c>
      <c r="N34" s="201">
        <v>0</v>
      </c>
      <c r="O34" s="201">
        <v>0</v>
      </c>
      <c r="P34" s="202">
        <v>0</v>
      </c>
      <c r="Q34" s="203">
        <v>46296</v>
      </c>
    </row>
    <row r="35" spans="1:22" ht="14.1" customHeight="1">
      <c r="A35" s="194">
        <v>161</v>
      </c>
      <c r="B35" s="194">
        <v>9943</v>
      </c>
      <c r="C35" s="194" t="s">
        <v>1075</v>
      </c>
      <c r="D35" s="194" t="s">
        <v>2825</v>
      </c>
      <c r="E35" s="194">
        <v>3935</v>
      </c>
      <c r="F35" s="194" t="s">
        <v>365</v>
      </c>
      <c r="G35" s="194" t="s">
        <v>2827</v>
      </c>
      <c r="H35" s="194">
        <v>27970029</v>
      </c>
      <c r="I35" s="194" t="s">
        <v>33</v>
      </c>
      <c r="J35" s="194" t="s">
        <v>95</v>
      </c>
      <c r="K35" s="203">
        <v>44441</v>
      </c>
      <c r="L35" s="205">
        <v>800</v>
      </c>
      <c r="M35" s="206">
        <v>3007.2</v>
      </c>
      <c r="N35" s="201">
        <v>380.54996</v>
      </c>
      <c r="O35" s="201">
        <v>1411.8403515999998</v>
      </c>
      <c r="P35" s="207">
        <v>0.44611141250000003</v>
      </c>
      <c r="Q35" s="203">
        <v>45987</v>
      </c>
    </row>
    <row r="36" spans="1:22" ht="14.1" customHeight="1">
      <c r="A36" s="194">
        <v>161</v>
      </c>
      <c r="B36" s="194">
        <v>9943</v>
      </c>
      <c r="C36" s="194" t="s">
        <v>1075</v>
      </c>
      <c r="D36" s="194" t="s">
        <v>3018</v>
      </c>
      <c r="E36" s="194">
        <v>4404526</v>
      </c>
      <c r="F36" s="195" t="s">
        <v>365</v>
      </c>
      <c r="G36" s="194" t="s">
        <v>3020</v>
      </c>
      <c r="H36" s="194">
        <v>27970020</v>
      </c>
      <c r="I36" s="195" t="s">
        <v>33</v>
      </c>
      <c r="J36" s="194" t="s">
        <v>95</v>
      </c>
      <c r="K36" s="198">
        <v>44355</v>
      </c>
      <c r="L36" s="205">
        <v>300</v>
      </c>
      <c r="M36" s="206">
        <v>1127.7</v>
      </c>
      <c r="N36" s="201">
        <v>0</v>
      </c>
      <c r="O36" s="201">
        <v>0</v>
      </c>
      <c r="P36" s="207">
        <v>0</v>
      </c>
      <c r="Q36" s="203"/>
      <c r="V36" s="208"/>
    </row>
    <row r="37" spans="1:22" ht="14.1" customHeight="1">
      <c r="A37" s="194">
        <v>161</v>
      </c>
      <c r="B37" s="194">
        <v>9943</v>
      </c>
      <c r="C37" s="194" t="s">
        <v>1072</v>
      </c>
      <c r="D37" s="194" t="s">
        <v>3040</v>
      </c>
      <c r="E37" s="194">
        <v>12787</v>
      </c>
      <c r="F37" s="195" t="s">
        <v>33</v>
      </c>
      <c r="G37" s="196" t="s">
        <v>3261</v>
      </c>
      <c r="H37" s="197">
        <v>62007695</v>
      </c>
      <c r="I37" s="195" t="s">
        <v>33</v>
      </c>
      <c r="J37" s="194" t="s">
        <v>1225</v>
      </c>
      <c r="K37" s="198">
        <v>43313</v>
      </c>
      <c r="L37" s="199">
        <v>1350</v>
      </c>
      <c r="M37" s="200">
        <v>5371.7849999999999</v>
      </c>
      <c r="N37" s="201">
        <v>245.49172000000002</v>
      </c>
      <c r="O37" s="201">
        <v>1019.379818128</v>
      </c>
      <c r="P37" s="202">
        <v>0.18372399728283986</v>
      </c>
      <c r="Q37" s="203">
        <v>46966</v>
      </c>
    </row>
    <row r="38" spans="1:22" ht="14.1" customHeight="1">
      <c r="A38" s="194">
        <v>161</v>
      </c>
      <c r="B38" s="194">
        <v>9943</v>
      </c>
      <c r="C38" s="194" t="s">
        <v>1072</v>
      </c>
      <c r="D38" s="194" t="s">
        <v>3045</v>
      </c>
      <c r="E38" s="194">
        <v>12787</v>
      </c>
      <c r="F38" s="195" t="s">
        <v>33</v>
      </c>
      <c r="G38" s="196" t="s">
        <v>3262</v>
      </c>
      <c r="H38" s="197">
        <v>62011416</v>
      </c>
      <c r="I38" s="195" t="s">
        <v>33</v>
      </c>
      <c r="J38" s="197" t="s">
        <v>95</v>
      </c>
      <c r="K38" s="198">
        <v>43525</v>
      </c>
      <c r="L38" s="199">
        <v>1350</v>
      </c>
      <c r="M38" s="200">
        <v>4969.3500000000004</v>
      </c>
      <c r="N38" s="201">
        <v>353.39004</v>
      </c>
      <c r="O38" s="201">
        <v>1311.0770484</v>
      </c>
      <c r="P38" s="202">
        <v>0.25035294768933564</v>
      </c>
      <c r="Q38" s="203">
        <v>47178</v>
      </c>
    </row>
    <row r="39" spans="1:22" ht="14.1" customHeight="1">
      <c r="A39" s="194">
        <v>161</v>
      </c>
      <c r="B39" s="194">
        <v>9943</v>
      </c>
      <c r="C39" s="194" t="s">
        <v>1072</v>
      </c>
      <c r="D39" s="194" t="s">
        <v>2866</v>
      </c>
      <c r="E39" s="194" t="s">
        <v>2862</v>
      </c>
      <c r="F39" s="195" t="s">
        <v>365</v>
      </c>
      <c r="G39" s="196" t="s">
        <v>3263</v>
      </c>
      <c r="H39" s="197">
        <v>27970001</v>
      </c>
      <c r="I39" s="195" t="s">
        <v>33</v>
      </c>
      <c r="J39" s="194" t="s">
        <v>34</v>
      </c>
      <c r="K39" s="198">
        <v>43770</v>
      </c>
      <c r="L39" s="199">
        <v>6000</v>
      </c>
      <c r="M39" s="200">
        <v>6000</v>
      </c>
      <c r="N39" s="201">
        <v>1800</v>
      </c>
      <c r="O39" s="201">
        <v>1800</v>
      </c>
      <c r="P39" s="202">
        <v>0.3</v>
      </c>
      <c r="Q39" s="203">
        <v>46692</v>
      </c>
    </row>
    <row r="40" spans="1:22" ht="14.1" customHeight="1">
      <c r="A40" s="194">
        <v>161</v>
      </c>
      <c r="B40" s="194">
        <v>9943</v>
      </c>
      <c r="C40" s="194" t="s">
        <v>1077</v>
      </c>
      <c r="D40" s="194" t="s">
        <v>2861</v>
      </c>
      <c r="E40" s="194" t="s">
        <v>3264</v>
      </c>
      <c r="F40" s="195" t="s">
        <v>364</v>
      </c>
      <c r="G40" s="194" t="s">
        <v>2863</v>
      </c>
      <c r="H40" s="194">
        <v>27971038</v>
      </c>
      <c r="I40" s="195" t="s">
        <v>33</v>
      </c>
      <c r="J40" s="194" t="s">
        <v>34</v>
      </c>
      <c r="K40" s="198">
        <v>45040</v>
      </c>
      <c r="L40" s="205">
        <v>2600</v>
      </c>
      <c r="M40" s="206">
        <v>2600</v>
      </c>
      <c r="N40" s="201">
        <v>1820</v>
      </c>
      <c r="O40" s="201">
        <v>1820</v>
      </c>
      <c r="P40" s="207">
        <v>0.7</v>
      </c>
      <c r="Q40" s="203">
        <v>47923</v>
      </c>
      <c r="V40" s="208"/>
    </row>
    <row r="41" spans="1:22" ht="14.1" customHeight="1">
      <c r="A41" s="194">
        <v>161</v>
      </c>
      <c r="B41" s="194">
        <v>9943</v>
      </c>
      <c r="C41" s="194" t="s">
        <v>1072</v>
      </c>
      <c r="D41" s="194" t="s">
        <v>2871</v>
      </c>
      <c r="E41" s="194">
        <v>28352</v>
      </c>
      <c r="F41" s="195" t="s">
        <v>33</v>
      </c>
      <c r="G41" s="196" t="s">
        <v>3265</v>
      </c>
      <c r="H41" s="197">
        <v>27970016</v>
      </c>
      <c r="I41" s="195" t="s">
        <v>33</v>
      </c>
      <c r="J41" s="197" t="s">
        <v>95</v>
      </c>
      <c r="K41" s="198">
        <v>44228</v>
      </c>
      <c r="L41" s="199">
        <v>1380</v>
      </c>
      <c r="M41" s="200">
        <v>5079.78</v>
      </c>
      <c r="N41" s="201">
        <v>800.93600000000004</v>
      </c>
      <c r="O41" s="201">
        <v>2971.4725600000002</v>
      </c>
      <c r="P41" s="202">
        <v>0.59268677462409791</v>
      </c>
      <c r="Q41" s="203">
        <v>46054</v>
      </c>
    </row>
    <row r="42" spans="1:22" ht="14.1" customHeight="1">
      <c r="A42" s="194">
        <v>161</v>
      </c>
      <c r="B42" s="194">
        <v>9943</v>
      </c>
      <c r="C42" s="194" t="s">
        <v>1072</v>
      </c>
      <c r="D42" s="194" t="s">
        <v>2889</v>
      </c>
      <c r="E42" s="194">
        <v>550257125</v>
      </c>
      <c r="F42" s="195" t="s">
        <v>364</v>
      </c>
      <c r="G42" s="196" t="s">
        <v>3266</v>
      </c>
      <c r="H42" s="197">
        <v>78923</v>
      </c>
      <c r="I42" s="195" t="s">
        <v>33</v>
      </c>
      <c r="J42" s="194" t="s">
        <v>34</v>
      </c>
      <c r="K42" s="198">
        <v>43101</v>
      </c>
      <c r="L42" s="199">
        <v>10000</v>
      </c>
      <c r="M42" s="200">
        <v>10000</v>
      </c>
      <c r="N42" s="201">
        <v>806.29300000000001</v>
      </c>
      <c r="O42" s="201">
        <v>806.29300000000001</v>
      </c>
      <c r="P42" s="202">
        <v>0.12979350000000001</v>
      </c>
      <c r="Q42" s="203">
        <v>46753</v>
      </c>
    </row>
    <row r="43" spans="1:22" ht="14.1" customHeight="1">
      <c r="A43" s="194">
        <v>161</v>
      </c>
      <c r="B43" s="194">
        <v>9943</v>
      </c>
      <c r="C43" s="194" t="s">
        <v>1072</v>
      </c>
      <c r="D43" s="194" t="s">
        <v>2889</v>
      </c>
      <c r="E43" s="194">
        <v>540290103</v>
      </c>
      <c r="F43" s="195" t="s">
        <v>33</v>
      </c>
      <c r="G43" s="196" t="s">
        <v>3267</v>
      </c>
      <c r="H43" s="197">
        <v>27970003</v>
      </c>
      <c r="I43" s="195" t="s">
        <v>33</v>
      </c>
      <c r="J43" s="194" t="s">
        <v>34</v>
      </c>
      <c r="K43" s="198">
        <v>43770</v>
      </c>
      <c r="L43" s="199">
        <v>6000</v>
      </c>
      <c r="M43" s="200">
        <v>6000</v>
      </c>
      <c r="N43" s="201">
        <v>1779.39</v>
      </c>
      <c r="O43" s="201">
        <v>1779.39</v>
      </c>
      <c r="P43" s="202">
        <v>0.33093483333333334</v>
      </c>
      <c r="Q43" s="203">
        <v>46327</v>
      </c>
    </row>
    <row r="44" spans="1:22" ht="14.1" customHeight="1">
      <c r="A44" s="194">
        <v>161</v>
      </c>
      <c r="B44" s="194">
        <v>9943</v>
      </c>
      <c r="C44" s="194" t="s">
        <v>1075</v>
      </c>
      <c r="D44" s="194" t="s">
        <v>2907</v>
      </c>
      <c r="E44" s="194">
        <v>516445962</v>
      </c>
      <c r="F44" s="195" t="s">
        <v>363</v>
      </c>
      <c r="G44" s="194" t="s">
        <v>2909</v>
      </c>
      <c r="H44" s="194">
        <v>27970031</v>
      </c>
      <c r="I44" s="195" t="s">
        <v>33</v>
      </c>
      <c r="J44" s="194" t="s">
        <v>34</v>
      </c>
      <c r="K44" s="198">
        <v>44598</v>
      </c>
      <c r="L44" s="205">
        <v>763.28899999999999</v>
      </c>
      <c r="M44" s="206">
        <v>763.28899999999999</v>
      </c>
      <c r="N44" s="201">
        <v>369.46</v>
      </c>
      <c r="O44" s="201">
        <v>369.46</v>
      </c>
      <c r="P44" s="207">
        <v>0.62808189296583605</v>
      </c>
      <c r="Q44" s="203">
        <v>48963</v>
      </c>
      <c r="V44" s="208"/>
    </row>
    <row r="45" spans="1:22" s="209" customFormat="1" ht="14.1" customHeight="1">
      <c r="A45" s="209">
        <v>161</v>
      </c>
      <c r="B45" s="209">
        <v>9943</v>
      </c>
      <c r="C45" s="209" t="s">
        <v>1072</v>
      </c>
      <c r="D45" s="209" t="s">
        <v>2938</v>
      </c>
      <c r="E45" s="209" t="s">
        <v>2939</v>
      </c>
      <c r="F45" s="210" t="s">
        <v>1363</v>
      </c>
      <c r="G45" s="211" t="s">
        <v>3268</v>
      </c>
      <c r="H45" s="212">
        <v>27970026</v>
      </c>
      <c r="I45" s="210" t="s">
        <v>33</v>
      </c>
      <c r="J45" s="212" t="s">
        <v>1225</v>
      </c>
      <c r="K45" s="213">
        <v>44409</v>
      </c>
      <c r="L45" s="214">
        <v>1250</v>
      </c>
      <c r="M45" s="215">
        <v>4973.875</v>
      </c>
      <c r="N45" s="201">
        <v>180.74351000000001</v>
      </c>
      <c r="O45" s="201">
        <v>750.51935092400004</v>
      </c>
      <c r="P45" s="216">
        <v>0.132224572993491</v>
      </c>
      <c r="Q45" s="217">
        <v>48061</v>
      </c>
    </row>
    <row r="46" spans="1:22" ht="14.1" customHeight="1">
      <c r="A46" s="194">
        <v>161</v>
      </c>
      <c r="B46" s="194">
        <v>9943</v>
      </c>
      <c r="C46" s="194" t="s">
        <v>1072</v>
      </c>
      <c r="D46" s="194" t="s">
        <v>3269</v>
      </c>
      <c r="E46" s="194" t="s">
        <v>2945</v>
      </c>
      <c r="F46" s="195" t="s">
        <v>365</v>
      </c>
      <c r="G46" s="196" t="s">
        <v>2946</v>
      </c>
      <c r="H46" s="197">
        <v>27970049</v>
      </c>
      <c r="I46" s="195" t="s">
        <v>33</v>
      </c>
      <c r="J46" s="197" t="s">
        <v>1225</v>
      </c>
      <c r="K46" s="198">
        <v>45463</v>
      </c>
      <c r="L46" s="199">
        <v>1600</v>
      </c>
      <c r="M46" s="200">
        <v>6014.4</v>
      </c>
      <c r="N46" s="206">
        <v>757.04899999999998</v>
      </c>
      <c r="O46" s="206">
        <v>2808.6517899999999</v>
      </c>
      <c r="P46" s="202">
        <v>0.54717562499999994</v>
      </c>
      <c r="Q46" s="203">
        <v>47757</v>
      </c>
    </row>
    <row r="47" spans="1:22" ht="14.1" customHeight="1">
      <c r="A47" s="194">
        <v>161</v>
      </c>
      <c r="B47" s="194">
        <v>9943</v>
      </c>
      <c r="C47" s="194" t="s">
        <v>1072</v>
      </c>
      <c r="D47" s="194" t="s">
        <v>2949</v>
      </c>
      <c r="E47" s="194">
        <v>851058800</v>
      </c>
      <c r="F47" s="195" t="s">
        <v>33</v>
      </c>
      <c r="G47" s="196" t="s">
        <v>3270</v>
      </c>
      <c r="H47" s="197">
        <v>27970023</v>
      </c>
      <c r="I47" s="195" t="s">
        <v>33</v>
      </c>
      <c r="J47" s="197" t="s">
        <v>95</v>
      </c>
      <c r="K47" s="198">
        <v>44378</v>
      </c>
      <c r="L47" s="199">
        <v>1500</v>
      </c>
      <c r="M47" s="200">
        <v>5521.5</v>
      </c>
      <c r="N47" s="206">
        <v>196.5</v>
      </c>
      <c r="O47" s="206">
        <v>729.01499999999999</v>
      </c>
      <c r="P47" s="202">
        <v>0.15419967400162998</v>
      </c>
      <c r="Q47" s="203">
        <v>48030</v>
      </c>
    </row>
    <row r="48" spans="1:22" ht="14.1" customHeight="1">
      <c r="A48" s="194">
        <v>161</v>
      </c>
      <c r="B48" s="194">
        <v>9943</v>
      </c>
      <c r="C48" s="194" t="s">
        <v>1072</v>
      </c>
      <c r="D48" s="194" t="s">
        <v>1670</v>
      </c>
      <c r="E48" s="194">
        <v>774764930</v>
      </c>
      <c r="F48" s="195" t="s">
        <v>365</v>
      </c>
      <c r="G48" s="196" t="s">
        <v>2966</v>
      </c>
      <c r="H48" s="197">
        <v>27970050</v>
      </c>
      <c r="I48" s="195" t="s">
        <v>33</v>
      </c>
      <c r="J48" s="197" t="s">
        <v>95</v>
      </c>
      <c r="K48" s="198">
        <v>45536</v>
      </c>
      <c r="L48" s="199">
        <v>1900</v>
      </c>
      <c r="M48" s="199">
        <v>7049</v>
      </c>
      <c r="N48" s="206">
        <v>0</v>
      </c>
      <c r="O48" s="206">
        <v>0</v>
      </c>
      <c r="P48" s="202">
        <v>0</v>
      </c>
      <c r="Q48" s="203" t="s">
        <v>3271</v>
      </c>
    </row>
    <row r="49" spans="1:22" ht="14.1" customHeight="1">
      <c r="A49" s="194">
        <v>161</v>
      </c>
      <c r="B49" s="194">
        <v>9943</v>
      </c>
      <c r="C49" s="194" t="s">
        <v>1072</v>
      </c>
      <c r="D49" s="194" t="s">
        <v>2856</v>
      </c>
      <c r="E49" s="194">
        <v>530278514</v>
      </c>
      <c r="F49" s="195" t="s">
        <v>1363</v>
      </c>
      <c r="G49" s="196" t="s">
        <v>3272</v>
      </c>
      <c r="H49" s="197">
        <v>27970046</v>
      </c>
      <c r="I49" s="195" t="s">
        <v>33</v>
      </c>
      <c r="J49" s="197" t="s">
        <v>95</v>
      </c>
      <c r="K49" s="198">
        <v>45200</v>
      </c>
      <c r="L49" s="199">
        <v>2600</v>
      </c>
      <c r="M49" s="200">
        <v>9570.6</v>
      </c>
      <c r="N49" s="206">
        <v>1937</v>
      </c>
      <c r="O49" s="206">
        <v>7186.27</v>
      </c>
      <c r="P49" s="202">
        <v>0.79142216788916053</v>
      </c>
      <c r="Q49" s="203">
        <v>48853</v>
      </c>
    </row>
    <row r="50" spans="1:22" ht="14.1" customHeight="1">
      <c r="A50" s="194">
        <v>161</v>
      </c>
      <c r="B50" s="194">
        <v>9943</v>
      </c>
      <c r="C50" s="194" t="s">
        <v>1072</v>
      </c>
      <c r="D50" s="194" t="s">
        <v>2927</v>
      </c>
      <c r="E50" s="194">
        <v>12342</v>
      </c>
      <c r="F50" s="195" t="s">
        <v>33</v>
      </c>
      <c r="G50" s="196" t="s">
        <v>2929</v>
      </c>
      <c r="H50" s="197">
        <v>27970028</v>
      </c>
      <c r="I50" s="195" t="s">
        <v>33</v>
      </c>
      <c r="J50" s="197" t="s">
        <v>1225</v>
      </c>
      <c r="K50" s="198">
        <v>44409</v>
      </c>
      <c r="L50" s="199">
        <v>1000</v>
      </c>
      <c r="M50" s="200">
        <v>3979.1</v>
      </c>
      <c r="N50" s="206">
        <v>247.14363</v>
      </c>
      <c r="O50" s="206">
        <v>1026.2392092120001</v>
      </c>
      <c r="P50" s="202">
        <v>0.24969636885878718</v>
      </c>
      <c r="Q50" s="203">
        <v>46966</v>
      </c>
    </row>
    <row r="51" spans="1:22" ht="14.1" customHeight="1">
      <c r="A51" s="194">
        <v>161</v>
      </c>
      <c r="B51" s="194">
        <v>9943</v>
      </c>
      <c r="C51" s="194" t="s">
        <v>1072</v>
      </c>
      <c r="D51" s="194" t="s">
        <v>2933</v>
      </c>
      <c r="E51" s="194">
        <v>520028911</v>
      </c>
      <c r="F51" s="195" t="s">
        <v>1363</v>
      </c>
      <c r="G51" s="196" t="s">
        <v>3273</v>
      </c>
      <c r="H51" s="197">
        <v>27970040</v>
      </c>
      <c r="I51" s="195" t="s">
        <v>33</v>
      </c>
      <c r="J51" s="197" t="s">
        <v>95</v>
      </c>
      <c r="K51" s="198">
        <v>44896</v>
      </c>
      <c r="L51" s="199">
        <v>1250</v>
      </c>
      <c r="M51" s="200">
        <v>4601.25</v>
      </c>
      <c r="N51" s="206">
        <v>337.5</v>
      </c>
      <c r="O51" s="206">
        <v>1252.125</v>
      </c>
      <c r="P51" s="202">
        <v>0.53101874490627543</v>
      </c>
      <c r="Q51" s="203">
        <v>47453</v>
      </c>
    </row>
    <row r="52" spans="1:22" ht="14.1" customHeight="1">
      <c r="A52" s="194">
        <v>161</v>
      </c>
      <c r="B52" s="194">
        <v>9943</v>
      </c>
      <c r="C52" s="194" t="s">
        <v>1072</v>
      </c>
      <c r="D52" s="194" t="s">
        <v>2829</v>
      </c>
      <c r="E52" s="194" t="s">
        <v>2830</v>
      </c>
      <c r="F52" s="195" t="s">
        <v>220</v>
      </c>
      <c r="G52" s="196" t="s">
        <v>2831</v>
      </c>
      <c r="H52" s="197">
        <v>27970039</v>
      </c>
      <c r="I52" s="195" t="s">
        <v>33</v>
      </c>
      <c r="J52" s="194" t="s">
        <v>34</v>
      </c>
      <c r="K52" s="198">
        <v>45017</v>
      </c>
      <c r="L52" s="199">
        <v>10500</v>
      </c>
      <c r="M52" s="200">
        <v>10500</v>
      </c>
      <c r="N52" s="206">
        <v>5425.0550000000003</v>
      </c>
      <c r="O52" s="206">
        <v>5425.0550000000003</v>
      </c>
      <c r="P52" s="202">
        <v>0.5693719047619048</v>
      </c>
      <c r="Q52" s="203">
        <v>47574</v>
      </c>
    </row>
    <row r="53" spans="1:22" ht="14.1" customHeight="1">
      <c r="A53" s="194">
        <v>161</v>
      </c>
      <c r="B53" s="194">
        <v>9943</v>
      </c>
      <c r="C53" s="194" t="s">
        <v>1072</v>
      </c>
      <c r="D53" s="194" t="s">
        <v>3274</v>
      </c>
      <c r="E53" s="194" t="s">
        <v>1412</v>
      </c>
      <c r="F53" s="195" t="s">
        <v>220</v>
      </c>
      <c r="G53" s="196" t="s">
        <v>2955</v>
      </c>
      <c r="H53" s="197">
        <v>27970048</v>
      </c>
      <c r="I53" s="195" t="s">
        <v>33</v>
      </c>
      <c r="J53" s="194" t="s">
        <v>95</v>
      </c>
      <c r="K53" s="198">
        <v>45392</v>
      </c>
      <c r="L53" s="199">
        <v>2400</v>
      </c>
      <c r="M53" s="200">
        <v>9021.6</v>
      </c>
      <c r="N53" s="206">
        <v>1321.421</v>
      </c>
      <c r="O53" s="206">
        <v>4902.4719100000002</v>
      </c>
      <c r="P53" s="202">
        <v>0.59467708333333325</v>
      </c>
      <c r="Q53" s="203">
        <v>47574</v>
      </c>
    </row>
    <row r="54" spans="1:22" ht="14.1" customHeight="1">
      <c r="A54" s="194">
        <v>161</v>
      </c>
      <c r="B54" s="194">
        <v>9943</v>
      </c>
      <c r="C54" s="194" t="s">
        <v>1072</v>
      </c>
      <c r="D54" s="194" t="s">
        <v>2866</v>
      </c>
      <c r="E54" s="194" t="s">
        <v>2862</v>
      </c>
      <c r="F54" s="195" t="s">
        <v>365</v>
      </c>
      <c r="G54" s="196" t="s">
        <v>2958</v>
      </c>
      <c r="H54" s="197">
        <v>27970038</v>
      </c>
      <c r="I54" s="195" t="s">
        <v>33</v>
      </c>
      <c r="J54" s="194" t="s">
        <v>34</v>
      </c>
      <c r="K54" s="198">
        <v>45017</v>
      </c>
      <c r="L54" s="199">
        <v>5000</v>
      </c>
      <c r="M54" s="200">
        <v>5000</v>
      </c>
      <c r="N54" s="206">
        <v>3500</v>
      </c>
      <c r="O54" s="206">
        <v>3500</v>
      </c>
      <c r="P54" s="202">
        <v>0.7</v>
      </c>
      <c r="Q54" s="203">
        <v>47939</v>
      </c>
    </row>
    <row r="55" spans="1:22" s="209" customFormat="1" ht="14.1" customHeight="1">
      <c r="A55" s="209">
        <v>161</v>
      </c>
      <c r="B55" s="209">
        <v>9943</v>
      </c>
      <c r="C55" s="209" t="s">
        <v>1074</v>
      </c>
      <c r="D55" s="209" t="s">
        <v>2959</v>
      </c>
      <c r="E55" s="209">
        <v>13364</v>
      </c>
      <c r="F55" s="210" t="s">
        <v>33</v>
      </c>
      <c r="G55" s="211" t="s">
        <v>3275</v>
      </c>
      <c r="H55" s="212">
        <v>27970045</v>
      </c>
      <c r="I55" s="210" t="s">
        <v>33</v>
      </c>
      <c r="J55" s="212" t="s">
        <v>95</v>
      </c>
      <c r="K55" s="213">
        <v>45139</v>
      </c>
      <c r="L55" s="214">
        <v>2500</v>
      </c>
      <c r="M55" s="215">
        <v>9202.5</v>
      </c>
      <c r="N55" s="201">
        <v>0</v>
      </c>
      <c r="O55" s="201">
        <v>0</v>
      </c>
      <c r="P55" s="216">
        <v>0</v>
      </c>
      <c r="Q55" s="217" t="s">
        <v>3271</v>
      </c>
    </row>
    <row r="56" spans="1:22" ht="14.1" customHeight="1">
      <c r="A56" s="194">
        <v>161</v>
      </c>
      <c r="B56" s="194">
        <v>9943</v>
      </c>
      <c r="C56" s="194" t="s">
        <v>1074</v>
      </c>
      <c r="D56" s="194" t="s">
        <v>2885</v>
      </c>
      <c r="E56" s="194">
        <v>514517267</v>
      </c>
      <c r="F56" s="195" t="s">
        <v>1363</v>
      </c>
      <c r="G56" s="196" t="s">
        <v>2885</v>
      </c>
      <c r="H56" s="197">
        <v>35196</v>
      </c>
      <c r="I56" s="195" t="s">
        <v>33</v>
      </c>
      <c r="J56" s="197" t="s">
        <v>34</v>
      </c>
      <c r="K56" s="198">
        <v>41365</v>
      </c>
      <c r="L56" s="199">
        <v>7187.8320000000003</v>
      </c>
      <c r="M56" s="200">
        <v>7187.8320000000003</v>
      </c>
      <c r="N56" s="206">
        <v>0</v>
      </c>
      <c r="O56" s="206">
        <v>0</v>
      </c>
      <c r="P56" s="202">
        <v>0</v>
      </c>
      <c r="Q56" s="203" t="s">
        <v>3271</v>
      </c>
    </row>
    <row r="57" spans="1:22" ht="14.1" customHeight="1">
      <c r="A57" s="194">
        <v>161</v>
      </c>
      <c r="B57" s="194">
        <v>9943</v>
      </c>
      <c r="C57" s="194" t="s">
        <v>1074</v>
      </c>
      <c r="D57" s="194" t="s">
        <v>2834</v>
      </c>
      <c r="E57" s="194">
        <v>515419356</v>
      </c>
      <c r="F57" s="195" t="s">
        <v>1363</v>
      </c>
      <c r="G57" s="196" t="s">
        <v>3276</v>
      </c>
      <c r="H57" s="197">
        <v>27970034</v>
      </c>
      <c r="I57" s="195" t="s">
        <v>33</v>
      </c>
      <c r="J57" s="194" t="s">
        <v>34</v>
      </c>
      <c r="K57" s="198">
        <v>43922</v>
      </c>
      <c r="L57" s="199">
        <v>4797.2550000000001</v>
      </c>
      <c r="M57" s="200">
        <v>4797.2550000000001</v>
      </c>
      <c r="N57" s="206">
        <v>0</v>
      </c>
      <c r="O57" s="206">
        <v>0</v>
      </c>
      <c r="P57" s="202">
        <v>0</v>
      </c>
      <c r="Q57" s="203" t="s">
        <v>3271</v>
      </c>
    </row>
    <row r="58" spans="1:22" ht="14.1" customHeight="1">
      <c r="A58" s="194">
        <v>161</v>
      </c>
      <c r="B58" s="194">
        <v>9943</v>
      </c>
      <c r="C58" s="194" t="s">
        <v>1074</v>
      </c>
      <c r="D58" s="194" t="s">
        <v>2834</v>
      </c>
      <c r="E58" s="194">
        <v>515419356</v>
      </c>
      <c r="F58" s="195" t="s">
        <v>1363</v>
      </c>
      <c r="G58" s="196" t="s">
        <v>3277</v>
      </c>
      <c r="H58" s="197">
        <v>36434</v>
      </c>
      <c r="I58" s="195" t="s">
        <v>33</v>
      </c>
      <c r="J58" s="194" t="s">
        <v>34</v>
      </c>
      <c r="K58" s="198">
        <v>42309</v>
      </c>
      <c r="L58" s="199">
        <v>5000</v>
      </c>
      <c r="M58" s="200">
        <v>5000</v>
      </c>
      <c r="N58" s="206">
        <v>0</v>
      </c>
      <c r="O58" s="206">
        <v>0</v>
      </c>
      <c r="P58" s="202">
        <v>0</v>
      </c>
      <c r="Q58" s="203" t="s">
        <v>3271</v>
      </c>
    </row>
    <row r="59" spans="1:22" ht="14.1" customHeight="1">
      <c r="A59" s="194">
        <v>161</v>
      </c>
      <c r="B59" s="194">
        <v>9943</v>
      </c>
      <c r="C59" s="194" t="s">
        <v>1074</v>
      </c>
      <c r="D59" s="194" t="s">
        <v>2924</v>
      </c>
      <c r="E59" s="194">
        <v>515419356</v>
      </c>
      <c r="F59" s="195" t="s">
        <v>1363</v>
      </c>
      <c r="G59" s="196" t="s">
        <v>3278</v>
      </c>
      <c r="H59" s="197">
        <v>27970047</v>
      </c>
      <c r="I59" s="195" t="s">
        <v>33</v>
      </c>
      <c r="J59" s="194" t="s">
        <v>34</v>
      </c>
      <c r="K59" s="198">
        <v>45352</v>
      </c>
      <c r="L59" s="199">
        <v>5000</v>
      </c>
      <c r="M59" s="200">
        <v>5000</v>
      </c>
      <c r="N59" s="206">
        <v>0</v>
      </c>
      <c r="O59" s="206">
        <v>0</v>
      </c>
      <c r="P59" s="202">
        <v>0</v>
      </c>
      <c r="Q59" s="203" t="s">
        <v>3271</v>
      </c>
    </row>
    <row r="60" spans="1:22" ht="14.1" customHeight="1">
      <c r="A60" s="194">
        <v>161</v>
      </c>
      <c r="B60" s="194">
        <v>9943</v>
      </c>
      <c r="C60" s="194" t="s">
        <v>1074</v>
      </c>
      <c r="D60" s="194" t="s">
        <v>2834</v>
      </c>
      <c r="E60" s="194">
        <v>515419356</v>
      </c>
      <c r="F60" s="195" t="s">
        <v>1363</v>
      </c>
      <c r="G60" s="196" t="s">
        <v>3276</v>
      </c>
      <c r="H60" s="197">
        <v>27970014</v>
      </c>
      <c r="I60" s="195" t="s">
        <v>33</v>
      </c>
      <c r="J60" s="194" t="s">
        <v>34</v>
      </c>
      <c r="K60" s="198">
        <v>44743</v>
      </c>
      <c r="L60" s="199">
        <v>2000</v>
      </c>
      <c r="M60" s="200">
        <v>2000</v>
      </c>
      <c r="N60" s="206">
        <v>0</v>
      </c>
      <c r="O60" s="206">
        <v>0</v>
      </c>
      <c r="P60" s="202">
        <v>0</v>
      </c>
      <c r="Q60" s="203" t="s">
        <v>3271</v>
      </c>
    </row>
    <row r="61" spans="1:22" ht="14.1" customHeight="1">
      <c r="A61" s="194">
        <v>161</v>
      </c>
      <c r="B61" s="194">
        <v>9943</v>
      </c>
      <c r="C61" s="194" t="s">
        <v>1074</v>
      </c>
      <c r="D61" s="194" t="s">
        <v>2834</v>
      </c>
      <c r="E61" s="194">
        <v>515419356</v>
      </c>
      <c r="F61" s="195" t="s">
        <v>1363</v>
      </c>
      <c r="G61" s="196" t="s">
        <v>3277</v>
      </c>
      <c r="H61" s="197">
        <v>27970033</v>
      </c>
      <c r="I61" s="195" t="s">
        <v>33</v>
      </c>
      <c r="J61" s="197" t="s">
        <v>34</v>
      </c>
      <c r="K61" s="198">
        <v>44743</v>
      </c>
      <c r="L61" s="199">
        <v>2000</v>
      </c>
      <c r="M61" s="200">
        <v>2000</v>
      </c>
      <c r="N61" s="206">
        <v>0</v>
      </c>
      <c r="O61" s="206">
        <v>0</v>
      </c>
      <c r="P61" s="202">
        <v>0</v>
      </c>
      <c r="Q61" s="203" t="s">
        <v>3271</v>
      </c>
    </row>
    <row r="62" spans="1:22" ht="14.1" customHeight="1">
      <c r="A62" s="194">
        <v>161</v>
      </c>
      <c r="B62" s="194">
        <v>9938</v>
      </c>
      <c r="C62" s="194" t="s">
        <v>1077</v>
      </c>
      <c r="D62" s="194" t="s">
        <v>2820</v>
      </c>
      <c r="E62" s="194">
        <v>107746</v>
      </c>
      <c r="F62" s="195" t="s">
        <v>365</v>
      </c>
      <c r="G62" s="194" t="s">
        <v>2822</v>
      </c>
      <c r="H62" s="194">
        <v>27970027</v>
      </c>
      <c r="I62" s="195" t="s">
        <v>33</v>
      </c>
      <c r="J62" s="194" t="s">
        <v>95</v>
      </c>
      <c r="K62" s="198">
        <v>44427</v>
      </c>
      <c r="L62" s="205">
        <v>50</v>
      </c>
      <c r="M62" s="206">
        <v>187.95</v>
      </c>
      <c r="N62" s="206">
        <v>11.5</v>
      </c>
      <c r="O62" s="206">
        <v>42.664999999999999</v>
      </c>
      <c r="P62" s="207">
        <v>0.28000000000000003</v>
      </c>
      <c r="Q62" s="203">
        <v>46023</v>
      </c>
      <c r="V62" s="208"/>
    </row>
    <row r="63" spans="1:22" ht="14.1" customHeight="1">
      <c r="A63" s="194">
        <v>161</v>
      </c>
      <c r="B63" s="194">
        <v>9938</v>
      </c>
      <c r="C63" s="194" t="s">
        <v>1075</v>
      </c>
      <c r="D63" s="194" t="s">
        <v>2825</v>
      </c>
      <c r="E63" s="194">
        <v>3935</v>
      </c>
      <c r="F63" s="195" t="s">
        <v>365</v>
      </c>
      <c r="G63" s="194" t="s">
        <v>2827</v>
      </c>
      <c r="H63" s="194">
        <v>27970029</v>
      </c>
      <c r="I63" s="195" t="s">
        <v>33</v>
      </c>
      <c r="J63" s="194" t="s">
        <v>95</v>
      </c>
      <c r="K63" s="198">
        <v>44441</v>
      </c>
      <c r="L63" s="205">
        <v>100</v>
      </c>
      <c r="M63" s="206">
        <v>375.9</v>
      </c>
      <c r="N63" s="206">
        <v>47.568940000000005</v>
      </c>
      <c r="O63" s="206">
        <v>176.48076740000002</v>
      </c>
      <c r="P63" s="207">
        <v>0.44612000000000002</v>
      </c>
      <c r="Q63" s="203">
        <v>45987</v>
      </c>
      <c r="V63" s="208"/>
    </row>
    <row r="64" spans="1:22" ht="14.1" customHeight="1">
      <c r="A64" s="194">
        <v>161</v>
      </c>
      <c r="B64" s="194">
        <v>9942</v>
      </c>
      <c r="C64" s="194" t="s">
        <v>1075</v>
      </c>
      <c r="D64" s="194" t="s">
        <v>2825</v>
      </c>
      <c r="E64" s="194">
        <v>3935</v>
      </c>
      <c r="F64" s="194" t="s">
        <v>365</v>
      </c>
      <c r="G64" s="194" t="s">
        <v>2827</v>
      </c>
      <c r="H64" s="194">
        <v>27970029</v>
      </c>
      <c r="I64" s="194" t="s">
        <v>33</v>
      </c>
      <c r="J64" s="194" t="s">
        <v>95</v>
      </c>
      <c r="K64" s="203">
        <v>44441</v>
      </c>
      <c r="L64" s="206">
        <v>100</v>
      </c>
      <c r="M64" s="206">
        <v>375.9</v>
      </c>
      <c r="N64" s="206">
        <v>47.569120000000005</v>
      </c>
      <c r="O64" s="206">
        <v>176.48143520000002</v>
      </c>
      <c r="P64" s="207">
        <v>0.44612000000000002</v>
      </c>
      <c r="Q64" s="203">
        <v>45987</v>
      </c>
    </row>
    <row r="67" spans="15:15" ht="14.1" customHeight="1">
      <c r="O67" s="218"/>
    </row>
  </sheetData>
  <sheetProtection formatColumns="0"/>
  <dataConsolidate/>
  <dataValidations count="2">
    <dataValidation type="list" allowBlank="1" showInputMessage="1" showErrorMessage="1" sqref="F62:F63 F6:F44" xr:uid="{60633BD9-F77D-4C09-AB00-648BE68532A3}">
      <formula1>Issuer_Number_Fund</formula1>
    </dataValidation>
    <dataValidation type="list" allowBlank="1" showInputMessage="1" showErrorMessage="1" sqref="I62:I63 I6:I44" xr:uid="{86224F4D-03AB-4E56-91E1-36E7D40B5D23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F4B3E9-C43F-462E-99A7-64E72A9765D1}">
          <x14:formula1>
            <xm:f>'[AG_54_520042581_gm_0224.xlsx]אפשרויות בחירה'!#REF!</xm:f>
          </x14:formula1>
          <xm:sqref>C62:C63 C6:C44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256</v>
      </c>
      <c r="B1" s="53" t="s">
        <v>257</v>
      </c>
      <c r="C1" s="53" t="s">
        <v>258</v>
      </c>
      <c r="D1" s="53" t="s">
        <v>259</v>
      </c>
    </row>
    <row r="2" spans="1:5">
      <c r="A2" s="88"/>
      <c r="B2" s="88" t="s">
        <v>260</v>
      </c>
      <c r="C2" s="24" t="s">
        <v>30</v>
      </c>
      <c r="D2" s="24"/>
    </row>
    <row r="3" spans="1:5">
      <c r="A3" s="89"/>
      <c r="B3" s="89"/>
      <c r="C3" s="24" t="s">
        <v>90</v>
      </c>
      <c r="D3" s="24"/>
    </row>
    <row r="4" spans="1:5" ht="42.75">
      <c r="A4" s="81"/>
      <c r="B4" s="102" t="s">
        <v>261</v>
      </c>
      <c r="C4" s="25" t="s">
        <v>30</v>
      </c>
      <c r="D4" s="25"/>
    </row>
    <row r="5" spans="1:5">
      <c r="A5" s="82"/>
      <c r="B5" s="103"/>
      <c r="C5" s="25" t="s">
        <v>262</v>
      </c>
      <c r="D5" s="25"/>
    </row>
    <row r="6" spans="1:5">
      <c r="A6" s="82"/>
      <c r="B6" s="103"/>
      <c r="C6" s="25" t="s">
        <v>263</v>
      </c>
      <c r="D6" s="25"/>
    </row>
    <row r="7" spans="1:5">
      <c r="A7" s="82"/>
      <c r="B7" s="103"/>
      <c r="C7" s="25" t="s">
        <v>264</v>
      </c>
      <c r="D7" s="25"/>
    </row>
    <row r="8" spans="1:5">
      <c r="A8" s="82"/>
      <c r="B8" s="103"/>
      <c r="C8" s="25" t="s">
        <v>265</v>
      </c>
      <c r="D8" s="25"/>
    </row>
    <row r="9" spans="1:5">
      <c r="A9" s="82"/>
      <c r="B9" s="103"/>
      <c r="C9" s="25" t="s">
        <v>266</v>
      </c>
      <c r="D9" s="25"/>
    </row>
    <row r="10" spans="1:5">
      <c r="A10" s="82"/>
      <c r="B10" s="103"/>
      <c r="C10" s="25" t="s">
        <v>267</v>
      </c>
      <c r="D10" s="25"/>
    </row>
    <row r="11" spans="1:5">
      <c r="A11" s="82"/>
      <c r="B11" s="103"/>
      <c r="C11" s="25" t="s">
        <v>268</v>
      </c>
      <c r="D11" s="25"/>
      <c r="E11" t="s">
        <v>269</v>
      </c>
    </row>
    <row r="12" spans="1:5">
      <c r="A12" s="82"/>
      <c r="B12" s="103"/>
      <c r="C12" s="25" t="s">
        <v>270</v>
      </c>
      <c r="D12" s="25"/>
      <c r="E12" t="s">
        <v>269</v>
      </c>
    </row>
    <row r="13" spans="1:5">
      <c r="A13" s="82"/>
      <c r="B13" s="103"/>
      <c r="C13" s="25" t="s">
        <v>271</v>
      </c>
      <c r="D13" s="25"/>
    </row>
    <row r="14" spans="1:5">
      <c r="A14" s="82"/>
      <c r="B14" s="103"/>
      <c r="C14" s="25" t="s">
        <v>272</v>
      </c>
      <c r="D14" s="25"/>
    </row>
    <row r="15" spans="1:5">
      <c r="A15" s="82"/>
      <c r="B15" s="103"/>
      <c r="C15" s="25" t="s">
        <v>273</v>
      </c>
      <c r="D15" s="25"/>
    </row>
    <row r="16" spans="1:5">
      <c r="A16" s="82"/>
      <c r="B16" s="103"/>
      <c r="C16" s="25" t="s">
        <v>274</v>
      </c>
      <c r="D16" s="25"/>
    </row>
    <row r="17" spans="1:4">
      <c r="A17" s="82"/>
      <c r="B17" s="103"/>
      <c r="C17" s="25" t="s">
        <v>275</v>
      </c>
      <c r="D17" s="25"/>
    </row>
    <row r="18" spans="1:4">
      <c r="A18" s="82"/>
      <c r="B18" s="103"/>
      <c r="C18" s="25" t="s">
        <v>276</v>
      </c>
      <c r="D18" s="25"/>
    </row>
    <row r="19" spans="1:4">
      <c r="A19" s="82"/>
      <c r="B19" s="103"/>
      <c r="C19" s="25" t="s">
        <v>277</v>
      </c>
      <c r="D19" s="25"/>
    </row>
    <row r="20" spans="1:4">
      <c r="A20" s="82"/>
      <c r="B20" s="103"/>
      <c r="C20" s="25" t="s">
        <v>278</v>
      </c>
      <c r="D20" s="25"/>
    </row>
    <row r="21" spans="1:4">
      <c r="A21" s="82"/>
      <c r="B21" s="103"/>
      <c r="C21" s="25" t="s">
        <v>91</v>
      </c>
      <c r="D21" s="25"/>
    </row>
    <row r="22" spans="1:4">
      <c r="A22" s="82"/>
      <c r="B22" s="103"/>
      <c r="C22" s="25" t="s">
        <v>279</v>
      </c>
      <c r="D22" s="25"/>
    </row>
    <row r="23" spans="1:4">
      <c r="A23" s="82"/>
      <c r="B23" s="103"/>
      <c r="C23" s="25" t="s">
        <v>280</v>
      </c>
      <c r="D23" s="25"/>
    </row>
    <row r="24" spans="1:4">
      <c r="A24" s="82"/>
      <c r="B24" s="103"/>
      <c r="C24" s="25" t="s">
        <v>281</v>
      </c>
      <c r="D24" s="25"/>
    </row>
    <row r="25" spans="1:4">
      <c r="A25" s="82"/>
      <c r="B25" s="103"/>
      <c r="C25" s="25" t="s">
        <v>282</v>
      </c>
      <c r="D25" s="25"/>
    </row>
    <row r="26" spans="1:4">
      <c r="A26" s="82"/>
      <c r="B26" s="103"/>
      <c r="C26" s="25" t="s">
        <v>283</v>
      </c>
      <c r="D26" s="25"/>
    </row>
    <row r="27" spans="1:4">
      <c r="A27" s="82"/>
      <c r="B27" s="103"/>
      <c r="C27" s="25" t="s">
        <v>284</v>
      </c>
      <c r="D27" s="25"/>
    </row>
    <row r="28" spans="1:4">
      <c r="A28" s="82"/>
      <c r="B28" s="103"/>
      <c r="C28" s="25" t="s">
        <v>285</v>
      </c>
      <c r="D28" s="25"/>
    </row>
    <row r="29" spans="1:4">
      <c r="A29" s="82"/>
      <c r="B29" s="103"/>
      <c r="C29" s="25" t="s">
        <v>286</v>
      </c>
      <c r="D29" s="25"/>
    </row>
    <row r="30" spans="1:4">
      <c r="A30" s="82"/>
      <c r="B30" s="103"/>
      <c r="C30" s="25" t="s">
        <v>287</v>
      </c>
      <c r="D30" s="25"/>
    </row>
    <row r="31" spans="1:4">
      <c r="A31" s="82"/>
      <c r="B31" s="103"/>
      <c r="C31" s="25" t="s">
        <v>288</v>
      </c>
      <c r="D31" s="25"/>
    </row>
    <row r="32" spans="1:4">
      <c r="A32" s="82"/>
      <c r="B32" s="103"/>
      <c r="C32" s="25" t="s">
        <v>289</v>
      </c>
      <c r="D32" s="25"/>
    </row>
    <row r="33" spans="1:5">
      <c r="A33" s="82"/>
      <c r="B33" s="103"/>
      <c r="C33" s="25" t="s">
        <v>290</v>
      </c>
      <c r="D33" s="25"/>
    </row>
    <row r="34" spans="1:5">
      <c r="A34" s="82"/>
      <c r="B34" s="103"/>
      <c r="C34" s="25" t="s">
        <v>291</v>
      </c>
      <c r="D34" s="25"/>
    </row>
    <row r="35" spans="1:5">
      <c r="A35" s="82"/>
      <c r="B35" s="103"/>
      <c r="C35" s="25" t="s">
        <v>292</v>
      </c>
      <c r="D35" s="25"/>
    </row>
    <row r="36" spans="1:5">
      <c r="A36" s="82"/>
      <c r="B36" s="103"/>
      <c r="C36" s="25" t="s">
        <v>293</v>
      </c>
      <c r="D36" s="25"/>
      <c r="E36" t="s">
        <v>269</v>
      </c>
    </row>
    <row r="37" spans="1:5">
      <c r="A37" s="82"/>
      <c r="B37" s="103"/>
      <c r="C37" s="11" t="s">
        <v>294</v>
      </c>
      <c r="D37" s="25"/>
      <c r="E37" t="s">
        <v>269</v>
      </c>
    </row>
    <row r="38" spans="1:5">
      <c r="A38" s="82"/>
      <c r="B38" s="103"/>
      <c r="C38" s="25" t="s">
        <v>295</v>
      </c>
      <c r="D38" s="25"/>
    </row>
    <row r="39" spans="1:5">
      <c r="A39" s="82"/>
      <c r="B39" s="103"/>
      <c r="C39" s="25" t="s">
        <v>296</v>
      </c>
      <c r="D39" s="25"/>
    </row>
    <row r="40" spans="1:5">
      <c r="A40" s="82"/>
      <c r="B40" s="103"/>
      <c r="C40" s="25" t="s">
        <v>297</v>
      </c>
      <c r="D40" s="25"/>
      <c r="E40" t="s">
        <v>269</v>
      </c>
    </row>
    <row r="41" spans="1:5">
      <c r="A41" s="82"/>
      <c r="B41" s="103"/>
      <c r="C41" s="25" t="s">
        <v>298</v>
      </c>
      <c r="D41" s="25"/>
    </row>
    <row r="42" spans="1:5">
      <c r="A42" s="82"/>
      <c r="B42" s="103"/>
      <c r="C42" s="25" t="s">
        <v>299</v>
      </c>
      <c r="D42" s="25"/>
    </row>
    <row r="43" spans="1:5">
      <c r="A43" s="82"/>
      <c r="B43" s="103"/>
      <c r="C43" s="25" t="s">
        <v>300</v>
      </c>
      <c r="D43" s="25"/>
    </row>
    <row r="44" spans="1:5">
      <c r="A44" s="82"/>
      <c r="B44" s="103"/>
      <c r="C44" s="25" t="s">
        <v>301</v>
      </c>
      <c r="D44" s="25"/>
    </row>
    <row r="45" spans="1:5">
      <c r="A45" s="82"/>
      <c r="B45" s="103"/>
      <c r="C45" s="25" t="s">
        <v>302</v>
      </c>
      <c r="D45" s="25"/>
    </row>
    <row r="46" spans="1:5">
      <c r="A46" s="82"/>
      <c r="B46" s="103"/>
      <c r="C46" s="25" t="s">
        <v>303</v>
      </c>
      <c r="D46" s="25"/>
      <c r="E46" t="s">
        <v>269</v>
      </c>
    </row>
    <row r="47" spans="1:5">
      <c r="A47" s="82"/>
      <c r="B47" s="103"/>
      <c r="C47" s="25" t="s">
        <v>304</v>
      </c>
      <c r="D47" s="25"/>
    </row>
    <row r="48" spans="1:5">
      <c r="A48" s="82"/>
      <c r="B48" s="103"/>
      <c r="C48" s="25" t="s">
        <v>305</v>
      </c>
      <c r="D48" s="25"/>
    </row>
    <row r="49" spans="1:5">
      <c r="A49" s="82"/>
      <c r="B49" s="103"/>
      <c r="C49" s="25" t="s">
        <v>306</v>
      </c>
      <c r="D49" s="25"/>
    </row>
    <row r="50" spans="1:5">
      <c r="A50" s="82"/>
      <c r="B50" s="103"/>
      <c r="C50" s="25" t="s">
        <v>307</v>
      </c>
      <c r="D50" s="25"/>
    </row>
    <row r="51" spans="1:5">
      <c r="A51" s="82"/>
      <c r="B51" s="103"/>
      <c r="C51" s="25" t="s">
        <v>308</v>
      </c>
      <c r="D51" s="25"/>
    </row>
    <row r="52" spans="1:5">
      <c r="A52" s="82"/>
      <c r="B52" s="103"/>
      <c r="C52" s="25" t="s">
        <v>309</v>
      </c>
      <c r="D52" s="25"/>
    </row>
    <row r="53" spans="1:5">
      <c r="A53" s="82"/>
      <c r="B53" s="103"/>
      <c r="C53" s="25" t="s">
        <v>310</v>
      </c>
      <c r="D53" s="25"/>
    </row>
    <row r="54" spans="1:5">
      <c r="A54" s="82"/>
      <c r="B54" s="103"/>
      <c r="C54" s="25" t="s">
        <v>311</v>
      </c>
      <c r="D54" s="25"/>
    </row>
    <row r="55" spans="1:5">
      <c r="A55" s="82"/>
      <c r="B55" s="103"/>
      <c r="C55" s="25" t="s">
        <v>312</v>
      </c>
      <c r="D55" s="25"/>
    </row>
    <row r="56" spans="1:5">
      <c r="A56" s="82"/>
      <c r="B56" s="103"/>
      <c r="C56" s="25" t="s">
        <v>313</v>
      </c>
      <c r="D56" s="25"/>
    </row>
    <row r="57" spans="1:5">
      <c r="A57" s="82"/>
      <c r="B57" s="103"/>
      <c r="C57" s="25" t="s">
        <v>314</v>
      </c>
      <c r="D57" s="25"/>
    </row>
    <row r="58" spans="1:5">
      <c r="A58" s="82"/>
      <c r="B58" s="103"/>
      <c r="C58" s="25" t="s">
        <v>315</v>
      </c>
      <c r="D58" s="25"/>
    </row>
    <row r="59" spans="1:5">
      <c r="A59" s="82"/>
      <c r="B59" s="103"/>
      <c r="C59" s="25" t="s">
        <v>316</v>
      </c>
      <c r="D59" s="25"/>
    </row>
    <row r="60" spans="1:5">
      <c r="A60" s="82"/>
      <c r="B60" s="103"/>
      <c r="C60" s="25" t="s">
        <v>317</v>
      </c>
      <c r="D60" s="25"/>
    </row>
    <row r="61" spans="1:5">
      <c r="A61" s="82"/>
      <c r="B61" s="103"/>
      <c r="C61" s="25" t="s">
        <v>318</v>
      </c>
      <c r="D61" s="25"/>
    </row>
    <row r="62" spans="1:5">
      <c r="A62" s="82"/>
      <c r="B62" s="103"/>
      <c r="C62" s="25" t="s">
        <v>319</v>
      </c>
      <c r="D62" s="25"/>
    </row>
    <row r="63" spans="1:5">
      <c r="A63" s="82"/>
      <c r="B63" s="103"/>
      <c r="C63" s="25" t="s">
        <v>320</v>
      </c>
      <c r="D63" s="25"/>
      <c r="E63" t="s">
        <v>269</v>
      </c>
    </row>
    <row r="64" spans="1:5">
      <c r="A64" s="82"/>
      <c r="B64" s="103"/>
      <c r="C64" s="25" t="s">
        <v>321</v>
      </c>
      <c r="D64" s="25"/>
    </row>
    <row r="65" spans="1:4">
      <c r="A65" s="82"/>
      <c r="B65" s="103"/>
      <c r="C65" s="25" t="s">
        <v>322</v>
      </c>
      <c r="D65" s="25"/>
    </row>
    <row r="66" spans="1:4">
      <c r="A66" s="82"/>
      <c r="B66" s="103"/>
      <c r="C66" s="25" t="s">
        <v>323</v>
      </c>
      <c r="D66" s="25"/>
    </row>
    <row r="67" spans="1:4">
      <c r="A67" s="82"/>
      <c r="B67" s="103"/>
      <c r="C67" s="25" t="s">
        <v>324</v>
      </c>
      <c r="D67" s="25"/>
    </row>
    <row r="68" spans="1:4">
      <c r="A68" s="82"/>
      <c r="B68" s="103"/>
      <c r="C68" s="25" t="s">
        <v>325</v>
      </c>
      <c r="D68" s="25"/>
    </row>
    <row r="69" spans="1:4">
      <c r="A69" s="82"/>
      <c r="B69" s="103"/>
      <c r="C69" s="25" t="s">
        <v>326</v>
      </c>
      <c r="D69" s="25"/>
    </row>
    <row r="70" spans="1:4">
      <c r="A70" s="82"/>
      <c r="B70" s="103"/>
      <c r="C70" s="25" t="s">
        <v>327</v>
      </c>
      <c r="D70" s="25"/>
    </row>
    <row r="71" spans="1:4">
      <c r="A71" s="82"/>
      <c r="B71" s="103"/>
      <c r="C71" s="25" t="s">
        <v>328</v>
      </c>
      <c r="D71" s="25"/>
    </row>
    <row r="72" spans="1:4">
      <c r="A72" s="82"/>
      <c r="B72" s="103"/>
      <c r="C72" s="25" t="s">
        <v>329</v>
      </c>
      <c r="D72" s="25"/>
    </row>
    <row r="73" spans="1:4">
      <c r="A73" s="82"/>
      <c r="B73" s="103"/>
      <c r="C73" s="25" t="s">
        <v>330</v>
      </c>
      <c r="D73" s="25"/>
    </row>
    <row r="74" spans="1:4">
      <c r="A74" s="82"/>
      <c r="B74" s="103"/>
      <c r="C74" s="25" t="s">
        <v>331</v>
      </c>
      <c r="D74" s="25"/>
    </row>
    <row r="75" spans="1:4">
      <c r="A75" s="82"/>
      <c r="B75" s="103"/>
      <c r="C75" s="25" t="s">
        <v>332</v>
      </c>
      <c r="D75" s="25"/>
    </row>
    <row r="76" spans="1:4">
      <c r="A76" s="82"/>
      <c r="B76" s="103"/>
      <c r="C76" s="25" t="s">
        <v>333</v>
      </c>
      <c r="D76" s="25"/>
    </row>
    <row r="77" spans="1:4">
      <c r="A77" s="82"/>
      <c r="B77" s="103"/>
      <c r="C77" s="25" t="s">
        <v>334</v>
      </c>
      <c r="D77" s="25"/>
    </row>
    <row r="78" spans="1:4">
      <c r="A78" s="82"/>
      <c r="B78" s="103"/>
      <c r="C78" s="25" t="s">
        <v>335</v>
      </c>
      <c r="D78" s="25"/>
    </row>
    <row r="79" spans="1:4">
      <c r="A79" s="82"/>
      <c r="B79" s="103"/>
      <c r="C79" s="25" t="s">
        <v>336</v>
      </c>
      <c r="D79" s="25"/>
    </row>
    <row r="80" spans="1:4">
      <c r="A80" s="82"/>
      <c r="B80" s="103"/>
      <c r="C80" s="25" t="s">
        <v>337</v>
      </c>
      <c r="D80" s="25"/>
    </row>
    <row r="81" spans="1:5">
      <c r="A81" s="82"/>
      <c r="B81" s="103"/>
      <c r="C81" s="25" t="s">
        <v>338</v>
      </c>
      <c r="D81" s="25"/>
    </row>
    <row r="82" spans="1:5">
      <c r="A82" s="82"/>
      <c r="B82" s="103"/>
      <c r="C82" s="25" t="s">
        <v>339</v>
      </c>
      <c r="D82" s="25"/>
    </row>
    <row r="83" spans="1:5">
      <c r="A83" s="82"/>
      <c r="B83" s="103"/>
      <c r="C83" s="25" t="s">
        <v>340</v>
      </c>
      <c r="D83" s="25"/>
    </row>
    <row r="84" spans="1:5">
      <c r="A84" s="82"/>
      <c r="B84" s="103"/>
      <c r="C84" s="25" t="s">
        <v>341</v>
      </c>
      <c r="D84" s="25"/>
    </row>
    <row r="85" spans="1:5">
      <c r="A85" s="82"/>
      <c r="B85" s="103"/>
      <c r="C85" s="25" t="s">
        <v>342</v>
      </c>
      <c r="D85" s="25"/>
    </row>
    <row r="86" spans="1:5">
      <c r="A86" s="82"/>
      <c r="B86" s="103"/>
      <c r="C86" s="25" t="s">
        <v>343</v>
      </c>
      <c r="D86" s="25"/>
    </row>
    <row r="87" spans="1:5">
      <c r="A87" s="82"/>
      <c r="B87" s="103"/>
      <c r="C87" s="25" t="s">
        <v>344</v>
      </c>
      <c r="D87" s="25"/>
    </row>
    <row r="88" spans="1:5">
      <c r="A88" s="82"/>
      <c r="B88" s="103"/>
      <c r="C88" s="25" t="s">
        <v>345</v>
      </c>
      <c r="D88" s="25"/>
    </row>
    <row r="89" spans="1:5">
      <c r="A89" s="82"/>
      <c r="B89" s="103"/>
      <c r="C89" s="25" t="s">
        <v>346</v>
      </c>
      <c r="D89" s="25"/>
    </row>
    <row r="90" spans="1:5">
      <c r="A90" s="82"/>
      <c r="B90" s="103"/>
      <c r="C90" s="25" t="s">
        <v>347</v>
      </c>
      <c r="D90" s="25"/>
    </row>
    <row r="91" spans="1:5">
      <c r="A91" s="82"/>
      <c r="B91" s="103"/>
      <c r="C91" s="25" t="s">
        <v>348</v>
      </c>
      <c r="D91" s="25"/>
    </row>
    <row r="92" spans="1:5">
      <c r="A92" s="82"/>
      <c r="B92" s="103"/>
      <c r="C92" s="25" t="s">
        <v>349</v>
      </c>
      <c r="D92" s="25"/>
    </row>
    <row r="93" spans="1:5">
      <c r="A93" s="82"/>
      <c r="B93" s="103"/>
      <c r="C93" s="25" t="s">
        <v>350</v>
      </c>
      <c r="D93" s="25"/>
    </row>
    <row r="94" spans="1:5">
      <c r="A94" s="82"/>
      <c r="B94" s="103"/>
      <c r="C94" s="25" t="s">
        <v>351</v>
      </c>
      <c r="D94" s="25" t="s">
        <v>352</v>
      </c>
      <c r="E94" t="s">
        <v>269</v>
      </c>
    </row>
    <row r="95" spans="1:5">
      <c r="A95" s="82"/>
      <c r="B95" s="103"/>
      <c r="C95" s="25" t="s">
        <v>353</v>
      </c>
      <c r="D95" s="25" t="s">
        <v>354</v>
      </c>
      <c r="E95" t="s">
        <v>269</v>
      </c>
    </row>
    <row r="96" spans="1:5">
      <c r="A96" s="82"/>
      <c r="B96" s="103"/>
      <c r="C96" s="25" t="s">
        <v>355</v>
      </c>
      <c r="D96" s="25" t="s">
        <v>354</v>
      </c>
      <c r="E96" t="s">
        <v>269</v>
      </c>
    </row>
    <row r="97" spans="1:5">
      <c r="A97" s="82"/>
      <c r="B97" s="103"/>
      <c r="C97" s="25" t="s">
        <v>356</v>
      </c>
      <c r="D97" s="25" t="s">
        <v>354</v>
      </c>
      <c r="E97" t="s">
        <v>269</v>
      </c>
    </row>
    <row r="98" spans="1:5">
      <c r="A98" s="82"/>
      <c r="B98" s="103"/>
      <c r="C98" s="25" t="s">
        <v>357</v>
      </c>
      <c r="D98" s="25" t="s">
        <v>354</v>
      </c>
      <c r="E98" t="s">
        <v>269</v>
      </c>
    </row>
    <row r="99" spans="1:5">
      <c r="A99" s="82"/>
      <c r="B99" s="103"/>
      <c r="C99" s="25" t="s">
        <v>358</v>
      </c>
      <c r="D99" s="25" t="s">
        <v>354</v>
      </c>
      <c r="E99" t="s">
        <v>269</v>
      </c>
    </row>
    <row r="100" spans="1:5">
      <c r="A100" s="82"/>
      <c r="B100" s="103"/>
      <c r="C100" s="25" t="s">
        <v>359</v>
      </c>
      <c r="D100" s="25" t="s">
        <v>354</v>
      </c>
      <c r="E100" t="s">
        <v>269</v>
      </c>
    </row>
    <row r="101" spans="1:5">
      <c r="A101" s="82"/>
      <c r="B101" s="103"/>
      <c r="C101" s="25" t="s">
        <v>360</v>
      </c>
      <c r="D101" s="25" t="s">
        <v>354</v>
      </c>
      <c r="E101" t="s">
        <v>269</v>
      </c>
    </row>
    <row r="102" spans="1:5">
      <c r="A102" s="82"/>
      <c r="B102" s="103"/>
      <c r="C102" s="25" t="s">
        <v>361</v>
      </c>
      <c r="D102" s="25" t="s">
        <v>354</v>
      </c>
      <c r="E102" t="s">
        <v>269</v>
      </c>
    </row>
    <row r="103" spans="1:5">
      <c r="A103" s="82"/>
      <c r="B103" s="103"/>
      <c r="C103" s="25" t="s">
        <v>362</v>
      </c>
      <c r="D103" s="25" t="s">
        <v>354</v>
      </c>
      <c r="E103" t="s">
        <v>269</v>
      </c>
    </row>
    <row r="104" spans="1:5">
      <c r="A104" s="77"/>
      <c r="B104" s="77" t="s">
        <v>182</v>
      </c>
      <c r="C104" s="24" t="s">
        <v>363</v>
      </c>
      <c r="D104" s="24"/>
    </row>
    <row r="105" spans="1:5">
      <c r="A105" s="78"/>
      <c r="B105" s="78"/>
      <c r="C105" s="24" t="s">
        <v>181</v>
      </c>
      <c r="D105" s="24"/>
    </row>
    <row r="106" spans="1:5">
      <c r="A106" s="78"/>
      <c r="B106" s="78"/>
      <c r="C106" s="24" t="s">
        <v>364</v>
      </c>
      <c r="D106" s="24"/>
    </row>
    <row r="107" spans="1:5">
      <c r="A107" s="78"/>
      <c r="B107" s="78"/>
      <c r="C107" s="24" t="s">
        <v>365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220</v>
      </c>
      <c r="D109" s="24"/>
    </row>
    <row r="110" spans="1:5">
      <c r="A110" s="79"/>
      <c r="B110" s="79"/>
      <c r="C110" s="24" t="s">
        <v>145</v>
      </c>
      <c r="D110" s="24"/>
    </row>
    <row r="111" spans="1:5">
      <c r="A111" s="82"/>
      <c r="B111" s="68" t="s">
        <v>212</v>
      </c>
      <c r="C111" s="25" t="s">
        <v>363</v>
      </c>
      <c r="D111" s="25"/>
    </row>
    <row r="112" spans="1:5">
      <c r="A112" s="82"/>
      <c r="B112" s="69"/>
      <c r="C112" s="25" t="s">
        <v>366</v>
      </c>
      <c r="D112" s="25"/>
    </row>
    <row r="113" spans="1:4">
      <c r="A113" s="82"/>
      <c r="B113" s="70"/>
      <c r="C113" s="25" t="s">
        <v>367</v>
      </c>
      <c r="D113" s="25"/>
    </row>
    <row r="114" spans="1:4">
      <c r="A114" s="95"/>
      <c r="B114" s="95" t="s">
        <v>368</v>
      </c>
      <c r="C114" s="24" t="s">
        <v>363</v>
      </c>
      <c r="D114" s="24"/>
    </row>
    <row r="115" spans="1:4">
      <c r="A115" s="95"/>
      <c r="B115" s="95"/>
      <c r="C115" s="24" t="s">
        <v>364</v>
      </c>
      <c r="D115" s="24"/>
    </row>
    <row r="116" spans="1:4">
      <c r="A116" s="95"/>
      <c r="B116" s="95"/>
      <c r="C116" s="24" t="s">
        <v>365</v>
      </c>
      <c r="D116" s="24"/>
    </row>
    <row r="117" spans="1:4">
      <c r="A117" s="95"/>
      <c r="B117" s="95"/>
      <c r="C117" s="24" t="s">
        <v>220</v>
      </c>
      <c r="D117" s="24"/>
    </row>
    <row r="118" spans="1:4">
      <c r="A118" s="81"/>
      <c r="B118" s="96" t="s">
        <v>155</v>
      </c>
      <c r="C118" s="25" t="s">
        <v>363</v>
      </c>
      <c r="D118" s="25"/>
    </row>
    <row r="119" spans="1:4">
      <c r="A119" s="12"/>
      <c r="B119" s="116"/>
      <c r="C119" s="25" t="s">
        <v>369</v>
      </c>
      <c r="D119" s="25"/>
    </row>
    <row r="120" spans="1:4">
      <c r="A120" s="12"/>
      <c r="B120" s="116"/>
      <c r="C120" s="25" t="s">
        <v>365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364</v>
      </c>
      <c r="D122" s="25"/>
    </row>
    <row r="123" spans="1:4">
      <c r="A123" s="12"/>
      <c r="B123" s="116"/>
      <c r="C123" s="25" t="s">
        <v>370</v>
      </c>
      <c r="D123" s="25"/>
    </row>
    <row r="124" spans="1:4">
      <c r="A124" s="12"/>
      <c r="B124" s="116"/>
      <c r="C124" s="25" t="s">
        <v>371</v>
      </c>
      <c r="D124" s="25"/>
    </row>
    <row r="125" spans="1:4">
      <c r="A125" s="12"/>
      <c r="B125" s="116"/>
      <c r="C125" s="25" t="s">
        <v>220</v>
      </c>
      <c r="D125" s="25"/>
    </row>
    <row r="126" spans="1:4">
      <c r="A126" s="82"/>
      <c r="B126" s="97"/>
      <c r="C126" s="25" t="s">
        <v>145</v>
      </c>
      <c r="D126" s="25"/>
    </row>
    <row r="127" spans="1:4">
      <c r="A127" s="77"/>
      <c r="B127" s="77" t="s">
        <v>183</v>
      </c>
      <c r="C127" s="24" t="s">
        <v>223</v>
      </c>
      <c r="D127" s="24"/>
    </row>
    <row r="128" spans="1:4">
      <c r="A128" s="78"/>
      <c r="B128" s="78"/>
      <c r="C128" s="24" t="s">
        <v>372</v>
      </c>
      <c r="D128" s="24"/>
    </row>
    <row r="129" spans="1:5">
      <c r="A129" s="78"/>
      <c r="B129" s="78"/>
      <c r="C129" s="24" t="s">
        <v>373</v>
      </c>
      <c r="D129" s="24"/>
    </row>
    <row r="130" spans="1:5">
      <c r="A130" s="78"/>
      <c r="B130" s="78"/>
      <c r="C130" s="24" t="s">
        <v>374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375</v>
      </c>
      <c r="C132" s="25" t="s">
        <v>223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145</v>
      </c>
      <c r="D134" s="25"/>
    </row>
    <row r="135" spans="1:5">
      <c r="A135" s="84"/>
      <c r="B135" s="84" t="s">
        <v>376</v>
      </c>
      <c r="C135" s="24" t="s">
        <v>377</v>
      </c>
      <c r="D135" s="24"/>
    </row>
    <row r="136" spans="1:5">
      <c r="A136" s="85"/>
      <c r="B136" s="85"/>
      <c r="C136" s="24" t="s">
        <v>378</v>
      </c>
      <c r="D136" s="24"/>
      <c r="E136" t="s">
        <v>269</v>
      </c>
    </row>
    <row r="137" spans="1:5">
      <c r="A137" s="85"/>
      <c r="B137" s="85"/>
      <c r="C137" s="24" t="s">
        <v>379</v>
      </c>
      <c r="D137" s="24" t="s">
        <v>380</v>
      </c>
    </row>
    <row r="138" spans="1:5">
      <c r="A138" s="85"/>
      <c r="B138" s="85"/>
      <c r="C138" s="24" t="s">
        <v>381</v>
      </c>
      <c r="D138" s="24" t="s">
        <v>382</v>
      </c>
    </row>
    <row r="139" spans="1:5">
      <c r="A139" s="85"/>
      <c r="B139" s="85"/>
      <c r="C139" s="24" t="s">
        <v>383</v>
      </c>
      <c r="D139" s="24"/>
    </row>
    <row r="140" spans="1:5">
      <c r="A140" s="85"/>
      <c r="B140" s="85"/>
      <c r="C140" s="24" t="s">
        <v>384</v>
      </c>
      <c r="D140" s="24"/>
    </row>
    <row r="141" spans="1:5">
      <c r="A141" s="85"/>
      <c r="B141" s="85"/>
      <c r="C141" s="24" t="s">
        <v>385</v>
      </c>
      <c r="D141" s="24"/>
    </row>
    <row r="142" spans="1:5">
      <c r="A142" s="85"/>
      <c r="B142" s="85"/>
      <c r="C142" s="24" t="s">
        <v>386</v>
      </c>
      <c r="D142" s="24"/>
    </row>
    <row r="143" spans="1:5">
      <c r="A143" s="85"/>
      <c r="B143" s="85"/>
      <c r="C143" s="24" t="s">
        <v>387</v>
      </c>
      <c r="D143" s="24"/>
    </row>
    <row r="144" spans="1:5">
      <c r="A144" s="85"/>
      <c r="B144" s="85"/>
      <c r="C144" s="24" t="s">
        <v>388</v>
      </c>
      <c r="D144" s="24"/>
    </row>
    <row r="145" spans="1:4">
      <c r="A145" s="85"/>
      <c r="B145" s="85"/>
      <c r="C145" s="24" t="s">
        <v>145</v>
      </c>
      <c r="D145" s="24"/>
    </row>
    <row r="146" spans="1:4">
      <c r="A146" s="81"/>
      <c r="B146" s="74" t="s">
        <v>389</v>
      </c>
      <c r="C146" s="25" t="s">
        <v>390</v>
      </c>
      <c r="D146" s="25"/>
    </row>
    <row r="147" spans="1:4">
      <c r="A147" s="83"/>
      <c r="B147" s="76"/>
      <c r="C147" s="25" t="s">
        <v>173</v>
      </c>
      <c r="D147" s="25"/>
    </row>
    <row r="148" spans="1:4">
      <c r="A148" s="63"/>
      <c r="B148" s="115" t="s">
        <v>8</v>
      </c>
      <c r="C148" s="24" t="s">
        <v>31</v>
      </c>
      <c r="D148" s="24" t="s">
        <v>391</v>
      </c>
    </row>
    <row r="149" spans="1:4">
      <c r="A149" s="64"/>
      <c r="B149" s="64"/>
      <c r="C149" s="24" t="s">
        <v>392</v>
      </c>
      <c r="D149" s="24" t="s">
        <v>393</v>
      </c>
    </row>
    <row r="150" spans="1:4">
      <c r="A150" s="64"/>
      <c r="B150" s="64"/>
      <c r="C150" s="24" t="s">
        <v>394</v>
      </c>
      <c r="D150" s="24" t="s">
        <v>395</v>
      </c>
    </row>
    <row r="151" spans="1:4">
      <c r="A151" s="64"/>
      <c r="B151" s="64"/>
      <c r="C151" s="24" t="s">
        <v>396</v>
      </c>
      <c r="D151" s="24" t="s">
        <v>397</v>
      </c>
    </row>
    <row r="152" spans="1:4">
      <c r="A152" s="64"/>
      <c r="B152" s="64"/>
      <c r="C152" s="24" t="s">
        <v>398</v>
      </c>
      <c r="D152" s="24" t="s">
        <v>399</v>
      </c>
    </row>
    <row r="153" spans="1:4">
      <c r="A153" s="64"/>
      <c r="B153" s="64"/>
      <c r="C153" s="24" t="s">
        <v>400</v>
      </c>
      <c r="D153" s="24" t="s">
        <v>401</v>
      </c>
    </row>
    <row r="154" spans="1:4">
      <c r="A154" s="64"/>
      <c r="B154" s="64"/>
      <c r="C154" s="24" t="s">
        <v>402</v>
      </c>
      <c r="D154" s="24" t="s">
        <v>403</v>
      </c>
    </row>
    <row r="155" spans="1:4">
      <c r="A155" s="64"/>
      <c r="B155" s="64"/>
      <c r="C155" s="24" t="s">
        <v>404</v>
      </c>
      <c r="D155" s="24" t="s">
        <v>405</v>
      </c>
    </row>
    <row r="156" spans="1:4">
      <c r="A156" s="64"/>
      <c r="B156" s="64"/>
      <c r="C156" s="24" t="s">
        <v>406</v>
      </c>
      <c r="D156" s="24" t="s">
        <v>407</v>
      </c>
    </row>
    <row r="157" spans="1:4">
      <c r="A157" s="64"/>
      <c r="B157" s="64"/>
      <c r="C157" s="24" t="s">
        <v>408</v>
      </c>
      <c r="D157" s="24" t="s">
        <v>409</v>
      </c>
    </row>
    <row r="158" spans="1:4">
      <c r="A158" s="64"/>
      <c r="B158" s="64"/>
      <c r="C158" s="24" t="s">
        <v>410</v>
      </c>
      <c r="D158" s="24" t="s">
        <v>411</v>
      </c>
    </row>
    <row r="159" spans="1:4">
      <c r="A159" s="64"/>
      <c r="B159" s="64"/>
      <c r="C159" s="24" t="s">
        <v>412</v>
      </c>
      <c r="D159" s="24" t="s">
        <v>413</v>
      </c>
    </row>
    <row r="160" spans="1:4">
      <c r="A160" s="64"/>
      <c r="B160" s="64"/>
      <c r="C160" s="24" t="s">
        <v>414</v>
      </c>
      <c r="D160" s="24" t="s">
        <v>415</v>
      </c>
    </row>
    <row r="161" spans="1:4">
      <c r="A161" s="64"/>
      <c r="B161" s="64"/>
      <c r="C161" s="24" t="s">
        <v>416</v>
      </c>
      <c r="D161" s="24" t="s">
        <v>417</v>
      </c>
    </row>
    <row r="162" spans="1:4">
      <c r="A162" s="64"/>
      <c r="B162" s="64"/>
      <c r="C162" s="24" t="s">
        <v>418</v>
      </c>
      <c r="D162" s="24" t="s">
        <v>419</v>
      </c>
    </row>
    <row r="163" spans="1:4">
      <c r="A163" s="64"/>
      <c r="B163" s="64"/>
      <c r="C163" s="24" t="s">
        <v>420</v>
      </c>
      <c r="D163" s="24" t="s">
        <v>421</v>
      </c>
    </row>
    <row r="164" spans="1:4">
      <c r="A164" s="64"/>
      <c r="B164" s="64"/>
      <c r="C164" s="24" t="s">
        <v>422</v>
      </c>
      <c r="D164" s="24" t="s">
        <v>423</v>
      </c>
    </row>
    <row r="165" spans="1:4">
      <c r="A165" s="64"/>
      <c r="B165" s="64"/>
      <c r="C165" s="24" t="s">
        <v>424</v>
      </c>
      <c r="D165" s="24" t="s">
        <v>425</v>
      </c>
    </row>
    <row r="166" spans="1:4">
      <c r="A166" s="64"/>
      <c r="B166" s="64"/>
      <c r="C166" s="24" t="s">
        <v>426</v>
      </c>
      <c r="D166" s="24" t="s">
        <v>427</v>
      </c>
    </row>
    <row r="167" spans="1:4">
      <c r="A167" s="64"/>
      <c r="B167" s="64"/>
      <c r="C167" s="24" t="s">
        <v>428</v>
      </c>
      <c r="D167" s="24" t="s">
        <v>429</v>
      </c>
    </row>
    <row r="168" spans="1:4">
      <c r="A168" s="64"/>
      <c r="B168" s="64"/>
      <c r="C168" s="24" t="s">
        <v>430</v>
      </c>
      <c r="D168" s="24" t="s">
        <v>431</v>
      </c>
    </row>
    <row r="169" spans="1:4">
      <c r="A169" s="64"/>
      <c r="B169" s="64"/>
      <c r="C169" s="24" t="s">
        <v>432</v>
      </c>
      <c r="D169" s="24" t="s">
        <v>433</v>
      </c>
    </row>
    <row r="170" spans="1:4">
      <c r="A170" s="64"/>
      <c r="B170" s="64"/>
      <c r="C170" s="24" t="s">
        <v>434</v>
      </c>
      <c r="D170" s="24" t="s">
        <v>435</v>
      </c>
    </row>
    <row r="171" spans="1:4">
      <c r="A171" s="64"/>
      <c r="B171" s="64"/>
      <c r="C171" s="24" t="s">
        <v>436</v>
      </c>
      <c r="D171" s="24" t="s">
        <v>437</v>
      </c>
    </row>
    <row r="172" spans="1:4">
      <c r="A172" s="64"/>
      <c r="B172" s="64"/>
      <c r="C172" s="24" t="s">
        <v>438</v>
      </c>
      <c r="D172" s="24" t="s">
        <v>439</v>
      </c>
    </row>
    <row r="173" spans="1:4">
      <c r="A173" s="64"/>
      <c r="B173" s="64"/>
      <c r="C173" s="24" t="s">
        <v>440</v>
      </c>
      <c r="D173" s="24" t="s">
        <v>441</v>
      </c>
    </row>
    <row r="174" spans="1:4">
      <c r="A174" s="64"/>
      <c r="B174" s="64"/>
      <c r="C174" s="24" t="s">
        <v>442</v>
      </c>
      <c r="D174" s="24" t="s">
        <v>443</v>
      </c>
    </row>
    <row r="175" spans="1:4">
      <c r="A175" s="64"/>
      <c r="B175" s="64"/>
      <c r="C175" s="24" t="s">
        <v>444</v>
      </c>
      <c r="D175" s="24" t="s">
        <v>445</v>
      </c>
    </row>
    <row r="176" spans="1:4">
      <c r="A176" s="64"/>
      <c r="B176" s="64"/>
      <c r="C176" s="24" t="s">
        <v>446</v>
      </c>
      <c r="D176" s="24" t="s">
        <v>447</v>
      </c>
    </row>
    <row r="177" spans="1:5">
      <c r="A177" s="64"/>
      <c r="B177" s="64"/>
      <c r="C177" s="24" t="s">
        <v>448</v>
      </c>
      <c r="D177" s="24" t="s">
        <v>449</v>
      </c>
    </row>
    <row r="178" spans="1:5">
      <c r="A178" s="64"/>
      <c r="B178" s="64"/>
      <c r="C178" s="24" t="s">
        <v>450</v>
      </c>
      <c r="D178" s="24" t="s">
        <v>451</v>
      </c>
    </row>
    <row r="179" spans="1:5">
      <c r="A179" s="64"/>
      <c r="B179" s="64"/>
      <c r="C179" s="24" t="s">
        <v>452</v>
      </c>
      <c r="D179" s="24" t="s">
        <v>453</v>
      </c>
    </row>
    <row r="180" spans="1:5">
      <c r="A180" s="64"/>
      <c r="B180" s="64"/>
      <c r="C180" s="24" t="s">
        <v>92</v>
      </c>
      <c r="D180" s="24" t="s">
        <v>454</v>
      </c>
      <c r="E180" t="s">
        <v>269</v>
      </c>
    </row>
    <row r="181" spans="1:5">
      <c r="A181" s="64"/>
      <c r="B181" s="64"/>
      <c r="C181" s="24" t="s">
        <v>145</v>
      </c>
      <c r="D181" s="24" t="s">
        <v>145</v>
      </c>
    </row>
    <row r="182" spans="1:5">
      <c r="A182" s="81"/>
      <c r="B182" s="74" t="s">
        <v>455</v>
      </c>
      <c r="C182" s="56" t="s">
        <v>456</v>
      </c>
      <c r="D182" s="56"/>
    </row>
    <row r="183" spans="1:5">
      <c r="A183" s="82"/>
      <c r="B183" s="75"/>
      <c r="C183" s="56" t="s">
        <v>457</v>
      </c>
      <c r="D183" s="56"/>
    </row>
    <row r="184" spans="1:5">
      <c r="A184" s="82"/>
      <c r="B184" s="75"/>
      <c r="C184" s="56" t="s">
        <v>458</v>
      </c>
      <c r="D184" s="56"/>
    </row>
    <row r="185" spans="1:5">
      <c r="A185" s="83"/>
      <c r="B185" s="76"/>
      <c r="C185" s="57" t="s">
        <v>226</v>
      </c>
      <c r="D185" s="57"/>
    </row>
    <row r="186" spans="1:5">
      <c r="A186" s="77"/>
      <c r="B186" s="77" t="s">
        <v>459</v>
      </c>
      <c r="C186" s="55" t="s">
        <v>460</v>
      </c>
      <c r="D186" s="55"/>
    </row>
    <row r="187" spans="1:5">
      <c r="A187" s="78"/>
      <c r="B187" s="78"/>
      <c r="C187" s="55" t="s">
        <v>461</v>
      </c>
      <c r="D187" s="55"/>
    </row>
    <row r="188" spans="1:5">
      <c r="A188" s="81"/>
      <c r="B188" s="74" t="s">
        <v>10</v>
      </c>
      <c r="C188" s="57" t="s">
        <v>462</v>
      </c>
      <c r="D188" s="57" t="s">
        <v>463</v>
      </c>
    </row>
    <row r="189" spans="1:5">
      <c r="A189" s="82"/>
      <c r="B189" s="75"/>
      <c r="C189" s="57" t="s">
        <v>464</v>
      </c>
      <c r="D189" s="57" t="s">
        <v>465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466</v>
      </c>
      <c r="D191" s="57" t="s">
        <v>467</v>
      </c>
    </row>
    <row r="192" spans="1:5">
      <c r="A192" s="82"/>
      <c r="B192" s="75"/>
      <c r="C192" s="57" t="s">
        <v>468</v>
      </c>
      <c r="D192" s="57" t="s">
        <v>469</v>
      </c>
    </row>
    <row r="193" spans="1:4">
      <c r="A193" s="82"/>
      <c r="B193" s="75"/>
      <c r="C193" s="57" t="s">
        <v>470</v>
      </c>
      <c r="D193" s="57" t="s">
        <v>471</v>
      </c>
    </row>
    <row r="194" spans="1:4">
      <c r="A194" s="82"/>
      <c r="B194" s="75"/>
      <c r="C194" s="57" t="s">
        <v>94</v>
      </c>
      <c r="D194" s="57" t="s">
        <v>472</v>
      </c>
    </row>
    <row r="195" spans="1:4">
      <c r="A195" s="82"/>
      <c r="B195" s="75"/>
      <c r="C195" s="57" t="s">
        <v>473</v>
      </c>
      <c r="D195" s="57" t="s">
        <v>474</v>
      </c>
    </row>
    <row r="196" spans="1:4">
      <c r="A196" s="82"/>
      <c r="B196" s="75"/>
      <c r="C196" s="57" t="s">
        <v>475</v>
      </c>
      <c r="D196" s="57" t="s">
        <v>476</v>
      </c>
    </row>
    <row r="197" spans="1:4">
      <c r="A197" s="82"/>
      <c r="B197" s="75"/>
      <c r="C197" s="57" t="s">
        <v>477</v>
      </c>
      <c r="D197" s="57" t="s">
        <v>478</v>
      </c>
    </row>
    <row r="198" spans="1:4">
      <c r="A198" s="82"/>
      <c r="B198" s="75"/>
      <c r="C198" s="57" t="s">
        <v>147</v>
      </c>
      <c r="D198" s="57" t="s">
        <v>479</v>
      </c>
    </row>
    <row r="199" spans="1:4">
      <c r="A199" s="82"/>
      <c r="B199" s="75"/>
      <c r="C199" s="57" t="s">
        <v>480</v>
      </c>
      <c r="D199" s="57" t="s">
        <v>481</v>
      </c>
    </row>
    <row r="200" spans="1:4">
      <c r="A200" s="82"/>
      <c r="B200" s="75"/>
      <c r="C200" s="57" t="s">
        <v>145</v>
      </c>
      <c r="D200" s="57" t="s">
        <v>145</v>
      </c>
    </row>
    <row r="201" spans="1:4">
      <c r="A201" s="83"/>
      <c r="B201" s="76"/>
      <c r="C201" s="57" t="s">
        <v>226</v>
      </c>
      <c r="D201" s="57" t="s">
        <v>482</v>
      </c>
    </row>
    <row r="202" spans="1:4">
      <c r="A202" s="115"/>
      <c r="B202" s="115" t="s">
        <v>184</v>
      </c>
      <c r="C202" s="24" t="s">
        <v>483</v>
      </c>
      <c r="D202" s="24"/>
    </row>
    <row r="203" spans="1:4">
      <c r="A203" s="64"/>
      <c r="B203" s="64"/>
      <c r="C203" s="24" t="s">
        <v>484</v>
      </c>
      <c r="D203" s="24"/>
    </row>
    <row r="204" spans="1:4">
      <c r="A204" s="64"/>
      <c r="B204" s="64"/>
      <c r="C204" s="24" t="s">
        <v>485</v>
      </c>
      <c r="D204" s="24"/>
    </row>
    <row r="205" spans="1:4">
      <c r="A205" s="64"/>
      <c r="B205" s="64"/>
      <c r="C205" s="24" t="s">
        <v>486</v>
      </c>
      <c r="D205" s="24"/>
    </row>
    <row r="206" spans="1:4">
      <c r="A206" s="64"/>
      <c r="B206" s="64"/>
      <c r="C206" s="24" t="s">
        <v>487</v>
      </c>
      <c r="D206" s="24"/>
    </row>
    <row r="207" spans="1:4">
      <c r="A207" s="64"/>
      <c r="B207" s="64"/>
      <c r="C207" s="24" t="s">
        <v>488</v>
      </c>
      <c r="D207" s="24"/>
    </row>
    <row r="208" spans="1:4">
      <c r="A208" s="64"/>
      <c r="B208" s="64"/>
      <c r="C208" s="24" t="s">
        <v>489</v>
      </c>
      <c r="D208" s="24"/>
    </row>
    <row r="209" spans="1:5">
      <c r="A209" s="64"/>
      <c r="B209" s="64"/>
      <c r="C209" s="24" t="s">
        <v>490</v>
      </c>
      <c r="D209" s="24"/>
    </row>
    <row r="210" spans="1:5">
      <c r="A210" s="64"/>
      <c r="B210" s="64"/>
      <c r="C210" s="24" t="s">
        <v>491</v>
      </c>
      <c r="D210" s="24"/>
    </row>
    <row r="211" spans="1:5">
      <c r="A211" s="64"/>
      <c r="B211" s="64"/>
      <c r="C211" s="24" t="s">
        <v>492</v>
      </c>
      <c r="D211" s="24"/>
    </row>
    <row r="212" spans="1:5">
      <c r="A212" s="64"/>
      <c r="B212" s="64"/>
      <c r="C212" s="24" t="s">
        <v>493</v>
      </c>
      <c r="D212" s="24"/>
    </row>
    <row r="213" spans="1:5">
      <c r="A213" s="64"/>
      <c r="B213" s="64"/>
      <c r="C213" s="24" t="s">
        <v>494</v>
      </c>
      <c r="D213" s="24"/>
    </row>
    <row r="214" spans="1:5">
      <c r="A214" s="64"/>
      <c r="B214" s="64"/>
      <c r="C214" s="24" t="s">
        <v>495</v>
      </c>
      <c r="D214" s="24"/>
    </row>
    <row r="215" spans="1:5">
      <c r="A215" s="64"/>
      <c r="B215" s="64"/>
      <c r="C215" s="24" t="s">
        <v>496</v>
      </c>
      <c r="D215" s="24"/>
    </row>
    <row r="216" spans="1:5">
      <c r="A216" s="64"/>
      <c r="B216" s="64"/>
      <c r="C216" s="24" t="s">
        <v>497</v>
      </c>
      <c r="D216" s="24"/>
    </row>
    <row r="217" spans="1:5">
      <c r="A217" s="64"/>
      <c r="B217" s="64"/>
      <c r="C217" s="24" t="s">
        <v>498</v>
      </c>
      <c r="D217" s="24"/>
    </row>
    <row r="218" spans="1:5">
      <c r="A218" s="64"/>
      <c r="B218" s="64"/>
      <c r="C218" s="24" t="s">
        <v>499</v>
      </c>
      <c r="D218" s="24" t="s">
        <v>500</v>
      </c>
      <c r="E218" t="s">
        <v>269</v>
      </c>
    </row>
    <row r="219" spans="1:5">
      <c r="A219" s="64"/>
      <c r="B219" s="64"/>
      <c r="C219" s="24" t="s">
        <v>501</v>
      </c>
      <c r="D219" s="24"/>
    </row>
    <row r="220" spans="1:5">
      <c r="A220" s="64"/>
      <c r="B220" s="64"/>
      <c r="C220" s="24" t="s">
        <v>502</v>
      </c>
      <c r="D220" s="24"/>
    </row>
    <row r="221" spans="1:5">
      <c r="A221" s="64"/>
      <c r="B221" s="64"/>
      <c r="C221" s="24" t="s">
        <v>503</v>
      </c>
      <c r="D221" s="24"/>
    </row>
    <row r="222" spans="1:5">
      <c r="A222" s="64"/>
      <c r="B222" s="64"/>
      <c r="C222" s="24" t="s">
        <v>504</v>
      </c>
      <c r="D222" s="24"/>
    </row>
    <row r="223" spans="1:5">
      <c r="A223" s="64"/>
      <c r="B223" s="64"/>
      <c r="C223" s="24" t="s">
        <v>505</v>
      </c>
      <c r="D223" s="24"/>
    </row>
    <row r="224" spans="1:5">
      <c r="A224" s="64"/>
      <c r="B224" s="64"/>
      <c r="C224" s="24" t="s">
        <v>506</v>
      </c>
      <c r="D224" s="24"/>
    </row>
    <row r="225" spans="1:4">
      <c r="A225" s="64"/>
      <c r="B225" s="64"/>
      <c r="C225" s="24" t="s">
        <v>507</v>
      </c>
      <c r="D225" s="24"/>
    </row>
    <row r="226" spans="1:4">
      <c r="A226" s="64"/>
      <c r="B226" s="64"/>
      <c r="C226" s="24" t="s">
        <v>508</v>
      </c>
      <c r="D226" s="24"/>
    </row>
    <row r="227" spans="1:4">
      <c r="A227" s="64"/>
      <c r="B227" s="64"/>
      <c r="C227" s="24" t="s">
        <v>509</v>
      </c>
      <c r="D227" s="24"/>
    </row>
    <row r="228" spans="1:4">
      <c r="A228" s="64"/>
      <c r="B228" s="64"/>
      <c r="C228" s="24" t="s">
        <v>510</v>
      </c>
      <c r="D228" s="24"/>
    </row>
    <row r="229" spans="1:4">
      <c r="A229" s="64"/>
      <c r="B229" s="64"/>
      <c r="C229" s="24" t="s">
        <v>511</v>
      </c>
      <c r="D229" s="24"/>
    </row>
    <row r="230" spans="1:4">
      <c r="A230" s="64"/>
      <c r="B230" s="64"/>
      <c r="C230" s="24" t="s">
        <v>512</v>
      </c>
      <c r="D230" s="24"/>
    </row>
    <row r="231" spans="1:4">
      <c r="A231" s="64"/>
      <c r="B231" s="64"/>
      <c r="C231" s="24" t="s">
        <v>513</v>
      </c>
      <c r="D231" s="24"/>
    </row>
    <row r="232" spans="1:4">
      <c r="A232" s="64"/>
      <c r="B232" s="64"/>
      <c r="C232" s="24" t="s">
        <v>514</v>
      </c>
      <c r="D232" s="24"/>
    </row>
    <row r="233" spans="1:4">
      <c r="A233" s="64"/>
      <c r="B233" s="64"/>
      <c r="C233" s="24" t="s">
        <v>515</v>
      </c>
      <c r="D233" s="24"/>
    </row>
    <row r="234" spans="1:4">
      <c r="A234" s="64"/>
      <c r="B234" s="64"/>
      <c r="C234" s="24" t="s">
        <v>516</v>
      </c>
      <c r="D234" s="24"/>
    </row>
    <row r="235" spans="1:4">
      <c r="A235" s="64"/>
      <c r="B235" s="64"/>
      <c r="C235" s="24" t="s">
        <v>517</v>
      </c>
      <c r="D235" s="24"/>
    </row>
    <row r="236" spans="1:4">
      <c r="A236" s="64"/>
      <c r="B236" s="64"/>
      <c r="C236" s="24" t="s">
        <v>518</v>
      </c>
      <c r="D236" s="24"/>
    </row>
    <row r="237" spans="1:4">
      <c r="A237" s="64"/>
      <c r="B237" s="64"/>
      <c r="C237" s="24" t="s">
        <v>519</v>
      </c>
      <c r="D237" s="24"/>
    </row>
    <row r="238" spans="1:4">
      <c r="A238" s="64"/>
      <c r="B238" s="64"/>
      <c r="C238" s="24" t="s">
        <v>520</v>
      </c>
      <c r="D238" s="24"/>
    </row>
    <row r="239" spans="1:4">
      <c r="A239" s="64"/>
      <c r="B239" s="64"/>
      <c r="C239" s="24" t="s">
        <v>521</v>
      </c>
      <c r="D239" s="24"/>
    </row>
    <row r="240" spans="1:4">
      <c r="A240" s="64"/>
      <c r="B240" s="64"/>
      <c r="C240" s="24" t="s">
        <v>522</v>
      </c>
      <c r="D240" s="24"/>
    </row>
    <row r="241" spans="1:4">
      <c r="A241" s="64"/>
      <c r="B241" s="64"/>
      <c r="C241" s="24" t="s">
        <v>523</v>
      </c>
      <c r="D241" s="24"/>
    </row>
    <row r="242" spans="1:4">
      <c r="A242" s="64"/>
      <c r="B242" s="64"/>
      <c r="C242" s="24" t="s">
        <v>524</v>
      </c>
      <c r="D242" s="24"/>
    </row>
    <row r="243" spans="1:4">
      <c r="A243" s="64"/>
      <c r="B243" s="64"/>
      <c r="C243" s="24" t="s">
        <v>525</v>
      </c>
      <c r="D243" s="24"/>
    </row>
    <row r="244" spans="1:4">
      <c r="A244" s="64"/>
      <c r="B244" s="64"/>
      <c r="C244" s="24" t="s">
        <v>526</v>
      </c>
      <c r="D244" s="24"/>
    </row>
    <row r="245" spans="1:4">
      <c r="A245" s="64"/>
      <c r="B245" s="64"/>
      <c r="C245" s="24" t="s">
        <v>527</v>
      </c>
      <c r="D245" s="24"/>
    </row>
    <row r="246" spans="1:4">
      <c r="A246" s="64"/>
      <c r="B246" s="64"/>
      <c r="C246" s="24" t="s">
        <v>528</v>
      </c>
      <c r="D246" s="24"/>
    </row>
    <row r="247" spans="1:4">
      <c r="A247" s="64"/>
      <c r="B247" s="64"/>
      <c r="C247" s="24" t="s">
        <v>529</v>
      </c>
      <c r="D247" s="24"/>
    </row>
    <row r="248" spans="1:4">
      <c r="A248" s="64"/>
      <c r="B248" s="64"/>
      <c r="C248" s="24" t="s">
        <v>530</v>
      </c>
      <c r="D248" s="24"/>
    </row>
    <row r="249" spans="1:4">
      <c r="A249" s="64"/>
      <c r="B249" s="64"/>
      <c r="C249" s="24" t="s">
        <v>531</v>
      </c>
      <c r="D249" s="24"/>
    </row>
    <row r="250" spans="1:4">
      <c r="A250" s="64"/>
      <c r="B250" s="64"/>
      <c r="C250" s="24" t="s">
        <v>532</v>
      </c>
      <c r="D250" s="24"/>
    </row>
    <row r="251" spans="1:4">
      <c r="A251" s="64"/>
      <c r="B251" s="64"/>
      <c r="C251" s="24" t="s">
        <v>533</v>
      </c>
      <c r="D251" s="24"/>
    </row>
    <row r="252" spans="1:4">
      <c r="A252" s="64"/>
      <c r="B252" s="64"/>
      <c r="C252" s="24" t="s">
        <v>145</v>
      </c>
      <c r="D252" s="24"/>
    </row>
    <row r="253" spans="1:4">
      <c r="A253" s="64"/>
      <c r="B253" s="64"/>
      <c r="C253" s="24" t="s">
        <v>534</v>
      </c>
      <c r="D253" s="24"/>
    </row>
    <row r="254" spans="1:4">
      <c r="A254" s="64"/>
      <c r="B254" s="64"/>
      <c r="C254" s="24" t="s">
        <v>535</v>
      </c>
      <c r="D254" s="24"/>
    </row>
    <row r="255" spans="1:4">
      <c r="A255" s="64"/>
      <c r="B255" s="64"/>
      <c r="C255" s="24" t="s">
        <v>536</v>
      </c>
      <c r="D255" s="24"/>
    </row>
    <row r="256" spans="1:4">
      <c r="A256" s="64"/>
      <c r="B256" s="64"/>
      <c r="C256" s="24" t="s">
        <v>537</v>
      </c>
      <c r="D256" s="24"/>
    </row>
    <row r="257" spans="1:5">
      <c r="A257" s="64"/>
      <c r="B257" s="64"/>
      <c r="C257" s="24" t="s">
        <v>538</v>
      </c>
      <c r="D257" s="24"/>
    </row>
    <row r="258" spans="1:5">
      <c r="A258" s="64"/>
      <c r="B258" s="64"/>
      <c r="C258" s="24" t="s">
        <v>539</v>
      </c>
      <c r="D258" s="24"/>
    </row>
    <row r="259" spans="1:5">
      <c r="A259" s="64"/>
      <c r="B259" s="64"/>
      <c r="C259" s="24" t="s">
        <v>540</v>
      </c>
      <c r="D259" s="24"/>
    </row>
    <row r="260" spans="1:5">
      <c r="A260" s="64"/>
      <c r="B260" s="64"/>
      <c r="C260" s="24" t="s">
        <v>541</v>
      </c>
      <c r="D260" s="24"/>
    </row>
    <row r="261" spans="1:5">
      <c r="A261" s="64"/>
      <c r="B261" s="64"/>
      <c r="C261" s="24" t="s">
        <v>542</v>
      </c>
      <c r="D261" s="24"/>
    </row>
    <row r="262" spans="1:5">
      <c r="A262" s="64"/>
      <c r="B262" s="64"/>
      <c r="C262" s="24" t="s">
        <v>543</v>
      </c>
      <c r="D262" s="24"/>
    </row>
    <row r="263" spans="1:5">
      <c r="A263" s="64"/>
      <c r="B263" s="64"/>
      <c r="C263" s="24" t="s">
        <v>544</v>
      </c>
      <c r="D263" s="24"/>
    </row>
    <row r="264" spans="1:5">
      <c r="A264" s="64"/>
      <c r="B264" s="64"/>
      <c r="C264" s="24" t="s">
        <v>545</v>
      </c>
      <c r="D264" s="24"/>
    </row>
    <row r="265" spans="1:5">
      <c r="A265" s="64"/>
      <c r="B265" s="64"/>
      <c r="C265" s="24" t="s">
        <v>546</v>
      </c>
      <c r="D265" s="24"/>
    </row>
    <row r="266" spans="1:5">
      <c r="A266" s="64"/>
      <c r="B266" s="64"/>
      <c r="C266" s="24" t="s">
        <v>547</v>
      </c>
      <c r="D266" s="24"/>
    </row>
    <row r="267" spans="1:5">
      <c r="A267" s="64"/>
      <c r="B267" s="64"/>
      <c r="C267" s="24" t="s">
        <v>548</v>
      </c>
      <c r="D267" s="24"/>
    </row>
    <row r="268" spans="1:5">
      <c r="A268" s="64"/>
      <c r="B268" s="64"/>
      <c r="C268" s="24" t="s">
        <v>549</v>
      </c>
      <c r="D268" s="24"/>
    </row>
    <row r="269" spans="1:5">
      <c r="A269" s="64"/>
      <c r="B269" s="64"/>
      <c r="C269" s="24" t="s">
        <v>550</v>
      </c>
      <c r="D269" s="24"/>
    </row>
    <row r="270" spans="1:5">
      <c r="A270" s="64"/>
      <c r="B270" s="64"/>
      <c r="C270" s="24" t="s">
        <v>551</v>
      </c>
      <c r="D270" s="24" t="s">
        <v>552</v>
      </c>
      <c r="E270" t="s">
        <v>269</v>
      </c>
    </row>
    <row r="271" spans="1:5">
      <c r="A271" s="64"/>
      <c r="B271" s="64"/>
      <c r="C271" s="24" t="s">
        <v>553</v>
      </c>
      <c r="D271" s="24" t="s">
        <v>554</v>
      </c>
      <c r="E271" t="s">
        <v>269</v>
      </c>
    </row>
    <row r="272" spans="1:5">
      <c r="A272" s="64"/>
      <c r="B272" s="64"/>
      <c r="C272" s="24" t="s">
        <v>555</v>
      </c>
      <c r="D272" s="24" t="s">
        <v>556</v>
      </c>
      <c r="E272" t="s">
        <v>269</v>
      </c>
    </row>
    <row r="273" spans="1:5">
      <c r="A273" s="64"/>
      <c r="B273" s="64"/>
      <c r="C273" s="24" t="s">
        <v>557</v>
      </c>
      <c r="D273" s="24"/>
    </row>
    <row r="274" spans="1:5">
      <c r="A274" s="64"/>
      <c r="B274" s="64"/>
      <c r="C274" s="24" t="s">
        <v>558</v>
      </c>
      <c r="D274" s="24" t="s">
        <v>559</v>
      </c>
      <c r="E274" t="s">
        <v>269</v>
      </c>
    </row>
    <row r="275" spans="1:5">
      <c r="A275" s="64"/>
      <c r="B275" s="64"/>
      <c r="C275" s="24" t="s">
        <v>560</v>
      </c>
      <c r="D275" s="24"/>
    </row>
    <row r="276" spans="1:5">
      <c r="A276" s="64"/>
      <c r="B276" s="64"/>
      <c r="C276" s="24" t="s">
        <v>561</v>
      </c>
      <c r="D276" s="24"/>
    </row>
    <row r="277" spans="1:5">
      <c r="A277" s="64"/>
      <c r="B277" s="64"/>
      <c r="C277" s="24" t="s">
        <v>562</v>
      </c>
      <c r="D277" s="24"/>
    </row>
    <row r="278" spans="1:5">
      <c r="A278" s="64"/>
      <c r="B278" s="64"/>
      <c r="C278" s="24" t="s">
        <v>563</v>
      </c>
      <c r="D278" s="24"/>
    </row>
    <row r="279" spans="1:5">
      <c r="A279" s="64"/>
      <c r="B279" s="64"/>
      <c r="C279" s="24" t="s">
        <v>564</v>
      </c>
      <c r="D279" s="24"/>
    </row>
    <row r="280" spans="1:5">
      <c r="A280" s="64"/>
      <c r="B280" s="64"/>
      <c r="C280" s="24" t="s">
        <v>565</v>
      </c>
      <c r="D280" s="24"/>
    </row>
    <row r="281" spans="1:5">
      <c r="A281" s="64"/>
      <c r="B281" s="64"/>
      <c r="C281" s="24" t="s">
        <v>566</v>
      </c>
      <c r="D281" s="24"/>
    </row>
    <row r="282" spans="1:5">
      <c r="A282" s="64"/>
      <c r="B282" s="64"/>
      <c r="C282" s="24" t="s">
        <v>567</v>
      </c>
      <c r="D282" s="24" t="s">
        <v>568</v>
      </c>
      <c r="E282" t="s">
        <v>269</v>
      </c>
    </row>
    <row r="283" spans="1:5">
      <c r="A283" s="64"/>
      <c r="B283" s="64"/>
      <c r="C283" s="24" t="s">
        <v>569</v>
      </c>
      <c r="D283" s="24"/>
    </row>
    <row r="284" spans="1:5">
      <c r="A284" s="64"/>
      <c r="B284" s="64"/>
      <c r="C284" s="24" t="s">
        <v>570</v>
      </c>
      <c r="D284" s="24" t="s">
        <v>571</v>
      </c>
      <c r="E284" t="s">
        <v>269</v>
      </c>
    </row>
    <row r="285" spans="1:5">
      <c r="A285" s="64"/>
      <c r="B285" s="64"/>
      <c r="C285" s="24" t="s">
        <v>572</v>
      </c>
      <c r="D285" s="24"/>
    </row>
    <row r="286" spans="1:5">
      <c r="A286" s="64"/>
      <c r="B286" s="64"/>
      <c r="C286" s="24" t="s">
        <v>573</v>
      </c>
      <c r="D286" s="24"/>
    </row>
    <row r="287" spans="1:5">
      <c r="A287" s="64"/>
      <c r="B287" s="64"/>
      <c r="C287" s="24" t="s">
        <v>574</v>
      </c>
      <c r="D287" s="24"/>
    </row>
    <row r="288" spans="1:5">
      <c r="A288" s="64"/>
      <c r="B288" s="64"/>
      <c r="C288" s="24" t="s">
        <v>575</v>
      </c>
      <c r="D288" s="24"/>
    </row>
    <row r="289" spans="1:5">
      <c r="A289" s="64"/>
      <c r="B289" s="64"/>
      <c r="C289" s="24" t="s">
        <v>576</v>
      </c>
      <c r="D289" s="24" t="s">
        <v>577</v>
      </c>
      <c r="E289" t="s">
        <v>269</v>
      </c>
    </row>
    <row r="290" spans="1:5">
      <c r="A290" s="64"/>
      <c r="B290" s="64"/>
      <c r="C290" s="24" t="s">
        <v>578</v>
      </c>
      <c r="D290" s="24"/>
    </row>
    <row r="291" spans="1:5">
      <c r="A291" s="64"/>
      <c r="B291" s="64"/>
      <c r="C291" s="24" t="s">
        <v>579</v>
      </c>
      <c r="D291" s="24"/>
    </row>
    <row r="292" spans="1:5">
      <c r="A292" s="64"/>
      <c r="B292" s="64"/>
      <c r="C292" s="24" t="s">
        <v>580</v>
      </c>
      <c r="D292" s="24"/>
    </row>
    <row r="293" spans="1:5">
      <c r="A293" s="64"/>
      <c r="B293" s="64"/>
      <c r="C293" s="24" t="s">
        <v>581</v>
      </c>
      <c r="D293" s="24"/>
    </row>
    <row r="294" spans="1:5">
      <c r="A294" s="64"/>
      <c r="B294" s="64"/>
      <c r="C294" s="24" t="s">
        <v>582</v>
      </c>
      <c r="D294" s="24"/>
    </row>
    <row r="295" spans="1:5">
      <c r="A295" s="64"/>
      <c r="B295" s="64"/>
      <c r="C295" s="24" t="s">
        <v>583</v>
      </c>
      <c r="D295" s="24"/>
    </row>
    <row r="296" spans="1:5">
      <c r="A296" s="64"/>
      <c r="B296" s="64"/>
      <c r="C296" s="24" t="s">
        <v>584</v>
      </c>
      <c r="D296" s="24"/>
    </row>
    <row r="297" spans="1:5">
      <c r="A297" s="64"/>
      <c r="B297" s="64"/>
      <c r="C297" s="24" t="s">
        <v>585</v>
      </c>
      <c r="D297" s="24" t="s">
        <v>586</v>
      </c>
      <c r="E297" t="s">
        <v>269</v>
      </c>
    </row>
    <row r="298" spans="1:5">
      <c r="A298" s="64"/>
      <c r="B298" s="64"/>
      <c r="C298" s="24" t="s">
        <v>587</v>
      </c>
      <c r="D298" s="24"/>
    </row>
    <row r="299" spans="1:5">
      <c r="A299" s="64"/>
      <c r="B299" s="64"/>
      <c r="C299" s="24" t="s">
        <v>588</v>
      </c>
      <c r="D299" s="24"/>
    </row>
    <row r="300" spans="1:5">
      <c r="A300" s="64"/>
      <c r="B300" s="64"/>
      <c r="C300" s="134" t="s">
        <v>589</v>
      </c>
      <c r="D300" s="24"/>
      <c r="E300" t="s">
        <v>269</v>
      </c>
    </row>
    <row r="301" spans="1:5">
      <c r="A301" s="64"/>
      <c r="B301" s="64"/>
      <c r="C301" s="24" t="s">
        <v>590</v>
      </c>
      <c r="D301" s="24"/>
    </row>
    <row r="302" spans="1:5">
      <c r="A302" s="64"/>
      <c r="B302" s="64"/>
      <c r="C302" s="24" t="s">
        <v>591</v>
      </c>
      <c r="D302" s="24"/>
    </row>
    <row r="303" spans="1:5">
      <c r="A303" s="64"/>
      <c r="B303" s="64"/>
      <c r="C303" s="24" t="s">
        <v>592</v>
      </c>
      <c r="D303" s="24"/>
    </row>
    <row r="304" spans="1:5">
      <c r="A304" s="64"/>
      <c r="B304" s="64"/>
      <c r="C304" s="24" t="s">
        <v>593</v>
      </c>
      <c r="D304" s="24"/>
    </row>
    <row r="305" spans="1:5">
      <c r="A305" s="64"/>
      <c r="B305" s="64"/>
      <c r="C305" s="24" t="s">
        <v>594</v>
      </c>
      <c r="D305" s="24"/>
    </row>
    <row r="306" spans="1:5">
      <c r="A306" s="64"/>
      <c r="B306" s="64"/>
      <c r="C306" s="24" t="s">
        <v>595</v>
      </c>
      <c r="D306" s="24"/>
    </row>
    <row r="307" spans="1:5">
      <c r="A307" s="64"/>
      <c r="B307" s="64"/>
      <c r="C307" s="24" t="s">
        <v>596</v>
      </c>
      <c r="D307" s="24"/>
    </row>
    <row r="308" spans="1:5">
      <c r="A308" s="64"/>
      <c r="B308" s="64"/>
      <c r="C308" s="24" t="s">
        <v>597</v>
      </c>
      <c r="D308" s="24"/>
    </row>
    <row r="309" spans="1:5">
      <c r="A309" s="64"/>
      <c r="B309" s="64"/>
      <c r="C309" s="24" t="s">
        <v>598</v>
      </c>
      <c r="D309" s="24"/>
    </row>
    <row r="310" spans="1:5">
      <c r="A310" s="64"/>
      <c r="B310" s="64"/>
      <c r="C310" s="134" t="s">
        <v>599</v>
      </c>
      <c r="D310" s="24"/>
      <c r="E310" t="s">
        <v>269</v>
      </c>
    </row>
    <row r="311" spans="1:5">
      <c r="A311" s="64"/>
      <c r="B311" s="64"/>
      <c r="C311" s="134" t="s">
        <v>600</v>
      </c>
      <c r="D311" s="24"/>
      <c r="E311" t="s">
        <v>269</v>
      </c>
    </row>
    <row r="312" spans="1:5">
      <c r="A312" s="64"/>
      <c r="B312" s="64"/>
      <c r="C312" s="134" t="s">
        <v>601</v>
      </c>
      <c r="D312" s="24"/>
      <c r="E312" t="s">
        <v>269</v>
      </c>
    </row>
    <row r="313" spans="1:5">
      <c r="A313" s="64"/>
      <c r="B313" s="64"/>
      <c r="C313" s="24" t="s">
        <v>602</v>
      </c>
      <c r="D313" s="24"/>
    </row>
    <row r="314" spans="1:5">
      <c r="A314" s="64"/>
      <c r="B314" s="64"/>
      <c r="C314" s="24" t="s">
        <v>603</v>
      </c>
      <c r="D314" s="24"/>
    </row>
    <row r="315" spans="1:5">
      <c r="A315" s="64"/>
      <c r="B315" s="64"/>
      <c r="C315" s="24" t="s">
        <v>604</v>
      </c>
      <c r="D315" s="24"/>
    </row>
    <row r="316" spans="1:5">
      <c r="A316" s="64"/>
      <c r="B316" s="64"/>
      <c r="C316" s="24" t="s">
        <v>605</v>
      </c>
      <c r="D316" s="24"/>
    </row>
    <row r="317" spans="1:5">
      <c r="A317" s="64"/>
      <c r="B317" s="64"/>
      <c r="C317" s="24" t="s">
        <v>606</v>
      </c>
      <c r="D317" s="24"/>
    </row>
    <row r="318" spans="1:5">
      <c r="A318" s="64"/>
      <c r="B318" s="64"/>
      <c r="C318" s="24" t="s">
        <v>607</v>
      </c>
      <c r="D318" s="129" t="s">
        <v>608</v>
      </c>
      <c r="E318" t="s">
        <v>269</v>
      </c>
    </row>
    <row r="319" spans="1:5">
      <c r="A319" s="64"/>
      <c r="B319" s="64"/>
      <c r="C319" s="24" t="s">
        <v>609</v>
      </c>
      <c r="D319" s="24"/>
    </row>
    <row r="320" spans="1:5">
      <c r="A320" s="64"/>
      <c r="B320" s="64"/>
      <c r="C320" s="24" t="s">
        <v>610</v>
      </c>
      <c r="D320" s="24"/>
    </row>
    <row r="321" spans="1:5">
      <c r="A321" s="64"/>
      <c r="B321" s="64"/>
      <c r="C321" s="24" t="s">
        <v>611</v>
      </c>
      <c r="D321" s="24"/>
    </row>
    <row r="322" spans="1:5">
      <c r="A322" s="64"/>
      <c r="B322" s="64"/>
      <c r="C322" s="24" t="s">
        <v>612</v>
      </c>
      <c r="D322" s="24"/>
    </row>
    <row r="323" spans="1:5">
      <c r="A323" s="64"/>
      <c r="B323" s="64"/>
      <c r="C323" s="24" t="s">
        <v>613</v>
      </c>
      <c r="D323" s="24"/>
    </row>
    <row r="324" spans="1:5">
      <c r="A324" s="64"/>
      <c r="B324" s="64"/>
      <c r="C324" s="24" t="s">
        <v>614</v>
      </c>
      <c r="D324" s="24"/>
    </row>
    <row r="325" spans="1:5">
      <c r="A325" s="64"/>
      <c r="B325" s="64"/>
      <c r="C325" s="24" t="s">
        <v>615</v>
      </c>
      <c r="D325" s="24"/>
    </row>
    <row r="326" spans="1:5">
      <c r="A326" s="64"/>
      <c r="B326" s="64"/>
      <c r="C326" s="24" t="s">
        <v>616</v>
      </c>
      <c r="D326" s="24"/>
    </row>
    <row r="327" spans="1:5">
      <c r="A327" s="64"/>
      <c r="B327" s="64"/>
      <c r="C327" s="24" t="s">
        <v>617</v>
      </c>
      <c r="D327" s="24"/>
    </row>
    <row r="328" spans="1:5">
      <c r="A328" s="81"/>
      <c r="B328" s="71" t="s">
        <v>618</v>
      </c>
      <c r="C328" s="57" t="s">
        <v>619</v>
      </c>
      <c r="D328" s="57"/>
      <c r="E328" t="s">
        <v>269</v>
      </c>
    </row>
    <row r="329" spans="1:5">
      <c r="A329" s="82"/>
      <c r="B329" s="72"/>
      <c r="C329" s="57" t="s">
        <v>620</v>
      </c>
      <c r="D329" s="57"/>
      <c r="E329" t="s">
        <v>269</v>
      </c>
    </row>
    <row r="330" spans="1:5">
      <c r="A330" s="82"/>
      <c r="B330" s="72"/>
      <c r="C330" s="131" t="s">
        <v>621</v>
      </c>
      <c r="D330" s="57"/>
      <c r="E330" t="s">
        <v>269</v>
      </c>
    </row>
    <row r="331" spans="1:5">
      <c r="A331" s="82"/>
      <c r="B331" s="72"/>
      <c r="C331" s="130" t="s">
        <v>622</v>
      </c>
      <c r="D331" s="57"/>
      <c r="E331" t="s">
        <v>269</v>
      </c>
    </row>
    <row r="332" spans="1:5">
      <c r="A332" s="82"/>
      <c r="B332" s="72"/>
      <c r="C332" s="130" t="s">
        <v>623</v>
      </c>
      <c r="D332" s="57"/>
      <c r="E332" t="s">
        <v>269</v>
      </c>
    </row>
    <row r="333" spans="1:5">
      <c r="A333" s="82"/>
      <c r="B333" s="72"/>
      <c r="C333" s="130" t="s">
        <v>624</v>
      </c>
      <c r="D333" s="57"/>
      <c r="E333" t="s">
        <v>269</v>
      </c>
    </row>
    <row r="334" spans="1:5">
      <c r="A334" s="82"/>
      <c r="B334" s="72"/>
      <c r="C334" s="130" t="s">
        <v>625</v>
      </c>
      <c r="D334" s="57"/>
      <c r="E334" t="s">
        <v>269</v>
      </c>
    </row>
    <row r="335" spans="1:5">
      <c r="A335" s="82"/>
      <c r="B335" s="72"/>
      <c r="C335" s="57" t="s">
        <v>626</v>
      </c>
      <c r="D335" s="57"/>
      <c r="E335" t="s">
        <v>269</v>
      </c>
    </row>
    <row r="336" spans="1:5">
      <c r="A336" s="82"/>
      <c r="B336" s="72"/>
      <c r="C336" s="57" t="s">
        <v>627</v>
      </c>
      <c r="D336" s="57"/>
      <c r="E336" t="s">
        <v>269</v>
      </c>
    </row>
    <row r="337" spans="1:5">
      <c r="A337" s="82"/>
      <c r="B337" s="72"/>
      <c r="C337" s="57" t="s">
        <v>628</v>
      </c>
      <c r="D337" s="57"/>
      <c r="E337" t="s">
        <v>269</v>
      </c>
    </row>
    <row r="338" spans="1:5">
      <c r="A338" s="82"/>
      <c r="B338" s="72"/>
      <c r="C338" s="57" t="s">
        <v>629</v>
      </c>
      <c r="D338" s="57"/>
      <c r="E338" t="s">
        <v>269</v>
      </c>
    </row>
    <row r="339" spans="1:5">
      <c r="A339" s="82"/>
      <c r="B339" s="72"/>
      <c r="C339" s="57" t="s">
        <v>630</v>
      </c>
      <c r="D339" s="57"/>
      <c r="E339" t="s">
        <v>269</v>
      </c>
    </row>
    <row r="340" spans="1:5">
      <c r="A340" s="82"/>
      <c r="B340" s="72"/>
      <c r="C340" s="57" t="s">
        <v>631</v>
      </c>
      <c r="D340" s="57"/>
      <c r="E340" t="s">
        <v>269</v>
      </c>
    </row>
    <row r="341" spans="1:5">
      <c r="A341" s="82"/>
      <c r="B341" s="72"/>
      <c r="C341" s="57" t="s">
        <v>632</v>
      </c>
      <c r="D341" s="57"/>
      <c r="E341" t="s">
        <v>269</v>
      </c>
    </row>
    <row r="342" spans="1:5">
      <c r="A342" s="82"/>
      <c r="B342" s="72"/>
      <c r="C342" s="57" t="s">
        <v>633</v>
      </c>
      <c r="D342" s="57"/>
      <c r="E342" t="s">
        <v>269</v>
      </c>
    </row>
    <row r="343" spans="1:5">
      <c r="A343" s="82"/>
      <c r="B343" s="72"/>
      <c r="C343" s="57" t="s">
        <v>634</v>
      </c>
      <c r="D343" s="57"/>
      <c r="E343" t="s">
        <v>269</v>
      </c>
    </row>
    <row r="344" spans="1:5">
      <c r="A344" s="82"/>
      <c r="B344" s="72"/>
      <c r="C344" s="57" t="s">
        <v>635</v>
      </c>
      <c r="D344" s="57"/>
      <c r="E344" t="s">
        <v>269</v>
      </c>
    </row>
    <row r="345" spans="1:5">
      <c r="A345" s="82"/>
      <c r="B345" s="72"/>
      <c r="C345" s="57" t="s">
        <v>636</v>
      </c>
      <c r="D345" s="57"/>
      <c r="E345" t="s">
        <v>269</v>
      </c>
    </row>
    <row r="346" spans="1:5">
      <c r="A346" s="82"/>
      <c r="B346" s="72"/>
      <c r="C346" s="57" t="s">
        <v>637</v>
      </c>
      <c r="D346" s="57"/>
      <c r="E346" t="s">
        <v>269</v>
      </c>
    </row>
    <row r="347" spans="1:5">
      <c r="A347" s="82"/>
      <c r="B347" s="72"/>
      <c r="C347" s="57" t="s">
        <v>638</v>
      </c>
      <c r="D347" s="57"/>
      <c r="E347" t="s">
        <v>269</v>
      </c>
    </row>
    <row r="348" spans="1:5">
      <c r="A348" s="82"/>
      <c r="B348" s="72"/>
      <c r="C348" s="57" t="s">
        <v>639</v>
      </c>
      <c r="D348" s="57"/>
      <c r="E348" t="s">
        <v>269</v>
      </c>
    </row>
    <row r="349" spans="1:5">
      <c r="A349" s="82"/>
      <c r="B349" s="72"/>
      <c r="C349" s="57" t="s">
        <v>640</v>
      </c>
      <c r="D349" s="57"/>
      <c r="E349" t="s">
        <v>269</v>
      </c>
    </row>
    <row r="350" spans="1:5">
      <c r="A350" s="82"/>
      <c r="B350" s="72"/>
      <c r="C350" s="57" t="s">
        <v>641</v>
      </c>
      <c r="D350" s="57"/>
      <c r="E350" t="s">
        <v>269</v>
      </c>
    </row>
    <row r="351" spans="1:5">
      <c r="A351" s="82"/>
      <c r="B351" s="72"/>
      <c r="C351" s="57" t="s">
        <v>642</v>
      </c>
      <c r="D351" s="57"/>
      <c r="E351" t="s">
        <v>269</v>
      </c>
    </row>
    <row r="352" spans="1:5">
      <c r="A352" s="82"/>
      <c r="B352" s="72"/>
      <c r="C352" s="57" t="s">
        <v>643</v>
      </c>
      <c r="D352" s="57"/>
      <c r="E352" t="s">
        <v>269</v>
      </c>
    </row>
    <row r="353" spans="1:5">
      <c r="A353" s="82"/>
      <c r="B353" s="72"/>
      <c r="C353" s="57" t="s">
        <v>644</v>
      </c>
      <c r="D353" s="57"/>
      <c r="E353" t="s">
        <v>269</v>
      </c>
    </row>
    <row r="354" spans="1:5">
      <c r="A354" s="82"/>
      <c r="B354" s="72"/>
      <c r="C354" s="57" t="s">
        <v>645</v>
      </c>
      <c r="D354" s="57"/>
      <c r="E354" t="s">
        <v>269</v>
      </c>
    </row>
    <row r="355" spans="1:5">
      <c r="A355" s="82"/>
      <c r="B355" s="72"/>
      <c r="C355" s="57" t="s">
        <v>646</v>
      </c>
      <c r="D355" s="57"/>
      <c r="E355" t="s">
        <v>269</v>
      </c>
    </row>
    <row r="356" spans="1:5">
      <c r="A356" s="82"/>
      <c r="B356" s="72"/>
      <c r="C356" s="57" t="s">
        <v>647</v>
      </c>
      <c r="D356" s="57"/>
      <c r="E356" t="s">
        <v>269</v>
      </c>
    </row>
    <row r="357" spans="1:5">
      <c r="A357" s="82"/>
      <c r="B357" s="72"/>
      <c r="C357" s="57" t="s">
        <v>648</v>
      </c>
      <c r="D357" s="57"/>
      <c r="E357" t="s">
        <v>269</v>
      </c>
    </row>
    <row r="358" spans="1:5">
      <c r="A358" s="82"/>
      <c r="B358" s="72"/>
      <c r="C358" s="57" t="s">
        <v>649</v>
      </c>
      <c r="D358" s="57"/>
      <c r="E358" t="s">
        <v>269</v>
      </c>
    </row>
    <row r="359" spans="1:5">
      <c r="A359" s="82"/>
      <c r="B359" s="72"/>
      <c r="C359" s="57" t="s">
        <v>650</v>
      </c>
      <c r="D359" s="57"/>
      <c r="E359" t="s">
        <v>269</v>
      </c>
    </row>
    <row r="360" spans="1:5">
      <c r="A360" s="82"/>
      <c r="B360" s="72"/>
      <c r="C360" s="57" t="s">
        <v>651</v>
      </c>
      <c r="D360" s="57"/>
      <c r="E360" t="s">
        <v>269</v>
      </c>
    </row>
    <row r="361" spans="1:5">
      <c r="A361" s="82"/>
      <c r="B361" s="72"/>
      <c r="C361" s="57" t="s">
        <v>652</v>
      </c>
      <c r="D361" s="57"/>
      <c r="E361" t="s">
        <v>269</v>
      </c>
    </row>
    <row r="362" spans="1:5">
      <c r="A362" s="82"/>
      <c r="B362" s="72"/>
      <c r="C362" s="57" t="s">
        <v>653</v>
      </c>
      <c r="D362" s="57"/>
      <c r="E362" t="s">
        <v>269</v>
      </c>
    </row>
    <row r="363" spans="1:5">
      <c r="A363" s="82"/>
      <c r="B363" s="72"/>
      <c r="C363" s="57" t="s">
        <v>654</v>
      </c>
      <c r="D363" s="57"/>
      <c r="E363" t="s">
        <v>269</v>
      </c>
    </row>
    <row r="364" spans="1:5">
      <c r="A364" s="82"/>
      <c r="B364" s="72"/>
      <c r="C364" s="57" t="s">
        <v>655</v>
      </c>
      <c r="D364" s="57"/>
      <c r="E364" t="s">
        <v>269</v>
      </c>
    </row>
    <row r="365" spans="1:5">
      <c r="A365" s="82"/>
      <c r="B365" s="72"/>
      <c r="C365" s="57" t="s">
        <v>656</v>
      </c>
      <c r="D365" s="57"/>
      <c r="E365" t="s">
        <v>269</v>
      </c>
    </row>
    <row r="366" spans="1:5">
      <c r="A366" s="82"/>
      <c r="B366" s="72"/>
      <c r="C366" s="57" t="s">
        <v>657</v>
      </c>
      <c r="D366" s="57"/>
      <c r="E366" t="s">
        <v>269</v>
      </c>
    </row>
    <row r="367" spans="1:5">
      <c r="A367" s="82"/>
      <c r="B367" s="72"/>
      <c r="C367" s="57" t="s">
        <v>658</v>
      </c>
      <c r="D367" s="57"/>
      <c r="E367" t="s">
        <v>269</v>
      </c>
    </row>
    <row r="368" spans="1:5">
      <c r="A368" s="82"/>
      <c r="B368" s="72"/>
      <c r="C368" s="57" t="s">
        <v>659</v>
      </c>
      <c r="D368" s="57"/>
      <c r="E368" t="s">
        <v>269</v>
      </c>
    </row>
    <row r="369" spans="1:5">
      <c r="A369" s="82"/>
      <c r="B369" s="72"/>
      <c r="C369" s="57" t="s">
        <v>660</v>
      </c>
      <c r="D369" s="57"/>
      <c r="E369" t="s">
        <v>269</v>
      </c>
    </row>
    <row r="370" spans="1:5">
      <c r="A370" s="82"/>
      <c r="B370" s="72"/>
      <c r="C370" s="57" t="s">
        <v>661</v>
      </c>
      <c r="D370" s="57"/>
      <c r="E370" t="s">
        <v>269</v>
      </c>
    </row>
    <row r="371" spans="1:5">
      <c r="A371" s="82"/>
      <c r="B371" s="72"/>
      <c r="C371" s="57" t="s">
        <v>662</v>
      </c>
      <c r="D371" s="57"/>
      <c r="E371" t="s">
        <v>269</v>
      </c>
    </row>
    <row r="372" spans="1:5">
      <c r="A372" s="82"/>
      <c r="B372" s="72"/>
      <c r="C372" s="57" t="s">
        <v>663</v>
      </c>
      <c r="D372" s="57"/>
      <c r="E372" t="s">
        <v>269</v>
      </c>
    </row>
    <row r="373" spans="1:5">
      <c r="A373" s="82"/>
      <c r="B373" s="72"/>
      <c r="C373" s="57" t="s">
        <v>664</v>
      </c>
      <c r="D373" s="57"/>
      <c r="E373" t="s">
        <v>269</v>
      </c>
    </row>
    <row r="374" spans="1:5">
      <c r="A374" s="82"/>
      <c r="B374" s="72"/>
      <c r="C374" s="57" t="s">
        <v>665</v>
      </c>
      <c r="D374" s="57"/>
      <c r="E374" t="s">
        <v>269</v>
      </c>
    </row>
    <row r="375" spans="1:5">
      <c r="A375" s="82"/>
      <c r="B375" s="72"/>
      <c r="C375" s="57" t="s">
        <v>666</v>
      </c>
      <c r="D375" s="57"/>
      <c r="E375" t="s">
        <v>269</v>
      </c>
    </row>
    <row r="376" spans="1:5">
      <c r="A376" s="82"/>
      <c r="B376" s="72"/>
      <c r="C376" s="57" t="s">
        <v>667</v>
      </c>
      <c r="D376" s="57"/>
      <c r="E376" t="s">
        <v>269</v>
      </c>
    </row>
    <row r="377" spans="1:5">
      <c r="A377" s="82"/>
      <c r="B377" s="72"/>
      <c r="C377" s="57" t="s">
        <v>668</v>
      </c>
      <c r="D377" s="57"/>
      <c r="E377" t="s">
        <v>269</v>
      </c>
    </row>
    <row r="378" spans="1:5">
      <c r="A378" s="82"/>
      <c r="B378" s="72"/>
      <c r="C378" s="57" t="s">
        <v>669</v>
      </c>
      <c r="D378" s="57"/>
      <c r="E378" t="s">
        <v>269</v>
      </c>
    </row>
    <row r="379" spans="1:5">
      <c r="A379" s="82"/>
      <c r="B379" s="72"/>
      <c r="C379" s="57" t="s">
        <v>670</v>
      </c>
      <c r="D379" s="57"/>
      <c r="E379" t="s">
        <v>269</v>
      </c>
    </row>
    <row r="380" spans="1:5">
      <c r="A380" s="82"/>
      <c r="B380" s="72"/>
      <c r="C380" s="57" t="s">
        <v>671</v>
      </c>
      <c r="D380" s="57"/>
      <c r="E380" t="s">
        <v>269</v>
      </c>
    </row>
    <row r="381" spans="1:5">
      <c r="A381" s="82"/>
      <c r="B381" s="72"/>
      <c r="C381" s="57" t="s">
        <v>672</v>
      </c>
      <c r="D381" s="57"/>
      <c r="E381" t="s">
        <v>269</v>
      </c>
    </row>
    <row r="382" spans="1:5">
      <c r="A382" s="82"/>
      <c r="B382" s="72"/>
      <c r="C382" s="57" t="s">
        <v>673</v>
      </c>
      <c r="D382" s="57"/>
      <c r="E382" t="s">
        <v>269</v>
      </c>
    </row>
    <row r="383" spans="1:5">
      <c r="A383" s="82"/>
      <c r="B383" s="72"/>
      <c r="C383" s="57" t="s">
        <v>674</v>
      </c>
      <c r="D383" s="57"/>
      <c r="E383" t="s">
        <v>269</v>
      </c>
    </row>
    <row r="384" spans="1:5">
      <c r="A384" s="82"/>
      <c r="B384" s="72"/>
      <c r="C384" s="57" t="s">
        <v>675</v>
      </c>
      <c r="D384" s="57"/>
      <c r="E384" t="s">
        <v>269</v>
      </c>
    </row>
    <row r="385" spans="1:5">
      <c r="A385" s="82"/>
      <c r="B385" s="72"/>
      <c r="C385" s="57" t="s">
        <v>676</v>
      </c>
      <c r="D385" s="57"/>
      <c r="E385" t="s">
        <v>269</v>
      </c>
    </row>
    <row r="386" spans="1:5">
      <c r="A386" s="82"/>
      <c r="B386" s="72"/>
      <c r="C386" s="57" t="s">
        <v>677</v>
      </c>
      <c r="D386" s="57"/>
      <c r="E386" t="s">
        <v>269</v>
      </c>
    </row>
    <row r="387" spans="1:5">
      <c r="A387" s="82"/>
      <c r="B387" s="72"/>
      <c r="C387" s="57" t="s">
        <v>678</v>
      </c>
      <c r="D387" s="57"/>
      <c r="E387" t="s">
        <v>269</v>
      </c>
    </row>
    <row r="388" spans="1:5">
      <c r="A388" s="82"/>
      <c r="B388" s="72"/>
      <c r="C388" s="57" t="s">
        <v>679</v>
      </c>
      <c r="D388" s="57"/>
      <c r="E388" t="s">
        <v>269</v>
      </c>
    </row>
    <row r="389" spans="1:5">
      <c r="A389" s="82"/>
      <c r="B389" s="72"/>
      <c r="C389" s="57" t="s">
        <v>680</v>
      </c>
      <c r="D389" s="57"/>
      <c r="E389" t="s">
        <v>269</v>
      </c>
    </row>
    <row r="390" spans="1:5">
      <c r="A390" s="82"/>
      <c r="B390" s="72"/>
      <c r="C390" s="57" t="s">
        <v>681</v>
      </c>
      <c r="D390" s="57"/>
      <c r="E390" t="s">
        <v>269</v>
      </c>
    </row>
    <row r="391" spans="1:5">
      <c r="A391" s="82"/>
      <c r="B391" s="72"/>
      <c r="C391" s="57" t="s">
        <v>682</v>
      </c>
      <c r="D391" s="57"/>
      <c r="E391" t="s">
        <v>269</v>
      </c>
    </row>
    <row r="392" spans="1:5">
      <c r="A392" s="82"/>
      <c r="B392" s="72"/>
      <c r="C392" s="57" t="s">
        <v>683</v>
      </c>
      <c r="D392" s="57"/>
      <c r="E392" t="s">
        <v>269</v>
      </c>
    </row>
    <row r="393" spans="1:5">
      <c r="A393" s="82"/>
      <c r="B393" s="72"/>
      <c r="C393" s="57" t="s">
        <v>684</v>
      </c>
      <c r="D393" s="57"/>
      <c r="E393" t="s">
        <v>269</v>
      </c>
    </row>
    <row r="394" spans="1:5">
      <c r="A394" s="82"/>
      <c r="B394" s="72"/>
      <c r="C394" s="57" t="s">
        <v>685</v>
      </c>
      <c r="D394" s="57"/>
      <c r="E394" t="s">
        <v>269</v>
      </c>
    </row>
    <row r="395" spans="1:5">
      <c r="A395" s="82"/>
      <c r="B395" s="72"/>
      <c r="C395" s="57" t="s">
        <v>686</v>
      </c>
      <c r="D395" s="57"/>
      <c r="E395" t="s">
        <v>269</v>
      </c>
    </row>
    <row r="396" spans="1:5">
      <c r="A396" s="82"/>
      <c r="B396" s="72"/>
      <c r="C396" s="57" t="s">
        <v>687</v>
      </c>
      <c r="D396" s="57"/>
      <c r="E396" t="s">
        <v>269</v>
      </c>
    </row>
    <row r="397" spans="1:5">
      <c r="A397" s="82"/>
      <c r="B397" s="72"/>
      <c r="C397" s="57" t="s">
        <v>688</v>
      </c>
      <c r="D397" s="57"/>
      <c r="E397" t="s">
        <v>269</v>
      </c>
    </row>
    <row r="398" spans="1:5">
      <c r="A398" s="82"/>
      <c r="B398" s="72"/>
      <c r="C398" s="57" t="s">
        <v>689</v>
      </c>
      <c r="D398" s="57"/>
      <c r="E398" t="s">
        <v>269</v>
      </c>
    </row>
    <row r="399" spans="1:5">
      <c r="A399" s="82"/>
      <c r="B399" s="72"/>
      <c r="C399" s="57" t="s">
        <v>690</v>
      </c>
      <c r="D399" s="57"/>
      <c r="E399" t="s">
        <v>269</v>
      </c>
    </row>
    <row r="400" spans="1:5">
      <c r="A400" s="82"/>
      <c r="B400" s="72"/>
      <c r="C400" s="57" t="s">
        <v>691</v>
      </c>
      <c r="D400" s="57"/>
      <c r="E400" t="s">
        <v>269</v>
      </c>
    </row>
    <row r="401" spans="1:5">
      <c r="A401" s="82"/>
      <c r="B401" s="72"/>
      <c r="C401" s="57" t="s">
        <v>692</v>
      </c>
      <c r="D401" s="57"/>
      <c r="E401" t="s">
        <v>269</v>
      </c>
    </row>
    <row r="402" spans="1:5">
      <c r="A402" s="82"/>
      <c r="B402" s="72"/>
      <c r="C402" s="57" t="s">
        <v>693</v>
      </c>
      <c r="D402" s="57"/>
      <c r="E402" t="s">
        <v>269</v>
      </c>
    </row>
    <row r="403" spans="1:5">
      <c r="A403" s="82"/>
      <c r="B403" s="72"/>
      <c r="C403" s="57" t="s">
        <v>694</v>
      </c>
      <c r="D403" s="57"/>
      <c r="E403" t="s">
        <v>269</v>
      </c>
    </row>
    <row r="404" spans="1:5">
      <c r="A404" s="82"/>
      <c r="B404" s="72"/>
      <c r="C404" s="57" t="s">
        <v>695</v>
      </c>
      <c r="D404" s="57"/>
      <c r="E404" t="s">
        <v>269</v>
      </c>
    </row>
    <row r="405" spans="1:5">
      <c r="A405" s="82"/>
      <c r="B405" s="72"/>
      <c r="C405" s="57" t="s">
        <v>696</v>
      </c>
      <c r="D405" s="57"/>
      <c r="E405" t="s">
        <v>269</v>
      </c>
    </row>
    <row r="406" spans="1:5">
      <c r="A406" s="82"/>
      <c r="B406" s="72"/>
      <c r="C406" s="57" t="s">
        <v>697</v>
      </c>
      <c r="D406" s="57"/>
      <c r="E406" t="s">
        <v>269</v>
      </c>
    </row>
    <row r="407" spans="1:5">
      <c r="A407" s="82"/>
      <c r="B407" s="72"/>
      <c r="C407" s="57" t="s">
        <v>698</v>
      </c>
      <c r="D407" s="57"/>
      <c r="E407" t="s">
        <v>269</v>
      </c>
    </row>
    <row r="408" spans="1:5">
      <c r="A408" s="82"/>
      <c r="B408" s="72"/>
      <c r="C408" s="57" t="s">
        <v>699</v>
      </c>
      <c r="D408" s="57"/>
      <c r="E408" t="s">
        <v>269</v>
      </c>
    </row>
    <row r="409" spans="1:5">
      <c r="A409" s="82"/>
      <c r="B409" s="72"/>
      <c r="C409" s="57" t="s">
        <v>700</v>
      </c>
      <c r="D409" s="57"/>
      <c r="E409" t="s">
        <v>269</v>
      </c>
    </row>
    <row r="410" spans="1:5">
      <c r="A410" s="82"/>
      <c r="B410" s="72"/>
      <c r="C410" s="57" t="s">
        <v>701</v>
      </c>
      <c r="D410" s="57"/>
      <c r="E410" t="s">
        <v>269</v>
      </c>
    </row>
    <row r="411" spans="1:5">
      <c r="A411" s="82"/>
      <c r="B411" s="72"/>
      <c r="C411" s="57" t="s">
        <v>702</v>
      </c>
      <c r="D411" s="57"/>
      <c r="E411" t="s">
        <v>269</v>
      </c>
    </row>
    <row r="412" spans="1:5">
      <c r="A412" s="82"/>
      <c r="B412" s="72"/>
      <c r="C412" s="57" t="s">
        <v>703</v>
      </c>
      <c r="D412" s="57"/>
      <c r="E412" t="s">
        <v>269</v>
      </c>
    </row>
    <row r="413" spans="1:5">
      <c r="A413" s="82"/>
      <c r="B413" s="72"/>
      <c r="C413" s="57" t="s">
        <v>704</v>
      </c>
      <c r="D413" s="57"/>
      <c r="E413" t="s">
        <v>269</v>
      </c>
    </row>
    <row r="414" spans="1:5">
      <c r="A414" s="82"/>
      <c r="B414" s="72"/>
      <c r="C414" s="57" t="s">
        <v>705</v>
      </c>
      <c r="D414" s="57"/>
      <c r="E414" t="s">
        <v>269</v>
      </c>
    </row>
    <row r="415" spans="1:5">
      <c r="A415" s="82"/>
      <c r="B415" s="72"/>
      <c r="C415" s="57" t="s">
        <v>706</v>
      </c>
      <c r="D415" s="57"/>
      <c r="E415" t="s">
        <v>269</v>
      </c>
    </row>
    <row r="416" spans="1:5">
      <c r="A416" s="82"/>
      <c r="B416" s="72"/>
      <c r="C416" s="57" t="s">
        <v>707</v>
      </c>
      <c r="D416" s="57"/>
      <c r="E416" t="s">
        <v>269</v>
      </c>
    </row>
    <row r="417" spans="1:5">
      <c r="A417" s="82"/>
      <c r="B417" s="72"/>
      <c r="C417" s="57" t="s">
        <v>708</v>
      </c>
      <c r="D417" s="57"/>
      <c r="E417" t="s">
        <v>269</v>
      </c>
    </row>
    <row r="418" spans="1:5">
      <c r="A418" s="82"/>
      <c r="B418" s="72"/>
      <c r="C418" s="57" t="s">
        <v>709</v>
      </c>
      <c r="D418" s="57"/>
      <c r="E418" t="s">
        <v>269</v>
      </c>
    </row>
    <row r="419" spans="1:5">
      <c r="A419" s="82"/>
      <c r="B419" s="72"/>
      <c r="C419" s="57" t="s">
        <v>710</v>
      </c>
      <c r="D419" s="57"/>
      <c r="E419" t="s">
        <v>269</v>
      </c>
    </row>
    <row r="420" spans="1:5">
      <c r="A420" s="82"/>
      <c r="B420" s="72"/>
      <c r="C420" s="57" t="s">
        <v>711</v>
      </c>
      <c r="D420" s="57"/>
      <c r="E420" t="s">
        <v>269</v>
      </c>
    </row>
    <row r="421" spans="1:5">
      <c r="A421" s="82"/>
      <c r="B421" s="72"/>
      <c r="C421" s="57" t="s">
        <v>712</v>
      </c>
      <c r="D421" s="57"/>
      <c r="E421" t="s">
        <v>269</v>
      </c>
    </row>
    <row r="422" spans="1:5">
      <c r="A422" s="82"/>
      <c r="B422" s="72"/>
      <c r="C422" s="57" t="s">
        <v>713</v>
      </c>
      <c r="D422" s="57"/>
      <c r="E422" t="s">
        <v>269</v>
      </c>
    </row>
    <row r="423" spans="1:5">
      <c r="A423" s="82"/>
      <c r="B423" s="72"/>
      <c r="C423" s="57" t="s">
        <v>714</v>
      </c>
      <c r="D423" s="57"/>
      <c r="E423" t="s">
        <v>269</v>
      </c>
    </row>
    <row r="424" spans="1:5">
      <c r="A424" s="82"/>
      <c r="B424" s="72"/>
      <c r="C424" s="57" t="s">
        <v>715</v>
      </c>
      <c r="D424" s="57"/>
      <c r="E424" t="s">
        <v>269</v>
      </c>
    </row>
    <row r="425" spans="1:5">
      <c r="A425" s="82"/>
      <c r="B425" s="72"/>
      <c r="C425" s="57" t="s">
        <v>716</v>
      </c>
      <c r="D425" s="57"/>
      <c r="E425" t="s">
        <v>269</v>
      </c>
    </row>
    <row r="426" spans="1:5">
      <c r="A426" s="82"/>
      <c r="B426" s="72"/>
      <c r="C426" s="57" t="s">
        <v>717</v>
      </c>
      <c r="D426" s="57"/>
      <c r="E426" t="s">
        <v>269</v>
      </c>
    </row>
    <row r="427" spans="1:5">
      <c r="A427" s="82"/>
      <c r="B427" s="72"/>
      <c r="C427" s="57" t="s">
        <v>718</v>
      </c>
      <c r="D427" s="57"/>
      <c r="E427" t="s">
        <v>269</v>
      </c>
    </row>
    <row r="428" spans="1:5">
      <c r="A428" s="82"/>
      <c r="B428" s="72"/>
      <c r="C428" s="57" t="s">
        <v>719</v>
      </c>
      <c r="D428" s="57"/>
      <c r="E428" t="s">
        <v>269</v>
      </c>
    </row>
    <row r="429" spans="1:5">
      <c r="A429" s="82"/>
      <c r="B429" s="72"/>
      <c r="C429" s="57" t="s">
        <v>720</v>
      </c>
      <c r="D429" s="57"/>
      <c r="E429" t="s">
        <v>269</v>
      </c>
    </row>
    <row r="430" spans="1:5">
      <c r="A430" s="82"/>
      <c r="B430" s="72"/>
      <c r="C430" s="57" t="s">
        <v>721</v>
      </c>
      <c r="D430" s="57"/>
      <c r="E430" t="s">
        <v>269</v>
      </c>
    </row>
    <row r="431" spans="1:5">
      <c r="A431" s="82"/>
      <c r="B431" s="72"/>
      <c r="C431" s="57" t="s">
        <v>722</v>
      </c>
      <c r="D431" s="57"/>
      <c r="E431" t="s">
        <v>269</v>
      </c>
    </row>
    <row r="432" spans="1:5">
      <c r="A432" s="82"/>
      <c r="B432" s="72"/>
      <c r="C432" s="57" t="s">
        <v>723</v>
      </c>
      <c r="D432" s="57"/>
      <c r="E432" t="s">
        <v>269</v>
      </c>
    </row>
    <row r="433" spans="1:5">
      <c r="A433" s="82"/>
      <c r="B433" s="72"/>
      <c r="C433" s="57" t="s">
        <v>724</v>
      </c>
      <c r="D433" s="57"/>
      <c r="E433" t="s">
        <v>269</v>
      </c>
    </row>
    <row r="434" spans="1:5">
      <c r="A434" s="82"/>
      <c r="B434" s="72"/>
      <c r="C434" s="57" t="s">
        <v>725</v>
      </c>
      <c r="D434" s="57"/>
      <c r="E434" t="s">
        <v>269</v>
      </c>
    </row>
    <row r="435" spans="1:5">
      <c r="A435" s="82"/>
      <c r="B435" s="72"/>
      <c r="C435" s="57" t="s">
        <v>726</v>
      </c>
      <c r="D435" s="57"/>
      <c r="E435" t="s">
        <v>269</v>
      </c>
    </row>
    <row r="436" spans="1:5">
      <c r="A436" s="82"/>
      <c r="B436" s="72"/>
      <c r="C436" s="57" t="s">
        <v>727</v>
      </c>
      <c r="D436" s="57"/>
      <c r="E436" t="s">
        <v>269</v>
      </c>
    </row>
    <row r="437" spans="1:5">
      <c r="A437" s="82"/>
      <c r="B437" s="72"/>
      <c r="C437" s="57" t="s">
        <v>728</v>
      </c>
      <c r="D437" s="57"/>
      <c r="E437" t="s">
        <v>269</v>
      </c>
    </row>
    <row r="438" spans="1:5">
      <c r="A438" s="82"/>
      <c r="B438" s="72"/>
      <c r="C438" s="57" t="s">
        <v>729</v>
      </c>
      <c r="D438" s="57"/>
      <c r="E438" t="s">
        <v>269</v>
      </c>
    </row>
    <row r="439" spans="1:5">
      <c r="A439" s="82"/>
      <c r="B439" s="72"/>
      <c r="C439" s="57" t="s">
        <v>730</v>
      </c>
      <c r="D439" s="57"/>
      <c r="E439" t="s">
        <v>269</v>
      </c>
    </row>
    <row r="440" spans="1:5">
      <c r="A440" s="82"/>
      <c r="B440" s="72"/>
      <c r="C440" s="57" t="s">
        <v>731</v>
      </c>
      <c r="D440" s="57"/>
      <c r="E440" t="s">
        <v>269</v>
      </c>
    </row>
    <row r="441" spans="1:5">
      <c r="A441" s="82"/>
      <c r="B441" s="72"/>
      <c r="C441" s="57" t="s">
        <v>732</v>
      </c>
      <c r="D441" s="57"/>
      <c r="E441" t="s">
        <v>269</v>
      </c>
    </row>
    <row r="442" spans="1:5">
      <c r="A442" s="82"/>
      <c r="B442" s="72"/>
      <c r="C442" s="57" t="s">
        <v>733</v>
      </c>
      <c r="D442" s="57"/>
      <c r="E442" t="s">
        <v>269</v>
      </c>
    </row>
    <row r="443" spans="1:5">
      <c r="A443" s="82"/>
      <c r="B443" s="72"/>
      <c r="C443" s="57" t="s">
        <v>734</v>
      </c>
      <c r="D443" s="57"/>
      <c r="E443" t="s">
        <v>269</v>
      </c>
    </row>
    <row r="444" spans="1:5">
      <c r="A444" s="82"/>
      <c r="B444" s="72"/>
      <c r="C444" s="57" t="s">
        <v>735</v>
      </c>
      <c r="D444" s="57"/>
      <c r="E444" t="s">
        <v>269</v>
      </c>
    </row>
    <row r="445" spans="1:5">
      <c r="A445" s="82"/>
      <c r="B445" s="72"/>
      <c r="C445" s="57" t="s">
        <v>736</v>
      </c>
      <c r="D445" s="57"/>
      <c r="E445" t="s">
        <v>269</v>
      </c>
    </row>
    <row r="446" spans="1:5">
      <c r="A446" s="82"/>
      <c r="B446" s="72"/>
      <c r="C446" s="57" t="s">
        <v>737</v>
      </c>
      <c r="D446" s="57"/>
      <c r="E446" t="s">
        <v>269</v>
      </c>
    </row>
    <row r="447" spans="1:5">
      <c r="A447" s="82"/>
      <c r="B447" s="72"/>
      <c r="C447" s="57" t="s">
        <v>738</v>
      </c>
      <c r="D447" s="57"/>
      <c r="E447" t="s">
        <v>269</v>
      </c>
    </row>
    <row r="448" spans="1:5">
      <c r="A448" s="82"/>
      <c r="B448" s="72"/>
      <c r="C448" s="57" t="s">
        <v>739</v>
      </c>
      <c r="D448" s="57"/>
      <c r="E448" t="s">
        <v>269</v>
      </c>
    </row>
    <row r="449" spans="1:5">
      <c r="A449" s="82"/>
      <c r="B449" s="72"/>
      <c r="C449" s="57" t="s">
        <v>740</v>
      </c>
      <c r="D449" s="57"/>
      <c r="E449" t="s">
        <v>269</v>
      </c>
    </row>
    <row r="450" spans="1:5">
      <c r="A450" s="82"/>
      <c r="B450" s="72"/>
      <c r="C450" s="57" t="s">
        <v>741</v>
      </c>
      <c r="D450" s="57"/>
      <c r="E450" t="s">
        <v>269</v>
      </c>
    </row>
    <row r="451" spans="1:5">
      <c r="A451" s="82"/>
      <c r="B451" s="72"/>
      <c r="C451" s="57" t="s">
        <v>742</v>
      </c>
      <c r="D451" s="57"/>
      <c r="E451" t="s">
        <v>269</v>
      </c>
    </row>
    <row r="452" spans="1:5">
      <c r="A452" s="82"/>
      <c r="B452" s="72"/>
      <c r="C452" s="57" t="s">
        <v>743</v>
      </c>
      <c r="D452" s="57"/>
      <c r="E452" t="s">
        <v>269</v>
      </c>
    </row>
    <row r="453" spans="1:5">
      <c r="A453" s="82"/>
      <c r="B453" s="72"/>
      <c r="C453" s="57" t="s">
        <v>744</v>
      </c>
      <c r="D453" s="57"/>
      <c r="E453" t="s">
        <v>269</v>
      </c>
    </row>
    <row r="454" spans="1:5">
      <c r="A454" s="82"/>
      <c r="B454" s="72"/>
      <c r="C454" s="57" t="s">
        <v>745</v>
      </c>
      <c r="D454" s="57"/>
      <c r="E454" t="s">
        <v>269</v>
      </c>
    </row>
    <row r="455" spans="1:5">
      <c r="A455" s="82"/>
      <c r="B455" s="72"/>
      <c r="C455" s="57" t="s">
        <v>746</v>
      </c>
      <c r="D455" s="57"/>
      <c r="E455" t="s">
        <v>269</v>
      </c>
    </row>
    <row r="456" spans="1:5">
      <c r="A456" s="82"/>
      <c r="B456" s="72"/>
      <c r="C456" s="57" t="s">
        <v>747</v>
      </c>
      <c r="D456" s="57"/>
      <c r="E456" t="s">
        <v>269</v>
      </c>
    </row>
    <row r="457" spans="1:5">
      <c r="A457" s="82"/>
      <c r="B457" s="72"/>
      <c r="C457" s="57" t="s">
        <v>748</v>
      </c>
      <c r="D457" s="57"/>
      <c r="E457" t="s">
        <v>269</v>
      </c>
    </row>
    <row r="458" spans="1:5">
      <c r="A458" s="82"/>
      <c r="B458" s="72"/>
      <c r="C458" s="57" t="s">
        <v>749</v>
      </c>
      <c r="D458" s="57"/>
      <c r="E458" t="s">
        <v>269</v>
      </c>
    </row>
    <row r="459" spans="1:5">
      <c r="A459" s="82"/>
      <c r="B459" s="72"/>
      <c r="C459" s="57" t="s">
        <v>750</v>
      </c>
      <c r="D459" s="57"/>
      <c r="E459" t="s">
        <v>269</v>
      </c>
    </row>
    <row r="460" spans="1:5">
      <c r="A460" s="82"/>
      <c r="B460" s="72"/>
      <c r="C460" s="57" t="s">
        <v>751</v>
      </c>
      <c r="D460" s="57"/>
      <c r="E460" t="s">
        <v>269</v>
      </c>
    </row>
    <row r="461" spans="1:5">
      <c r="A461" s="82"/>
      <c r="B461" s="72"/>
      <c r="C461" s="57" t="s">
        <v>752</v>
      </c>
      <c r="D461" s="57"/>
      <c r="E461" t="s">
        <v>269</v>
      </c>
    </row>
    <row r="462" spans="1:5">
      <c r="A462" s="82"/>
      <c r="B462" s="72"/>
      <c r="C462" s="57" t="s">
        <v>753</v>
      </c>
      <c r="D462" s="57"/>
      <c r="E462" t="s">
        <v>269</v>
      </c>
    </row>
    <row r="463" spans="1:5">
      <c r="A463" s="82"/>
      <c r="B463" s="72"/>
      <c r="C463" s="57" t="s">
        <v>754</v>
      </c>
      <c r="D463" s="57"/>
      <c r="E463" t="s">
        <v>269</v>
      </c>
    </row>
    <row r="464" spans="1:5">
      <c r="A464" s="82"/>
      <c r="B464" s="72"/>
      <c r="C464" s="57" t="s">
        <v>755</v>
      </c>
      <c r="D464" s="57"/>
      <c r="E464" t="s">
        <v>269</v>
      </c>
    </row>
    <row r="465" spans="1:5">
      <c r="A465" s="82"/>
      <c r="B465" s="72"/>
      <c r="C465" s="57" t="s">
        <v>756</v>
      </c>
      <c r="D465" s="57"/>
      <c r="E465" t="s">
        <v>269</v>
      </c>
    </row>
    <row r="466" spans="1:5">
      <c r="A466" s="82"/>
      <c r="B466" s="72"/>
      <c r="C466" s="57" t="s">
        <v>757</v>
      </c>
      <c r="D466" s="57"/>
      <c r="E466" t="s">
        <v>269</v>
      </c>
    </row>
    <row r="467" spans="1:5">
      <c r="A467" s="82"/>
      <c r="B467" s="72"/>
      <c r="C467" s="57" t="s">
        <v>758</v>
      </c>
      <c r="D467" s="57"/>
      <c r="E467" t="s">
        <v>269</v>
      </c>
    </row>
    <row r="468" spans="1:5">
      <c r="A468" s="82"/>
      <c r="B468" s="72"/>
      <c r="C468" s="57" t="s">
        <v>759</v>
      </c>
      <c r="D468" s="57"/>
      <c r="E468" t="s">
        <v>269</v>
      </c>
    </row>
    <row r="469" spans="1:5">
      <c r="A469" s="82"/>
      <c r="B469" s="72"/>
      <c r="C469" s="57" t="s">
        <v>760</v>
      </c>
      <c r="D469" s="57"/>
      <c r="E469" t="s">
        <v>269</v>
      </c>
    </row>
    <row r="470" spans="1:5">
      <c r="A470" s="82"/>
      <c r="B470" s="72"/>
      <c r="C470" s="57" t="s">
        <v>761</v>
      </c>
      <c r="D470" s="57"/>
      <c r="E470" t="s">
        <v>269</v>
      </c>
    </row>
    <row r="471" spans="1:5">
      <c r="A471" s="82"/>
      <c r="B471" s="72"/>
      <c r="C471" s="57" t="s">
        <v>762</v>
      </c>
      <c r="D471" s="57"/>
      <c r="E471" t="s">
        <v>269</v>
      </c>
    </row>
    <row r="472" spans="1:5">
      <c r="A472" s="82"/>
      <c r="B472" s="72"/>
      <c r="C472" s="57" t="s">
        <v>763</v>
      </c>
      <c r="D472" s="57"/>
      <c r="E472" t="s">
        <v>269</v>
      </c>
    </row>
    <row r="473" spans="1:5">
      <c r="A473" s="82"/>
      <c r="B473" s="72"/>
      <c r="C473" s="57" t="s">
        <v>764</v>
      </c>
      <c r="D473" s="57"/>
      <c r="E473" t="s">
        <v>269</v>
      </c>
    </row>
    <row r="474" spans="1:5">
      <c r="A474" s="82"/>
      <c r="B474" s="72"/>
      <c r="C474" s="57" t="s">
        <v>765</v>
      </c>
      <c r="D474" s="57"/>
      <c r="E474" t="s">
        <v>269</v>
      </c>
    </row>
    <row r="475" spans="1:5">
      <c r="A475" s="82"/>
      <c r="B475" s="72"/>
      <c r="C475" s="57" t="s">
        <v>766</v>
      </c>
      <c r="D475" s="57"/>
      <c r="E475" t="s">
        <v>269</v>
      </c>
    </row>
    <row r="476" spans="1:5">
      <c r="A476" s="82"/>
      <c r="B476" s="72"/>
      <c r="C476" s="57" t="s">
        <v>767</v>
      </c>
      <c r="D476" s="57"/>
      <c r="E476" t="s">
        <v>269</v>
      </c>
    </row>
    <row r="477" spans="1:5">
      <c r="A477" s="82"/>
      <c r="B477" s="72"/>
      <c r="C477" s="57" t="s">
        <v>768</v>
      </c>
      <c r="D477" s="57"/>
      <c r="E477" t="s">
        <v>269</v>
      </c>
    </row>
    <row r="478" spans="1:5">
      <c r="A478" s="82"/>
      <c r="B478" s="72"/>
      <c r="C478" s="57" t="s">
        <v>769</v>
      </c>
      <c r="D478" s="57"/>
      <c r="E478" t="s">
        <v>269</v>
      </c>
    </row>
    <row r="479" spans="1:5">
      <c r="A479" s="82"/>
      <c r="B479" s="72"/>
      <c r="C479" s="57" t="s">
        <v>770</v>
      </c>
      <c r="D479" s="57"/>
      <c r="E479" t="s">
        <v>269</v>
      </c>
    </row>
    <row r="480" spans="1:5">
      <c r="A480" s="82"/>
      <c r="B480" s="72"/>
      <c r="C480" s="57" t="s">
        <v>771</v>
      </c>
      <c r="D480" s="57"/>
      <c r="E480" t="s">
        <v>269</v>
      </c>
    </row>
    <row r="481" spans="1:5">
      <c r="A481" s="82"/>
      <c r="B481" s="72"/>
      <c r="C481" s="57" t="s">
        <v>772</v>
      </c>
      <c r="D481" s="57"/>
      <c r="E481" t="s">
        <v>269</v>
      </c>
    </row>
    <row r="482" spans="1:5">
      <c r="A482" s="82"/>
      <c r="B482" s="72"/>
      <c r="C482" s="57" t="s">
        <v>773</v>
      </c>
      <c r="D482" s="57"/>
      <c r="E482" t="s">
        <v>269</v>
      </c>
    </row>
    <row r="483" spans="1:5">
      <c r="A483" s="82"/>
      <c r="B483" s="72"/>
      <c r="C483" s="57" t="s">
        <v>774</v>
      </c>
      <c r="D483" s="57"/>
      <c r="E483" t="s">
        <v>269</v>
      </c>
    </row>
    <row r="484" spans="1:5">
      <c r="A484" s="82"/>
      <c r="B484" s="72"/>
      <c r="C484" s="57" t="s">
        <v>775</v>
      </c>
      <c r="D484" s="57"/>
      <c r="E484" t="s">
        <v>269</v>
      </c>
    </row>
    <row r="485" spans="1:5">
      <c r="A485" s="82"/>
      <c r="B485" s="72"/>
      <c r="C485" s="57" t="s">
        <v>776</v>
      </c>
      <c r="D485" s="57"/>
      <c r="E485" t="s">
        <v>269</v>
      </c>
    </row>
    <row r="486" spans="1:5">
      <c r="A486" s="82"/>
      <c r="B486" s="72"/>
      <c r="C486" s="57" t="s">
        <v>777</v>
      </c>
      <c r="D486" s="57"/>
      <c r="E486" t="s">
        <v>269</v>
      </c>
    </row>
    <row r="487" spans="1:5">
      <c r="A487" s="82"/>
      <c r="B487" s="72"/>
      <c r="C487" s="57" t="s">
        <v>778</v>
      </c>
      <c r="D487" s="57"/>
      <c r="E487" t="s">
        <v>269</v>
      </c>
    </row>
    <row r="488" spans="1:5">
      <c r="A488" s="82"/>
      <c r="B488" s="72"/>
      <c r="C488" s="57" t="s">
        <v>779</v>
      </c>
      <c r="D488" s="57"/>
      <c r="E488" t="s">
        <v>269</v>
      </c>
    </row>
    <row r="489" spans="1:5">
      <c r="A489" s="82"/>
      <c r="B489" s="72"/>
      <c r="C489" s="57" t="s">
        <v>145</v>
      </c>
      <c r="D489" s="57"/>
    </row>
    <row r="490" spans="1:5">
      <c r="A490" s="82"/>
      <c r="B490" s="72"/>
      <c r="C490" s="57" t="s">
        <v>780</v>
      </c>
      <c r="D490" s="57"/>
    </row>
    <row r="491" spans="1:5">
      <c r="A491" s="82"/>
      <c r="B491" s="72"/>
      <c r="C491" s="57" t="s">
        <v>781</v>
      </c>
      <c r="D491" s="57"/>
    </row>
    <row r="492" spans="1:5">
      <c r="A492" s="82"/>
      <c r="B492" s="72"/>
      <c r="C492" s="57" t="s">
        <v>782</v>
      </c>
      <c r="D492" s="57"/>
    </row>
    <row r="493" spans="1:5">
      <c r="A493" s="82"/>
      <c r="B493" s="72"/>
      <c r="C493" s="57" t="s">
        <v>783</v>
      </c>
      <c r="D493" s="57"/>
    </row>
    <row r="494" spans="1:5">
      <c r="A494" s="82"/>
      <c r="B494" s="72"/>
      <c r="C494" s="57" t="s">
        <v>784</v>
      </c>
      <c r="D494" s="57"/>
    </row>
    <row r="495" spans="1:5">
      <c r="A495" s="82"/>
      <c r="B495" s="72"/>
      <c r="C495" s="57" t="s">
        <v>785</v>
      </c>
      <c r="D495" s="57"/>
    </row>
    <row r="496" spans="1:5">
      <c r="A496" s="82"/>
      <c r="B496" s="72"/>
      <c r="C496" s="57" t="s">
        <v>786</v>
      </c>
      <c r="D496" s="57"/>
    </row>
    <row r="497" spans="1:4">
      <c r="A497" s="82"/>
      <c r="B497" s="72"/>
      <c r="C497" s="57" t="s">
        <v>787</v>
      </c>
      <c r="D497" s="57"/>
    </row>
    <row r="498" spans="1:4">
      <c r="A498" s="83"/>
      <c r="B498" s="73"/>
      <c r="C498" s="57" t="s">
        <v>617</v>
      </c>
      <c r="D498" s="57"/>
    </row>
    <row r="499" spans="1:4">
      <c r="A499" s="115"/>
      <c r="B499" s="119" t="s">
        <v>788</v>
      </c>
      <c r="C499" s="55" t="s">
        <v>487</v>
      </c>
      <c r="D499" s="55"/>
    </row>
    <row r="500" spans="1:4">
      <c r="A500" s="64"/>
      <c r="B500" s="119"/>
      <c r="C500" s="55" t="s">
        <v>789</v>
      </c>
      <c r="D500" s="55"/>
    </row>
    <row r="501" spans="1:4">
      <c r="A501" s="64"/>
      <c r="B501" s="119"/>
      <c r="C501" s="55" t="s">
        <v>790</v>
      </c>
      <c r="D501" s="55"/>
    </row>
    <row r="502" spans="1:4">
      <c r="A502" s="64"/>
      <c r="B502" s="119"/>
      <c r="C502" s="55" t="s">
        <v>791</v>
      </c>
      <c r="D502" s="55"/>
    </row>
    <row r="503" spans="1:4">
      <c r="A503" s="64"/>
      <c r="B503" s="119"/>
      <c r="C503" s="55" t="s">
        <v>792</v>
      </c>
      <c r="D503" s="55"/>
    </row>
    <row r="504" spans="1:4">
      <c r="A504" s="64"/>
      <c r="B504" s="119"/>
      <c r="C504" s="55" t="s">
        <v>793</v>
      </c>
      <c r="D504" s="55"/>
    </row>
    <row r="505" spans="1:4">
      <c r="A505" s="64"/>
      <c r="B505" s="119"/>
      <c r="C505" s="55" t="s">
        <v>794</v>
      </c>
      <c r="D505" s="55"/>
    </row>
    <row r="506" spans="1:4">
      <c r="A506" s="64"/>
      <c r="B506" s="119"/>
      <c r="C506" s="55" t="s">
        <v>795</v>
      </c>
      <c r="D506" s="55"/>
    </row>
    <row r="507" spans="1:4">
      <c r="A507" s="64"/>
      <c r="B507" s="119"/>
      <c r="C507" s="55" t="s">
        <v>796</v>
      </c>
      <c r="D507" s="55"/>
    </row>
    <row r="508" spans="1:4">
      <c r="A508" s="64"/>
      <c r="B508" s="119"/>
      <c r="C508" s="55" t="s">
        <v>797</v>
      </c>
      <c r="D508" s="55"/>
    </row>
    <row r="509" spans="1:4">
      <c r="A509" s="64"/>
      <c r="B509" s="119"/>
      <c r="C509" s="55" t="s">
        <v>798</v>
      </c>
      <c r="D509" s="55"/>
    </row>
    <row r="510" spans="1:4">
      <c r="A510" s="64"/>
      <c r="B510" s="119"/>
      <c r="C510" s="55" t="s">
        <v>799</v>
      </c>
      <c r="D510" s="55"/>
    </row>
    <row r="511" spans="1:4">
      <c r="A511" s="64"/>
      <c r="B511" s="119"/>
      <c r="C511" s="55" t="s">
        <v>800</v>
      </c>
      <c r="D511" s="55"/>
    </row>
    <row r="512" spans="1:4">
      <c r="A512" s="64"/>
      <c r="B512" s="119"/>
      <c r="C512" s="55" t="s">
        <v>533</v>
      </c>
      <c r="D512" s="55"/>
    </row>
    <row r="513" spans="1:4">
      <c r="A513" s="64"/>
      <c r="B513" s="119"/>
      <c r="C513" s="55" t="s">
        <v>145</v>
      </c>
      <c r="D513" s="55"/>
    </row>
    <row r="514" spans="1:4">
      <c r="A514" s="82"/>
      <c r="B514" s="68" t="s">
        <v>801</v>
      </c>
      <c r="C514" s="57" t="s">
        <v>390</v>
      </c>
      <c r="D514" s="57"/>
    </row>
    <row r="515" spans="1:4">
      <c r="A515" s="83"/>
      <c r="B515" s="70"/>
      <c r="C515" s="57" t="s">
        <v>173</v>
      </c>
      <c r="D515" s="57"/>
    </row>
    <row r="516" spans="1:4">
      <c r="A516" s="64"/>
      <c r="B516" s="119" t="s">
        <v>802</v>
      </c>
      <c r="C516" s="55" t="s">
        <v>803</v>
      </c>
      <c r="D516" s="55"/>
    </row>
    <row r="517" spans="1:4">
      <c r="A517" s="64"/>
      <c r="B517" s="119"/>
      <c r="C517" s="55" t="s">
        <v>804</v>
      </c>
      <c r="D517" s="55"/>
    </row>
    <row r="518" spans="1:4">
      <c r="A518" s="64"/>
      <c r="B518" s="119"/>
      <c r="C518" s="55" t="s">
        <v>805</v>
      </c>
      <c r="D518" s="55"/>
    </row>
    <row r="519" spans="1:4">
      <c r="A519" s="64"/>
      <c r="B519" s="119"/>
      <c r="C519" s="55" t="s">
        <v>806</v>
      </c>
      <c r="D519" s="55"/>
    </row>
    <row r="520" spans="1:4">
      <c r="A520" s="117"/>
      <c r="B520" s="68" t="s">
        <v>807</v>
      </c>
      <c r="C520" s="57" t="s">
        <v>808</v>
      </c>
      <c r="D520" s="57"/>
    </row>
    <row r="521" spans="1:4">
      <c r="A521" s="80"/>
      <c r="B521" s="69"/>
      <c r="C521" s="57" t="s">
        <v>809</v>
      </c>
      <c r="D521" s="57"/>
    </row>
    <row r="522" spans="1:4">
      <c r="A522" s="80"/>
      <c r="B522" s="69"/>
      <c r="C522" s="57" t="s">
        <v>810</v>
      </c>
      <c r="D522" s="57"/>
    </row>
    <row r="523" spans="1:4">
      <c r="A523" s="80"/>
      <c r="B523" s="69"/>
      <c r="C523" s="57" t="s">
        <v>811</v>
      </c>
      <c r="D523" s="57"/>
    </row>
    <row r="524" spans="1:4">
      <c r="A524" s="80"/>
      <c r="B524" s="69"/>
      <c r="C524" s="57" t="s">
        <v>812</v>
      </c>
      <c r="D524" s="57"/>
    </row>
    <row r="525" spans="1:4">
      <c r="A525" s="80"/>
      <c r="B525" s="69"/>
      <c r="C525" s="57" t="s">
        <v>813</v>
      </c>
      <c r="D525" s="57"/>
    </row>
    <row r="526" spans="1:4">
      <c r="A526" s="80"/>
      <c r="B526" s="69"/>
      <c r="C526" s="57" t="s">
        <v>814</v>
      </c>
      <c r="D526" s="57"/>
    </row>
    <row r="527" spans="1:4">
      <c r="A527" s="80"/>
      <c r="B527" s="69"/>
      <c r="C527" s="57" t="s">
        <v>815</v>
      </c>
      <c r="D527" s="57"/>
    </row>
    <row r="528" spans="1:4">
      <c r="A528" s="80"/>
      <c r="B528" s="69"/>
      <c r="C528" s="57" t="s">
        <v>816</v>
      </c>
      <c r="D528" s="57"/>
    </row>
    <row r="529" spans="1:4">
      <c r="A529" s="80"/>
      <c r="B529" s="69"/>
      <c r="C529" s="57" t="s">
        <v>797</v>
      </c>
      <c r="D529" s="57"/>
    </row>
    <row r="530" spans="1:4">
      <c r="B530" s="69"/>
      <c r="C530" s="57" t="s">
        <v>817</v>
      </c>
      <c r="D530" s="57"/>
    </row>
    <row r="531" spans="1:4" ht="15">
      <c r="A531" s="80"/>
      <c r="B531" s="69"/>
      <c r="C531" s="57" t="s">
        <v>818</v>
      </c>
      <c r="D531" s="57" t="s">
        <v>819</v>
      </c>
    </row>
    <row r="532" spans="1:4" ht="15">
      <c r="A532" s="80"/>
      <c r="B532" s="69"/>
      <c r="C532" s="57" t="s">
        <v>820</v>
      </c>
      <c r="D532" s="57" t="s">
        <v>819</v>
      </c>
    </row>
    <row r="533" spans="1:4" ht="15">
      <c r="A533" s="80"/>
      <c r="B533" s="69"/>
      <c r="C533" s="57" t="s">
        <v>821</v>
      </c>
      <c r="D533" s="57" t="s">
        <v>819</v>
      </c>
    </row>
    <row r="534" spans="1:4">
      <c r="A534" s="80"/>
      <c r="B534" s="69"/>
      <c r="C534" s="57" t="s">
        <v>822</v>
      </c>
      <c r="D534" s="57"/>
    </row>
    <row r="535" spans="1:4">
      <c r="A535" s="80"/>
      <c r="B535" s="69"/>
      <c r="C535" s="57" t="s">
        <v>823</v>
      </c>
      <c r="D535" s="57"/>
    </row>
    <row r="536" spans="1:4">
      <c r="A536" s="80"/>
      <c r="B536" s="69"/>
      <c r="C536" s="57" t="s">
        <v>824</v>
      </c>
      <c r="D536" s="57"/>
    </row>
    <row r="537" spans="1:4">
      <c r="A537" s="80"/>
      <c r="B537" s="69"/>
      <c r="C537" s="57" t="s">
        <v>825</v>
      </c>
      <c r="D537" s="57"/>
    </row>
    <row r="538" spans="1:4">
      <c r="A538" s="80"/>
      <c r="B538" s="69"/>
      <c r="C538" s="57" t="s">
        <v>826</v>
      </c>
      <c r="D538" s="57"/>
    </row>
    <row r="539" spans="1:4">
      <c r="A539" s="80"/>
      <c r="B539" s="69"/>
      <c r="C539" s="57" t="s">
        <v>827</v>
      </c>
      <c r="D539" s="57"/>
    </row>
    <row r="540" spans="1:4">
      <c r="A540" s="80"/>
      <c r="B540" s="69"/>
      <c r="C540" s="57" t="s">
        <v>828</v>
      </c>
      <c r="D540" s="57"/>
    </row>
    <row r="541" spans="1:4">
      <c r="A541" s="80"/>
      <c r="B541" s="69"/>
      <c r="C541" s="57" t="s">
        <v>829</v>
      </c>
      <c r="D541" s="57"/>
    </row>
    <row r="542" spans="1:4">
      <c r="A542" s="80"/>
      <c r="B542" s="69"/>
      <c r="C542" s="57" t="s">
        <v>533</v>
      </c>
      <c r="D542" s="57"/>
    </row>
    <row r="543" spans="1:4">
      <c r="A543" s="80"/>
      <c r="B543" s="69"/>
      <c r="C543" s="57" t="s">
        <v>145</v>
      </c>
      <c r="D543" s="58"/>
    </row>
    <row r="544" spans="1:4">
      <c r="A544" s="86"/>
      <c r="B544" s="59" t="s">
        <v>830</v>
      </c>
      <c r="C544" s="55" t="s">
        <v>390</v>
      </c>
      <c r="D544" s="55"/>
    </row>
    <row r="545" spans="1:4">
      <c r="A545" s="87"/>
      <c r="B545" s="118"/>
      <c r="C545" s="55" t="s">
        <v>173</v>
      </c>
      <c r="D545" s="55"/>
    </row>
    <row r="546" spans="1:4">
      <c r="A546" s="80"/>
      <c r="B546" s="68" t="s">
        <v>831</v>
      </c>
      <c r="C546" s="57" t="s">
        <v>832</v>
      </c>
      <c r="D546" s="57"/>
    </row>
    <row r="547" spans="1:4">
      <c r="A547" s="80"/>
      <c r="B547" s="69"/>
      <c r="C547" s="57" t="s">
        <v>833</v>
      </c>
      <c r="D547" s="57"/>
    </row>
    <row r="548" spans="1:4">
      <c r="A548" s="80"/>
      <c r="B548" s="69"/>
      <c r="C548" s="57" t="s">
        <v>834</v>
      </c>
      <c r="D548" s="57"/>
    </row>
    <row r="549" spans="1:4">
      <c r="A549" s="80"/>
      <c r="B549" s="69"/>
      <c r="C549" s="57" t="s">
        <v>835</v>
      </c>
      <c r="D549" s="57"/>
    </row>
    <row r="550" spans="1:4">
      <c r="A550" s="80"/>
      <c r="B550" s="69"/>
      <c r="C550" s="57" t="s">
        <v>836</v>
      </c>
      <c r="D550" s="57"/>
    </row>
    <row r="551" spans="1:4">
      <c r="A551" s="86"/>
      <c r="B551" s="59" t="s">
        <v>837</v>
      </c>
      <c r="C551" s="55" t="s">
        <v>390</v>
      </c>
      <c r="D551" s="55"/>
    </row>
    <row r="552" spans="1:4">
      <c r="A552" s="87"/>
      <c r="B552" s="118"/>
      <c r="C552" s="55" t="s">
        <v>173</v>
      </c>
      <c r="D552" s="55"/>
    </row>
    <row r="553" spans="1:4">
      <c r="A553" s="65"/>
      <c r="B553" s="68" t="s">
        <v>838</v>
      </c>
      <c r="C553" s="57" t="s">
        <v>839</v>
      </c>
      <c r="D553" s="57"/>
    </row>
    <row r="554" spans="1:4">
      <c r="A554" s="66"/>
      <c r="B554" s="66"/>
      <c r="C554" s="57" t="s">
        <v>840</v>
      </c>
      <c r="D554" s="57"/>
    </row>
    <row r="555" spans="1:4">
      <c r="A555" s="66"/>
      <c r="B555" s="66"/>
      <c r="C555" s="57" t="s">
        <v>841</v>
      </c>
      <c r="D555" s="57"/>
    </row>
    <row r="556" spans="1:4">
      <c r="A556" s="66"/>
      <c r="B556" s="66"/>
      <c r="C556" s="57" t="s">
        <v>842</v>
      </c>
      <c r="D556" s="57"/>
    </row>
    <row r="557" spans="1:4">
      <c r="A557" s="66"/>
      <c r="B557" s="66"/>
      <c r="C557" s="57" t="s">
        <v>843</v>
      </c>
      <c r="D557" s="57"/>
    </row>
    <row r="558" spans="1:4">
      <c r="A558" s="66"/>
      <c r="B558" s="66"/>
      <c r="C558" s="57" t="s">
        <v>844</v>
      </c>
      <c r="D558" s="57"/>
    </row>
    <row r="559" spans="1:4">
      <c r="A559" s="66"/>
      <c r="B559" s="66"/>
      <c r="C559" s="57" t="s">
        <v>845</v>
      </c>
      <c r="D559" s="57"/>
    </row>
    <row r="560" spans="1:4">
      <c r="A560" s="66"/>
      <c r="B560" s="66"/>
      <c r="C560" s="57" t="s">
        <v>846</v>
      </c>
      <c r="D560" s="57"/>
    </row>
    <row r="561" spans="1:4">
      <c r="A561" s="66"/>
      <c r="B561" s="66"/>
      <c r="C561" s="57" t="s">
        <v>847</v>
      </c>
      <c r="D561" s="57"/>
    </row>
    <row r="562" spans="1:4">
      <c r="A562" s="66"/>
      <c r="B562" s="66"/>
      <c r="C562" s="57" t="s">
        <v>848</v>
      </c>
      <c r="D562" s="57"/>
    </row>
    <row r="563" spans="1:4">
      <c r="A563" s="66"/>
      <c r="B563" s="66"/>
      <c r="C563" s="57" t="s">
        <v>849</v>
      </c>
      <c r="D563" s="57"/>
    </row>
    <row r="564" spans="1:4">
      <c r="A564" s="66"/>
      <c r="B564" s="66"/>
      <c r="C564" s="57" t="s">
        <v>850</v>
      </c>
      <c r="D564" s="57"/>
    </row>
    <row r="565" spans="1:4">
      <c r="A565" s="66"/>
      <c r="B565" s="66"/>
      <c r="C565" s="57" t="s">
        <v>851</v>
      </c>
      <c r="D565" s="57"/>
    </row>
    <row r="566" spans="1:4">
      <c r="A566" s="66"/>
      <c r="B566" s="66"/>
      <c r="C566" s="57" t="s">
        <v>852</v>
      </c>
      <c r="D566" s="57"/>
    </row>
    <row r="567" spans="1:4">
      <c r="A567" s="66"/>
      <c r="B567" s="66"/>
      <c r="C567" s="57" t="s">
        <v>853</v>
      </c>
      <c r="D567" s="57"/>
    </row>
    <row r="568" spans="1:4">
      <c r="A568" s="66"/>
      <c r="B568" s="66"/>
      <c r="C568" s="57" t="s">
        <v>854</v>
      </c>
      <c r="D568" s="57"/>
    </row>
    <row r="569" spans="1:4">
      <c r="A569" s="66"/>
      <c r="B569" s="66"/>
      <c r="C569" s="57" t="s">
        <v>855</v>
      </c>
      <c r="D569" s="57"/>
    </row>
    <row r="570" spans="1:4">
      <c r="A570" s="66"/>
      <c r="B570" s="66"/>
      <c r="C570" s="57" t="s">
        <v>856</v>
      </c>
      <c r="D570" s="57"/>
    </row>
    <row r="571" spans="1:4">
      <c r="A571" s="66"/>
      <c r="B571" s="66"/>
      <c r="C571" s="57" t="s">
        <v>857</v>
      </c>
      <c r="D571" s="57"/>
    </row>
    <row r="572" spans="1:4">
      <c r="A572" s="66"/>
      <c r="B572" s="66"/>
      <c r="C572" s="57" t="s">
        <v>858</v>
      </c>
      <c r="D572" s="57"/>
    </row>
    <row r="573" spans="1:4">
      <c r="A573" s="66"/>
      <c r="B573" s="66"/>
      <c r="C573" s="57" t="s">
        <v>859</v>
      </c>
      <c r="D573" s="57"/>
    </row>
    <row r="574" spans="1:4">
      <c r="A574" s="66"/>
      <c r="B574" s="66"/>
      <c r="C574" s="57" t="s">
        <v>860</v>
      </c>
      <c r="D574" s="57"/>
    </row>
    <row r="575" spans="1:4">
      <c r="A575" s="66"/>
      <c r="B575" s="66"/>
      <c r="C575" s="57" t="s">
        <v>861</v>
      </c>
      <c r="D575" s="57"/>
    </row>
    <row r="576" spans="1:4">
      <c r="A576" s="66"/>
      <c r="B576" s="66"/>
      <c r="C576" s="57" t="s">
        <v>862</v>
      </c>
      <c r="D576" s="57"/>
    </row>
    <row r="577" spans="1:5">
      <c r="A577" s="66"/>
      <c r="B577" s="66"/>
      <c r="C577" s="57" t="s">
        <v>863</v>
      </c>
      <c r="D577" s="57"/>
    </row>
    <row r="578" spans="1:5">
      <c r="A578" s="66"/>
      <c r="B578" s="66"/>
      <c r="C578" s="57" t="s">
        <v>864</v>
      </c>
      <c r="D578" s="57"/>
    </row>
    <row r="579" spans="1:5">
      <c r="A579" s="66"/>
      <c r="B579" s="66"/>
      <c r="C579" s="57" t="s">
        <v>865</v>
      </c>
      <c r="D579" s="57"/>
    </row>
    <row r="580" spans="1:5">
      <c r="A580" s="66"/>
      <c r="B580" s="66"/>
      <c r="C580" s="57" t="s">
        <v>866</v>
      </c>
      <c r="D580" s="57"/>
      <c r="E580" t="s">
        <v>269</v>
      </c>
    </row>
    <row r="581" spans="1:5">
      <c r="A581" s="66"/>
      <c r="B581" s="66"/>
      <c r="C581" s="57" t="s">
        <v>867</v>
      </c>
      <c r="D581" s="57"/>
      <c r="E581" t="s">
        <v>269</v>
      </c>
    </row>
    <row r="582" spans="1:5">
      <c r="A582" s="66"/>
      <c r="B582" s="66"/>
      <c r="C582" s="57" t="s">
        <v>868</v>
      </c>
      <c r="D582" s="57"/>
    </row>
    <row r="583" spans="1:5">
      <c r="A583" s="66"/>
      <c r="B583" s="66"/>
      <c r="C583" s="57" t="s">
        <v>869</v>
      </c>
      <c r="D583" s="57"/>
    </row>
    <row r="584" spans="1:5">
      <c r="A584" s="66"/>
      <c r="B584" s="66"/>
      <c r="C584" s="57" t="s">
        <v>870</v>
      </c>
      <c r="D584" s="57"/>
    </row>
    <row r="585" spans="1:5">
      <c r="A585" s="66"/>
      <c r="B585" s="66"/>
      <c r="C585" s="57" t="s">
        <v>871</v>
      </c>
      <c r="D585" s="57"/>
    </row>
    <row r="586" spans="1:5">
      <c r="A586" s="66"/>
      <c r="B586" s="66"/>
      <c r="C586" s="57" t="s">
        <v>872</v>
      </c>
      <c r="D586" s="57"/>
    </row>
    <row r="587" spans="1:5">
      <c r="A587" s="66"/>
      <c r="B587" s="66"/>
      <c r="C587" s="57" t="s">
        <v>873</v>
      </c>
      <c r="D587" s="57"/>
    </row>
    <row r="588" spans="1:5">
      <c r="A588" s="66"/>
      <c r="B588" s="66"/>
      <c r="C588" s="57" t="s">
        <v>874</v>
      </c>
      <c r="D588" s="57"/>
    </row>
    <row r="589" spans="1:5">
      <c r="A589" s="66"/>
      <c r="B589" s="66"/>
      <c r="C589" s="57" t="s">
        <v>875</v>
      </c>
      <c r="D589" s="57"/>
    </row>
    <row r="590" spans="1:5">
      <c r="A590" s="66"/>
      <c r="B590" s="66"/>
      <c r="C590" s="57" t="s">
        <v>876</v>
      </c>
      <c r="D590" s="57"/>
    </row>
    <row r="591" spans="1:5">
      <c r="A591" s="67"/>
      <c r="B591" s="67"/>
      <c r="C591" s="57" t="s">
        <v>877</v>
      </c>
      <c r="D591" s="57"/>
    </row>
    <row r="592" spans="1:5">
      <c r="A592" s="64"/>
      <c r="B592" s="119" t="s">
        <v>161</v>
      </c>
      <c r="C592" s="55" t="s">
        <v>878</v>
      </c>
      <c r="D592" s="55"/>
    </row>
    <row r="593" spans="1:4">
      <c r="A593" s="64"/>
      <c r="B593" s="119"/>
      <c r="C593" s="55" t="s">
        <v>879</v>
      </c>
      <c r="D593" s="55"/>
    </row>
    <row r="594" spans="1:4">
      <c r="A594" s="64"/>
      <c r="B594" s="119"/>
      <c r="C594" s="55" t="s">
        <v>145</v>
      </c>
      <c r="D594" s="55"/>
    </row>
    <row r="595" spans="1:4">
      <c r="A595" s="68"/>
      <c r="B595" s="74" t="s">
        <v>880</v>
      </c>
      <c r="C595" s="57" t="s">
        <v>390</v>
      </c>
      <c r="D595" s="57"/>
    </row>
    <row r="596" spans="1:4">
      <c r="A596" s="120"/>
      <c r="B596" s="122"/>
      <c r="C596" s="121" t="s">
        <v>173</v>
      </c>
      <c r="D596" s="57"/>
    </row>
    <row r="597" spans="1:4">
      <c r="A597" s="115"/>
      <c r="B597" s="115" t="s">
        <v>881</v>
      </c>
      <c r="C597" s="55" t="s">
        <v>882</v>
      </c>
      <c r="D597" s="55"/>
    </row>
    <row r="598" spans="1:4">
      <c r="A598" s="64"/>
      <c r="B598" s="64"/>
      <c r="C598" s="55" t="s">
        <v>883</v>
      </c>
      <c r="D598" s="55"/>
    </row>
    <row r="599" spans="1:4">
      <c r="A599" s="64"/>
      <c r="B599" s="64"/>
      <c r="C599" s="55" t="s">
        <v>884</v>
      </c>
      <c r="D599" s="55"/>
    </row>
    <row r="600" spans="1:4">
      <c r="A600" s="64"/>
      <c r="B600" s="64"/>
      <c r="C600" s="55" t="s">
        <v>885</v>
      </c>
      <c r="D600" s="55"/>
    </row>
    <row r="601" spans="1:4">
      <c r="A601" s="64"/>
      <c r="B601" s="64"/>
      <c r="C601" s="55" t="s">
        <v>886</v>
      </c>
      <c r="D601" s="55"/>
    </row>
    <row r="602" spans="1:4">
      <c r="A602" s="64"/>
      <c r="B602" s="64"/>
      <c r="C602" s="55" t="s">
        <v>887</v>
      </c>
      <c r="D602" s="55"/>
    </row>
    <row r="603" spans="1:4">
      <c r="A603" s="64"/>
      <c r="B603" s="64"/>
      <c r="C603" s="55" t="s">
        <v>888</v>
      </c>
      <c r="D603" s="55"/>
    </row>
    <row r="604" spans="1:4">
      <c r="A604" s="64"/>
      <c r="B604" s="64"/>
      <c r="C604" s="55" t="s">
        <v>889</v>
      </c>
      <c r="D604" s="55"/>
    </row>
    <row r="605" spans="1:4">
      <c r="A605" s="64"/>
      <c r="B605" s="64"/>
      <c r="C605" s="55" t="s">
        <v>890</v>
      </c>
      <c r="D605" s="55"/>
    </row>
    <row r="606" spans="1:4">
      <c r="A606" s="64"/>
      <c r="B606" s="64"/>
      <c r="C606" s="55" t="s">
        <v>891</v>
      </c>
      <c r="D606" s="55"/>
    </row>
    <row r="607" spans="1:4">
      <c r="A607" s="64"/>
      <c r="B607" s="64"/>
      <c r="C607" s="55" t="s">
        <v>892</v>
      </c>
      <c r="D607" s="55"/>
    </row>
    <row r="608" spans="1:4">
      <c r="A608" s="64"/>
      <c r="B608" s="64"/>
      <c r="C608" s="55" t="s">
        <v>893</v>
      </c>
      <c r="D608" s="55"/>
    </row>
    <row r="609" spans="1:5">
      <c r="A609" s="64"/>
      <c r="B609" s="64"/>
      <c r="C609" s="55" t="s">
        <v>894</v>
      </c>
      <c r="D609" s="55"/>
    </row>
    <row r="610" spans="1:5">
      <c r="A610" s="64"/>
      <c r="B610" s="64"/>
      <c r="C610" s="55" t="s">
        <v>895</v>
      </c>
      <c r="D610" s="55"/>
    </row>
    <row r="611" spans="1:5">
      <c r="A611" s="64"/>
      <c r="B611" s="64"/>
      <c r="C611" s="55" t="s">
        <v>896</v>
      </c>
      <c r="D611" s="55"/>
    </row>
    <row r="612" spans="1:5">
      <c r="A612" s="64"/>
      <c r="B612" s="64"/>
      <c r="C612" s="55" t="s">
        <v>897</v>
      </c>
      <c r="D612" s="55"/>
    </row>
    <row r="613" spans="1:5">
      <c r="A613" s="64"/>
      <c r="B613" s="64"/>
      <c r="C613" s="55" t="s">
        <v>898</v>
      </c>
      <c r="D613" s="55"/>
    </row>
    <row r="614" spans="1:5">
      <c r="A614" s="64"/>
      <c r="B614" s="64"/>
      <c r="C614" s="55" t="s">
        <v>899</v>
      </c>
      <c r="D614" s="55"/>
    </row>
    <row r="615" spans="1:5">
      <c r="A615" s="64"/>
      <c r="B615" s="64"/>
      <c r="C615" s="55" t="s">
        <v>900</v>
      </c>
      <c r="D615" s="55"/>
    </row>
    <row r="616" spans="1:5">
      <c r="A616" s="64"/>
      <c r="B616" s="64"/>
      <c r="C616" s="55" t="s">
        <v>901</v>
      </c>
      <c r="D616" s="55"/>
    </row>
    <row r="617" spans="1:5">
      <c r="A617" s="64"/>
      <c r="B617" s="64"/>
      <c r="C617" s="55" t="s">
        <v>902</v>
      </c>
      <c r="D617" s="55"/>
    </row>
    <row r="618" spans="1:5">
      <c r="A618" s="64"/>
      <c r="B618" s="64"/>
      <c r="C618" s="55" t="s">
        <v>903</v>
      </c>
      <c r="D618" s="55"/>
    </row>
    <row r="619" spans="1:5">
      <c r="A619" s="64"/>
      <c r="B619" s="64"/>
      <c r="C619" s="55" t="s">
        <v>904</v>
      </c>
      <c r="D619" s="55"/>
    </row>
    <row r="620" spans="1:5">
      <c r="A620" s="64"/>
      <c r="B620" s="64"/>
      <c r="C620" s="55" t="s">
        <v>617</v>
      </c>
      <c r="D620" s="55"/>
    </row>
    <row r="621" spans="1:5">
      <c r="A621" s="64"/>
      <c r="B621" s="64"/>
      <c r="C621" s="55" t="s">
        <v>905</v>
      </c>
      <c r="D621" s="55"/>
      <c r="E621" t="s">
        <v>269</v>
      </c>
    </row>
    <row r="622" spans="1:5">
      <c r="A622" s="68"/>
      <c r="B622" s="68" t="s">
        <v>193</v>
      </c>
      <c r="C622" s="57" t="s">
        <v>906</v>
      </c>
      <c r="D622" s="57"/>
    </row>
    <row r="623" spans="1:5">
      <c r="A623" s="69"/>
      <c r="B623" s="69"/>
      <c r="C623" s="57" t="s">
        <v>907</v>
      </c>
      <c r="D623" s="57"/>
    </row>
    <row r="624" spans="1:5">
      <c r="A624" s="69"/>
      <c r="B624" s="69"/>
      <c r="C624" s="57" t="s">
        <v>908</v>
      </c>
      <c r="D624" s="57"/>
    </row>
    <row r="625" spans="1:5">
      <c r="A625" s="69"/>
      <c r="B625" s="69"/>
      <c r="C625" s="57" t="s">
        <v>909</v>
      </c>
      <c r="D625" s="57"/>
    </row>
    <row r="626" spans="1:5">
      <c r="A626" s="69"/>
      <c r="B626" s="69"/>
      <c r="C626" s="57" t="s">
        <v>910</v>
      </c>
      <c r="D626" s="57"/>
      <c r="E626" t="s">
        <v>269</v>
      </c>
    </row>
    <row r="627" spans="1:5">
      <c r="A627" s="69"/>
      <c r="B627" s="69"/>
      <c r="C627" s="57" t="s">
        <v>911</v>
      </c>
      <c r="D627" s="57"/>
    </row>
    <row r="628" spans="1:5">
      <c r="A628" s="69"/>
      <c r="B628" s="69"/>
      <c r="C628" s="57" t="s">
        <v>912</v>
      </c>
      <c r="D628" s="57"/>
    </row>
    <row r="629" spans="1:5">
      <c r="A629" s="69"/>
      <c r="B629" s="69"/>
      <c r="C629" s="57" t="s">
        <v>509</v>
      </c>
      <c r="D629" s="57"/>
    </row>
    <row r="630" spans="1:5">
      <c r="A630" s="69"/>
      <c r="B630" s="69"/>
      <c r="C630" s="57" t="s">
        <v>913</v>
      </c>
      <c r="D630" s="57"/>
    </row>
    <row r="631" spans="1:5">
      <c r="A631" s="69"/>
      <c r="B631" s="69"/>
      <c r="C631" s="57" t="s">
        <v>914</v>
      </c>
      <c r="D631" s="57"/>
    </row>
    <row r="632" spans="1:5">
      <c r="A632" s="69"/>
      <c r="B632" s="69"/>
      <c r="C632" s="57" t="s">
        <v>915</v>
      </c>
      <c r="D632" s="57"/>
    </row>
    <row r="633" spans="1:5">
      <c r="A633" s="70"/>
      <c r="B633" s="70"/>
      <c r="C633" s="57" t="s">
        <v>145</v>
      </c>
      <c r="D633" s="57"/>
    </row>
    <row r="634" spans="1:5">
      <c r="A634" s="64"/>
      <c r="B634" s="119" t="s">
        <v>194</v>
      </c>
      <c r="C634" s="55" t="s">
        <v>916</v>
      </c>
      <c r="D634" s="55" t="s">
        <v>917</v>
      </c>
    </row>
    <row r="635" spans="1:5">
      <c r="A635" s="64"/>
      <c r="B635" s="119"/>
      <c r="C635" s="55" t="s">
        <v>918</v>
      </c>
      <c r="D635" s="55" t="s">
        <v>919</v>
      </c>
    </row>
    <row r="636" spans="1:5">
      <c r="A636" s="64"/>
      <c r="B636" s="119"/>
      <c r="C636" s="55" t="s">
        <v>920</v>
      </c>
      <c r="D636" s="55" t="s">
        <v>921</v>
      </c>
    </row>
    <row r="637" spans="1:5">
      <c r="A637" s="64"/>
      <c r="B637" s="119"/>
      <c r="C637" s="55" t="s">
        <v>922</v>
      </c>
      <c r="D637" s="55" t="s">
        <v>923</v>
      </c>
    </row>
    <row r="638" spans="1:5">
      <c r="A638" s="64"/>
      <c r="B638" s="119"/>
      <c r="C638" s="55" t="s">
        <v>924</v>
      </c>
      <c r="D638" s="55" t="s">
        <v>925</v>
      </c>
    </row>
    <row r="639" spans="1:5">
      <c r="A639" s="64"/>
      <c r="B639" s="119"/>
      <c r="C639" s="55" t="s">
        <v>926</v>
      </c>
      <c r="D639" s="55" t="s">
        <v>927</v>
      </c>
    </row>
    <row r="640" spans="1:5">
      <c r="A640" s="64"/>
      <c r="B640" s="119"/>
      <c r="C640" s="55" t="s">
        <v>928</v>
      </c>
      <c r="D640" s="55" t="s">
        <v>929</v>
      </c>
    </row>
    <row r="641" spans="1:4">
      <c r="A641" s="64"/>
      <c r="B641" s="119"/>
      <c r="C641" s="55" t="s">
        <v>930</v>
      </c>
      <c r="D641" s="55" t="s">
        <v>930</v>
      </c>
    </row>
    <row r="642" spans="1:4">
      <c r="A642" s="64"/>
      <c r="B642" s="119"/>
      <c r="C642" s="55" t="s">
        <v>145</v>
      </c>
      <c r="D642" s="55"/>
    </row>
    <row r="643" spans="1:4">
      <c r="A643" s="71"/>
      <c r="B643" s="71" t="s">
        <v>931</v>
      </c>
      <c r="C643" s="57" t="s">
        <v>932</v>
      </c>
      <c r="D643" s="57" t="s">
        <v>933</v>
      </c>
    </row>
    <row r="644" spans="1:4">
      <c r="A644" s="72"/>
      <c r="B644" s="72"/>
      <c r="C644" s="57" t="s">
        <v>205</v>
      </c>
      <c r="D644" s="57" t="s">
        <v>934</v>
      </c>
    </row>
    <row r="645" spans="1:4">
      <c r="A645" s="72"/>
      <c r="B645" s="72"/>
      <c r="C645" s="57" t="s">
        <v>935</v>
      </c>
      <c r="D645" s="57" t="s">
        <v>936</v>
      </c>
    </row>
    <row r="646" spans="1:4">
      <c r="A646" s="72"/>
      <c r="B646" s="72"/>
      <c r="C646" s="57" t="s">
        <v>937</v>
      </c>
      <c r="D646" s="57" t="s">
        <v>938</v>
      </c>
    </row>
    <row r="647" spans="1:4">
      <c r="A647" s="72"/>
      <c r="B647" s="72"/>
      <c r="C647" s="57" t="s">
        <v>939</v>
      </c>
      <c r="D647" s="57"/>
    </row>
    <row r="648" spans="1:4">
      <c r="A648" s="73"/>
      <c r="B648" s="73"/>
      <c r="C648" s="57" t="s">
        <v>145</v>
      </c>
      <c r="D648" s="57"/>
    </row>
    <row r="649" spans="1:4">
      <c r="A649" s="64"/>
      <c r="B649" s="119" t="s">
        <v>185</v>
      </c>
      <c r="C649" s="55" t="s">
        <v>940</v>
      </c>
      <c r="D649" s="55"/>
    </row>
    <row r="650" spans="1:4">
      <c r="A650" s="64"/>
      <c r="B650" s="119"/>
      <c r="C650" s="55" t="s">
        <v>941</v>
      </c>
      <c r="D650" s="55"/>
    </row>
    <row r="651" spans="1:4">
      <c r="A651" s="64"/>
      <c r="B651" s="119"/>
      <c r="C651" s="55" t="s">
        <v>942</v>
      </c>
      <c r="D651" s="55"/>
    </row>
    <row r="652" spans="1:4">
      <c r="A652" s="64"/>
      <c r="B652" s="119"/>
      <c r="C652" s="55" t="s">
        <v>206</v>
      </c>
      <c r="D652" s="55"/>
    </row>
    <row r="653" spans="1:4">
      <c r="A653" s="64"/>
      <c r="B653" s="119"/>
      <c r="C653" s="55" t="s">
        <v>145</v>
      </c>
      <c r="D653" s="55"/>
    </row>
    <row r="654" spans="1:4">
      <c r="A654" s="71"/>
      <c r="B654" s="71" t="s">
        <v>186</v>
      </c>
      <c r="C654" s="57" t="s">
        <v>943</v>
      </c>
      <c r="D654" s="57"/>
    </row>
    <row r="655" spans="1:4">
      <c r="A655" s="72"/>
      <c r="B655" s="72"/>
      <c r="C655" s="57" t="s">
        <v>208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944</v>
      </c>
      <c r="D657" s="55"/>
    </row>
    <row r="658" spans="1:6">
      <c r="A658" s="71"/>
      <c r="B658" s="71" t="s">
        <v>945</v>
      </c>
      <c r="C658" s="57" t="s">
        <v>946</v>
      </c>
      <c r="D658" s="57"/>
    </row>
    <row r="659" spans="1:6">
      <c r="A659" s="72"/>
      <c r="B659" s="72"/>
      <c r="C659" s="57" t="s">
        <v>947</v>
      </c>
      <c r="D659" s="57"/>
    </row>
    <row r="660" spans="1:6">
      <c r="A660" s="72"/>
      <c r="B660" s="72"/>
      <c r="C660" s="57" t="s">
        <v>948</v>
      </c>
      <c r="D660" s="57"/>
    </row>
    <row r="661" spans="1:6">
      <c r="A661" s="72"/>
      <c r="B661" s="72"/>
      <c r="C661" s="57" t="s">
        <v>949</v>
      </c>
      <c r="D661" s="57"/>
    </row>
    <row r="662" spans="1:6">
      <c r="A662" s="72"/>
      <c r="B662" s="72"/>
      <c r="C662" s="57" t="s">
        <v>950</v>
      </c>
      <c r="D662" s="57"/>
    </row>
    <row r="663" spans="1:6">
      <c r="A663" s="72"/>
      <c r="B663" s="72"/>
      <c r="C663" s="57" t="s">
        <v>951</v>
      </c>
      <c r="D663" s="57"/>
    </row>
    <row r="664" spans="1:6">
      <c r="A664" s="72"/>
      <c r="B664" s="72"/>
      <c r="C664" s="57" t="s">
        <v>145</v>
      </c>
      <c r="D664" s="57"/>
    </row>
    <row r="665" spans="1:6">
      <c r="A665" s="73"/>
      <c r="B665" s="73"/>
      <c r="C665" s="57" t="s">
        <v>952</v>
      </c>
      <c r="D665" s="57"/>
    </row>
    <row r="666" spans="1:6">
      <c r="A666" s="64"/>
      <c r="B666" s="119" t="s">
        <v>953</v>
      </c>
      <c r="C666" s="55" t="s">
        <v>954</v>
      </c>
      <c r="D666" s="55"/>
    </row>
    <row r="667" spans="1:6">
      <c r="A667" s="64"/>
      <c r="B667" s="119"/>
      <c r="C667" s="55" t="s">
        <v>955</v>
      </c>
      <c r="D667" s="55"/>
      <c r="F667" s="8"/>
    </row>
    <row r="668" spans="1:6">
      <c r="A668" s="71"/>
      <c r="B668" s="71" t="s">
        <v>956</v>
      </c>
      <c r="C668" s="57" t="s">
        <v>957</v>
      </c>
      <c r="D668" s="57"/>
    </row>
    <row r="669" spans="1:6">
      <c r="A669" s="72"/>
      <c r="B669" s="72"/>
      <c r="C669" s="57" t="s">
        <v>958</v>
      </c>
      <c r="D669" s="57"/>
    </row>
    <row r="670" spans="1:6">
      <c r="A670" s="72"/>
      <c r="B670" s="72"/>
      <c r="C670" s="57" t="s">
        <v>959</v>
      </c>
      <c r="D670" s="57"/>
    </row>
    <row r="671" spans="1:6">
      <c r="A671" s="72"/>
      <c r="B671" s="72"/>
      <c r="C671" s="57" t="s">
        <v>960</v>
      </c>
      <c r="D671" s="57"/>
    </row>
    <row r="672" spans="1:6">
      <c r="A672" s="72"/>
      <c r="B672" s="72"/>
      <c r="C672" s="57" t="s">
        <v>961</v>
      </c>
      <c r="D672" s="57"/>
    </row>
    <row r="673" spans="1:4">
      <c r="A673" s="72"/>
      <c r="B673" s="72"/>
      <c r="C673" s="57" t="s">
        <v>962</v>
      </c>
      <c r="D673" s="57"/>
    </row>
    <row r="674" spans="1:4">
      <c r="A674" s="72"/>
      <c r="B674" s="72"/>
      <c r="C674" s="57" t="s">
        <v>963</v>
      </c>
      <c r="D674" s="57"/>
    </row>
    <row r="675" spans="1:4">
      <c r="A675" s="72"/>
      <c r="B675" s="72"/>
      <c r="C675" s="57" t="s">
        <v>964</v>
      </c>
      <c r="D675" s="57"/>
    </row>
    <row r="676" spans="1:4">
      <c r="A676" s="72"/>
      <c r="B676" s="72"/>
      <c r="C676" s="57" t="s">
        <v>965</v>
      </c>
      <c r="D676" s="57"/>
    </row>
    <row r="677" spans="1:4">
      <c r="A677" s="72"/>
      <c r="B677" s="72"/>
      <c r="C677" s="57" t="s">
        <v>966</v>
      </c>
      <c r="D677" s="57"/>
    </row>
    <row r="678" spans="1:4">
      <c r="A678" s="72"/>
      <c r="B678" s="72"/>
      <c r="C678" s="57" t="s">
        <v>617</v>
      </c>
      <c r="D678" s="57"/>
    </row>
    <row r="679" spans="1:4">
      <c r="A679" s="73"/>
      <c r="B679" s="73"/>
      <c r="C679" s="57" t="s">
        <v>952</v>
      </c>
      <c r="D679" s="57"/>
    </row>
    <row r="680" spans="1:4">
      <c r="A680" s="93"/>
      <c r="B680" s="93" t="s">
        <v>967</v>
      </c>
      <c r="C680" s="55" t="s">
        <v>946</v>
      </c>
      <c r="D680" s="55"/>
    </row>
    <row r="681" spans="1:4">
      <c r="A681" s="95"/>
      <c r="B681" s="95"/>
      <c r="C681" s="55" t="s">
        <v>947</v>
      </c>
      <c r="D681" s="55"/>
    </row>
    <row r="682" spans="1:4">
      <c r="A682" s="95"/>
      <c r="B682" s="95"/>
      <c r="C682" s="55" t="s">
        <v>948</v>
      </c>
      <c r="D682" s="55"/>
    </row>
    <row r="683" spans="1:4">
      <c r="A683" s="95"/>
      <c r="B683" s="95"/>
      <c r="C683" s="55" t="s">
        <v>949</v>
      </c>
      <c r="D683" s="55"/>
    </row>
    <row r="684" spans="1:4">
      <c r="A684" s="95"/>
      <c r="B684" s="95"/>
      <c r="C684" s="55" t="s">
        <v>950</v>
      </c>
      <c r="D684" s="55"/>
    </row>
    <row r="685" spans="1:4">
      <c r="A685" s="95"/>
      <c r="B685" s="95"/>
      <c r="C685" s="55" t="s">
        <v>951</v>
      </c>
      <c r="D685" s="55"/>
    </row>
    <row r="686" spans="1:4">
      <c r="A686" s="95"/>
      <c r="B686" s="95"/>
      <c r="C686" s="55" t="s">
        <v>145</v>
      </c>
      <c r="D686" s="55"/>
    </row>
    <row r="687" spans="1:4">
      <c r="A687" s="95"/>
      <c r="B687" s="95"/>
      <c r="C687" s="55" t="s">
        <v>952</v>
      </c>
      <c r="D687" s="55"/>
    </row>
    <row r="688" spans="1:4">
      <c r="A688" s="71"/>
      <c r="B688" s="68" t="s">
        <v>968</v>
      </c>
      <c r="C688" s="57" t="s">
        <v>969</v>
      </c>
      <c r="D688" s="57"/>
    </row>
    <row r="689" spans="1:4">
      <c r="A689" s="72"/>
      <c r="B689" s="70"/>
      <c r="C689" s="57" t="s">
        <v>970</v>
      </c>
      <c r="D689" s="57"/>
    </row>
    <row r="690" spans="1:4">
      <c r="A690" s="93"/>
      <c r="B690" s="93" t="s">
        <v>971</v>
      </c>
      <c r="C690" s="55" t="s">
        <v>972</v>
      </c>
      <c r="D690" s="55"/>
    </row>
    <row r="691" spans="1:4">
      <c r="A691" s="95"/>
      <c r="B691" s="95"/>
      <c r="C691" s="55" t="s">
        <v>973</v>
      </c>
      <c r="D691" s="55"/>
    </row>
    <row r="692" spans="1:4">
      <c r="A692" s="71"/>
      <c r="B692" s="71" t="s">
        <v>974</v>
      </c>
      <c r="C692" s="57" t="s">
        <v>975</v>
      </c>
      <c r="D692" s="57"/>
    </row>
    <row r="693" spans="1:4">
      <c r="A693" s="72"/>
      <c r="B693" s="72"/>
      <c r="C693" s="57" t="s">
        <v>794</v>
      </c>
      <c r="D693" s="57"/>
    </row>
    <row r="694" spans="1:4">
      <c r="A694" s="72"/>
      <c r="B694" s="72"/>
      <c r="C694" s="57" t="s">
        <v>976</v>
      </c>
      <c r="D694" s="57"/>
    </row>
    <row r="695" spans="1:4">
      <c r="A695" s="72"/>
      <c r="B695" s="72"/>
      <c r="C695" s="57" t="s">
        <v>977</v>
      </c>
      <c r="D695" s="57"/>
    </row>
    <row r="696" spans="1:4">
      <c r="A696" s="72"/>
      <c r="B696" s="72"/>
      <c r="C696" s="57" t="s">
        <v>978</v>
      </c>
      <c r="D696" s="57"/>
    </row>
    <row r="697" spans="1:4">
      <c r="A697" s="72"/>
      <c r="B697" s="72"/>
      <c r="C697" s="57" t="s">
        <v>184</v>
      </c>
      <c r="D697" s="57"/>
    </row>
    <row r="698" spans="1:4">
      <c r="A698" s="72"/>
      <c r="B698" s="72"/>
      <c r="C698" s="57" t="s">
        <v>979</v>
      </c>
      <c r="D698" s="57"/>
    </row>
    <row r="699" spans="1:4">
      <c r="A699" s="72"/>
      <c r="B699" s="72"/>
      <c r="C699" s="57" t="s">
        <v>980</v>
      </c>
      <c r="D699" s="57"/>
    </row>
    <row r="700" spans="1:4">
      <c r="A700" s="72"/>
      <c r="B700" s="72"/>
      <c r="C700" s="57" t="s">
        <v>145</v>
      </c>
      <c r="D700" s="57"/>
    </row>
    <row r="701" spans="1:4">
      <c r="A701" s="93"/>
      <c r="B701" s="93" t="s">
        <v>981</v>
      </c>
      <c r="C701" s="55" t="s">
        <v>483</v>
      </c>
      <c r="D701" s="55"/>
    </row>
    <row r="702" spans="1:4">
      <c r="A702" s="95"/>
      <c r="B702" s="95"/>
      <c r="C702" s="55" t="s">
        <v>484</v>
      </c>
      <c r="D702" s="55"/>
    </row>
    <row r="703" spans="1:4">
      <c r="A703" s="95"/>
      <c r="B703" s="95"/>
      <c r="C703" s="55" t="s">
        <v>485</v>
      </c>
      <c r="D703" s="55"/>
    </row>
    <row r="704" spans="1:4">
      <c r="A704" s="95"/>
      <c r="B704" s="95"/>
      <c r="C704" s="55" t="s">
        <v>486</v>
      </c>
      <c r="D704" s="55"/>
    </row>
    <row r="705" spans="1:5">
      <c r="A705" s="95"/>
      <c r="B705" s="95"/>
      <c r="C705" s="55" t="s">
        <v>487</v>
      </c>
      <c r="D705" s="55"/>
    </row>
    <row r="706" spans="1:5">
      <c r="A706" s="95"/>
      <c r="B706" s="95"/>
      <c r="C706" s="55" t="s">
        <v>488</v>
      </c>
      <c r="D706" s="55"/>
    </row>
    <row r="707" spans="1:5">
      <c r="A707" s="95"/>
      <c r="B707" s="95"/>
      <c r="C707" s="55" t="s">
        <v>490</v>
      </c>
      <c r="D707" s="55"/>
    </row>
    <row r="708" spans="1:5">
      <c r="A708" s="95"/>
      <c r="B708" s="95"/>
      <c r="C708" s="55" t="s">
        <v>491</v>
      </c>
      <c r="D708" s="55"/>
    </row>
    <row r="709" spans="1:5">
      <c r="A709" s="95"/>
      <c r="B709" s="95"/>
      <c r="C709" s="55" t="s">
        <v>492</v>
      </c>
      <c r="D709" s="55"/>
    </row>
    <row r="710" spans="1:5">
      <c r="A710" s="95"/>
      <c r="B710" s="95"/>
      <c r="C710" s="55" t="s">
        <v>493</v>
      </c>
      <c r="D710" s="55"/>
    </row>
    <row r="711" spans="1:5">
      <c r="A711" s="95"/>
      <c r="B711" s="95"/>
      <c r="C711" s="55" t="s">
        <v>494</v>
      </c>
      <c r="D711" s="55"/>
    </row>
    <row r="712" spans="1:5">
      <c r="A712" s="95"/>
      <c r="B712" s="95"/>
      <c r="C712" s="55" t="s">
        <v>495</v>
      </c>
      <c r="D712" s="55"/>
    </row>
    <row r="713" spans="1:5">
      <c r="A713" s="95"/>
      <c r="B713" s="95"/>
      <c r="C713" s="55" t="s">
        <v>496</v>
      </c>
      <c r="D713" s="55"/>
    </row>
    <row r="714" spans="1:5">
      <c r="A714" s="95"/>
      <c r="B714" s="95"/>
      <c r="C714" s="55" t="s">
        <v>497</v>
      </c>
      <c r="D714" s="55"/>
    </row>
    <row r="715" spans="1:5">
      <c r="A715" s="95"/>
      <c r="B715" s="95"/>
      <c r="C715" s="55" t="s">
        <v>498</v>
      </c>
      <c r="D715" s="55"/>
    </row>
    <row r="716" spans="1:5">
      <c r="A716" s="95"/>
      <c r="B716" s="95"/>
      <c r="C716" s="55" t="s">
        <v>499</v>
      </c>
      <c r="D716" s="55" t="s">
        <v>500</v>
      </c>
      <c r="E716" t="s">
        <v>269</v>
      </c>
    </row>
    <row r="717" spans="1:5">
      <c r="A717" s="95"/>
      <c r="B717" s="95"/>
      <c r="C717" s="55" t="s">
        <v>501</v>
      </c>
      <c r="D717" s="55"/>
    </row>
    <row r="718" spans="1:5">
      <c r="A718" s="95"/>
      <c r="B718" s="95"/>
      <c r="C718" s="55" t="s">
        <v>502</v>
      </c>
      <c r="D718" s="55"/>
    </row>
    <row r="719" spans="1:5">
      <c r="A719" s="95"/>
      <c r="B719" s="95"/>
      <c r="C719" s="55" t="s">
        <v>503</v>
      </c>
      <c r="D719" s="55"/>
    </row>
    <row r="720" spans="1:5">
      <c r="A720" s="95"/>
      <c r="B720" s="95"/>
      <c r="C720" s="55" t="s">
        <v>504</v>
      </c>
      <c r="D720" s="55"/>
    </row>
    <row r="721" spans="1:4">
      <c r="A721" s="95"/>
      <c r="B721" s="95"/>
      <c r="C721" s="55" t="s">
        <v>505</v>
      </c>
      <c r="D721" s="55"/>
    </row>
    <row r="722" spans="1:4">
      <c r="A722" s="95"/>
      <c r="B722" s="95"/>
      <c r="C722" s="55" t="s">
        <v>506</v>
      </c>
      <c r="D722" s="55"/>
    </row>
    <row r="723" spans="1:4">
      <c r="A723" s="95"/>
      <c r="B723" s="95"/>
      <c r="C723" s="55" t="s">
        <v>507</v>
      </c>
      <c r="D723" s="55"/>
    </row>
    <row r="724" spans="1:4">
      <c r="A724" s="95"/>
      <c r="B724" s="95"/>
      <c r="C724" s="55" t="s">
        <v>508</v>
      </c>
      <c r="D724" s="55"/>
    </row>
    <row r="725" spans="1:4">
      <c r="A725" s="95"/>
      <c r="B725" s="95"/>
      <c r="C725" s="55" t="s">
        <v>509</v>
      </c>
      <c r="D725" s="55"/>
    </row>
    <row r="726" spans="1:4">
      <c r="A726" s="95"/>
      <c r="B726" s="95"/>
      <c r="C726" s="55" t="s">
        <v>510</v>
      </c>
      <c r="D726" s="55"/>
    </row>
    <row r="727" spans="1:4">
      <c r="A727" s="95"/>
      <c r="B727" s="95"/>
      <c r="C727" s="55" t="s">
        <v>511</v>
      </c>
      <c r="D727" s="55"/>
    </row>
    <row r="728" spans="1:4">
      <c r="A728" s="95"/>
      <c r="B728" s="95"/>
      <c r="C728" s="55" t="s">
        <v>512</v>
      </c>
      <c r="D728" s="55"/>
    </row>
    <row r="729" spans="1:4">
      <c r="A729" s="95"/>
      <c r="B729" s="95"/>
      <c r="C729" s="55" t="s">
        <v>513</v>
      </c>
      <c r="D729" s="55"/>
    </row>
    <row r="730" spans="1:4">
      <c r="A730" s="95"/>
      <c r="B730" s="95"/>
      <c r="C730" s="55" t="s">
        <v>514</v>
      </c>
      <c r="D730" s="55"/>
    </row>
    <row r="731" spans="1:4">
      <c r="A731" s="95"/>
      <c r="B731" s="95"/>
      <c r="C731" s="55" t="s">
        <v>515</v>
      </c>
      <c r="D731" s="55"/>
    </row>
    <row r="732" spans="1:4">
      <c r="A732" s="95"/>
      <c r="B732" s="95"/>
      <c r="C732" s="55" t="s">
        <v>516</v>
      </c>
      <c r="D732" s="55"/>
    </row>
    <row r="733" spans="1:4">
      <c r="A733" s="95"/>
      <c r="B733" s="95"/>
      <c r="C733" s="55" t="s">
        <v>517</v>
      </c>
      <c r="D733" s="55"/>
    </row>
    <row r="734" spans="1:4">
      <c r="A734" s="95"/>
      <c r="B734" s="95"/>
      <c r="C734" s="55" t="s">
        <v>518</v>
      </c>
      <c r="D734" s="55"/>
    </row>
    <row r="735" spans="1:4">
      <c r="A735" s="95"/>
      <c r="B735" s="95"/>
      <c r="C735" s="55" t="s">
        <v>519</v>
      </c>
      <c r="D735" s="55"/>
    </row>
    <row r="736" spans="1:4">
      <c r="A736" s="95"/>
      <c r="B736" s="95"/>
      <c r="C736" s="55" t="s">
        <v>520</v>
      </c>
      <c r="D736" s="55"/>
    </row>
    <row r="737" spans="1:4">
      <c r="A737" s="95"/>
      <c r="B737" s="95"/>
      <c r="C737" s="55" t="s">
        <v>521</v>
      </c>
      <c r="D737" s="55"/>
    </row>
    <row r="738" spans="1:4">
      <c r="A738" s="95"/>
      <c r="B738" s="95"/>
      <c r="C738" s="55" t="s">
        <v>522</v>
      </c>
      <c r="D738" s="55"/>
    </row>
    <row r="739" spans="1:4">
      <c r="A739" s="95"/>
      <c r="B739" s="95"/>
      <c r="C739" s="55" t="s">
        <v>523</v>
      </c>
      <c r="D739" s="55"/>
    </row>
    <row r="740" spans="1:4">
      <c r="A740" s="95"/>
      <c r="B740" s="95"/>
      <c r="C740" s="55" t="s">
        <v>524</v>
      </c>
      <c r="D740" s="55"/>
    </row>
    <row r="741" spans="1:4">
      <c r="A741" s="95"/>
      <c r="B741" s="95"/>
      <c r="C741" s="55" t="s">
        <v>525</v>
      </c>
      <c r="D741" s="55"/>
    </row>
    <row r="742" spans="1:4">
      <c r="A742" s="95"/>
      <c r="B742" s="95"/>
      <c r="C742" s="55" t="s">
        <v>526</v>
      </c>
      <c r="D742" s="55"/>
    </row>
    <row r="743" spans="1:4">
      <c r="A743" s="95"/>
      <c r="B743" s="95"/>
      <c r="C743" s="55" t="s">
        <v>527</v>
      </c>
      <c r="D743" s="55"/>
    </row>
    <row r="744" spans="1:4">
      <c r="A744" s="95"/>
      <c r="B744" s="95"/>
      <c r="C744" s="55" t="s">
        <v>528</v>
      </c>
      <c r="D744" s="55"/>
    </row>
    <row r="745" spans="1:4">
      <c r="A745" s="95"/>
      <c r="B745" s="95"/>
      <c r="C745" s="55" t="s">
        <v>529</v>
      </c>
      <c r="D745" s="55"/>
    </row>
    <row r="746" spans="1:4">
      <c r="A746" s="95"/>
      <c r="B746" s="95"/>
      <c r="C746" s="55" t="s">
        <v>530</v>
      </c>
      <c r="D746" s="55"/>
    </row>
    <row r="747" spans="1:4">
      <c r="A747" s="95"/>
      <c r="B747" s="95"/>
      <c r="C747" s="55" t="s">
        <v>531</v>
      </c>
      <c r="D747" s="55"/>
    </row>
    <row r="748" spans="1:4">
      <c r="A748" s="95"/>
      <c r="B748" s="95"/>
      <c r="C748" s="55" t="s">
        <v>532</v>
      </c>
      <c r="D748" s="55"/>
    </row>
    <row r="749" spans="1:4">
      <c r="A749" s="95"/>
      <c r="B749" s="95"/>
      <c r="C749" s="55" t="s">
        <v>533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262</v>
      </c>
      <c r="D751" s="55"/>
    </row>
    <row r="752" spans="1:4">
      <c r="A752" s="95"/>
      <c r="B752" s="95"/>
      <c r="C752" s="55" t="s">
        <v>263</v>
      </c>
      <c r="D752" s="55"/>
    </row>
    <row r="753" spans="1:4">
      <c r="A753" s="95"/>
      <c r="B753" s="95"/>
      <c r="C753" s="55" t="s">
        <v>264</v>
      </c>
      <c r="D753" s="55"/>
    </row>
    <row r="754" spans="1:4">
      <c r="A754" s="95"/>
      <c r="B754" s="95"/>
      <c r="C754" s="55" t="s">
        <v>265</v>
      </c>
      <c r="D754" s="55"/>
    </row>
    <row r="755" spans="1:4">
      <c r="A755" s="95"/>
      <c r="B755" s="95"/>
      <c r="C755" s="55" t="s">
        <v>266</v>
      </c>
      <c r="D755" s="55"/>
    </row>
    <row r="756" spans="1:4">
      <c r="A756" s="95"/>
      <c r="B756" s="95"/>
      <c r="C756" s="55" t="s">
        <v>267</v>
      </c>
      <c r="D756" s="55"/>
    </row>
    <row r="757" spans="1:4">
      <c r="A757" s="95"/>
      <c r="B757" s="95"/>
      <c r="C757" s="55" t="s">
        <v>268</v>
      </c>
      <c r="D757" s="55"/>
    </row>
    <row r="758" spans="1:4">
      <c r="A758" s="95"/>
      <c r="B758" s="95"/>
      <c r="C758" s="55" t="s">
        <v>270</v>
      </c>
      <c r="D758" s="55"/>
    </row>
    <row r="759" spans="1:4">
      <c r="A759" s="95"/>
      <c r="B759" s="95"/>
      <c r="C759" s="55" t="s">
        <v>271</v>
      </c>
      <c r="D759" s="55"/>
    </row>
    <row r="760" spans="1:4">
      <c r="A760" s="95"/>
      <c r="B760" s="95"/>
      <c r="C760" s="55" t="s">
        <v>272</v>
      </c>
      <c r="D760" s="55"/>
    </row>
    <row r="761" spans="1:4">
      <c r="A761" s="95"/>
      <c r="B761" s="95"/>
      <c r="C761" s="55" t="s">
        <v>273</v>
      </c>
      <c r="D761" s="55"/>
    </row>
    <row r="762" spans="1:4">
      <c r="A762" s="95"/>
      <c r="B762" s="95"/>
      <c r="C762" s="55" t="s">
        <v>274</v>
      </c>
      <c r="D762" s="55"/>
    </row>
    <row r="763" spans="1:4">
      <c r="A763" s="95"/>
      <c r="B763" s="95"/>
      <c r="C763" s="55" t="s">
        <v>275</v>
      </c>
      <c r="D763" s="55"/>
    </row>
    <row r="764" spans="1:4">
      <c r="A764" s="95"/>
      <c r="B764" s="95"/>
      <c r="C764" s="55" t="s">
        <v>276</v>
      </c>
      <c r="D764" s="55"/>
    </row>
    <row r="765" spans="1:4">
      <c r="A765" s="95"/>
      <c r="B765" s="95"/>
      <c r="C765" s="55" t="s">
        <v>277</v>
      </c>
      <c r="D765" s="55"/>
    </row>
    <row r="766" spans="1:4">
      <c r="A766" s="95"/>
      <c r="B766" s="95"/>
      <c r="C766" s="55" t="s">
        <v>278</v>
      </c>
      <c r="D766" s="55"/>
    </row>
    <row r="767" spans="1:4">
      <c r="A767" s="95"/>
      <c r="B767" s="95"/>
      <c r="C767" s="55" t="s">
        <v>91</v>
      </c>
      <c r="D767" s="55"/>
    </row>
    <row r="768" spans="1:4">
      <c r="A768" s="95"/>
      <c r="B768" s="95"/>
      <c r="C768" s="55" t="s">
        <v>279</v>
      </c>
      <c r="D768" s="55"/>
    </row>
    <row r="769" spans="1:5">
      <c r="A769" s="95"/>
      <c r="B769" s="95"/>
      <c r="C769" s="55" t="s">
        <v>280</v>
      </c>
      <c r="D769" s="55"/>
    </row>
    <row r="770" spans="1:5">
      <c r="A770" s="95"/>
      <c r="B770" s="95"/>
      <c r="C770" s="55" t="s">
        <v>281</v>
      </c>
      <c r="D770" s="55"/>
    </row>
    <row r="771" spans="1:5">
      <c r="A771" s="95"/>
      <c r="B771" s="95"/>
      <c r="C771" s="55" t="s">
        <v>282</v>
      </c>
      <c r="D771" s="55"/>
    </row>
    <row r="772" spans="1:5">
      <c r="A772" s="95"/>
      <c r="B772" s="95"/>
      <c r="C772" s="55" t="s">
        <v>283</v>
      </c>
      <c r="D772" s="55"/>
    </row>
    <row r="773" spans="1:5">
      <c r="A773" s="95"/>
      <c r="B773" s="95"/>
      <c r="C773" s="55" t="s">
        <v>284</v>
      </c>
      <c r="D773" s="55"/>
    </row>
    <row r="774" spans="1:5">
      <c r="A774" s="95"/>
      <c r="B774" s="95"/>
      <c r="C774" s="55" t="s">
        <v>285</v>
      </c>
      <c r="D774" s="55"/>
    </row>
    <row r="775" spans="1:5">
      <c r="A775" s="95"/>
      <c r="B775" s="95"/>
      <c r="C775" s="55" t="s">
        <v>286</v>
      </c>
      <c r="D775" s="55"/>
    </row>
    <row r="776" spans="1:5">
      <c r="A776" s="95"/>
      <c r="B776" s="95"/>
      <c r="C776" s="55" t="s">
        <v>287</v>
      </c>
      <c r="D776" s="55"/>
    </row>
    <row r="777" spans="1:5">
      <c r="A777" s="95"/>
      <c r="B777" s="95"/>
      <c r="C777" s="55" t="s">
        <v>288</v>
      </c>
      <c r="D777" s="55"/>
    </row>
    <row r="778" spans="1:5">
      <c r="A778" s="95"/>
      <c r="B778" s="95"/>
      <c r="C778" s="55" t="s">
        <v>289</v>
      </c>
      <c r="D778" s="55"/>
    </row>
    <row r="779" spans="1:5">
      <c r="A779" s="95"/>
      <c r="B779" s="95"/>
      <c r="C779" s="55" t="s">
        <v>290</v>
      </c>
      <c r="D779" s="55"/>
    </row>
    <row r="780" spans="1:5">
      <c r="A780" s="95"/>
      <c r="B780" s="95"/>
      <c r="C780" s="55" t="s">
        <v>291</v>
      </c>
      <c r="D780" s="55"/>
    </row>
    <row r="781" spans="1:5">
      <c r="A781" s="95"/>
      <c r="B781" s="95"/>
      <c r="C781" s="55" t="s">
        <v>292</v>
      </c>
      <c r="D781" s="55"/>
    </row>
    <row r="782" spans="1:5">
      <c r="A782" s="95"/>
      <c r="B782" s="95"/>
      <c r="C782" s="55" t="s">
        <v>293</v>
      </c>
      <c r="D782" s="55"/>
      <c r="E782" t="s">
        <v>269</v>
      </c>
    </row>
    <row r="783" spans="1:5">
      <c r="A783" s="95"/>
      <c r="B783" s="95"/>
      <c r="C783" s="55" t="s">
        <v>294</v>
      </c>
      <c r="D783" s="55"/>
      <c r="E783" t="s">
        <v>269</v>
      </c>
    </row>
    <row r="784" spans="1:5">
      <c r="A784" s="95"/>
      <c r="B784" s="95"/>
      <c r="C784" s="55" t="s">
        <v>297</v>
      </c>
      <c r="D784" s="55"/>
      <c r="E784" t="s">
        <v>269</v>
      </c>
    </row>
    <row r="785" spans="1:5">
      <c r="A785" s="95"/>
      <c r="B785" s="95"/>
      <c r="C785" s="55" t="s">
        <v>298</v>
      </c>
      <c r="D785" s="55"/>
    </row>
    <row r="786" spans="1:5">
      <c r="A786" s="95"/>
      <c r="B786" s="95"/>
      <c r="C786" s="55" t="s">
        <v>299</v>
      </c>
      <c r="D786" s="55"/>
    </row>
    <row r="787" spans="1:5">
      <c r="A787" s="95"/>
      <c r="B787" s="95"/>
      <c r="C787" s="55" t="s">
        <v>300</v>
      </c>
      <c r="D787" s="55"/>
    </row>
    <row r="788" spans="1:5">
      <c r="A788" s="95"/>
      <c r="B788" s="95"/>
      <c r="C788" s="55" t="s">
        <v>301</v>
      </c>
      <c r="D788" s="55"/>
    </row>
    <row r="789" spans="1:5">
      <c r="A789" s="95"/>
      <c r="B789" s="95"/>
      <c r="C789" s="55" t="s">
        <v>302</v>
      </c>
      <c r="D789" s="55"/>
    </row>
    <row r="790" spans="1:5">
      <c r="A790" s="95"/>
      <c r="B790" s="95"/>
      <c r="C790" s="55" t="s">
        <v>303</v>
      </c>
      <c r="D790" s="55"/>
      <c r="E790" t="s">
        <v>269</v>
      </c>
    </row>
    <row r="791" spans="1:5">
      <c r="A791" s="95"/>
      <c r="B791" s="95"/>
      <c r="C791" s="55" t="s">
        <v>304</v>
      </c>
      <c r="D791" s="55"/>
    </row>
    <row r="792" spans="1:5">
      <c r="A792" s="95"/>
      <c r="B792" s="95"/>
      <c r="C792" s="55" t="s">
        <v>305</v>
      </c>
      <c r="D792" s="55"/>
    </row>
    <row r="793" spans="1:5">
      <c r="A793" s="95"/>
      <c r="B793" s="95"/>
      <c r="C793" s="55" t="s">
        <v>306</v>
      </c>
      <c r="D793" s="55"/>
    </row>
    <row r="794" spans="1:5">
      <c r="A794" s="95"/>
      <c r="B794" s="95"/>
      <c r="C794" s="55" t="s">
        <v>982</v>
      </c>
      <c r="D794" s="55"/>
    </row>
    <row r="795" spans="1:5">
      <c r="A795" s="95"/>
      <c r="B795" s="95"/>
      <c r="C795" s="55" t="s">
        <v>307</v>
      </c>
      <c r="D795" s="55"/>
    </row>
    <row r="796" spans="1:5">
      <c r="A796" s="95"/>
      <c r="B796" s="95"/>
      <c r="C796" s="55" t="s">
        <v>308</v>
      </c>
      <c r="D796" s="55"/>
    </row>
    <row r="797" spans="1:5">
      <c r="A797" s="95"/>
      <c r="B797" s="95"/>
      <c r="C797" s="55" t="s">
        <v>309</v>
      </c>
      <c r="D797" s="55"/>
    </row>
    <row r="798" spans="1:5">
      <c r="A798" s="95"/>
      <c r="B798" s="95"/>
      <c r="C798" s="55" t="s">
        <v>310</v>
      </c>
      <c r="D798" s="55"/>
    </row>
    <row r="799" spans="1:5">
      <c r="A799" s="95"/>
      <c r="B799" s="95"/>
      <c r="C799" s="55" t="s">
        <v>311</v>
      </c>
      <c r="D799" s="55"/>
    </row>
    <row r="800" spans="1:5">
      <c r="A800" s="95"/>
      <c r="B800" s="95"/>
      <c r="C800" s="55" t="s">
        <v>312</v>
      </c>
      <c r="D800" s="55"/>
    </row>
    <row r="801" spans="1:5">
      <c r="A801" s="95"/>
      <c r="B801" s="95"/>
      <c r="C801" s="55" t="s">
        <v>313</v>
      </c>
      <c r="D801" s="55"/>
    </row>
    <row r="802" spans="1:5">
      <c r="A802" s="95"/>
      <c r="B802" s="95"/>
      <c r="C802" s="55" t="s">
        <v>314</v>
      </c>
      <c r="D802" s="55"/>
    </row>
    <row r="803" spans="1:5">
      <c r="A803" s="95"/>
      <c r="B803" s="95"/>
      <c r="C803" s="55" t="s">
        <v>315</v>
      </c>
      <c r="D803" s="55"/>
    </row>
    <row r="804" spans="1:5">
      <c r="A804" s="95"/>
      <c r="B804" s="95"/>
      <c r="C804" s="55" t="s">
        <v>316</v>
      </c>
      <c r="D804" s="55"/>
    </row>
    <row r="805" spans="1:5">
      <c r="A805" s="95"/>
      <c r="B805" s="95"/>
      <c r="C805" s="55" t="s">
        <v>317</v>
      </c>
      <c r="D805" s="55"/>
    </row>
    <row r="806" spans="1:5">
      <c r="A806" s="95"/>
      <c r="B806" s="95"/>
      <c r="C806" s="55" t="s">
        <v>318</v>
      </c>
      <c r="D806" s="55"/>
    </row>
    <row r="807" spans="1:5">
      <c r="A807" s="95"/>
      <c r="B807" s="95"/>
      <c r="C807" s="55" t="s">
        <v>319</v>
      </c>
      <c r="D807" s="55"/>
    </row>
    <row r="808" spans="1:5">
      <c r="A808" s="95"/>
      <c r="B808" s="95"/>
      <c r="C808" s="55" t="s">
        <v>321</v>
      </c>
      <c r="D808" s="55"/>
    </row>
    <row r="809" spans="1:5">
      <c r="A809" s="95"/>
      <c r="B809" s="95"/>
      <c r="C809" s="55" t="s">
        <v>320</v>
      </c>
      <c r="D809" s="55"/>
      <c r="E809" t="s">
        <v>269</v>
      </c>
    </row>
    <row r="810" spans="1:5">
      <c r="A810" s="95"/>
      <c r="B810" s="95"/>
      <c r="C810" s="55" t="s">
        <v>322</v>
      </c>
      <c r="D810" s="55"/>
    </row>
    <row r="811" spans="1:5">
      <c r="A811" s="95"/>
      <c r="B811" s="95"/>
      <c r="C811" s="55" t="s">
        <v>323</v>
      </c>
      <c r="D811" s="55"/>
    </row>
    <row r="812" spans="1:5">
      <c r="A812" s="95"/>
      <c r="B812" s="95"/>
      <c r="C812" s="55" t="s">
        <v>324</v>
      </c>
      <c r="D812" s="55"/>
    </row>
    <row r="813" spans="1:5">
      <c r="A813" s="95"/>
      <c r="B813" s="95"/>
      <c r="C813" s="55" t="s">
        <v>325</v>
      </c>
      <c r="D813" s="55"/>
    </row>
    <row r="814" spans="1:5">
      <c r="A814" s="95"/>
      <c r="B814" s="95"/>
      <c r="C814" s="55" t="s">
        <v>326</v>
      </c>
      <c r="D814" s="55"/>
    </row>
    <row r="815" spans="1:5">
      <c r="A815" s="95"/>
      <c r="B815" s="95"/>
      <c r="C815" s="55" t="s">
        <v>327</v>
      </c>
      <c r="D815" s="55"/>
    </row>
    <row r="816" spans="1:5">
      <c r="A816" s="95"/>
      <c r="B816" s="95"/>
      <c r="C816" s="55" t="s">
        <v>328</v>
      </c>
      <c r="D816" s="55"/>
    </row>
    <row r="817" spans="1:4">
      <c r="A817" s="95"/>
      <c r="B817" s="95"/>
      <c r="C817" s="55" t="s">
        <v>329</v>
      </c>
      <c r="D817" s="55"/>
    </row>
    <row r="818" spans="1:4">
      <c r="A818" s="95"/>
      <c r="B818" s="95"/>
      <c r="C818" s="55" t="s">
        <v>330</v>
      </c>
      <c r="D818" s="55"/>
    </row>
    <row r="819" spans="1:4">
      <c r="A819" s="95"/>
      <c r="B819" s="95"/>
      <c r="C819" s="55" t="s">
        <v>331</v>
      </c>
      <c r="D819" s="55"/>
    </row>
    <row r="820" spans="1:4">
      <c r="A820" s="95"/>
      <c r="B820" s="95"/>
      <c r="C820" s="55" t="s">
        <v>332</v>
      </c>
      <c r="D820" s="55"/>
    </row>
    <row r="821" spans="1:4">
      <c r="A821" s="95"/>
      <c r="B821" s="95"/>
      <c r="C821" s="55" t="s">
        <v>333</v>
      </c>
      <c r="D821" s="55"/>
    </row>
    <row r="822" spans="1:4">
      <c r="A822" s="95"/>
      <c r="B822" s="95"/>
      <c r="C822" s="55" t="s">
        <v>334</v>
      </c>
      <c r="D822" s="55"/>
    </row>
    <row r="823" spans="1:4">
      <c r="A823" s="95"/>
      <c r="B823" s="95"/>
      <c r="C823" s="55" t="s">
        <v>335</v>
      </c>
      <c r="D823" s="55"/>
    </row>
    <row r="824" spans="1:4">
      <c r="A824" s="95"/>
      <c r="B824" s="95"/>
      <c r="C824" s="55" t="s">
        <v>336</v>
      </c>
      <c r="D824" s="55"/>
    </row>
    <row r="825" spans="1:4">
      <c r="A825" s="95"/>
      <c r="B825" s="95"/>
      <c r="C825" s="55" t="s">
        <v>337</v>
      </c>
      <c r="D825" s="55"/>
    </row>
    <row r="826" spans="1:4">
      <c r="A826" s="95"/>
      <c r="B826" s="95"/>
      <c r="C826" s="55" t="s">
        <v>338</v>
      </c>
      <c r="D826" s="55"/>
    </row>
    <row r="827" spans="1:4">
      <c r="A827" s="95"/>
      <c r="B827" s="95"/>
      <c r="C827" s="55" t="s">
        <v>339</v>
      </c>
      <c r="D827" s="55"/>
    </row>
    <row r="828" spans="1:4">
      <c r="A828" s="95"/>
      <c r="B828" s="95"/>
      <c r="C828" s="55" t="s">
        <v>340</v>
      </c>
      <c r="D828" s="55"/>
    </row>
    <row r="829" spans="1:4">
      <c r="A829" s="95"/>
      <c r="B829" s="95"/>
      <c r="C829" s="55" t="s">
        <v>341</v>
      </c>
      <c r="D829" s="55"/>
    </row>
    <row r="830" spans="1:4">
      <c r="A830" s="95"/>
      <c r="B830" s="95"/>
      <c r="C830" s="55" t="s">
        <v>342</v>
      </c>
      <c r="D830" s="55"/>
    </row>
    <row r="831" spans="1:4">
      <c r="A831" s="95"/>
      <c r="B831" s="95"/>
      <c r="C831" s="55" t="s">
        <v>983</v>
      </c>
      <c r="D831" s="127" t="s">
        <v>984</v>
      </c>
    </row>
    <row r="832" spans="1:4">
      <c r="A832" s="95"/>
      <c r="B832" s="95"/>
      <c r="C832" s="55" t="s">
        <v>985</v>
      </c>
      <c r="D832" s="127" t="s">
        <v>354</v>
      </c>
    </row>
    <row r="833" spans="1:4">
      <c r="A833" s="95"/>
      <c r="B833" s="95"/>
      <c r="C833" s="55" t="s">
        <v>986</v>
      </c>
      <c r="D833" s="127" t="s">
        <v>354</v>
      </c>
    </row>
    <row r="834" spans="1:4" ht="15">
      <c r="A834" s="95"/>
      <c r="B834" s="95"/>
      <c r="C834" s="55" t="s">
        <v>987</v>
      </c>
      <c r="D834" s="125"/>
    </row>
    <row r="835" spans="1:4">
      <c r="A835" s="95"/>
      <c r="B835" s="95"/>
      <c r="C835" s="55" t="s">
        <v>350</v>
      </c>
      <c r="D835" s="55"/>
    </row>
    <row r="836" spans="1:4">
      <c r="A836" s="95"/>
      <c r="B836" s="95"/>
      <c r="C836" s="55" t="s">
        <v>345</v>
      </c>
      <c r="D836" s="55"/>
    </row>
    <row r="837" spans="1:4">
      <c r="A837" s="95"/>
      <c r="B837" s="95"/>
      <c r="C837" s="55" t="s">
        <v>346</v>
      </c>
      <c r="D837" s="55"/>
    </row>
    <row r="838" spans="1:4">
      <c r="A838" s="95"/>
      <c r="B838" s="95"/>
      <c r="C838" s="55" t="s">
        <v>343</v>
      </c>
      <c r="D838" s="55"/>
    </row>
    <row r="839" spans="1:4">
      <c r="A839" s="95"/>
      <c r="B839" s="95"/>
      <c r="C839" s="55" t="s">
        <v>347</v>
      </c>
      <c r="D839" s="55"/>
    </row>
    <row r="840" spans="1:4">
      <c r="A840" s="95"/>
      <c r="B840" s="95"/>
      <c r="C840" s="55" t="s">
        <v>344</v>
      </c>
      <c r="D840" s="55"/>
    </row>
    <row r="841" spans="1:4">
      <c r="A841" s="95"/>
      <c r="B841" s="95"/>
      <c r="C841" s="55" t="s">
        <v>348</v>
      </c>
      <c r="D841" s="55"/>
    </row>
    <row r="842" spans="1:4">
      <c r="A842" s="95"/>
      <c r="B842" s="95"/>
      <c r="C842" s="55" t="s">
        <v>988</v>
      </c>
      <c r="D842" s="55"/>
    </row>
    <row r="843" spans="1:4">
      <c r="A843" s="95"/>
      <c r="B843" s="95"/>
      <c r="C843" s="55" t="s">
        <v>989</v>
      </c>
      <c r="D843" s="55"/>
    </row>
    <row r="844" spans="1:4">
      <c r="A844" s="95"/>
      <c r="B844" s="95"/>
      <c r="C844" s="55" t="s">
        <v>990</v>
      </c>
      <c r="D844" s="55"/>
    </row>
    <row r="845" spans="1:4">
      <c r="A845" s="95"/>
      <c r="B845" s="95"/>
      <c r="C845" s="55" t="s">
        <v>991</v>
      </c>
      <c r="D845" s="55"/>
    </row>
    <row r="846" spans="1:4">
      <c r="A846" s="95"/>
      <c r="B846" s="95"/>
      <c r="C846" s="55" t="s">
        <v>992</v>
      </c>
      <c r="D846" s="55"/>
    </row>
    <row r="847" spans="1:4">
      <c r="A847" s="95"/>
      <c r="B847" s="95"/>
      <c r="C847" s="55" t="s">
        <v>993</v>
      </c>
      <c r="D847" s="55"/>
    </row>
    <row r="848" spans="1:4">
      <c r="A848" s="95"/>
      <c r="B848" s="95"/>
      <c r="C848" s="55" t="s">
        <v>994</v>
      </c>
      <c r="D848" s="55"/>
    </row>
    <row r="849" spans="1:4">
      <c r="A849" s="95"/>
      <c r="B849" s="95"/>
      <c r="C849" s="55" t="s">
        <v>995</v>
      </c>
      <c r="D849" s="55"/>
    </row>
    <row r="850" spans="1:4">
      <c r="A850" s="95"/>
      <c r="B850" s="95"/>
      <c r="C850" s="55" t="s">
        <v>145</v>
      </c>
      <c r="D850" s="55"/>
    </row>
    <row r="851" spans="1:4">
      <c r="A851" s="68" t="s">
        <v>996</v>
      </c>
      <c r="B851" s="68"/>
      <c r="C851" s="57" t="s">
        <v>390</v>
      </c>
      <c r="D851" s="57"/>
    </row>
    <row r="852" spans="1:4">
      <c r="A852" s="69"/>
      <c r="B852" s="69"/>
      <c r="C852" s="57" t="s">
        <v>173</v>
      </c>
      <c r="D852" s="57"/>
    </row>
    <row r="853" spans="1:4">
      <c r="A853" s="95" t="s">
        <v>997</v>
      </c>
      <c r="B853" s="95" t="s">
        <v>5</v>
      </c>
      <c r="C853" s="55" t="s">
        <v>998</v>
      </c>
      <c r="D853" s="55"/>
    </row>
    <row r="854" spans="1:4">
      <c r="A854" s="95"/>
      <c r="B854" s="95"/>
      <c r="C854" s="55" t="s">
        <v>999</v>
      </c>
      <c r="D854" s="55"/>
    </row>
    <row r="855" spans="1:4">
      <c r="A855" s="95"/>
      <c r="B855" s="95"/>
      <c r="C855" s="55" t="s">
        <v>1000</v>
      </c>
      <c r="D855" s="55"/>
    </row>
    <row r="856" spans="1:4">
      <c r="A856" s="95"/>
      <c r="B856" s="95"/>
      <c r="C856" s="55" t="s">
        <v>1001</v>
      </c>
      <c r="D856" s="55"/>
    </row>
    <row r="857" spans="1:4">
      <c r="A857" s="95"/>
      <c r="B857" s="95"/>
      <c r="C857" s="55" t="s">
        <v>1002</v>
      </c>
      <c r="D857" s="55"/>
    </row>
    <row r="858" spans="1:4">
      <c r="A858" s="95"/>
      <c r="B858" s="95"/>
      <c r="C858" s="55" t="s">
        <v>1003</v>
      </c>
      <c r="D858" s="55"/>
    </row>
    <row r="859" spans="1:4">
      <c r="A859" s="95"/>
      <c r="B859" s="95"/>
      <c r="C859" s="55" t="s">
        <v>1004</v>
      </c>
      <c r="D859" s="55"/>
    </row>
    <row r="860" spans="1:4">
      <c r="A860" s="95"/>
      <c r="B860" s="95"/>
      <c r="C860" s="55" t="s">
        <v>1005</v>
      </c>
      <c r="D860" s="55"/>
    </row>
    <row r="861" spans="1:4">
      <c r="A861" s="95"/>
      <c r="B861" s="95"/>
      <c r="C861" s="55" t="s">
        <v>1006</v>
      </c>
      <c r="D861" s="55"/>
    </row>
    <row r="862" spans="1:4">
      <c r="A862" s="68" t="s">
        <v>1007</v>
      </c>
      <c r="B862" s="68" t="s">
        <v>5</v>
      </c>
      <c r="C862" s="57" t="s">
        <v>40</v>
      </c>
      <c r="D862" s="57"/>
    </row>
    <row r="863" spans="1:4">
      <c r="A863" s="69"/>
      <c r="B863" s="69"/>
      <c r="C863" s="57" t="s">
        <v>1008</v>
      </c>
      <c r="D863" s="57"/>
    </row>
    <row r="864" spans="1:4">
      <c r="A864" s="69"/>
      <c r="B864" s="69"/>
      <c r="C864" s="57" t="s">
        <v>29</v>
      </c>
      <c r="D864" s="57"/>
    </row>
    <row r="865" spans="1:4">
      <c r="A865" s="69"/>
      <c r="B865" s="69"/>
      <c r="C865" s="57" t="s">
        <v>81</v>
      </c>
      <c r="D865" s="57"/>
    </row>
    <row r="866" spans="1:4">
      <c r="A866" s="69"/>
      <c r="B866" s="69"/>
      <c r="C866" s="57" t="s">
        <v>89</v>
      </c>
      <c r="D866" s="57"/>
    </row>
    <row r="867" spans="1:4">
      <c r="A867" s="69"/>
      <c r="B867" s="69"/>
      <c r="C867" s="57" t="s">
        <v>1009</v>
      </c>
      <c r="D867" s="57"/>
    </row>
    <row r="868" spans="1:4">
      <c r="A868" s="69"/>
      <c r="B868" s="69"/>
      <c r="C868" s="57" t="s">
        <v>54</v>
      </c>
      <c r="D868" s="57"/>
    </row>
    <row r="869" spans="1:4">
      <c r="A869" s="69"/>
      <c r="B869" s="69"/>
      <c r="C869" s="57" t="s">
        <v>1010</v>
      </c>
      <c r="D869" s="57"/>
    </row>
    <row r="870" spans="1:4">
      <c r="A870" s="95" t="s">
        <v>1011</v>
      </c>
      <c r="B870" s="95" t="s">
        <v>5</v>
      </c>
      <c r="C870" s="55" t="s">
        <v>40</v>
      </c>
      <c r="D870" s="55"/>
    </row>
    <row r="871" spans="1:4">
      <c r="A871" s="95"/>
      <c r="B871" s="95"/>
      <c r="C871" s="55" t="s">
        <v>29</v>
      </c>
      <c r="D871" s="55"/>
    </row>
    <row r="872" spans="1:4">
      <c r="A872" s="95"/>
      <c r="B872" s="95"/>
      <c r="C872" s="55" t="s">
        <v>89</v>
      </c>
      <c r="D872" s="55"/>
    </row>
    <row r="873" spans="1:4">
      <c r="A873" s="95"/>
      <c r="B873" s="95"/>
      <c r="C873" s="55" t="s">
        <v>145</v>
      </c>
      <c r="D873" s="55"/>
    </row>
    <row r="874" spans="1:4">
      <c r="A874" s="68" t="s">
        <v>1012</v>
      </c>
      <c r="B874" s="68" t="s">
        <v>5</v>
      </c>
      <c r="C874" s="57" t="s">
        <v>1013</v>
      </c>
      <c r="D874" s="57"/>
    </row>
    <row r="875" spans="1:4">
      <c r="A875" s="69"/>
      <c r="B875" s="69"/>
      <c r="C875" s="57" t="s">
        <v>804</v>
      </c>
      <c r="D875" s="57"/>
    </row>
    <row r="876" spans="1:4">
      <c r="A876" s="69"/>
      <c r="B876" s="69"/>
      <c r="C876" s="57" t="s">
        <v>805</v>
      </c>
      <c r="D876" s="57"/>
    </row>
    <row r="877" spans="1:4">
      <c r="A877" s="69"/>
      <c r="B877" s="69"/>
      <c r="C877" s="57" t="s">
        <v>806</v>
      </c>
      <c r="D877" s="57"/>
    </row>
    <row r="878" spans="1:4">
      <c r="A878" s="69"/>
      <c r="B878" s="69"/>
      <c r="C878" s="57" t="s">
        <v>1014</v>
      </c>
      <c r="D878" s="57"/>
    </row>
    <row r="879" spans="1:4">
      <c r="A879" s="69"/>
      <c r="B879" s="69"/>
      <c r="C879" s="57" t="s">
        <v>1015</v>
      </c>
      <c r="D879" s="57"/>
    </row>
    <row r="880" spans="1:4">
      <c r="A880" s="69"/>
      <c r="B880" s="69"/>
      <c r="C880" s="57" t="s">
        <v>1016</v>
      </c>
      <c r="D880" s="57"/>
    </row>
    <row r="881" spans="1:5">
      <c r="A881" s="69"/>
      <c r="B881" s="69"/>
      <c r="C881" s="57" t="s">
        <v>1017</v>
      </c>
      <c r="D881" s="57"/>
    </row>
    <row r="882" spans="1:5">
      <c r="A882" s="69"/>
      <c r="B882" s="69"/>
      <c r="C882" s="57" t="s">
        <v>1018</v>
      </c>
      <c r="D882" s="57" t="s">
        <v>1018</v>
      </c>
      <c r="E882" t="s">
        <v>269</v>
      </c>
    </row>
    <row r="883" spans="1:5">
      <c r="A883" s="70"/>
      <c r="B883" s="70"/>
      <c r="C883" s="57" t="s">
        <v>145</v>
      </c>
      <c r="D883" s="57"/>
    </row>
    <row r="884" spans="1:5">
      <c r="A884" s="84" t="s">
        <v>1019</v>
      </c>
      <c r="B884" s="84" t="s">
        <v>5</v>
      </c>
      <c r="C884" s="55" t="s">
        <v>978</v>
      </c>
      <c r="D884" s="55"/>
    </row>
    <row r="885" spans="1:5">
      <c r="A885" s="85"/>
      <c r="B885" s="85"/>
      <c r="C885" s="55" t="s">
        <v>1020</v>
      </c>
      <c r="D885" s="55"/>
    </row>
    <row r="886" spans="1:5">
      <c r="A886" s="85"/>
      <c r="B886" s="85"/>
      <c r="C886" s="55" t="s">
        <v>1021</v>
      </c>
      <c r="D886" s="55"/>
    </row>
    <row r="887" spans="1:5">
      <c r="A887" s="85"/>
      <c r="B887" s="85"/>
      <c r="C887" s="55" t="s">
        <v>1022</v>
      </c>
      <c r="D887" s="55"/>
    </row>
    <row r="888" spans="1:5">
      <c r="A888" s="85"/>
      <c r="B888" s="85"/>
      <c r="C888" s="55" t="s">
        <v>1023</v>
      </c>
      <c r="D888" s="55"/>
    </row>
    <row r="889" spans="1:5">
      <c r="A889" s="85"/>
      <c r="B889" s="85"/>
      <c r="C889" s="55" t="s">
        <v>1024</v>
      </c>
      <c r="D889" s="55" t="s">
        <v>1025</v>
      </c>
    </row>
    <row r="890" spans="1:5">
      <c r="A890" s="85"/>
      <c r="B890" s="85"/>
      <c r="C890" s="55" t="s">
        <v>1026</v>
      </c>
      <c r="D890" s="55"/>
    </row>
    <row r="891" spans="1:5">
      <c r="A891" s="68" t="s">
        <v>520</v>
      </c>
      <c r="B891" s="68" t="s">
        <v>5</v>
      </c>
      <c r="C891" s="57" t="s">
        <v>1027</v>
      </c>
      <c r="D891" s="57"/>
    </row>
    <row r="892" spans="1:5">
      <c r="A892" s="69"/>
      <c r="B892" s="69"/>
      <c r="C892" s="57" t="s">
        <v>1028</v>
      </c>
      <c r="D892" s="57"/>
    </row>
    <row r="893" spans="1:5">
      <c r="A893" s="69"/>
      <c r="B893" s="69"/>
      <c r="C893" s="57" t="s">
        <v>1029</v>
      </c>
      <c r="D893" s="57"/>
    </row>
    <row r="894" spans="1:5">
      <c r="A894" s="69"/>
      <c r="B894" s="69"/>
      <c r="C894" s="57" t="s">
        <v>1030</v>
      </c>
      <c r="D894" s="57"/>
    </row>
    <row r="895" spans="1:5">
      <c r="A895" s="69"/>
      <c r="B895" s="69"/>
      <c r="C895" s="57" t="s">
        <v>1031</v>
      </c>
      <c r="D895" s="57"/>
    </row>
    <row r="896" spans="1:5">
      <c r="A896" s="69"/>
      <c r="B896" s="69"/>
      <c r="C896" s="57" t="s">
        <v>145</v>
      </c>
      <c r="D896" s="57"/>
    </row>
    <row r="897" spans="1:4">
      <c r="A897" s="84" t="s">
        <v>1032</v>
      </c>
      <c r="B897" s="84" t="s">
        <v>5</v>
      </c>
      <c r="C897" s="55" t="s">
        <v>1033</v>
      </c>
      <c r="D897" s="55"/>
    </row>
    <row r="898" spans="1:4">
      <c r="A898" s="85"/>
      <c r="B898" s="85"/>
      <c r="C898" s="55" t="s">
        <v>1034</v>
      </c>
      <c r="D898" s="55"/>
    </row>
    <row r="899" spans="1:4">
      <c r="A899" s="85"/>
      <c r="B899" s="85"/>
      <c r="C899" s="55" t="s">
        <v>978</v>
      </c>
      <c r="D899" s="55"/>
    </row>
    <row r="900" spans="1:4">
      <c r="A900" s="85"/>
      <c r="B900" s="85"/>
      <c r="C900" s="55" t="s">
        <v>145</v>
      </c>
      <c r="D900" s="55"/>
    </row>
    <row r="901" spans="1:4">
      <c r="A901" s="68" t="s">
        <v>1035</v>
      </c>
      <c r="B901" s="68" t="s">
        <v>5</v>
      </c>
      <c r="C901" s="57" t="s">
        <v>1036</v>
      </c>
      <c r="D901" s="57"/>
    </row>
    <row r="902" spans="1:4">
      <c r="A902" s="69"/>
      <c r="B902" s="69"/>
      <c r="C902" s="57" t="s">
        <v>1037</v>
      </c>
      <c r="D902" s="57"/>
    </row>
    <row r="903" spans="1:4">
      <c r="A903" s="69"/>
      <c r="B903" s="69"/>
      <c r="C903" s="57" t="s">
        <v>795</v>
      </c>
      <c r="D903" s="57"/>
    </row>
    <row r="904" spans="1:4">
      <c r="A904" s="69"/>
      <c r="B904" s="69"/>
      <c r="C904" s="57" t="s">
        <v>1038</v>
      </c>
      <c r="D904" s="57"/>
    </row>
    <row r="905" spans="1:4">
      <c r="A905" s="69"/>
      <c r="B905" s="69"/>
      <c r="C905" s="57" t="s">
        <v>1039</v>
      </c>
      <c r="D905" s="57"/>
    </row>
    <row r="906" spans="1:4">
      <c r="A906" s="94" t="s">
        <v>1040</v>
      </c>
      <c r="B906" s="94" t="s">
        <v>5</v>
      </c>
      <c r="C906" s="60" t="s">
        <v>1041</v>
      </c>
      <c r="D906" s="60"/>
    </row>
    <row r="907" spans="1:4">
      <c r="A907" s="95"/>
      <c r="B907" s="95"/>
      <c r="C907" s="60" t="s">
        <v>1042</v>
      </c>
      <c r="D907" s="60"/>
    </row>
    <row r="908" spans="1:4">
      <c r="A908" s="95"/>
      <c r="B908" s="95"/>
      <c r="C908" s="55" t="s">
        <v>1043</v>
      </c>
      <c r="D908" s="55"/>
    </row>
    <row r="909" spans="1:4">
      <c r="A909" s="95"/>
      <c r="B909" s="95"/>
      <c r="C909" s="55" t="s">
        <v>1044</v>
      </c>
      <c r="D909" s="55"/>
    </row>
    <row r="910" spans="1:4">
      <c r="A910" s="95"/>
      <c r="B910" s="95"/>
      <c r="C910" s="55" t="s">
        <v>1045</v>
      </c>
      <c r="D910" s="55"/>
    </row>
    <row r="911" spans="1:4">
      <c r="A911" s="95"/>
      <c r="B911" s="95"/>
      <c r="C911" s="55" t="s">
        <v>1046</v>
      </c>
      <c r="D911" s="55"/>
    </row>
    <row r="912" spans="1:4">
      <c r="A912" s="90" t="s">
        <v>1047</v>
      </c>
      <c r="B912" s="90" t="s">
        <v>5</v>
      </c>
      <c r="C912" s="62" t="s">
        <v>40</v>
      </c>
      <c r="D912" s="62"/>
    </row>
    <row r="913" spans="1:5">
      <c r="A913" s="72"/>
      <c r="B913" s="72"/>
      <c r="C913" s="62" t="s">
        <v>1008</v>
      </c>
      <c r="D913" s="62"/>
    </row>
    <row r="914" spans="1:5">
      <c r="A914" s="72"/>
      <c r="B914" s="72"/>
      <c r="C914" s="57" t="s">
        <v>29</v>
      </c>
      <c r="D914" s="57"/>
    </row>
    <row r="915" spans="1:5">
      <c r="A915" s="72"/>
      <c r="B915" s="72"/>
      <c r="C915" s="57" t="s">
        <v>81</v>
      </c>
      <c r="D915" s="57"/>
    </row>
    <row r="916" spans="1:5">
      <c r="A916" s="72"/>
      <c r="B916" s="72"/>
      <c r="C916" s="57" t="s">
        <v>89</v>
      </c>
      <c r="D916" s="57"/>
    </row>
    <row r="917" spans="1:5">
      <c r="A917" s="72"/>
      <c r="B917" s="72"/>
      <c r="C917" s="57" t="s">
        <v>1009</v>
      </c>
      <c r="D917" s="57"/>
    </row>
    <row r="918" spans="1:5">
      <c r="A918" s="72"/>
      <c r="B918" s="72"/>
      <c r="C918" s="62" t="s">
        <v>54</v>
      </c>
      <c r="D918" s="62"/>
    </row>
    <row r="919" spans="1:5">
      <c r="A919" s="72"/>
      <c r="B919" s="72"/>
      <c r="C919" s="62" t="s">
        <v>1010</v>
      </c>
      <c r="D919" s="62"/>
    </row>
    <row r="920" spans="1:5" ht="15">
      <c r="A920" s="94" t="s">
        <v>1048</v>
      </c>
      <c r="B920" s="94" t="s">
        <v>5</v>
      </c>
      <c r="C920" s="60" t="s">
        <v>1049</v>
      </c>
      <c r="D920" s="60"/>
      <c r="E920" s="61"/>
    </row>
    <row r="921" spans="1:5" ht="15">
      <c r="A921" s="95"/>
      <c r="B921" s="95"/>
      <c r="C921" s="60" t="s">
        <v>1050</v>
      </c>
      <c r="D921" s="60"/>
      <c r="E921" s="61"/>
    </row>
    <row r="922" spans="1:5" ht="15">
      <c r="A922" s="95"/>
      <c r="B922" s="95"/>
      <c r="C922" s="55" t="s">
        <v>1051</v>
      </c>
      <c r="D922" s="55"/>
      <c r="E922" s="61"/>
    </row>
    <row r="923" spans="1:5" ht="15">
      <c r="A923" s="95"/>
      <c r="B923" s="95"/>
      <c r="C923" s="55" t="s">
        <v>1052</v>
      </c>
      <c r="D923" s="55"/>
      <c r="E923" s="61"/>
    </row>
    <row r="924" spans="1:5" ht="15">
      <c r="A924" s="95"/>
      <c r="B924" s="95"/>
      <c r="C924" s="55" t="s">
        <v>1053</v>
      </c>
      <c r="D924" s="55"/>
      <c r="E924" s="61"/>
    </row>
    <row r="925" spans="1:5">
      <c r="A925" s="95"/>
      <c r="B925" s="95"/>
      <c r="C925" s="55" t="s">
        <v>145</v>
      </c>
      <c r="D925" s="55"/>
    </row>
    <row r="926" spans="1:5">
      <c r="A926" s="90" t="s">
        <v>1054</v>
      </c>
      <c r="B926" s="90" t="s">
        <v>5</v>
      </c>
      <c r="C926" s="57" t="s">
        <v>1055</v>
      </c>
      <c r="D926" s="57"/>
    </row>
    <row r="927" spans="1:5">
      <c r="A927" s="72"/>
      <c r="B927" s="72"/>
      <c r="C927" s="57" t="s">
        <v>1056</v>
      </c>
      <c r="D927" s="57"/>
    </row>
    <row r="928" spans="1:5">
      <c r="A928" s="72"/>
      <c r="B928" s="72"/>
      <c r="C928" s="57" t="s">
        <v>1057</v>
      </c>
      <c r="D928" s="57"/>
    </row>
    <row r="929" spans="1:5">
      <c r="A929" s="91" t="s">
        <v>1058</v>
      </c>
      <c r="B929" s="91" t="s">
        <v>5</v>
      </c>
      <c r="C929" s="60" t="s">
        <v>1059</v>
      </c>
      <c r="D929" s="60"/>
    </row>
    <row r="930" spans="1:5">
      <c r="A930" s="92"/>
      <c r="B930" s="92"/>
      <c r="C930" s="60" t="s">
        <v>804</v>
      </c>
      <c r="D930" s="60"/>
    </row>
    <row r="931" spans="1:5">
      <c r="A931" s="92"/>
      <c r="B931" s="92"/>
      <c r="C931" s="55" t="s">
        <v>1013</v>
      </c>
      <c r="D931" s="55"/>
    </row>
    <row r="932" spans="1:5">
      <c r="A932" s="92"/>
      <c r="B932" s="92"/>
      <c r="C932" s="55" t="s">
        <v>805</v>
      </c>
      <c r="D932" s="55"/>
    </row>
    <row r="933" spans="1:5">
      <c r="A933" s="92"/>
      <c r="B933" s="92"/>
      <c r="C933" s="55" t="s">
        <v>145</v>
      </c>
      <c r="D933" s="55"/>
    </row>
    <row r="934" spans="1:5">
      <c r="A934" s="98" t="s">
        <v>1060</v>
      </c>
      <c r="B934" s="98" t="s">
        <v>5</v>
      </c>
      <c r="C934" s="62" t="s">
        <v>1013</v>
      </c>
      <c r="D934" s="62"/>
    </row>
    <row r="935" spans="1:5">
      <c r="A935" s="99"/>
      <c r="B935" s="99"/>
      <c r="C935" s="62" t="s">
        <v>804</v>
      </c>
      <c r="D935" s="62"/>
    </row>
    <row r="936" spans="1:5">
      <c r="A936" s="99"/>
      <c r="B936" s="99"/>
      <c r="C936" s="57" t="s">
        <v>805</v>
      </c>
      <c r="D936" s="57"/>
    </row>
    <row r="937" spans="1:5">
      <c r="A937" s="99"/>
      <c r="B937" s="99"/>
      <c r="C937" s="57" t="s">
        <v>806</v>
      </c>
      <c r="D937" s="57"/>
    </row>
    <row r="938" spans="1:5">
      <c r="A938" s="99"/>
      <c r="B938" s="99"/>
      <c r="C938" s="57" t="s">
        <v>1061</v>
      </c>
      <c r="D938" s="57"/>
    </row>
    <row r="939" spans="1:5">
      <c r="A939" s="99"/>
      <c r="B939" s="99"/>
      <c r="C939" s="62" t="s">
        <v>1061</v>
      </c>
      <c r="D939" s="62"/>
    </row>
    <row r="940" spans="1:5">
      <c r="A940" s="99"/>
      <c r="B940" s="99"/>
      <c r="C940" s="62" t="s">
        <v>1015</v>
      </c>
      <c r="D940" s="62"/>
    </row>
    <row r="941" spans="1:5">
      <c r="A941" s="99"/>
      <c r="B941" s="99"/>
      <c r="C941" s="57" t="s">
        <v>1016</v>
      </c>
      <c r="D941" s="57"/>
    </row>
    <row r="942" spans="1:5">
      <c r="A942" s="99"/>
      <c r="B942" s="99"/>
      <c r="C942" s="62" t="s">
        <v>1017</v>
      </c>
      <c r="D942" s="62"/>
    </row>
    <row r="943" spans="1:5">
      <c r="A943" s="99"/>
      <c r="B943" s="99"/>
      <c r="C943" s="62" t="s">
        <v>1059</v>
      </c>
      <c r="D943" s="62"/>
    </row>
    <row r="944" spans="1:5">
      <c r="A944" s="99"/>
      <c r="B944" s="99"/>
      <c r="C944" s="57" t="s">
        <v>1062</v>
      </c>
      <c r="D944" s="57" t="s">
        <v>1062</v>
      </c>
      <c r="E944" t="s">
        <v>269</v>
      </c>
    </row>
    <row r="945" spans="1:4">
      <c r="A945" s="123"/>
      <c r="B945" s="123"/>
      <c r="C945" s="57" t="s">
        <v>145</v>
      </c>
      <c r="D945" s="57"/>
    </row>
    <row r="946" spans="1:4" ht="14.25" customHeight="1">
      <c r="A946" s="91" t="s">
        <v>1063</v>
      </c>
      <c r="B946" s="91" t="s">
        <v>5</v>
      </c>
      <c r="C946" s="60" t="s">
        <v>1064</v>
      </c>
      <c r="D946" s="60"/>
    </row>
    <row r="947" spans="1:4">
      <c r="A947" s="92"/>
      <c r="B947" s="92"/>
      <c r="C947" s="60" t="s">
        <v>1065</v>
      </c>
      <c r="D947" s="60"/>
    </row>
    <row r="948" spans="1:4">
      <c r="A948" s="92"/>
      <c r="B948" s="92"/>
      <c r="C948" s="55" t="s">
        <v>1066</v>
      </c>
      <c r="D948" s="55"/>
    </row>
    <row r="949" spans="1:4">
      <c r="A949" s="92"/>
      <c r="B949" s="92"/>
      <c r="C949" s="55" t="s">
        <v>1067</v>
      </c>
      <c r="D949" s="55"/>
    </row>
    <row r="950" spans="1:4">
      <c r="A950" s="92"/>
      <c r="B950" s="92"/>
      <c r="C950" s="55" t="s">
        <v>1068</v>
      </c>
      <c r="D950" s="55"/>
    </row>
    <row r="951" spans="1:4">
      <c r="A951" s="92"/>
      <c r="B951" s="92"/>
      <c r="C951" s="60" t="s">
        <v>816</v>
      </c>
      <c r="D951" s="60"/>
    </row>
    <row r="952" spans="1:4">
      <c r="A952" s="92"/>
      <c r="B952" s="92"/>
      <c r="C952" s="60" t="s">
        <v>1059</v>
      </c>
      <c r="D952" s="60"/>
    </row>
    <row r="953" spans="1:4">
      <c r="A953" s="92"/>
      <c r="B953" s="92"/>
      <c r="C953" s="55" t="s">
        <v>1069</v>
      </c>
      <c r="D953" s="55" t="s">
        <v>1070</v>
      </c>
    </row>
    <row r="954" spans="1:4">
      <c r="A954" s="92"/>
      <c r="B954" s="92"/>
      <c r="C954" s="55" t="s">
        <v>1024</v>
      </c>
      <c r="D954" s="55" t="s">
        <v>1025</v>
      </c>
    </row>
    <row r="955" spans="1:4">
      <c r="A955" s="92"/>
      <c r="B955" s="92"/>
      <c r="C955" s="55" t="s">
        <v>145</v>
      </c>
      <c r="D955" s="55"/>
    </row>
    <row r="956" spans="1:4">
      <c r="A956" s="98" t="s">
        <v>824</v>
      </c>
      <c r="B956" s="98" t="s">
        <v>5</v>
      </c>
      <c r="C956" s="57" t="s">
        <v>1071</v>
      </c>
      <c r="D956" s="57"/>
    </row>
    <row r="957" spans="1:4">
      <c r="A957" s="99"/>
      <c r="B957" s="99"/>
      <c r="C957" s="57" t="s">
        <v>1072</v>
      </c>
      <c r="D957" s="57"/>
    </row>
    <row r="958" spans="1:4">
      <c r="A958" s="99"/>
      <c r="B958" s="99"/>
      <c r="C958" s="57" t="s">
        <v>1073</v>
      </c>
      <c r="D958" s="57"/>
    </row>
    <row r="959" spans="1:4">
      <c r="A959" s="99"/>
      <c r="B959" s="99"/>
      <c r="C959" s="57" t="s">
        <v>1074</v>
      </c>
      <c r="D959" s="57"/>
    </row>
    <row r="960" spans="1:4">
      <c r="A960" s="99"/>
      <c r="B960" s="99"/>
      <c r="C960" s="57" t="s">
        <v>1075</v>
      </c>
      <c r="D960" s="57"/>
    </row>
    <row r="961" spans="1:5">
      <c r="A961" s="99"/>
      <c r="B961" s="99"/>
      <c r="C961" s="57" t="s">
        <v>1076</v>
      </c>
      <c r="D961" s="57"/>
    </row>
    <row r="962" spans="1:5">
      <c r="A962" s="99"/>
      <c r="B962" s="99"/>
      <c r="C962" s="57" t="s">
        <v>1077</v>
      </c>
      <c r="D962" s="57"/>
    </row>
    <row r="963" spans="1:5">
      <c r="A963" s="99"/>
      <c r="B963" s="99"/>
      <c r="C963" s="57" t="s">
        <v>905</v>
      </c>
      <c r="D963" s="57"/>
      <c r="E963" t="s">
        <v>269</v>
      </c>
    </row>
    <row r="964" spans="1:5">
      <c r="A964" s="100" t="s">
        <v>1078</v>
      </c>
      <c r="B964" s="91" t="s">
        <v>5</v>
      </c>
      <c r="C964" s="55" t="s">
        <v>1036</v>
      </c>
      <c r="D964" s="55"/>
    </row>
    <row r="965" spans="1:5">
      <c r="A965" s="101"/>
      <c r="B965" s="92"/>
      <c r="C965" s="55" t="s">
        <v>1037</v>
      </c>
      <c r="D965" s="55"/>
    </row>
    <row r="966" spans="1:5">
      <c r="A966" s="101"/>
      <c r="B966" s="92"/>
      <c r="C966" s="55" t="s">
        <v>795</v>
      </c>
      <c r="D966" s="55"/>
    </row>
    <row r="967" spans="1:5">
      <c r="A967" s="101"/>
      <c r="B967" s="92"/>
      <c r="C967" s="55" t="s">
        <v>1038</v>
      </c>
      <c r="D967" s="55"/>
    </row>
    <row r="968" spans="1:5">
      <c r="A968" s="101"/>
      <c r="B968" s="92"/>
      <c r="C968" s="55" t="s">
        <v>1039</v>
      </c>
      <c r="D968" s="55"/>
    </row>
    <row r="969" spans="1:5">
      <c r="A969" s="101"/>
      <c r="B969" s="92"/>
      <c r="C969" s="55" t="s">
        <v>1079</v>
      </c>
      <c r="D969" s="55"/>
      <c r="E969" t="s">
        <v>269</v>
      </c>
    </row>
    <row r="970" spans="1:5">
      <c r="A970" s="102" t="s">
        <v>1080</v>
      </c>
      <c r="B970" s="98" t="s">
        <v>5</v>
      </c>
      <c r="C970" s="57" t="s">
        <v>1081</v>
      </c>
      <c r="D970" s="57"/>
    </row>
    <row r="971" spans="1:5">
      <c r="A971" s="103"/>
      <c r="B971" s="99"/>
      <c r="C971" s="57" t="s">
        <v>1082</v>
      </c>
      <c r="D971" s="57"/>
    </row>
    <row r="972" spans="1:5">
      <c r="A972" s="103"/>
      <c r="B972" s="99"/>
      <c r="C972" s="57" t="s">
        <v>1083</v>
      </c>
      <c r="D972" s="57"/>
    </row>
    <row r="973" spans="1:5">
      <c r="A973" s="103"/>
      <c r="B973" s="99"/>
      <c r="C973" s="57" t="s">
        <v>1084</v>
      </c>
      <c r="D973" s="57"/>
    </row>
    <row r="974" spans="1:5">
      <c r="A974" s="103"/>
      <c r="B974" s="99"/>
      <c r="C974" s="57" t="s">
        <v>1085</v>
      </c>
      <c r="D974" s="57"/>
    </row>
    <row r="975" spans="1:5">
      <c r="A975" s="103"/>
      <c r="B975" s="99"/>
      <c r="C975" s="57" t="s">
        <v>1086</v>
      </c>
      <c r="D975" s="57"/>
    </row>
    <row r="976" spans="1:5">
      <c r="A976" s="124"/>
      <c r="B976" s="123"/>
      <c r="C976" s="57" t="s">
        <v>145</v>
      </c>
      <c r="D976" s="57"/>
    </row>
    <row r="977" spans="1:5">
      <c r="A977" s="91" t="s">
        <v>1087</v>
      </c>
      <c r="B977" s="91" t="s">
        <v>5</v>
      </c>
      <c r="C977" s="55" t="s">
        <v>1088</v>
      </c>
      <c r="D977" s="55"/>
      <c r="E977" t="s">
        <v>1089</v>
      </c>
    </row>
    <row r="978" spans="1:5">
      <c r="A978" s="92"/>
      <c r="B978" s="92"/>
      <c r="C978" s="55" t="s">
        <v>1090</v>
      </c>
      <c r="D978" s="55"/>
    </row>
    <row r="979" spans="1:5">
      <c r="A979" s="92"/>
      <c r="B979" s="92"/>
      <c r="C979" s="55" t="s">
        <v>1091</v>
      </c>
      <c r="D979" s="55"/>
    </row>
    <row r="980" spans="1:5">
      <c r="A980" s="92"/>
      <c r="B980" s="92"/>
      <c r="C980" s="55" t="s">
        <v>1092</v>
      </c>
      <c r="D980" s="55"/>
    </row>
    <row r="981" spans="1:5">
      <c r="A981" s="92"/>
      <c r="B981" s="92"/>
      <c r="C981" s="55" t="s">
        <v>1093</v>
      </c>
      <c r="D981" s="55"/>
    </row>
    <row r="982" spans="1:5">
      <c r="A982" s="92"/>
      <c r="B982" s="92"/>
      <c r="C982" s="55" t="s">
        <v>1094</v>
      </c>
      <c r="D982" s="55"/>
    </row>
    <row r="983" spans="1:5">
      <c r="A983" s="92"/>
      <c r="B983" s="92"/>
      <c r="C983" s="55" t="s">
        <v>1095</v>
      </c>
      <c r="D983" s="55"/>
    </row>
    <row r="984" spans="1:5">
      <c r="A984" s="92"/>
      <c r="B984" s="92"/>
      <c r="C984" s="55" t="s">
        <v>1096</v>
      </c>
      <c r="D984" s="55"/>
    </row>
    <row r="985" spans="1:5">
      <c r="A985" s="92"/>
      <c r="B985" s="92"/>
      <c r="C985" s="55" t="s">
        <v>1097</v>
      </c>
      <c r="D985" s="55" t="s">
        <v>1098</v>
      </c>
      <c r="E985" t="s">
        <v>269</v>
      </c>
    </row>
    <row r="986" spans="1:5">
      <c r="A986" s="102" t="s">
        <v>1099</v>
      </c>
      <c r="B986" s="98" t="s">
        <v>5</v>
      </c>
      <c r="C986" s="57" t="s">
        <v>1041</v>
      </c>
      <c r="D986" s="57"/>
    </row>
    <row r="987" spans="1:5">
      <c r="A987" s="103"/>
      <c r="B987" s="99"/>
      <c r="C987" s="57" t="s">
        <v>1042</v>
      </c>
      <c r="D987" s="57"/>
    </row>
    <row r="988" spans="1:5">
      <c r="A988" s="103"/>
      <c r="B988" s="99"/>
      <c r="C988" s="57" t="s">
        <v>1100</v>
      </c>
      <c r="D988" s="57"/>
    </row>
    <row r="989" spans="1:5">
      <c r="A989" s="103"/>
      <c r="B989" s="99"/>
      <c r="C989" s="57" t="s">
        <v>1101</v>
      </c>
      <c r="D989" s="57"/>
    </row>
    <row r="990" spans="1:5">
      <c r="A990" s="103"/>
      <c r="B990" s="99"/>
      <c r="C990" s="57" t="s">
        <v>1102</v>
      </c>
      <c r="D990" s="57"/>
    </row>
    <row r="991" spans="1:5">
      <c r="A991" s="103"/>
      <c r="B991" s="99"/>
      <c r="C991" s="57" t="s">
        <v>1103</v>
      </c>
      <c r="D991" s="57"/>
    </row>
    <row r="992" spans="1:5">
      <c r="A992" s="91" t="s">
        <v>1104</v>
      </c>
      <c r="B992" s="91" t="s">
        <v>5</v>
      </c>
      <c r="C992" s="55" t="s">
        <v>804</v>
      </c>
      <c r="D992" s="55"/>
    </row>
    <row r="993" spans="1:5">
      <c r="A993" s="92"/>
      <c r="B993" s="92"/>
      <c r="C993" s="55" t="s">
        <v>1013</v>
      </c>
      <c r="D993" s="55"/>
    </row>
    <row r="994" spans="1:5">
      <c r="A994" s="92"/>
      <c r="B994" s="92"/>
      <c r="C994" s="55" t="s">
        <v>1010</v>
      </c>
      <c r="D994" s="55"/>
    </row>
    <row r="995" spans="1:5">
      <c r="A995" s="92"/>
      <c r="B995" s="92"/>
      <c r="C995" s="55" t="s">
        <v>805</v>
      </c>
      <c r="D995" s="55"/>
    </row>
    <row r="996" spans="1:5">
      <c r="A996" s="92"/>
      <c r="B996" s="92"/>
      <c r="C996" s="55" t="s">
        <v>1105</v>
      </c>
      <c r="D996" s="55" t="s">
        <v>1106</v>
      </c>
    </row>
    <row r="997" spans="1:5">
      <c r="A997" s="92"/>
      <c r="B997" s="92"/>
      <c r="C997" s="55" t="s">
        <v>145</v>
      </c>
      <c r="D997" s="55"/>
    </row>
    <row r="998" spans="1:5">
      <c r="A998" s="98" t="s">
        <v>1107</v>
      </c>
      <c r="B998" s="98" t="s">
        <v>5</v>
      </c>
      <c r="C998" s="57" t="s">
        <v>202</v>
      </c>
      <c r="D998" s="57"/>
      <c r="E998" t="s">
        <v>1089</v>
      </c>
    </row>
    <row r="999" spans="1:5">
      <c r="A999" s="99"/>
      <c r="B999" s="99"/>
      <c r="C999" s="57" t="s">
        <v>1108</v>
      </c>
      <c r="D999" s="57"/>
    </row>
    <row r="1000" spans="1:5">
      <c r="A1000" s="91" t="s">
        <v>1109</v>
      </c>
      <c r="B1000" s="91" t="s">
        <v>5</v>
      </c>
      <c r="C1000" s="55" t="s">
        <v>1110</v>
      </c>
      <c r="D1000" s="55"/>
    </row>
    <row r="1001" spans="1:5">
      <c r="A1001" s="92"/>
      <c r="B1001" s="92"/>
      <c r="C1001" s="55" t="s">
        <v>1111</v>
      </c>
      <c r="D1001" s="55"/>
    </row>
    <row r="1002" spans="1:5">
      <c r="A1002" s="92"/>
      <c r="B1002" s="92"/>
      <c r="C1002" s="55" t="s">
        <v>1112</v>
      </c>
      <c r="D1002" s="55"/>
    </row>
    <row r="1003" spans="1:5">
      <c r="A1003" s="92"/>
      <c r="B1003" s="92"/>
      <c r="C1003" s="55" t="s">
        <v>1113</v>
      </c>
      <c r="D1003" s="55"/>
      <c r="E1003" t="s">
        <v>269</v>
      </c>
    </row>
    <row r="1004" spans="1:5">
      <c r="A1004" s="92"/>
      <c r="B1004" s="92"/>
      <c r="C1004" s="55" t="s">
        <v>1114</v>
      </c>
      <c r="D1004" s="55"/>
    </row>
    <row r="1005" spans="1:5">
      <c r="A1005" s="92"/>
      <c r="B1005" s="92"/>
      <c r="C1005" s="55" t="s">
        <v>1115</v>
      </c>
      <c r="D1005" s="55"/>
    </row>
    <row r="1006" spans="1:5">
      <c r="A1006" s="92"/>
      <c r="B1006" s="92"/>
      <c r="C1006" s="55" t="s">
        <v>1116</v>
      </c>
      <c r="D1006" s="55"/>
      <c r="E1006" t="s">
        <v>269</v>
      </c>
    </row>
    <row r="1007" spans="1:5">
      <c r="A1007" s="92"/>
      <c r="B1007" s="92"/>
      <c r="C1007" s="55" t="s">
        <v>1117</v>
      </c>
      <c r="D1007" s="55"/>
    </row>
    <row r="1008" spans="1:5">
      <c r="A1008" s="92"/>
      <c r="B1008" s="92"/>
      <c r="C1008" s="55" t="s">
        <v>1118</v>
      </c>
      <c r="D1008" s="55"/>
    </row>
    <row r="1009" spans="1:4">
      <c r="A1009" s="92"/>
      <c r="B1009" s="92"/>
      <c r="C1009" s="55" t="s">
        <v>1119</v>
      </c>
      <c r="D1009" s="55"/>
    </row>
    <row r="1010" spans="1:4">
      <c r="A1010" s="92"/>
      <c r="B1010" s="92"/>
      <c r="C1010" s="55" t="s">
        <v>1120</v>
      </c>
      <c r="D1010" s="55"/>
    </row>
    <row r="1011" spans="1:4">
      <c r="A1011" s="92"/>
      <c r="B1011" s="92"/>
      <c r="C1011" s="55" t="s">
        <v>1121</v>
      </c>
      <c r="D1011" s="55"/>
    </row>
    <row r="1012" spans="1:4">
      <c r="A1012" s="92"/>
      <c r="B1012" s="92"/>
      <c r="C1012" s="55" t="s">
        <v>1122</v>
      </c>
      <c r="D1012" s="55"/>
    </row>
    <row r="1013" spans="1:4">
      <c r="A1013" s="92"/>
      <c r="B1013" s="92"/>
      <c r="C1013" s="55" t="s">
        <v>1123</v>
      </c>
      <c r="D1013" s="55"/>
    </row>
    <row r="1014" spans="1:4">
      <c r="A1014" s="92"/>
      <c r="B1014" s="92"/>
      <c r="C1014" s="55" t="s">
        <v>1124</v>
      </c>
      <c r="D1014" s="55"/>
    </row>
    <row r="1015" spans="1:4">
      <c r="A1015" s="92"/>
      <c r="B1015" s="92"/>
      <c r="C1015" s="55" t="s">
        <v>172</v>
      </c>
      <c r="D1015" s="55"/>
    </row>
    <row r="1016" spans="1:4">
      <c r="A1016" s="92"/>
      <c r="B1016" s="92"/>
      <c r="C1016" s="55" t="s">
        <v>1125</v>
      </c>
      <c r="D1016" s="55"/>
    </row>
    <row r="1017" spans="1:4">
      <c r="A1017" s="92"/>
      <c r="B1017" s="92"/>
      <c r="C1017" s="55" t="s">
        <v>178</v>
      </c>
      <c r="D1017" s="55"/>
    </row>
    <row r="1018" spans="1:4">
      <c r="A1018" s="92"/>
      <c r="B1018" s="92"/>
      <c r="C1018" s="55" t="s">
        <v>1126</v>
      </c>
      <c r="D1018" s="55"/>
    </row>
    <row r="1019" spans="1:4">
      <c r="A1019" s="92"/>
      <c r="B1019" s="92"/>
      <c r="C1019" s="55" t="s">
        <v>1127</v>
      </c>
      <c r="D1019" s="55"/>
    </row>
    <row r="1020" spans="1:4">
      <c r="A1020" s="92"/>
      <c r="B1020" s="92"/>
      <c r="C1020" s="55" t="s">
        <v>1128</v>
      </c>
      <c r="D1020" s="55"/>
    </row>
    <row r="1021" spans="1:4">
      <c r="A1021" s="92"/>
      <c r="B1021" s="92"/>
      <c r="C1021" s="55" t="s">
        <v>1129</v>
      </c>
      <c r="D1021" s="55"/>
    </row>
    <row r="1022" spans="1:4">
      <c r="A1022" s="92"/>
      <c r="B1022" s="92"/>
      <c r="C1022" s="55" t="s">
        <v>1130</v>
      </c>
      <c r="D1022" s="55"/>
    </row>
    <row r="1023" spans="1:4">
      <c r="A1023" s="92"/>
      <c r="B1023" s="92"/>
      <c r="C1023" s="55" t="s">
        <v>1131</v>
      </c>
      <c r="D1023" s="55"/>
    </row>
    <row r="1024" spans="1:4">
      <c r="A1024" s="92"/>
      <c r="B1024" s="92"/>
      <c r="C1024" s="55" t="s">
        <v>1132</v>
      </c>
      <c r="D1024" s="55"/>
    </row>
    <row r="1025" spans="1:5">
      <c r="A1025" s="92"/>
      <c r="B1025" s="92"/>
      <c r="C1025" s="55" t="s">
        <v>1133</v>
      </c>
      <c r="D1025" s="55"/>
    </row>
    <row r="1026" spans="1:5">
      <c r="A1026" s="92"/>
      <c r="B1026" s="92"/>
      <c r="C1026" s="55" t="s">
        <v>1134</v>
      </c>
      <c r="D1026" s="55"/>
    </row>
    <row r="1027" spans="1:5">
      <c r="A1027" s="92"/>
      <c r="B1027" s="92"/>
      <c r="C1027" s="55" t="s">
        <v>1135</v>
      </c>
      <c r="D1027" s="55"/>
    </row>
    <row r="1028" spans="1:5">
      <c r="A1028" s="92"/>
      <c r="B1028" s="92"/>
      <c r="C1028" s="55" t="s">
        <v>1136</v>
      </c>
      <c r="D1028" s="55"/>
    </row>
    <row r="1029" spans="1:5">
      <c r="A1029" s="92"/>
      <c r="B1029" s="92"/>
      <c r="C1029" s="55" t="s">
        <v>1137</v>
      </c>
      <c r="D1029" s="55"/>
    </row>
    <row r="1030" spans="1:5">
      <c r="A1030" s="92"/>
      <c r="B1030" s="92"/>
      <c r="C1030" s="55" t="s">
        <v>1138</v>
      </c>
      <c r="D1030" s="55"/>
    </row>
    <row r="1031" spans="1:5">
      <c r="A1031" s="92"/>
      <c r="B1031" s="92"/>
      <c r="C1031" s="133" t="s">
        <v>1139</v>
      </c>
      <c r="D1031" s="55"/>
      <c r="E1031" t="s">
        <v>269</v>
      </c>
    </row>
    <row r="1032" spans="1:5">
      <c r="A1032" s="92"/>
      <c r="B1032" s="92"/>
      <c r="C1032" s="55" t="s">
        <v>1140</v>
      </c>
      <c r="D1032" s="55"/>
    </row>
    <row r="1033" spans="1:5">
      <c r="A1033" s="92"/>
      <c r="B1033" s="92"/>
      <c r="C1033" s="55" t="s">
        <v>145</v>
      </c>
      <c r="D1033" s="55"/>
    </row>
    <row r="1034" spans="1:5">
      <c r="A1034" s="68" t="s">
        <v>1141</v>
      </c>
      <c r="B1034" s="68" t="s">
        <v>5</v>
      </c>
      <c r="C1034" s="57" t="s">
        <v>1142</v>
      </c>
      <c r="D1034" s="57"/>
      <c r="E1034" t="s">
        <v>1089</v>
      </c>
    </row>
    <row r="1035" spans="1:5">
      <c r="A1035" s="69"/>
      <c r="B1035" s="69"/>
      <c r="C1035" s="57" t="s">
        <v>1143</v>
      </c>
      <c r="D1035" s="57"/>
    </row>
    <row r="1036" spans="1:5">
      <c r="A1036" s="69"/>
      <c r="B1036" s="69"/>
      <c r="C1036" s="57" t="s">
        <v>145</v>
      </c>
      <c r="D1036" s="57"/>
    </row>
    <row r="1037" spans="1:5">
      <c r="A1037" s="91" t="s">
        <v>1144</v>
      </c>
      <c r="B1037" s="91" t="s">
        <v>5</v>
      </c>
      <c r="C1037" s="55" t="s">
        <v>1145</v>
      </c>
      <c r="D1037" s="55"/>
    </row>
    <row r="1038" spans="1:5">
      <c r="A1038" s="92"/>
      <c r="B1038" s="92"/>
      <c r="C1038" s="55" t="s">
        <v>1146</v>
      </c>
      <c r="D1038" s="55" t="s">
        <v>1147</v>
      </c>
    </row>
    <row r="1039" spans="1:5">
      <c r="A1039" s="92"/>
      <c r="B1039" s="92"/>
      <c r="C1039" s="55" t="s">
        <v>1148</v>
      </c>
      <c r="D1039" s="55" t="s">
        <v>1149</v>
      </c>
    </row>
    <row r="1040" spans="1:5">
      <c r="A1040" s="92"/>
      <c r="B1040" s="92"/>
      <c r="C1040" s="55" t="s">
        <v>1150</v>
      </c>
      <c r="D1040" s="55" t="s">
        <v>1151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363</v>
      </c>
    </row>
    <row r="1077" spans="1:3" s="11" customFormat="1">
      <c r="C1077" s="18" t="s">
        <v>181</v>
      </c>
    </row>
    <row r="1078" spans="1:3" s="11" customFormat="1">
      <c r="C1078" s="18" t="s">
        <v>364</v>
      </c>
    </row>
    <row r="1079" spans="1:3" s="11" customFormat="1">
      <c r="C1079" s="18" t="s">
        <v>220</v>
      </c>
    </row>
    <row r="1080" spans="1:3" s="11" customFormat="1">
      <c r="C1080" s="18"/>
    </row>
    <row r="1081" spans="1:3" s="11" customFormat="1">
      <c r="C1081" s="18" t="s">
        <v>363</v>
      </c>
    </row>
    <row r="1082" spans="1:3" s="11" customFormat="1">
      <c r="C1082" s="18" t="s">
        <v>181</v>
      </c>
    </row>
    <row r="1083" spans="1:3" s="11" customFormat="1">
      <c r="C1083" s="18" t="s">
        <v>364</v>
      </c>
    </row>
    <row r="1084" spans="1:3" s="11" customFormat="1">
      <c r="C1084" s="18" t="s">
        <v>220</v>
      </c>
    </row>
    <row r="1085" spans="1:3" s="11" customFormat="1">
      <c r="C1085" s="18" t="s">
        <v>365</v>
      </c>
    </row>
    <row r="1086" spans="1:3" s="11" customFormat="1">
      <c r="C1086" s="18"/>
    </row>
    <row r="1087" spans="1:3" s="11" customFormat="1">
      <c r="C1087" s="18" t="s">
        <v>363</v>
      </c>
    </row>
    <row r="1088" spans="1:3" s="11" customFormat="1">
      <c r="C1088" s="18" t="s">
        <v>181</v>
      </c>
    </row>
    <row r="1089" spans="3:3" s="11" customFormat="1">
      <c r="C1089" s="18" t="s">
        <v>220</v>
      </c>
    </row>
    <row r="1090" spans="3:3" s="11" customFormat="1">
      <c r="C1090" s="18"/>
    </row>
    <row r="1091" spans="3:3" s="11" customFormat="1">
      <c r="C1091" s="18" t="s">
        <v>942</v>
      </c>
    </row>
    <row r="1092" spans="3:3" s="11" customFormat="1">
      <c r="C1092" s="18" t="s">
        <v>145</v>
      </c>
    </row>
    <row r="1093" spans="3:3" s="11" customFormat="1">
      <c r="C1093" s="18"/>
    </row>
    <row r="1094" spans="3:3" s="11" customFormat="1">
      <c r="C1094" s="18" t="s">
        <v>487</v>
      </c>
    </row>
    <row r="1095" spans="3:3" s="11" customFormat="1">
      <c r="C1095" s="18" t="s">
        <v>789</v>
      </c>
    </row>
    <row r="1096" spans="3:3" s="11" customFormat="1">
      <c r="C1096" s="18" t="s">
        <v>790</v>
      </c>
    </row>
    <row r="1097" spans="3:3" s="11" customFormat="1">
      <c r="C1097" s="18" t="s">
        <v>793</v>
      </c>
    </row>
    <row r="1098" spans="3:3" s="11" customFormat="1">
      <c r="C1098" s="18" t="s">
        <v>794</v>
      </c>
    </row>
    <row r="1099" spans="3:3" s="11" customFormat="1">
      <c r="C1099" s="18" t="s">
        <v>795</v>
      </c>
    </row>
    <row r="1100" spans="3:3" s="11" customFormat="1">
      <c r="C1100" s="18" t="s">
        <v>796</v>
      </c>
    </row>
    <row r="1101" spans="3:3" s="11" customFormat="1">
      <c r="C1101" s="18" t="s">
        <v>797</v>
      </c>
    </row>
    <row r="1102" spans="3:3" s="11" customFormat="1">
      <c r="C1102" s="18" t="s">
        <v>798</v>
      </c>
    </row>
    <row r="1103" spans="3:3" s="11" customFormat="1">
      <c r="C1103" s="18" t="s">
        <v>800</v>
      </c>
    </row>
    <row r="1104" spans="3:3" s="11" customFormat="1">
      <c r="C1104" s="18" t="s">
        <v>533</v>
      </c>
    </row>
    <row r="1105" spans="3:3" s="11" customFormat="1">
      <c r="C1105" s="18" t="s">
        <v>145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940</v>
      </c>
    </row>
    <row r="1109" spans="3:3" s="11" customFormat="1">
      <c r="C1109" s="18" t="s">
        <v>941</v>
      </c>
    </row>
    <row r="1110" spans="3:3" s="11" customFormat="1">
      <c r="C1110" s="18" t="s">
        <v>206</v>
      </c>
    </row>
    <row r="1111" spans="3:3" s="11" customFormat="1">
      <c r="C1111" s="18" t="s">
        <v>145</v>
      </c>
    </row>
    <row r="1112" spans="3:3" s="11" customFormat="1">
      <c r="C1112" s="18"/>
    </row>
    <row r="1113" spans="3:3" s="11" customFormat="1">
      <c r="C1113" s="18" t="s">
        <v>223</v>
      </c>
    </row>
    <row r="1114" spans="3:3" s="11" customFormat="1">
      <c r="C1114" s="18" t="s">
        <v>372</v>
      </c>
    </row>
    <row r="1115" spans="3:3" s="11" customFormat="1">
      <c r="C1115" s="18" t="s">
        <v>33</v>
      </c>
    </row>
    <row r="1116" spans="3:3" s="11" customFormat="1">
      <c r="C1116" s="18" t="s">
        <v>145</v>
      </c>
    </row>
    <row r="1117" spans="3:3" s="11" customFormat="1">
      <c r="C1117" s="18"/>
    </row>
    <row r="1118" spans="3:3" s="11" customFormat="1">
      <c r="C1118" s="18" t="s">
        <v>377</v>
      </c>
    </row>
    <row r="1119" spans="3:3" s="11" customFormat="1">
      <c r="C1119" s="18" t="s">
        <v>1152</v>
      </c>
    </row>
    <row r="1120" spans="3:3" s="11" customFormat="1">
      <c r="C1120" s="18"/>
    </row>
    <row r="1121" spans="3:3">
      <c r="C1121" s="18" t="s">
        <v>377</v>
      </c>
    </row>
    <row r="1122" spans="3:3" s="11" customFormat="1">
      <c r="C1122" s="18" t="s">
        <v>379</v>
      </c>
    </row>
    <row r="1123" spans="3:3" s="11" customFormat="1">
      <c r="C1123" s="18" t="s">
        <v>381</v>
      </c>
    </row>
    <row r="1124" spans="3:3" s="11" customFormat="1">
      <c r="C1124" s="18" t="s">
        <v>383</v>
      </c>
    </row>
    <row r="1125" spans="3:3">
      <c r="C1125" s="18" t="s">
        <v>388</v>
      </c>
    </row>
    <row r="1126" spans="3:3">
      <c r="C1126" s="18" t="s">
        <v>145</v>
      </c>
    </row>
    <row r="1129" spans="3:3">
      <c r="C1129" s="18" t="s">
        <v>483</v>
      </c>
    </row>
    <row r="1130" spans="3:3">
      <c r="C1130" s="18" t="s">
        <v>484</v>
      </c>
    </row>
    <row r="1131" spans="3:3">
      <c r="C1131" s="18" t="s">
        <v>486</v>
      </c>
    </row>
    <row r="1132" spans="3:3">
      <c r="C1132" s="18" t="s">
        <v>487</v>
      </c>
    </row>
    <row r="1133" spans="3:3">
      <c r="C1133" s="18" t="s">
        <v>488</v>
      </c>
    </row>
    <row r="1134" spans="3:3">
      <c r="C1134" s="18" t="s">
        <v>490</v>
      </c>
    </row>
    <row r="1135" spans="3:3">
      <c r="C1135" s="18" t="s">
        <v>491</v>
      </c>
    </row>
    <row r="1136" spans="3:3">
      <c r="C1136" s="18" t="s">
        <v>492</v>
      </c>
    </row>
    <row r="1137" spans="3:3">
      <c r="C1137" s="18" t="s">
        <v>493</v>
      </c>
    </row>
    <row r="1138" spans="3:3">
      <c r="C1138" s="18" t="s">
        <v>494</v>
      </c>
    </row>
    <row r="1139" spans="3:3">
      <c r="C1139" s="18" t="s">
        <v>495</v>
      </c>
    </row>
    <row r="1140" spans="3:3">
      <c r="C1140" s="18" t="s">
        <v>496</v>
      </c>
    </row>
    <row r="1141" spans="3:3">
      <c r="C1141" s="18" t="s">
        <v>497</v>
      </c>
    </row>
    <row r="1142" spans="3:3">
      <c r="C1142" s="18" t="s">
        <v>498</v>
      </c>
    </row>
    <row r="1143" spans="3:3">
      <c r="C1143" s="18" t="s">
        <v>499</v>
      </c>
    </row>
    <row r="1144" spans="3:3">
      <c r="C1144" s="18" t="s">
        <v>501</v>
      </c>
    </row>
    <row r="1145" spans="3:3">
      <c r="C1145" s="18" t="s">
        <v>502</v>
      </c>
    </row>
    <row r="1146" spans="3:3">
      <c r="C1146" s="18" t="s">
        <v>503</v>
      </c>
    </row>
    <row r="1147" spans="3:3">
      <c r="C1147" s="18" t="s">
        <v>505</v>
      </c>
    </row>
    <row r="1148" spans="3:3">
      <c r="C1148" s="18" t="s">
        <v>506</v>
      </c>
    </row>
    <row r="1149" spans="3:3">
      <c r="C1149" s="18" t="s">
        <v>507</v>
      </c>
    </row>
    <row r="1150" spans="3:3">
      <c r="C1150" s="18" t="s">
        <v>508</v>
      </c>
    </row>
    <row r="1151" spans="3:3">
      <c r="C1151" s="18" t="s">
        <v>509</v>
      </c>
    </row>
    <row r="1152" spans="3:3">
      <c r="C1152" s="18" t="s">
        <v>510</v>
      </c>
    </row>
    <row r="1153" spans="3:3">
      <c r="C1153" s="18" t="s">
        <v>511</v>
      </c>
    </row>
    <row r="1154" spans="3:3">
      <c r="C1154" s="18" t="s">
        <v>512</v>
      </c>
    </row>
    <row r="1155" spans="3:3">
      <c r="C1155" s="18" t="s">
        <v>513</v>
      </c>
    </row>
    <row r="1156" spans="3:3">
      <c r="C1156" s="18" t="s">
        <v>514</v>
      </c>
    </row>
    <row r="1157" spans="3:3">
      <c r="C1157" s="18" t="s">
        <v>515</v>
      </c>
    </row>
    <row r="1158" spans="3:3">
      <c r="C1158" s="18" t="s">
        <v>516</v>
      </c>
    </row>
    <row r="1159" spans="3:3">
      <c r="C1159" s="18" t="s">
        <v>517</v>
      </c>
    </row>
    <row r="1160" spans="3:3">
      <c r="C1160" s="18" t="s">
        <v>518</v>
      </c>
    </row>
    <row r="1161" spans="3:3">
      <c r="C1161" s="18" t="s">
        <v>519</v>
      </c>
    </row>
    <row r="1162" spans="3:3">
      <c r="C1162" s="18" t="s">
        <v>520</v>
      </c>
    </row>
    <row r="1163" spans="3:3" ht="14.45" customHeight="1">
      <c r="C1163" s="18" t="s">
        <v>521</v>
      </c>
    </row>
    <row r="1164" spans="3:3">
      <c r="C1164" s="18" t="s">
        <v>523</v>
      </c>
    </row>
    <row r="1165" spans="3:3">
      <c r="C1165" s="18" t="s">
        <v>524</v>
      </c>
    </row>
    <row r="1166" spans="3:3">
      <c r="C1166" s="18" t="s">
        <v>525</v>
      </c>
    </row>
    <row r="1167" spans="3:3">
      <c r="C1167" s="18" t="s">
        <v>526</v>
      </c>
    </row>
    <row r="1168" spans="3:3">
      <c r="C1168" s="18" t="s">
        <v>528</v>
      </c>
    </row>
    <row r="1169" spans="3:3">
      <c r="C1169" s="18" t="s">
        <v>532</v>
      </c>
    </row>
    <row r="1170" spans="3:3">
      <c r="C1170" s="18" t="s">
        <v>145</v>
      </c>
    </row>
    <row r="1171" spans="3:3">
      <c r="C1171" s="18" t="s">
        <v>534</v>
      </c>
    </row>
    <row r="1172" spans="3:3">
      <c r="C1172" s="18" t="s">
        <v>535</v>
      </c>
    </row>
    <row r="1173" spans="3:3">
      <c r="C1173" s="18" t="s">
        <v>536</v>
      </c>
    </row>
    <row r="1174" spans="3:3">
      <c r="C1174" s="18" t="s">
        <v>537</v>
      </c>
    </row>
    <row r="1175" spans="3:3">
      <c r="C1175" s="18" t="s">
        <v>538</v>
      </c>
    </row>
    <row r="1176" spans="3:3">
      <c r="C1176" s="18" t="s">
        <v>539</v>
      </c>
    </row>
    <row r="1177" spans="3:3">
      <c r="C1177" s="18" t="s">
        <v>540</v>
      </c>
    </row>
    <row r="1178" spans="3:3">
      <c r="C1178" s="18" t="s">
        <v>541</v>
      </c>
    </row>
    <row r="1179" spans="3:3">
      <c r="C1179" s="18" t="s">
        <v>542</v>
      </c>
    </row>
    <row r="1180" spans="3:3">
      <c r="C1180" s="18" t="s">
        <v>543</v>
      </c>
    </row>
    <row r="1181" spans="3:3">
      <c r="C1181" s="18" t="s">
        <v>544</v>
      </c>
    </row>
    <row r="1182" spans="3:3">
      <c r="C1182" s="18" t="s">
        <v>545</v>
      </c>
    </row>
    <row r="1183" spans="3:3">
      <c r="C1183" s="18" t="s">
        <v>546</v>
      </c>
    </row>
    <row r="1184" spans="3:3">
      <c r="C1184" s="18" t="s">
        <v>547</v>
      </c>
    </row>
    <row r="1185" spans="3:3">
      <c r="C1185" s="18" t="s">
        <v>548</v>
      </c>
    </row>
    <row r="1186" spans="3:3">
      <c r="C1186" s="18" t="s">
        <v>549</v>
      </c>
    </row>
    <row r="1187" spans="3:3">
      <c r="C1187" s="18" t="s">
        <v>550</v>
      </c>
    </row>
    <row r="1188" spans="3:3">
      <c r="C1188" s="18" t="s">
        <v>551</v>
      </c>
    </row>
    <row r="1189" spans="3:3">
      <c r="C1189" s="18" t="s">
        <v>553</v>
      </c>
    </row>
    <row r="1190" spans="3:3">
      <c r="C1190" s="18" t="s">
        <v>555</v>
      </c>
    </row>
    <row r="1191" spans="3:3">
      <c r="C1191" s="18" t="s">
        <v>557</v>
      </c>
    </row>
    <row r="1192" spans="3:3">
      <c r="C1192" s="132" t="s">
        <v>558</v>
      </c>
    </row>
    <row r="1193" spans="3:3">
      <c r="C1193" s="18" t="s">
        <v>560</v>
      </c>
    </row>
    <row r="1194" spans="3:3">
      <c r="C1194" s="18" t="s">
        <v>561</v>
      </c>
    </row>
    <row r="1195" spans="3:3">
      <c r="C1195" s="18" t="s">
        <v>562</v>
      </c>
    </row>
    <row r="1196" spans="3:3">
      <c r="C1196" s="18" t="s">
        <v>563</v>
      </c>
    </row>
    <row r="1197" spans="3:3">
      <c r="C1197" s="18" t="s">
        <v>564</v>
      </c>
    </row>
    <row r="1198" spans="3:3">
      <c r="C1198" s="18" t="s">
        <v>565</v>
      </c>
    </row>
    <row r="1199" spans="3:3">
      <c r="C1199" s="18" t="s">
        <v>566</v>
      </c>
    </row>
    <row r="1200" spans="3:3">
      <c r="C1200" s="18" t="s">
        <v>567</v>
      </c>
    </row>
    <row r="1201" spans="3:3">
      <c r="C1201" s="18" t="s">
        <v>569</v>
      </c>
    </row>
    <row r="1202" spans="3:3">
      <c r="C1202" s="18" t="s">
        <v>570</v>
      </c>
    </row>
    <row r="1203" spans="3:3">
      <c r="C1203" s="18" t="s">
        <v>572</v>
      </c>
    </row>
    <row r="1204" spans="3:3">
      <c r="C1204" s="18" t="s">
        <v>573</v>
      </c>
    </row>
    <row r="1205" spans="3:3">
      <c r="C1205" s="18" t="s">
        <v>574</v>
      </c>
    </row>
    <row r="1206" spans="3:3">
      <c r="C1206" s="18" t="s">
        <v>575</v>
      </c>
    </row>
    <row r="1207" spans="3:3">
      <c r="C1207" s="18" t="s">
        <v>576</v>
      </c>
    </row>
    <row r="1208" spans="3:3">
      <c r="C1208" s="18" t="s">
        <v>578</v>
      </c>
    </row>
    <row r="1209" spans="3:3">
      <c r="C1209" s="18" t="s">
        <v>579</v>
      </c>
    </row>
    <row r="1210" spans="3:3">
      <c r="C1210" s="18" t="s">
        <v>580</v>
      </c>
    </row>
    <row r="1211" spans="3:3">
      <c r="C1211" s="18" t="s">
        <v>581</v>
      </c>
    </row>
    <row r="1212" spans="3:3">
      <c r="C1212" s="18" t="s">
        <v>582</v>
      </c>
    </row>
    <row r="1213" spans="3:3">
      <c r="C1213" s="18" t="s">
        <v>583</v>
      </c>
    </row>
    <row r="1214" spans="3:3">
      <c r="C1214" s="18" t="s">
        <v>584</v>
      </c>
    </row>
    <row r="1215" spans="3:3">
      <c r="C1215" s="18" t="s">
        <v>585</v>
      </c>
    </row>
    <row r="1216" spans="3:3">
      <c r="C1216" s="18" t="s">
        <v>587</v>
      </c>
    </row>
    <row r="1217" spans="3:3">
      <c r="C1217" s="18" t="s">
        <v>588</v>
      </c>
    </row>
    <row r="1218" spans="3:3">
      <c r="C1218" s="18" t="s">
        <v>589</v>
      </c>
    </row>
    <row r="1219" spans="3:3">
      <c r="C1219" s="18" t="s">
        <v>590</v>
      </c>
    </row>
    <row r="1220" spans="3:3">
      <c r="C1220" s="18" t="s">
        <v>591</v>
      </c>
    </row>
    <row r="1221" spans="3:3">
      <c r="C1221" s="18" t="s">
        <v>592</v>
      </c>
    </row>
    <row r="1222" spans="3:3">
      <c r="C1222" s="18" t="s">
        <v>593</v>
      </c>
    </row>
    <row r="1223" spans="3:3">
      <c r="C1223" s="18" t="s">
        <v>594</v>
      </c>
    </row>
    <row r="1224" spans="3:3">
      <c r="C1224" s="18" t="s">
        <v>595</v>
      </c>
    </row>
    <row r="1225" spans="3:3">
      <c r="C1225" s="18" t="s">
        <v>596</v>
      </c>
    </row>
    <row r="1226" spans="3:3">
      <c r="C1226" s="18" t="s">
        <v>597</v>
      </c>
    </row>
    <row r="1227" spans="3:3">
      <c r="C1227" s="18" t="s">
        <v>598</v>
      </c>
    </row>
    <row r="1228" spans="3:3">
      <c r="C1228" s="18" t="s">
        <v>599</v>
      </c>
    </row>
    <row r="1229" spans="3:3">
      <c r="C1229" s="18" t="s">
        <v>600</v>
      </c>
    </row>
    <row r="1230" spans="3:3">
      <c r="C1230" s="18" t="s">
        <v>601</v>
      </c>
    </row>
    <row r="1231" spans="3:3">
      <c r="C1231" s="18" t="s">
        <v>602</v>
      </c>
    </row>
    <row r="1232" spans="3:3">
      <c r="C1232" s="18" t="s">
        <v>603</v>
      </c>
    </row>
    <row r="1233" spans="3:3">
      <c r="C1233" s="18" t="s">
        <v>604</v>
      </c>
    </row>
    <row r="1234" spans="3:3">
      <c r="C1234" s="18" t="s">
        <v>605</v>
      </c>
    </row>
    <row r="1235" spans="3:3">
      <c r="C1235" s="18" t="s">
        <v>606</v>
      </c>
    </row>
    <row r="1236" spans="3:3">
      <c r="C1236" s="18" t="s">
        <v>607</v>
      </c>
    </row>
    <row r="1237" spans="3:3">
      <c r="C1237" s="18" t="s">
        <v>609</v>
      </c>
    </row>
    <row r="1238" spans="3:3">
      <c r="C1238" s="18" t="s">
        <v>610</v>
      </c>
    </row>
    <row r="1239" spans="3:3">
      <c r="C1239" s="18" t="s">
        <v>611</v>
      </c>
    </row>
    <row r="1240" spans="3:3">
      <c r="C1240" s="18" t="s">
        <v>612</v>
      </c>
    </row>
    <row r="1241" spans="3:3">
      <c r="C1241" s="18" t="s">
        <v>613</v>
      </c>
    </row>
    <row r="1242" spans="3:3">
      <c r="C1242" s="18" t="s">
        <v>614</v>
      </c>
    </row>
    <row r="1243" spans="3:3">
      <c r="C1243" s="18" t="s">
        <v>615</v>
      </c>
    </row>
    <row r="1244" spans="3:3">
      <c r="C1244" s="18" t="s">
        <v>616</v>
      </c>
    </row>
    <row r="1245" spans="3:3">
      <c r="C1245" s="18" t="s">
        <v>617</v>
      </c>
    </row>
    <row r="1248" spans="3:3">
      <c r="C1248" s="18" t="s">
        <v>378</v>
      </c>
    </row>
    <row r="1249" spans="3:3">
      <c r="C1249" s="18" t="s">
        <v>379</v>
      </c>
    </row>
    <row r="1250" spans="3:3">
      <c r="C1250" s="18" t="s">
        <v>381</v>
      </c>
    </row>
    <row r="1251" spans="3:3">
      <c r="C1251" s="18" t="s">
        <v>384</v>
      </c>
    </row>
    <row r="1252" spans="3:3">
      <c r="C1252" s="18" t="s">
        <v>386</v>
      </c>
    </row>
    <row r="1253" spans="3:3">
      <c r="C1253" s="18" t="s">
        <v>145</v>
      </c>
    </row>
    <row r="1255" spans="3:3">
      <c r="C1255" s="18" t="s">
        <v>378</v>
      </c>
    </row>
    <row r="1256" spans="3:3">
      <c r="C1256" s="18" t="s">
        <v>383</v>
      </c>
    </row>
    <row r="1257" spans="3:3">
      <c r="C1257" s="18" t="s">
        <v>388</v>
      </c>
    </row>
    <row r="1258" spans="3:3">
      <c r="C1258" s="18" t="s">
        <v>379</v>
      </c>
    </row>
    <row r="1259" spans="3:3">
      <c r="C1259" s="18" t="s">
        <v>145</v>
      </c>
    </row>
    <row r="1261" spans="3:3">
      <c r="C1261" s="18" t="s">
        <v>377</v>
      </c>
    </row>
    <row r="1262" spans="3:3">
      <c r="C1262" s="18" t="s">
        <v>379</v>
      </c>
    </row>
    <row r="1263" spans="3:3">
      <c r="C1263" s="18" t="s">
        <v>386</v>
      </c>
    </row>
    <row r="1264" spans="3:3">
      <c r="C1264" s="18" t="s">
        <v>384</v>
      </c>
    </row>
    <row r="1265" spans="3:3">
      <c r="C1265" s="18" t="s">
        <v>145</v>
      </c>
    </row>
    <row r="1267" spans="3:3">
      <c r="C1267" s="18" t="s">
        <v>378</v>
      </c>
    </row>
    <row r="1268" spans="3:3">
      <c r="C1268" s="18" t="s">
        <v>379</v>
      </c>
    </row>
    <row r="1269" spans="3:3">
      <c r="C1269" s="18" t="s">
        <v>145</v>
      </c>
    </row>
    <row r="1272" spans="3:3">
      <c r="C1272" s="18" t="s">
        <v>377</v>
      </c>
    </row>
    <row r="1273" spans="3:3">
      <c r="C1273" s="18" t="s">
        <v>379</v>
      </c>
    </row>
    <row r="1274" spans="3:3">
      <c r="C1274" s="18" t="s">
        <v>381</v>
      </c>
    </row>
    <row r="1275" spans="3:3">
      <c r="C1275" s="18" t="s">
        <v>383</v>
      </c>
    </row>
    <row r="1276" spans="3:3">
      <c r="C1276" s="18" t="s">
        <v>384</v>
      </c>
    </row>
    <row r="1277" spans="3:3">
      <c r="C1277" s="18" t="s">
        <v>385</v>
      </c>
    </row>
    <row r="1278" spans="3:3">
      <c r="C1278" s="18" t="s">
        <v>386</v>
      </c>
    </row>
    <row r="1279" spans="3:3">
      <c r="C1279" s="18" t="s">
        <v>387</v>
      </c>
    </row>
    <row r="1280" spans="3:3">
      <c r="C1280" s="18" t="s">
        <v>388</v>
      </c>
    </row>
    <row r="1281" spans="3:3">
      <c r="C1281" s="18" t="s">
        <v>145</v>
      </c>
    </row>
    <row r="1283" spans="3:3">
      <c r="C1283" s="18" t="s">
        <v>31</v>
      </c>
    </row>
    <row r="1284" spans="3:3">
      <c r="C1284" s="18" t="s">
        <v>392</v>
      </c>
    </row>
    <row r="1285" spans="3:3">
      <c r="C1285" s="18" t="s">
        <v>394</v>
      </c>
    </row>
    <row r="1286" spans="3:3">
      <c r="C1286" s="18" t="s">
        <v>396</v>
      </c>
    </row>
    <row r="1287" spans="3:3">
      <c r="C1287" s="18" t="s">
        <v>398</v>
      </c>
    </row>
    <row r="1288" spans="3:3">
      <c r="C1288" s="18" t="s">
        <v>400</v>
      </c>
    </row>
    <row r="1289" spans="3:3">
      <c r="C1289" s="18" t="s">
        <v>402</v>
      </c>
    </row>
    <row r="1290" spans="3:3">
      <c r="C1290" s="18" t="s">
        <v>404</v>
      </c>
    </row>
    <row r="1291" spans="3:3">
      <c r="C1291" s="18" t="s">
        <v>406</v>
      </c>
    </row>
    <row r="1292" spans="3:3">
      <c r="C1292" s="18" t="s">
        <v>408</v>
      </c>
    </row>
    <row r="1293" spans="3:3">
      <c r="C1293" s="18" t="s">
        <v>410</v>
      </c>
    </row>
    <row r="1294" spans="3:3">
      <c r="C1294" s="18" t="s">
        <v>412</v>
      </c>
    </row>
    <row r="1295" spans="3:3">
      <c r="C1295" s="18" t="s">
        <v>414</v>
      </c>
    </row>
    <row r="1296" spans="3:3">
      <c r="C1296" s="18" t="s">
        <v>416</v>
      </c>
    </row>
    <row r="1297" spans="3:3">
      <c r="C1297" s="18" t="s">
        <v>418</v>
      </c>
    </row>
    <row r="1298" spans="3:3">
      <c r="C1298" s="18" t="s">
        <v>420</v>
      </c>
    </row>
    <row r="1299" spans="3:3">
      <c r="C1299" s="18" t="s">
        <v>422</v>
      </c>
    </row>
    <row r="1300" spans="3:3">
      <c r="C1300" s="18" t="s">
        <v>424</v>
      </c>
    </row>
    <row r="1301" spans="3:3">
      <c r="C1301" s="18" t="s">
        <v>426</v>
      </c>
    </row>
    <row r="1302" spans="3:3">
      <c r="C1302" s="18" t="s">
        <v>428</v>
      </c>
    </row>
    <row r="1303" spans="3:3">
      <c r="C1303" s="18" t="s">
        <v>430</v>
      </c>
    </row>
    <row r="1304" spans="3:3">
      <c r="C1304" s="18" t="s">
        <v>432</v>
      </c>
    </row>
    <row r="1305" spans="3:3">
      <c r="C1305" s="18" t="s">
        <v>434</v>
      </c>
    </row>
    <row r="1306" spans="3:3">
      <c r="C1306" s="18" t="s">
        <v>436</v>
      </c>
    </row>
    <row r="1307" spans="3:3">
      <c r="C1307" s="18" t="s">
        <v>438</v>
      </c>
    </row>
    <row r="1308" spans="3:3">
      <c r="C1308" s="18" t="s">
        <v>440</v>
      </c>
    </row>
    <row r="1309" spans="3:3">
      <c r="C1309" s="18" t="s">
        <v>442</v>
      </c>
    </row>
    <row r="1310" spans="3:3">
      <c r="C1310" s="18" t="s">
        <v>444</v>
      </c>
    </row>
    <row r="1311" spans="3:3">
      <c r="C1311" s="18" t="s">
        <v>446</v>
      </c>
    </row>
    <row r="1312" spans="3:3">
      <c r="C1312" s="18" t="s">
        <v>448</v>
      </c>
    </row>
    <row r="1313" spans="3:3">
      <c r="C1313" s="18" t="s">
        <v>450</v>
      </c>
    </row>
    <row r="1314" spans="3:3">
      <c r="C1314" s="18" t="s">
        <v>452</v>
      </c>
    </row>
    <row r="1315" spans="3:3">
      <c r="C1315" s="18" t="s">
        <v>145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1153</v>
      </c>
      <c r="B1" s="111" t="s">
        <v>1154</v>
      </c>
      <c r="C1" s="111" t="s">
        <v>1155</v>
      </c>
      <c r="D1" s="112" t="s">
        <v>1156</v>
      </c>
      <c r="E1" s="126"/>
    </row>
    <row r="2" spans="1:5" ht="15.75" outlineLevel="1">
      <c r="A2" s="40" t="s">
        <v>997</v>
      </c>
      <c r="B2" s="41" t="s">
        <v>0</v>
      </c>
      <c r="C2" s="40">
        <v>5.0999999999999996</v>
      </c>
      <c r="D2" s="114"/>
    </row>
    <row r="3" spans="1:5" ht="15.75" outlineLevel="1">
      <c r="A3" s="40" t="s">
        <v>997</v>
      </c>
      <c r="B3" s="41" t="s">
        <v>1</v>
      </c>
      <c r="C3" s="40">
        <v>5.2</v>
      </c>
      <c r="D3" s="114"/>
    </row>
    <row r="4" spans="1:5" ht="15.75" outlineLevel="1">
      <c r="A4" s="40" t="s">
        <v>997</v>
      </c>
      <c r="B4" s="41" t="s">
        <v>210</v>
      </c>
      <c r="C4" s="40">
        <v>5.4</v>
      </c>
      <c r="D4" s="114"/>
    </row>
    <row r="5" spans="1:5" ht="15.75" outlineLevel="1">
      <c r="A5" s="40" t="s">
        <v>997</v>
      </c>
      <c r="B5" s="41" t="s">
        <v>211</v>
      </c>
      <c r="C5" s="40">
        <v>5.7</v>
      </c>
      <c r="D5" s="114"/>
    </row>
    <row r="6" spans="1:5" ht="15.75" outlineLevel="1">
      <c r="A6" s="40" t="s">
        <v>997</v>
      </c>
      <c r="B6" s="41" t="s">
        <v>212</v>
      </c>
      <c r="C6" s="40">
        <v>5.1100000000000003</v>
      </c>
      <c r="D6" s="114"/>
    </row>
    <row r="7" spans="1:5" ht="15.75" outlineLevel="1">
      <c r="A7" s="40" t="s">
        <v>997</v>
      </c>
      <c r="B7" s="41" t="s">
        <v>5</v>
      </c>
      <c r="C7" s="40">
        <v>5.26</v>
      </c>
      <c r="D7" s="114"/>
    </row>
    <row r="8" spans="1:5" ht="15.75" outlineLevel="1">
      <c r="A8" s="40" t="s">
        <v>997</v>
      </c>
      <c r="B8" s="41" t="s">
        <v>6</v>
      </c>
      <c r="C8" s="40">
        <v>5.27</v>
      </c>
      <c r="D8" s="114"/>
    </row>
    <row r="9" spans="1:5" ht="15.75" outlineLevel="1">
      <c r="A9" s="40" t="s">
        <v>997</v>
      </c>
      <c r="B9" s="41" t="s">
        <v>159</v>
      </c>
      <c r="C9" s="40">
        <v>5.36</v>
      </c>
      <c r="D9" s="114"/>
    </row>
    <row r="10" spans="1:5" ht="15.75" outlineLevel="1">
      <c r="A10" s="40" t="s">
        <v>997</v>
      </c>
      <c r="B10" s="41" t="s">
        <v>214</v>
      </c>
      <c r="C10" s="42">
        <v>5.5</v>
      </c>
      <c r="D10" s="114"/>
    </row>
    <row r="11" spans="1:5" ht="15.75" outlineLevel="1">
      <c r="A11" s="40" t="s">
        <v>997</v>
      </c>
      <c r="B11" s="41" t="s">
        <v>10</v>
      </c>
      <c r="C11" s="40">
        <v>5.51</v>
      </c>
      <c r="D11" s="114"/>
    </row>
    <row r="12" spans="1:5" ht="15.75" outlineLevel="1">
      <c r="A12" s="40" t="s">
        <v>997</v>
      </c>
      <c r="B12" s="41" t="s">
        <v>11</v>
      </c>
      <c r="C12" s="40">
        <v>5.53</v>
      </c>
      <c r="D12" s="114"/>
    </row>
    <row r="13" spans="1:5" ht="15.75" outlineLevel="1">
      <c r="A13" s="40" t="s">
        <v>997</v>
      </c>
      <c r="B13" s="41" t="s">
        <v>169</v>
      </c>
      <c r="C13" s="40">
        <v>5.59</v>
      </c>
      <c r="D13" s="114"/>
    </row>
    <row r="14" spans="1:5" ht="15.75" outlineLevel="1">
      <c r="A14" s="40" t="s">
        <v>997</v>
      </c>
      <c r="B14" s="41" t="s">
        <v>18</v>
      </c>
      <c r="C14" s="40">
        <v>5.54</v>
      </c>
      <c r="D14" s="114"/>
    </row>
    <row r="15" spans="1:5" ht="15.75" outlineLevel="1">
      <c r="A15" s="40" t="s">
        <v>997</v>
      </c>
      <c r="B15" s="41" t="s">
        <v>14</v>
      </c>
      <c r="C15" s="42">
        <v>5.7</v>
      </c>
      <c r="D15" s="113" t="s">
        <v>1157</v>
      </c>
    </row>
    <row r="16" spans="1:5" ht="15.75" outlineLevel="1">
      <c r="A16" s="40" t="s">
        <v>997</v>
      </c>
      <c r="B16" s="41" t="s">
        <v>20</v>
      </c>
      <c r="C16" s="40">
        <v>5.63</v>
      </c>
      <c r="D16" s="114"/>
    </row>
    <row r="17" spans="1:4" ht="15.75" outlineLevel="1">
      <c r="A17" s="40" t="s">
        <v>997</v>
      </c>
      <c r="B17" s="41" t="s">
        <v>24</v>
      </c>
      <c r="C17" s="40">
        <v>5.47</v>
      </c>
      <c r="D17" s="114"/>
    </row>
    <row r="18" spans="1:4" ht="15.75" outlineLevel="1">
      <c r="A18" s="40" t="s">
        <v>997</v>
      </c>
      <c r="B18" s="41" t="s">
        <v>25</v>
      </c>
      <c r="C18" s="40">
        <v>5.48</v>
      </c>
      <c r="D18" s="114"/>
    </row>
    <row r="19" spans="1:4" ht="15.75">
      <c r="A19" s="46" t="s">
        <v>997</v>
      </c>
      <c r="B19" s="41"/>
      <c r="C19" s="40"/>
      <c r="D19" s="114"/>
    </row>
    <row r="20" spans="1:4" ht="15.75" outlineLevel="1">
      <c r="A20" s="40" t="s">
        <v>1007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1007</v>
      </c>
      <c r="B21" s="41" t="s">
        <v>1</v>
      </c>
      <c r="C21" s="40">
        <v>5.2</v>
      </c>
      <c r="D21" s="114"/>
    </row>
    <row r="22" spans="1:4" ht="15.75" outlineLevel="1">
      <c r="A22" s="40" t="s">
        <v>1007</v>
      </c>
      <c r="B22" s="41" t="s">
        <v>2</v>
      </c>
      <c r="C22" s="40">
        <v>5.3</v>
      </c>
      <c r="D22" s="114"/>
    </row>
    <row r="23" spans="1:4" ht="15.75" outlineLevel="1">
      <c r="A23" s="40" t="s">
        <v>1007</v>
      </c>
      <c r="B23" s="41" t="s">
        <v>1158</v>
      </c>
      <c r="C23" s="40">
        <v>5.14</v>
      </c>
      <c r="D23" s="114"/>
    </row>
    <row r="24" spans="1:4" ht="15.75" outlineLevel="1">
      <c r="A24" s="40" t="s">
        <v>1007</v>
      </c>
      <c r="B24" s="41" t="s">
        <v>4</v>
      </c>
      <c r="C24" s="40">
        <v>5.19</v>
      </c>
      <c r="D24" s="114"/>
    </row>
    <row r="25" spans="1:4" ht="15.75" outlineLevel="1">
      <c r="A25" s="40" t="s">
        <v>1007</v>
      </c>
      <c r="B25" s="41" t="s">
        <v>5</v>
      </c>
      <c r="C25" s="40">
        <v>5.26</v>
      </c>
      <c r="D25" s="114"/>
    </row>
    <row r="26" spans="1:4" ht="15.75" outlineLevel="1">
      <c r="A26" s="40" t="s">
        <v>1007</v>
      </c>
      <c r="B26" s="41" t="s">
        <v>6</v>
      </c>
      <c r="C26" s="40">
        <v>5.27</v>
      </c>
      <c r="D26" s="114"/>
    </row>
    <row r="27" spans="1:4" ht="15.75" outlineLevel="1">
      <c r="A27" s="40" t="s">
        <v>1007</v>
      </c>
      <c r="B27" s="41" t="s">
        <v>7</v>
      </c>
      <c r="C27" s="40">
        <v>5.28</v>
      </c>
      <c r="D27" s="114"/>
    </row>
    <row r="28" spans="1:4" ht="15.75" outlineLevel="1">
      <c r="A28" s="40" t="s">
        <v>1007</v>
      </c>
      <c r="B28" s="41" t="s">
        <v>8</v>
      </c>
      <c r="C28" s="42">
        <v>5.3</v>
      </c>
      <c r="D28" s="114"/>
    </row>
    <row r="29" spans="1:4" ht="15.75" outlineLevel="1">
      <c r="A29" s="40" t="s">
        <v>1007</v>
      </c>
      <c r="B29" s="41" t="s">
        <v>9</v>
      </c>
      <c r="C29" s="40">
        <v>5.49</v>
      </c>
      <c r="D29" s="114"/>
    </row>
    <row r="30" spans="1:4" ht="15.75" outlineLevel="1">
      <c r="A30" s="40" t="s">
        <v>1007</v>
      </c>
      <c r="B30" s="41" t="s">
        <v>10</v>
      </c>
      <c r="C30" s="40">
        <v>5.51</v>
      </c>
      <c r="D30" s="114"/>
    </row>
    <row r="31" spans="1:4" ht="15.75" outlineLevel="1">
      <c r="A31" s="40" t="s">
        <v>1007</v>
      </c>
      <c r="B31" s="41" t="s">
        <v>11</v>
      </c>
      <c r="C31" s="40">
        <v>5.53</v>
      </c>
      <c r="D31" s="114"/>
    </row>
    <row r="32" spans="1:4" ht="15.75" outlineLevel="1">
      <c r="A32" s="40" t="s">
        <v>1007</v>
      </c>
      <c r="B32" s="41" t="s">
        <v>12</v>
      </c>
      <c r="C32" s="40">
        <v>5.69</v>
      </c>
      <c r="D32" s="114"/>
    </row>
    <row r="33" spans="1:4" ht="15.75" outlineLevel="1">
      <c r="A33" s="40" t="s">
        <v>1007</v>
      </c>
      <c r="B33" s="41" t="s">
        <v>13</v>
      </c>
      <c r="C33" s="40">
        <v>5.75</v>
      </c>
      <c r="D33" s="114"/>
    </row>
    <row r="34" spans="1:4" ht="15.75" outlineLevel="1">
      <c r="A34" s="40" t="s">
        <v>1007</v>
      </c>
      <c r="B34" s="41" t="s">
        <v>14</v>
      </c>
      <c r="C34" s="42">
        <v>5.7</v>
      </c>
      <c r="D34" s="114"/>
    </row>
    <row r="35" spans="1:4" ht="15.75" outlineLevel="1">
      <c r="A35" s="40" t="s">
        <v>1007</v>
      </c>
      <c r="B35" s="41" t="s">
        <v>15</v>
      </c>
      <c r="C35" s="40">
        <v>5.74</v>
      </c>
      <c r="D35" s="114"/>
    </row>
    <row r="36" spans="1:4" ht="15.75" outlineLevel="1">
      <c r="A36" s="40" t="s">
        <v>1007</v>
      </c>
      <c r="B36" s="41" t="s">
        <v>16</v>
      </c>
      <c r="C36" s="40">
        <v>5.62</v>
      </c>
      <c r="D36" s="114"/>
    </row>
    <row r="37" spans="1:4" ht="15.75" outlineLevel="1">
      <c r="A37" s="40" t="s">
        <v>1007</v>
      </c>
      <c r="B37" s="41" t="s">
        <v>17</v>
      </c>
      <c r="C37" s="40">
        <v>5.58</v>
      </c>
      <c r="D37" s="114"/>
    </row>
    <row r="38" spans="1:4" ht="15.75" outlineLevel="1">
      <c r="A38" s="40" t="s">
        <v>1007</v>
      </c>
      <c r="B38" s="41" t="s">
        <v>18</v>
      </c>
      <c r="C38" s="40">
        <v>5.54</v>
      </c>
      <c r="D38" s="114"/>
    </row>
    <row r="39" spans="1:4" ht="15.75" outlineLevel="1">
      <c r="A39" s="40" t="s">
        <v>1007</v>
      </c>
      <c r="B39" s="41" t="s">
        <v>19</v>
      </c>
      <c r="C39" s="40">
        <v>5.55</v>
      </c>
      <c r="D39" s="114"/>
    </row>
    <row r="40" spans="1:4" ht="15.75" outlineLevel="1">
      <c r="A40" s="40" t="s">
        <v>1007</v>
      </c>
      <c r="B40" s="41" t="s">
        <v>20</v>
      </c>
      <c r="C40" s="40">
        <v>5.63</v>
      </c>
      <c r="D40" s="114"/>
    </row>
    <row r="41" spans="1:4" ht="15.75" outlineLevel="1">
      <c r="A41" s="40" t="s">
        <v>1007</v>
      </c>
      <c r="B41" s="41" t="s">
        <v>21</v>
      </c>
      <c r="C41" s="40">
        <v>5.65</v>
      </c>
      <c r="D41" s="114"/>
    </row>
    <row r="42" spans="1:4" ht="15.75" outlineLevel="1">
      <c r="A42" s="40" t="s">
        <v>1007</v>
      </c>
      <c r="B42" s="41" t="s">
        <v>22</v>
      </c>
      <c r="C42" s="40">
        <v>5.68</v>
      </c>
      <c r="D42" s="114"/>
    </row>
    <row r="43" spans="1:4" ht="15.75" outlineLevel="1">
      <c r="A43" s="40" t="s">
        <v>1007</v>
      </c>
      <c r="B43" s="41" t="s">
        <v>23</v>
      </c>
      <c r="C43" s="40">
        <v>5.45</v>
      </c>
      <c r="D43" s="114"/>
    </row>
    <row r="44" spans="1:4" ht="15.75" outlineLevel="1">
      <c r="A44" s="40" t="s">
        <v>1007</v>
      </c>
      <c r="B44" s="41" t="s">
        <v>24</v>
      </c>
      <c r="C44" s="40">
        <v>5.47</v>
      </c>
      <c r="D44" s="114"/>
    </row>
    <row r="45" spans="1:4" ht="15.75" outlineLevel="1">
      <c r="A45" s="40" t="s">
        <v>1007</v>
      </c>
      <c r="B45" s="41" t="s">
        <v>25</v>
      </c>
      <c r="C45" s="40">
        <v>5.48</v>
      </c>
      <c r="D45" s="114"/>
    </row>
    <row r="46" spans="1:4" ht="15.75">
      <c r="A46" s="46" t="s">
        <v>1007</v>
      </c>
      <c r="B46" s="41"/>
      <c r="C46" s="40"/>
      <c r="D46" s="114"/>
    </row>
    <row r="47" spans="1:4" ht="15.75" outlineLevel="1">
      <c r="A47" s="40" t="s">
        <v>1011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1011</v>
      </c>
      <c r="B48" s="41" t="s">
        <v>1</v>
      </c>
      <c r="C48" s="40">
        <v>5.2</v>
      </c>
      <c r="D48" s="114"/>
    </row>
    <row r="49" spans="1:4" ht="15.75" outlineLevel="1">
      <c r="A49" s="40" t="s">
        <v>1011</v>
      </c>
      <c r="B49" s="41" t="s">
        <v>2</v>
      </c>
      <c r="C49" s="40">
        <v>5.3</v>
      </c>
      <c r="D49" s="114"/>
    </row>
    <row r="50" spans="1:4" ht="15.75" outlineLevel="1">
      <c r="A50" s="40" t="s">
        <v>1011</v>
      </c>
      <c r="B50" s="41" t="s">
        <v>181</v>
      </c>
      <c r="C50" s="40">
        <v>5.6</v>
      </c>
      <c r="D50" s="114"/>
    </row>
    <row r="51" spans="1:4" ht="15.75" outlineLevel="1">
      <c r="A51" s="40" t="s">
        <v>1011</v>
      </c>
      <c r="B51" s="41" t="s">
        <v>1159</v>
      </c>
      <c r="C51" s="42">
        <v>5.0999999999999996</v>
      </c>
      <c r="D51" s="114"/>
    </row>
    <row r="52" spans="1:4" ht="15.75" outlineLevel="1">
      <c r="A52" s="40" t="s">
        <v>1011</v>
      </c>
      <c r="B52" s="41" t="s">
        <v>1158</v>
      </c>
      <c r="C52" s="40">
        <v>5.14</v>
      </c>
      <c r="D52" s="114"/>
    </row>
    <row r="53" spans="1:4" ht="15.75" outlineLevel="1">
      <c r="A53" s="40" t="s">
        <v>1011</v>
      </c>
      <c r="B53" s="41" t="s">
        <v>4</v>
      </c>
      <c r="C53" s="40">
        <v>5.19</v>
      </c>
      <c r="D53" s="114"/>
    </row>
    <row r="54" spans="1:4" ht="15.75" outlineLevel="1">
      <c r="A54" s="40" t="s">
        <v>1011</v>
      </c>
      <c r="B54" s="41" t="s">
        <v>183</v>
      </c>
      <c r="C54" s="40">
        <v>5.24</v>
      </c>
      <c r="D54" s="114"/>
    </row>
    <row r="55" spans="1:4" ht="15.75" outlineLevel="1">
      <c r="A55" s="40" t="s">
        <v>1011</v>
      </c>
      <c r="B55" s="41" t="s">
        <v>5</v>
      </c>
      <c r="C55" s="40">
        <v>5.26</v>
      </c>
      <c r="D55" s="114"/>
    </row>
    <row r="56" spans="1:4" ht="15.75" outlineLevel="1">
      <c r="A56" s="40" t="s">
        <v>1011</v>
      </c>
      <c r="B56" s="41" t="s">
        <v>6</v>
      </c>
      <c r="C56" s="40">
        <v>5.27</v>
      </c>
      <c r="D56" s="114"/>
    </row>
    <row r="57" spans="1:4" ht="15.75" outlineLevel="1">
      <c r="A57" s="40" t="s">
        <v>1011</v>
      </c>
      <c r="B57" s="41" t="s">
        <v>7</v>
      </c>
      <c r="C57" s="40">
        <v>5.28</v>
      </c>
      <c r="D57" s="114"/>
    </row>
    <row r="58" spans="1:4" ht="15.75" outlineLevel="1">
      <c r="A58" s="40" t="s">
        <v>1011</v>
      </c>
      <c r="B58" s="41" t="s">
        <v>8</v>
      </c>
      <c r="C58" s="42">
        <v>5.3</v>
      </c>
      <c r="D58" s="114"/>
    </row>
    <row r="59" spans="1:4" ht="15.75" outlineLevel="1">
      <c r="A59" s="40" t="s">
        <v>1011</v>
      </c>
      <c r="B59" s="41" t="s">
        <v>184</v>
      </c>
      <c r="C59" s="40">
        <v>5.31</v>
      </c>
      <c r="D59" s="114"/>
    </row>
    <row r="60" spans="1:4" ht="15.75" outlineLevel="1">
      <c r="A60" s="40" t="s">
        <v>1011</v>
      </c>
      <c r="B60" s="41" t="s">
        <v>159</v>
      </c>
      <c r="C60" s="40">
        <v>5.36</v>
      </c>
      <c r="D60" s="114"/>
    </row>
    <row r="61" spans="1:4" ht="15.75" outlineLevel="1">
      <c r="A61" s="40" t="s">
        <v>1011</v>
      </c>
      <c r="B61" s="41" t="s">
        <v>9</v>
      </c>
      <c r="C61" s="40">
        <v>5.49</v>
      </c>
      <c r="D61" s="114"/>
    </row>
    <row r="62" spans="1:4" ht="15.75" outlineLevel="1">
      <c r="A62" s="40" t="s">
        <v>1011</v>
      </c>
      <c r="B62" s="41" t="s">
        <v>10</v>
      </c>
      <c r="C62" s="40">
        <v>5.51</v>
      </c>
      <c r="D62" s="114"/>
    </row>
    <row r="63" spans="1:4" ht="15.75" outlineLevel="1">
      <c r="A63" s="40" t="s">
        <v>1011</v>
      </c>
      <c r="B63" s="41" t="s">
        <v>1160</v>
      </c>
      <c r="C63" s="40">
        <v>5.52</v>
      </c>
      <c r="D63" s="114"/>
    </row>
    <row r="64" spans="1:4" ht="15.75" outlineLevel="1">
      <c r="A64" s="40" t="s">
        <v>1011</v>
      </c>
      <c r="B64" s="41" t="s">
        <v>11</v>
      </c>
      <c r="C64" s="40">
        <v>5.53</v>
      </c>
      <c r="D64" s="114"/>
    </row>
    <row r="65" spans="1:4" ht="15.75" outlineLevel="1">
      <c r="A65" s="40" t="s">
        <v>1011</v>
      </c>
      <c r="B65" s="41" t="s">
        <v>12</v>
      </c>
      <c r="C65" s="40">
        <v>5.69</v>
      </c>
      <c r="D65" s="114"/>
    </row>
    <row r="66" spans="1:4" ht="15.75" outlineLevel="1">
      <c r="A66" s="40" t="s">
        <v>1011</v>
      </c>
      <c r="B66" s="41" t="s">
        <v>956</v>
      </c>
      <c r="C66" s="42">
        <v>5.72</v>
      </c>
      <c r="D66" s="114"/>
    </row>
    <row r="67" spans="1:4" ht="15.75" outlineLevel="1">
      <c r="A67" s="40" t="s">
        <v>1011</v>
      </c>
      <c r="B67" s="41" t="s">
        <v>13</v>
      </c>
      <c r="C67" s="40">
        <v>5.75</v>
      </c>
      <c r="D67" s="114"/>
    </row>
    <row r="68" spans="1:4" ht="15.75" outlineLevel="1">
      <c r="A68" s="40" t="s">
        <v>1011</v>
      </c>
      <c r="B68" s="41" t="s">
        <v>14</v>
      </c>
      <c r="C68" s="42">
        <v>5.7</v>
      </c>
      <c r="D68" s="114"/>
    </row>
    <row r="69" spans="1:4" ht="15.75" outlineLevel="1">
      <c r="A69" s="40" t="s">
        <v>1011</v>
      </c>
      <c r="B69" s="41" t="s">
        <v>15</v>
      </c>
      <c r="C69" s="40">
        <v>5.74</v>
      </c>
      <c r="D69" s="114"/>
    </row>
    <row r="70" spans="1:4" ht="15.75" outlineLevel="1">
      <c r="A70" s="40" t="s">
        <v>1011</v>
      </c>
      <c r="B70" s="41" t="s">
        <v>459</v>
      </c>
      <c r="C70" s="40">
        <v>5.76</v>
      </c>
      <c r="D70" s="114"/>
    </row>
    <row r="71" spans="1:4" ht="15.75" outlineLevel="1">
      <c r="A71" s="40" t="s">
        <v>1011</v>
      </c>
      <c r="B71" s="41" t="s">
        <v>880</v>
      </c>
      <c r="C71" s="40">
        <v>5.89</v>
      </c>
      <c r="D71" s="113" t="s">
        <v>1157</v>
      </c>
    </row>
    <row r="72" spans="1:4" ht="15.75" outlineLevel="1">
      <c r="A72" s="40" t="s">
        <v>1011</v>
      </c>
      <c r="B72" s="41" t="s">
        <v>17</v>
      </c>
      <c r="C72" s="40">
        <v>5.58</v>
      </c>
      <c r="D72" s="114"/>
    </row>
    <row r="73" spans="1:4" ht="15.75" outlineLevel="1">
      <c r="A73" s="40" t="s">
        <v>1011</v>
      </c>
      <c r="B73" s="41" t="s">
        <v>16</v>
      </c>
      <c r="C73" s="40">
        <v>5.62</v>
      </c>
      <c r="D73" s="114"/>
    </row>
    <row r="74" spans="1:4" ht="15.75" outlineLevel="1">
      <c r="A74" s="40" t="s">
        <v>1011</v>
      </c>
      <c r="B74" s="41" t="s">
        <v>18</v>
      </c>
      <c r="C74" s="40">
        <v>5.54</v>
      </c>
      <c r="D74" s="114"/>
    </row>
    <row r="75" spans="1:4" ht="15.75" outlineLevel="1">
      <c r="A75" s="40" t="s">
        <v>1011</v>
      </c>
      <c r="B75" s="41" t="s">
        <v>19</v>
      </c>
      <c r="C75" s="40">
        <v>5.55</v>
      </c>
      <c r="D75" s="114"/>
    </row>
    <row r="76" spans="1:4" ht="15.75" outlineLevel="1">
      <c r="A76" s="40" t="s">
        <v>1011</v>
      </c>
      <c r="B76" s="41" t="s">
        <v>20</v>
      </c>
      <c r="C76" s="40">
        <v>5.63</v>
      </c>
      <c r="D76" s="114"/>
    </row>
    <row r="77" spans="1:4" ht="15.75" outlineLevel="1">
      <c r="A77" s="40" t="s">
        <v>1011</v>
      </c>
      <c r="B77" s="41" t="s">
        <v>21</v>
      </c>
      <c r="C77" s="40">
        <v>5.65</v>
      </c>
      <c r="D77" s="114"/>
    </row>
    <row r="78" spans="1:4" ht="15.75" outlineLevel="1">
      <c r="A78" s="40" t="s">
        <v>1011</v>
      </c>
      <c r="B78" s="41" t="s">
        <v>200</v>
      </c>
      <c r="C78" s="40">
        <v>5.66</v>
      </c>
      <c r="D78" s="114"/>
    </row>
    <row r="79" spans="1:4" ht="15.75" outlineLevel="1">
      <c r="A79" s="40" t="s">
        <v>1011</v>
      </c>
      <c r="B79" s="41" t="s">
        <v>22</v>
      </c>
      <c r="C79" s="40">
        <v>5.68</v>
      </c>
      <c r="D79" s="114"/>
    </row>
    <row r="80" spans="1:4" ht="15.75" outlineLevel="1">
      <c r="A80" s="40" t="s">
        <v>1011</v>
      </c>
      <c r="B80" s="41" t="s">
        <v>23</v>
      </c>
      <c r="C80" s="40">
        <v>5.45</v>
      </c>
      <c r="D80" s="114"/>
    </row>
    <row r="81" spans="1:4" ht="15.75" outlineLevel="1">
      <c r="A81" s="40" t="s">
        <v>1011</v>
      </c>
      <c r="B81" s="41" t="s">
        <v>24</v>
      </c>
      <c r="C81" s="40">
        <v>5.47</v>
      </c>
      <c r="D81" s="114"/>
    </row>
    <row r="82" spans="1:4" ht="15.75" outlineLevel="1">
      <c r="A82" s="40" t="s">
        <v>1011</v>
      </c>
      <c r="B82" s="41" t="s">
        <v>25</v>
      </c>
      <c r="C82" s="40">
        <v>5.48</v>
      </c>
      <c r="D82" s="114"/>
    </row>
    <row r="83" spans="1:4" ht="15.75">
      <c r="A83" s="46" t="s">
        <v>1011</v>
      </c>
      <c r="B83" s="41"/>
      <c r="C83" s="40"/>
      <c r="D83" s="114"/>
    </row>
    <row r="84" spans="1:4" ht="15.75" outlineLevel="1">
      <c r="A84" s="40" t="s">
        <v>1012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1012</v>
      </c>
      <c r="B85" s="41" t="s">
        <v>1</v>
      </c>
      <c r="C85" s="40">
        <v>5.2</v>
      </c>
      <c r="D85" s="114"/>
    </row>
    <row r="86" spans="1:4" ht="15.75" outlineLevel="1">
      <c r="A86" s="40" t="s">
        <v>1012</v>
      </c>
      <c r="B86" s="41" t="s">
        <v>2</v>
      </c>
      <c r="C86" s="40">
        <v>5.3</v>
      </c>
      <c r="D86" s="114"/>
    </row>
    <row r="87" spans="1:4" ht="15.75" outlineLevel="1">
      <c r="A87" s="40" t="s">
        <v>1012</v>
      </c>
      <c r="B87" s="41" t="s">
        <v>181</v>
      </c>
      <c r="C87" s="40">
        <v>5.6</v>
      </c>
      <c r="D87" s="114"/>
    </row>
    <row r="88" spans="1:4" ht="15.75" outlineLevel="1">
      <c r="A88" s="40" t="s">
        <v>1012</v>
      </c>
      <c r="B88" s="41" t="s">
        <v>1159</v>
      </c>
      <c r="C88" s="42">
        <v>5.0999999999999996</v>
      </c>
      <c r="D88" s="114"/>
    </row>
    <row r="89" spans="1:4" ht="15.75" outlineLevel="1">
      <c r="A89" s="40" t="s">
        <v>1012</v>
      </c>
      <c r="B89" s="41" t="s">
        <v>1158</v>
      </c>
      <c r="C89" s="40">
        <v>5.14</v>
      </c>
      <c r="D89" s="114"/>
    </row>
    <row r="90" spans="1:4" ht="15.75" outlineLevel="1">
      <c r="A90" s="40" t="s">
        <v>1012</v>
      </c>
      <c r="B90" s="41" t="s">
        <v>4</v>
      </c>
      <c r="C90" s="40">
        <v>5.19</v>
      </c>
      <c r="D90" s="114"/>
    </row>
    <row r="91" spans="1:4" ht="15.75" outlineLevel="1">
      <c r="A91" s="40" t="s">
        <v>1012</v>
      </c>
      <c r="B91" s="41" t="s">
        <v>183</v>
      </c>
      <c r="C91" s="40">
        <v>5.24</v>
      </c>
      <c r="D91" s="114"/>
    </row>
    <row r="92" spans="1:4" ht="15.75" outlineLevel="1">
      <c r="A92" s="40" t="s">
        <v>1012</v>
      </c>
      <c r="B92" s="41" t="s">
        <v>5</v>
      </c>
      <c r="C92" s="40">
        <v>5.26</v>
      </c>
      <c r="D92" s="114"/>
    </row>
    <row r="93" spans="1:4" ht="15.75" outlineLevel="1">
      <c r="A93" s="40" t="s">
        <v>1012</v>
      </c>
      <c r="B93" s="41" t="s">
        <v>6</v>
      </c>
      <c r="C93" s="40">
        <v>5.27</v>
      </c>
      <c r="D93" s="114"/>
    </row>
    <row r="94" spans="1:4" ht="15.75" outlineLevel="1">
      <c r="A94" s="40" t="s">
        <v>1012</v>
      </c>
      <c r="B94" s="41" t="s">
        <v>7</v>
      </c>
      <c r="C94" s="40">
        <v>5.28</v>
      </c>
      <c r="D94" s="114"/>
    </row>
    <row r="95" spans="1:4" ht="15.75" outlineLevel="1">
      <c r="A95" s="40" t="s">
        <v>1012</v>
      </c>
      <c r="B95" s="41" t="s">
        <v>376</v>
      </c>
      <c r="C95" s="40">
        <v>5.29</v>
      </c>
      <c r="D95" s="114"/>
    </row>
    <row r="96" spans="1:4" ht="15.75" outlineLevel="1">
      <c r="A96" s="40" t="s">
        <v>1012</v>
      </c>
      <c r="B96" s="41" t="s">
        <v>8</v>
      </c>
      <c r="C96" s="42">
        <v>5.3</v>
      </c>
      <c r="D96" s="114"/>
    </row>
    <row r="97" spans="1:4" ht="15.75" outlineLevel="1">
      <c r="A97" s="40" t="s">
        <v>1012</v>
      </c>
      <c r="B97" s="41" t="s">
        <v>184</v>
      </c>
      <c r="C97" s="40">
        <v>5.31</v>
      </c>
      <c r="D97" s="114"/>
    </row>
    <row r="98" spans="1:4" ht="15.75" outlineLevel="1">
      <c r="A98" s="40" t="s">
        <v>1012</v>
      </c>
      <c r="B98" s="41" t="s">
        <v>159</v>
      </c>
      <c r="C98" s="40">
        <v>5.36</v>
      </c>
      <c r="D98" s="114"/>
    </row>
    <row r="99" spans="1:4" ht="15.75" outlineLevel="1">
      <c r="A99" s="40" t="s">
        <v>1012</v>
      </c>
      <c r="B99" s="41" t="s">
        <v>9</v>
      </c>
      <c r="C99" s="40">
        <v>5.49</v>
      </c>
      <c r="D99" s="114"/>
    </row>
    <row r="100" spans="1:4" ht="15.75" outlineLevel="1">
      <c r="A100" s="40" t="s">
        <v>1012</v>
      </c>
      <c r="B100" s="41" t="s">
        <v>10</v>
      </c>
      <c r="C100" s="40">
        <v>5.51</v>
      </c>
      <c r="D100" s="114"/>
    </row>
    <row r="101" spans="1:4" ht="15.75" outlineLevel="1">
      <c r="A101" s="40" t="s">
        <v>1012</v>
      </c>
      <c r="B101" s="41" t="s">
        <v>1160</v>
      </c>
      <c r="C101" s="40">
        <v>5.52</v>
      </c>
      <c r="D101" s="114"/>
    </row>
    <row r="102" spans="1:4" ht="15.75" outlineLevel="1">
      <c r="A102" s="40" t="s">
        <v>1012</v>
      </c>
      <c r="B102" s="41" t="s">
        <v>11</v>
      </c>
      <c r="C102" s="40">
        <v>5.53</v>
      </c>
      <c r="D102" s="114"/>
    </row>
    <row r="103" spans="1:4" ht="15.75" outlineLevel="1">
      <c r="A103" s="40" t="s">
        <v>1012</v>
      </c>
      <c r="B103" s="41" t="s">
        <v>12</v>
      </c>
      <c r="C103" s="40">
        <v>5.69</v>
      </c>
      <c r="D103" s="114"/>
    </row>
    <row r="104" spans="1:4" ht="15.75" outlineLevel="1">
      <c r="A104" s="40" t="s">
        <v>1012</v>
      </c>
      <c r="B104" s="41" t="s">
        <v>13</v>
      </c>
      <c r="C104" s="40">
        <v>5.75</v>
      </c>
      <c r="D104" s="114"/>
    </row>
    <row r="105" spans="1:4" ht="15.75" outlineLevel="1">
      <c r="A105" s="40" t="s">
        <v>1012</v>
      </c>
      <c r="B105" s="41" t="s">
        <v>14</v>
      </c>
      <c r="C105" s="42">
        <v>5.7</v>
      </c>
      <c r="D105" s="114"/>
    </row>
    <row r="106" spans="1:4" ht="15.75" outlineLevel="1">
      <c r="A106" s="40" t="s">
        <v>1012</v>
      </c>
      <c r="B106" s="41" t="s">
        <v>15</v>
      </c>
      <c r="C106" s="40">
        <v>5.74</v>
      </c>
      <c r="D106" s="114"/>
    </row>
    <row r="107" spans="1:4" ht="15.75" outlineLevel="1">
      <c r="A107" s="40" t="s">
        <v>1012</v>
      </c>
      <c r="B107" s="41" t="s">
        <v>459</v>
      </c>
      <c r="C107" s="40">
        <v>5.76</v>
      </c>
      <c r="D107" s="114"/>
    </row>
    <row r="108" spans="1:4" ht="15.75" outlineLevel="1">
      <c r="A108" s="40" t="s">
        <v>1012</v>
      </c>
      <c r="B108" s="41" t="s">
        <v>880</v>
      </c>
      <c r="C108" s="40">
        <v>5.89</v>
      </c>
      <c r="D108" s="113" t="s">
        <v>1157</v>
      </c>
    </row>
    <row r="109" spans="1:4" ht="15.75" outlineLevel="1">
      <c r="A109" s="40" t="s">
        <v>1012</v>
      </c>
      <c r="B109" s="41" t="s">
        <v>17</v>
      </c>
      <c r="C109" s="40">
        <v>5.58</v>
      </c>
      <c r="D109" s="114"/>
    </row>
    <row r="110" spans="1:4" ht="15.75" outlineLevel="1">
      <c r="A110" s="40" t="s">
        <v>1012</v>
      </c>
      <c r="B110" s="41" t="s">
        <v>16</v>
      </c>
      <c r="C110" s="40">
        <v>5.62</v>
      </c>
      <c r="D110" s="114"/>
    </row>
    <row r="111" spans="1:4" ht="15.75" outlineLevel="1">
      <c r="A111" s="40" t="s">
        <v>1012</v>
      </c>
      <c r="B111" s="41" t="s">
        <v>18</v>
      </c>
      <c r="C111" s="40">
        <v>5.54</v>
      </c>
      <c r="D111" s="114"/>
    </row>
    <row r="112" spans="1:4" ht="15.75" outlineLevel="1">
      <c r="A112" s="40" t="s">
        <v>1012</v>
      </c>
      <c r="B112" s="41" t="s">
        <v>19</v>
      </c>
      <c r="C112" s="40">
        <v>5.55</v>
      </c>
      <c r="D112" s="114"/>
    </row>
    <row r="113" spans="1:4" ht="15.75" outlineLevel="1">
      <c r="A113" s="40" t="s">
        <v>1012</v>
      </c>
      <c r="B113" s="41" t="s">
        <v>21</v>
      </c>
      <c r="C113" s="40">
        <v>5.65</v>
      </c>
      <c r="D113" s="114"/>
    </row>
    <row r="114" spans="1:4" ht="15.75" outlineLevel="1">
      <c r="A114" s="40" t="s">
        <v>1012</v>
      </c>
      <c r="B114" s="41" t="s">
        <v>200</v>
      </c>
      <c r="C114" s="40">
        <v>5.66</v>
      </c>
      <c r="D114" s="114"/>
    </row>
    <row r="115" spans="1:4" ht="15.75" outlineLevel="1">
      <c r="A115" s="40" t="s">
        <v>1012</v>
      </c>
      <c r="B115" s="41" t="s">
        <v>22</v>
      </c>
      <c r="C115" s="40">
        <v>5.68</v>
      </c>
      <c r="D115" s="114"/>
    </row>
    <row r="116" spans="1:4" ht="15.75" outlineLevel="1">
      <c r="A116" s="40" t="s">
        <v>1012</v>
      </c>
      <c r="B116" s="41" t="s">
        <v>23</v>
      </c>
      <c r="C116" s="40">
        <v>5.45</v>
      </c>
      <c r="D116" s="114"/>
    </row>
    <row r="117" spans="1:4" ht="15.75" outlineLevel="1">
      <c r="A117" s="40" t="s">
        <v>1012</v>
      </c>
      <c r="B117" s="41" t="s">
        <v>24</v>
      </c>
      <c r="C117" s="40">
        <v>5.47</v>
      </c>
      <c r="D117" s="114"/>
    </row>
    <row r="118" spans="1:4" ht="15.75" outlineLevel="1">
      <c r="A118" s="40" t="s">
        <v>1012</v>
      </c>
      <c r="B118" s="41" t="s">
        <v>25</v>
      </c>
      <c r="C118" s="40">
        <v>5.48</v>
      </c>
      <c r="D118" s="114"/>
    </row>
    <row r="119" spans="1:4" ht="15.75">
      <c r="A119" s="46" t="s">
        <v>1012</v>
      </c>
      <c r="B119" s="41"/>
      <c r="C119" s="40"/>
      <c r="D119" s="114"/>
    </row>
    <row r="120" spans="1:4" ht="15.75" outlineLevel="1">
      <c r="A120" s="40" t="s">
        <v>1161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1161</v>
      </c>
      <c r="B121" s="41" t="s">
        <v>1</v>
      </c>
      <c r="C121" s="40">
        <v>5.2</v>
      </c>
      <c r="D121" s="114"/>
    </row>
    <row r="122" spans="1:4" ht="15.75" outlineLevel="1">
      <c r="A122" s="40" t="s">
        <v>1161</v>
      </c>
      <c r="B122" s="41" t="s">
        <v>2</v>
      </c>
      <c r="C122" s="40">
        <v>5.3</v>
      </c>
      <c r="D122" s="114"/>
    </row>
    <row r="123" spans="1:4" ht="15.75" outlineLevel="1">
      <c r="A123" s="40" t="s">
        <v>1161</v>
      </c>
      <c r="B123" s="41" t="s">
        <v>181</v>
      </c>
      <c r="C123" s="40">
        <v>5.6</v>
      </c>
      <c r="D123" s="114"/>
    </row>
    <row r="124" spans="1:4" ht="15.75" outlineLevel="1">
      <c r="A124" s="40" t="s">
        <v>1161</v>
      </c>
      <c r="B124" s="41" t="s">
        <v>1159</v>
      </c>
      <c r="C124" s="42">
        <v>5.0999999999999996</v>
      </c>
      <c r="D124" s="114"/>
    </row>
    <row r="125" spans="1:4" ht="15.75" outlineLevel="1">
      <c r="A125" s="40" t="s">
        <v>1161</v>
      </c>
      <c r="B125" s="41" t="s">
        <v>1158</v>
      </c>
      <c r="C125" s="40">
        <v>5.14</v>
      </c>
      <c r="D125" s="114"/>
    </row>
    <row r="126" spans="1:4" ht="15.75" outlineLevel="1">
      <c r="A126" s="40" t="s">
        <v>1161</v>
      </c>
      <c r="B126" s="41" t="s">
        <v>4</v>
      </c>
      <c r="C126" s="40">
        <v>5.19</v>
      </c>
      <c r="D126" s="114"/>
    </row>
    <row r="127" spans="1:4" ht="15.75" outlineLevel="1">
      <c r="A127" s="40" t="s">
        <v>1161</v>
      </c>
      <c r="B127" s="41" t="s">
        <v>183</v>
      </c>
      <c r="C127" s="40">
        <v>5.24</v>
      </c>
      <c r="D127" s="114"/>
    </row>
    <row r="128" spans="1:4" ht="15.75" outlineLevel="1">
      <c r="A128" s="40" t="s">
        <v>1161</v>
      </c>
      <c r="B128" s="41" t="s">
        <v>5</v>
      </c>
      <c r="C128" s="40">
        <v>5.26</v>
      </c>
      <c r="D128" s="114"/>
    </row>
    <row r="129" spans="1:4" ht="15.75" outlineLevel="1">
      <c r="A129" s="40" t="s">
        <v>1161</v>
      </c>
      <c r="B129" s="41" t="s">
        <v>6</v>
      </c>
      <c r="C129" s="40">
        <v>5.27</v>
      </c>
      <c r="D129" s="114"/>
    </row>
    <row r="130" spans="1:4" ht="15.75" outlineLevel="1">
      <c r="A130" s="40" t="s">
        <v>1161</v>
      </c>
      <c r="B130" s="41" t="s">
        <v>7</v>
      </c>
      <c r="C130" s="40">
        <v>5.28</v>
      </c>
      <c r="D130" s="114"/>
    </row>
    <row r="131" spans="1:4" ht="15.75" outlineLevel="1">
      <c r="A131" s="40" t="s">
        <v>1161</v>
      </c>
      <c r="B131" s="41" t="s">
        <v>376</v>
      </c>
      <c r="C131" s="40">
        <v>5.29</v>
      </c>
      <c r="D131" s="114"/>
    </row>
    <row r="132" spans="1:4" ht="15.75" outlineLevel="1">
      <c r="A132" s="40" t="s">
        <v>1161</v>
      </c>
      <c r="B132" s="41" t="s">
        <v>8</v>
      </c>
      <c r="C132" s="42">
        <v>5.3</v>
      </c>
      <c r="D132" s="114"/>
    </row>
    <row r="133" spans="1:4" ht="15.75" outlineLevel="1">
      <c r="A133" s="40" t="s">
        <v>1161</v>
      </c>
      <c r="B133" s="41" t="s">
        <v>184</v>
      </c>
      <c r="C133" s="40">
        <v>5.31</v>
      </c>
      <c r="D133" s="114"/>
    </row>
    <row r="134" spans="1:4" ht="15.75" outlineLevel="1">
      <c r="A134" s="40" t="s">
        <v>1161</v>
      </c>
      <c r="B134" s="41" t="s">
        <v>159</v>
      </c>
      <c r="C134" s="40">
        <v>5.36</v>
      </c>
      <c r="D134" s="114"/>
    </row>
    <row r="135" spans="1:4" ht="15.75" outlineLevel="1">
      <c r="A135" s="40" t="s">
        <v>1161</v>
      </c>
      <c r="B135" s="41" t="s">
        <v>11</v>
      </c>
      <c r="C135" s="40">
        <v>5.53</v>
      </c>
      <c r="D135" s="114"/>
    </row>
    <row r="136" spans="1:4" ht="15.75" outlineLevel="1">
      <c r="A136" s="40" t="s">
        <v>1161</v>
      </c>
      <c r="B136" s="41" t="s">
        <v>17</v>
      </c>
      <c r="C136" s="40">
        <v>5.58</v>
      </c>
      <c r="D136" s="114"/>
    </row>
    <row r="137" spans="1:4" ht="15.75" outlineLevel="1">
      <c r="A137" s="40" t="s">
        <v>1161</v>
      </c>
      <c r="B137" s="41" t="s">
        <v>16</v>
      </c>
      <c r="C137" s="40">
        <v>5.62</v>
      </c>
      <c r="D137" s="114"/>
    </row>
    <row r="138" spans="1:4" ht="15.75" outlineLevel="1">
      <c r="A138" s="40" t="s">
        <v>1161</v>
      </c>
      <c r="B138" s="41" t="s">
        <v>18</v>
      </c>
      <c r="C138" s="40">
        <v>5.54</v>
      </c>
      <c r="D138" s="114"/>
    </row>
    <row r="139" spans="1:4" ht="15.75" outlineLevel="1">
      <c r="A139" s="40" t="s">
        <v>1161</v>
      </c>
      <c r="B139" s="41" t="s">
        <v>19</v>
      </c>
      <c r="C139" s="40">
        <v>5.55</v>
      </c>
      <c r="D139" s="114"/>
    </row>
    <row r="140" spans="1:4" ht="15.75" outlineLevel="1">
      <c r="A140" s="40" t="s">
        <v>1161</v>
      </c>
      <c r="B140" s="41" t="s">
        <v>20</v>
      </c>
      <c r="C140" s="40">
        <v>5.63</v>
      </c>
      <c r="D140" s="114"/>
    </row>
    <row r="141" spans="1:4" ht="15.75" outlineLevel="1">
      <c r="A141" s="40" t="s">
        <v>1161</v>
      </c>
      <c r="B141" s="41" t="s">
        <v>23</v>
      </c>
      <c r="C141" s="40">
        <v>5.45</v>
      </c>
      <c r="D141" s="114"/>
    </row>
    <row r="142" spans="1:4" ht="15.75" outlineLevel="1">
      <c r="A142" s="40" t="s">
        <v>1161</v>
      </c>
      <c r="B142" s="41" t="s">
        <v>24</v>
      </c>
      <c r="C142" s="40">
        <v>5.47</v>
      </c>
      <c r="D142" s="114"/>
    </row>
    <row r="143" spans="1:4" ht="15.75" outlineLevel="1">
      <c r="A143" s="40" t="s">
        <v>1161</v>
      </c>
      <c r="B143" s="41" t="s">
        <v>25</v>
      </c>
      <c r="C143" s="40">
        <v>5.48</v>
      </c>
      <c r="D143" s="114"/>
    </row>
    <row r="144" spans="1:4" ht="15.75">
      <c r="A144" s="46" t="s">
        <v>1161</v>
      </c>
      <c r="B144" s="41"/>
      <c r="C144" s="40"/>
      <c r="D144" s="114"/>
    </row>
    <row r="145" spans="1:4" ht="15.75" outlineLevel="1">
      <c r="A145" s="40" t="s">
        <v>520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520</v>
      </c>
      <c r="B146" s="41" t="s">
        <v>1</v>
      </c>
      <c r="C146" s="40">
        <v>5.2</v>
      </c>
      <c r="D146" s="114"/>
    </row>
    <row r="147" spans="1:4" ht="15.75" outlineLevel="1">
      <c r="A147" s="40" t="s">
        <v>520</v>
      </c>
      <c r="B147" s="41" t="s">
        <v>2</v>
      </c>
      <c r="C147" s="40">
        <v>5.3</v>
      </c>
      <c r="D147" s="114"/>
    </row>
    <row r="148" spans="1:4" ht="15.75" outlineLevel="1">
      <c r="A148" s="40" t="s">
        <v>520</v>
      </c>
      <c r="B148" s="41" t="s">
        <v>181</v>
      </c>
      <c r="C148" s="40">
        <v>5.6</v>
      </c>
      <c r="D148" s="114"/>
    </row>
    <row r="149" spans="1:4" ht="15.75" outlineLevel="1">
      <c r="A149" s="40" t="s">
        <v>520</v>
      </c>
      <c r="B149" s="41" t="s">
        <v>1159</v>
      </c>
      <c r="C149" s="42">
        <v>5.0999999999999996</v>
      </c>
      <c r="D149" s="114"/>
    </row>
    <row r="150" spans="1:4" ht="15.75" outlineLevel="1">
      <c r="A150" s="40" t="s">
        <v>520</v>
      </c>
      <c r="B150" s="41" t="s">
        <v>1158</v>
      </c>
      <c r="C150" s="40">
        <v>5.14</v>
      </c>
      <c r="D150" s="114"/>
    </row>
    <row r="151" spans="1:4" ht="15.75" outlineLevel="1">
      <c r="A151" s="40" t="s">
        <v>520</v>
      </c>
      <c r="B151" s="41" t="s">
        <v>4</v>
      </c>
      <c r="C151" s="40">
        <v>5.19</v>
      </c>
      <c r="D151" s="114"/>
    </row>
    <row r="152" spans="1:4" ht="15.75" outlineLevel="1">
      <c r="A152" s="40" t="s">
        <v>520</v>
      </c>
      <c r="B152" s="41" t="s">
        <v>183</v>
      </c>
      <c r="C152" s="40">
        <v>5.24</v>
      </c>
      <c r="D152" s="114"/>
    </row>
    <row r="153" spans="1:4" ht="15.75" outlineLevel="1">
      <c r="A153" s="40" t="s">
        <v>520</v>
      </c>
      <c r="B153" s="41" t="s">
        <v>5</v>
      </c>
      <c r="C153" s="40">
        <v>5.26</v>
      </c>
      <c r="D153" s="114"/>
    </row>
    <row r="154" spans="1:4" ht="15.75" outlineLevel="1">
      <c r="A154" s="40" t="s">
        <v>520</v>
      </c>
      <c r="B154" s="41" t="s">
        <v>6</v>
      </c>
      <c r="C154" s="40">
        <v>5.27</v>
      </c>
      <c r="D154" s="114"/>
    </row>
    <row r="155" spans="1:4" ht="15.75" outlineLevel="1">
      <c r="A155" s="40" t="s">
        <v>520</v>
      </c>
      <c r="B155" s="41" t="s">
        <v>7</v>
      </c>
      <c r="C155" s="40">
        <v>5.28</v>
      </c>
      <c r="D155" s="114"/>
    </row>
    <row r="156" spans="1:4" ht="15.75" outlineLevel="1">
      <c r="A156" s="40" t="s">
        <v>520</v>
      </c>
      <c r="B156" s="41" t="s">
        <v>8</v>
      </c>
      <c r="C156" s="42">
        <v>5.3</v>
      </c>
      <c r="D156" s="114"/>
    </row>
    <row r="157" spans="1:4" ht="15.75" outlineLevel="1">
      <c r="A157" s="40" t="s">
        <v>520</v>
      </c>
      <c r="B157" s="41" t="s">
        <v>618</v>
      </c>
      <c r="C157" s="40">
        <v>5.32</v>
      </c>
      <c r="D157" s="114"/>
    </row>
    <row r="158" spans="1:4" ht="15.75" outlineLevel="1">
      <c r="A158" s="40" t="s">
        <v>520</v>
      </c>
      <c r="B158" s="41" t="s">
        <v>159</v>
      </c>
      <c r="C158" s="40">
        <v>5.36</v>
      </c>
      <c r="D158" s="114"/>
    </row>
    <row r="159" spans="1:4" ht="15.75" outlineLevel="1">
      <c r="A159" s="40" t="s">
        <v>520</v>
      </c>
      <c r="B159" s="41" t="s">
        <v>11</v>
      </c>
      <c r="C159" s="40">
        <v>5.53</v>
      </c>
      <c r="D159" s="114"/>
    </row>
    <row r="160" spans="1:4" ht="15.75" outlineLevel="1">
      <c r="A160" s="40" t="s">
        <v>520</v>
      </c>
      <c r="B160" s="41" t="s">
        <v>17</v>
      </c>
      <c r="C160" s="40">
        <v>5.58</v>
      </c>
      <c r="D160" s="114"/>
    </row>
    <row r="161" spans="1:5" ht="15.75" outlineLevel="1">
      <c r="A161" s="40" t="s">
        <v>520</v>
      </c>
      <c r="B161" s="41" t="s">
        <v>18</v>
      </c>
      <c r="C161" s="40">
        <v>5.54</v>
      </c>
      <c r="D161" s="114"/>
    </row>
    <row r="162" spans="1:5" ht="15.75" outlineLevel="1">
      <c r="A162" s="40" t="s">
        <v>520</v>
      </c>
      <c r="B162" s="41" t="s">
        <v>19</v>
      </c>
      <c r="C162" s="40">
        <v>5.55</v>
      </c>
      <c r="D162" s="114"/>
    </row>
    <row r="163" spans="1:5" ht="15.75" outlineLevel="1">
      <c r="A163" s="40" t="s">
        <v>520</v>
      </c>
      <c r="B163" s="41" t="s">
        <v>16</v>
      </c>
      <c r="C163" s="40">
        <v>5.62</v>
      </c>
      <c r="D163" s="114"/>
      <c r="E163" t="s">
        <v>1162</v>
      </c>
    </row>
    <row r="164" spans="1:5" ht="15.75" outlineLevel="1">
      <c r="A164" s="40" t="s">
        <v>520</v>
      </c>
      <c r="B164" s="41" t="s">
        <v>20</v>
      </c>
      <c r="C164" s="40">
        <v>5.63</v>
      </c>
      <c r="D164" s="114"/>
    </row>
    <row r="165" spans="1:5" ht="15.75" outlineLevel="1">
      <c r="A165" s="40" t="s">
        <v>520</v>
      </c>
      <c r="B165" s="41" t="s">
        <v>23</v>
      </c>
      <c r="C165" s="40">
        <v>5.45</v>
      </c>
      <c r="D165" s="114"/>
    </row>
    <row r="166" spans="1:5" ht="15.75" outlineLevel="1">
      <c r="A166" s="40" t="s">
        <v>520</v>
      </c>
      <c r="B166" s="41" t="s">
        <v>24</v>
      </c>
      <c r="C166" s="40">
        <v>5.47</v>
      </c>
      <c r="D166" s="114"/>
    </row>
    <row r="167" spans="1:5" ht="15.75" outlineLevel="1">
      <c r="A167" s="40" t="s">
        <v>520</v>
      </c>
      <c r="B167" s="41" t="s">
        <v>25</v>
      </c>
      <c r="C167" s="40">
        <v>5.48</v>
      </c>
      <c r="D167" s="114"/>
    </row>
    <row r="168" spans="1:5" ht="15.75">
      <c r="A168" s="46" t="s">
        <v>520</v>
      </c>
      <c r="B168" s="41"/>
      <c r="C168" s="40"/>
      <c r="D168" s="114"/>
    </row>
    <row r="169" spans="1:5" ht="15.75" outlineLevel="1">
      <c r="A169" s="40" t="s">
        <v>1032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1032</v>
      </c>
      <c r="B170" s="41" t="s">
        <v>1</v>
      </c>
      <c r="C170" s="40">
        <v>5.2</v>
      </c>
      <c r="D170" s="114"/>
    </row>
    <row r="171" spans="1:5" ht="15.75" outlineLevel="1">
      <c r="A171" s="40" t="s">
        <v>1032</v>
      </c>
      <c r="B171" s="41" t="s">
        <v>2</v>
      </c>
      <c r="C171" s="40">
        <v>5.3</v>
      </c>
      <c r="D171" s="114"/>
    </row>
    <row r="172" spans="1:5" ht="15.75" outlineLevel="1">
      <c r="A172" s="40" t="s">
        <v>1032</v>
      </c>
      <c r="B172" s="41" t="s">
        <v>181</v>
      </c>
      <c r="C172" s="40">
        <v>5.6</v>
      </c>
      <c r="D172" s="114"/>
    </row>
    <row r="173" spans="1:5" ht="15.75" outlineLevel="1">
      <c r="A173" s="40" t="s">
        <v>1032</v>
      </c>
      <c r="B173" s="41" t="s">
        <v>1159</v>
      </c>
      <c r="C173" s="42">
        <v>5.0999999999999996</v>
      </c>
      <c r="D173" s="114"/>
    </row>
    <row r="174" spans="1:5" ht="15.75" outlineLevel="1">
      <c r="A174" s="40" t="s">
        <v>1032</v>
      </c>
      <c r="B174" s="41" t="s">
        <v>1158</v>
      </c>
      <c r="C174" s="40">
        <v>5.14</v>
      </c>
      <c r="D174" s="114"/>
    </row>
    <row r="175" spans="1:5" ht="15.75" outlineLevel="1">
      <c r="A175" s="40" t="s">
        <v>1032</v>
      </c>
      <c r="B175" s="41" t="s">
        <v>4</v>
      </c>
      <c r="C175" s="40">
        <v>5.19</v>
      </c>
      <c r="D175" s="114"/>
    </row>
    <row r="176" spans="1:5" ht="15.75" outlineLevel="1">
      <c r="A176" s="40" t="s">
        <v>1032</v>
      </c>
      <c r="B176" s="41" t="s">
        <v>183</v>
      </c>
      <c r="C176" s="40">
        <v>5.24</v>
      </c>
      <c r="D176" s="114"/>
    </row>
    <row r="177" spans="1:4" ht="15.75" outlineLevel="1">
      <c r="A177" s="40" t="s">
        <v>1032</v>
      </c>
      <c r="B177" s="41" t="s">
        <v>5</v>
      </c>
      <c r="C177" s="40">
        <v>5.26</v>
      </c>
      <c r="D177" s="114"/>
    </row>
    <row r="178" spans="1:4" ht="15.75" outlineLevel="1">
      <c r="A178" s="40" t="s">
        <v>1032</v>
      </c>
      <c r="B178" s="41" t="s">
        <v>6</v>
      </c>
      <c r="C178" s="40">
        <v>5.27</v>
      </c>
      <c r="D178" s="114"/>
    </row>
    <row r="179" spans="1:4" ht="15.75" outlineLevel="1">
      <c r="A179" s="40" t="s">
        <v>1032</v>
      </c>
      <c r="B179" s="41" t="s">
        <v>7</v>
      </c>
      <c r="C179" s="40">
        <v>5.28</v>
      </c>
      <c r="D179" s="114"/>
    </row>
    <row r="180" spans="1:4" ht="15.75" outlineLevel="1">
      <c r="A180" s="40" t="s">
        <v>1032</v>
      </c>
      <c r="B180" s="41" t="s">
        <v>376</v>
      </c>
      <c r="C180" s="40">
        <v>5.29</v>
      </c>
      <c r="D180" s="114"/>
    </row>
    <row r="181" spans="1:4" ht="15.75" outlineLevel="1">
      <c r="A181" s="40" t="s">
        <v>1032</v>
      </c>
      <c r="B181" s="41" t="s">
        <v>8</v>
      </c>
      <c r="C181" s="42">
        <v>5.3</v>
      </c>
      <c r="D181" s="114"/>
    </row>
    <row r="182" spans="1:4" ht="15.75" outlineLevel="1">
      <c r="A182" s="40" t="s">
        <v>1032</v>
      </c>
      <c r="B182" s="41" t="s">
        <v>618</v>
      </c>
      <c r="C182" s="40">
        <v>5.32</v>
      </c>
      <c r="D182" s="114"/>
    </row>
    <row r="183" spans="1:4" ht="15.75" outlineLevel="1">
      <c r="A183" s="40" t="s">
        <v>1032</v>
      </c>
      <c r="B183" s="41" t="s">
        <v>159</v>
      </c>
      <c r="C183" s="40">
        <v>5.36</v>
      </c>
      <c r="D183" s="114"/>
    </row>
    <row r="184" spans="1:4" ht="15.75" outlineLevel="1">
      <c r="A184" s="40" t="s">
        <v>1032</v>
      </c>
      <c r="B184" s="41" t="s">
        <v>11</v>
      </c>
      <c r="C184" s="40">
        <v>5.53</v>
      </c>
      <c r="D184" s="114"/>
    </row>
    <row r="185" spans="1:4" ht="15.75" outlineLevel="1">
      <c r="A185" s="40" t="s">
        <v>1032</v>
      </c>
      <c r="B185" s="41" t="s">
        <v>17</v>
      </c>
      <c r="C185" s="40">
        <v>5.58</v>
      </c>
      <c r="D185" s="114"/>
    </row>
    <row r="186" spans="1:4" ht="15.75" outlineLevel="1">
      <c r="A186" s="40" t="s">
        <v>1032</v>
      </c>
      <c r="B186" s="41" t="s">
        <v>18</v>
      </c>
      <c r="C186" s="40">
        <v>5.54</v>
      </c>
      <c r="D186" s="114"/>
    </row>
    <row r="187" spans="1:4" ht="15.75" outlineLevel="1">
      <c r="A187" s="40" t="s">
        <v>1032</v>
      </c>
      <c r="B187" s="41" t="s">
        <v>19</v>
      </c>
      <c r="C187" s="40">
        <v>5.55</v>
      </c>
      <c r="D187" s="114"/>
    </row>
    <row r="188" spans="1:4" ht="15.75" outlineLevel="1">
      <c r="A188" s="40" t="s">
        <v>1032</v>
      </c>
      <c r="B188" s="41" t="s">
        <v>20</v>
      </c>
      <c r="C188" s="40">
        <v>5.63</v>
      </c>
      <c r="D188" s="114"/>
    </row>
    <row r="189" spans="1:4" ht="15.75" outlineLevel="1">
      <c r="A189" s="40" t="s">
        <v>1032</v>
      </c>
      <c r="B189" s="41" t="s">
        <v>23</v>
      </c>
      <c r="C189" s="40">
        <v>5.45</v>
      </c>
      <c r="D189" s="114"/>
    </row>
    <row r="190" spans="1:4" ht="15.75" outlineLevel="1">
      <c r="A190" s="40" t="s">
        <v>1032</v>
      </c>
      <c r="B190" s="41" t="s">
        <v>24</v>
      </c>
      <c r="C190" s="40">
        <v>5.47</v>
      </c>
      <c r="D190" s="114"/>
    </row>
    <row r="191" spans="1:4" ht="15.75" outlineLevel="1">
      <c r="A191" s="40" t="s">
        <v>1032</v>
      </c>
      <c r="B191" s="41" t="s">
        <v>25</v>
      </c>
      <c r="C191" s="40">
        <v>5.48</v>
      </c>
      <c r="D191" s="114"/>
    </row>
    <row r="192" spans="1:4" ht="15.75">
      <c r="A192" s="46" t="s">
        <v>1032</v>
      </c>
      <c r="B192" s="41"/>
      <c r="C192" s="40"/>
      <c r="D192" s="114"/>
    </row>
    <row r="193" spans="1:4" ht="15.75" outlineLevel="1">
      <c r="A193" s="40" t="s">
        <v>1163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1163</v>
      </c>
      <c r="B194" s="41" t="s">
        <v>1</v>
      </c>
      <c r="C194" s="40">
        <v>5.2</v>
      </c>
      <c r="D194" s="114"/>
    </row>
    <row r="195" spans="1:4" ht="15.75" outlineLevel="1">
      <c r="A195" s="40" t="s">
        <v>1163</v>
      </c>
      <c r="B195" s="41" t="s">
        <v>2</v>
      </c>
      <c r="C195" s="40">
        <v>5.3</v>
      </c>
      <c r="D195" s="114"/>
    </row>
    <row r="196" spans="1:4" ht="15.75" outlineLevel="1">
      <c r="A196" s="40" t="s">
        <v>1163</v>
      </c>
      <c r="B196" s="41" t="s">
        <v>181</v>
      </c>
      <c r="C196" s="40">
        <v>5.6</v>
      </c>
      <c r="D196" s="114"/>
    </row>
    <row r="197" spans="1:4" ht="15.75" outlineLevel="1">
      <c r="A197" s="40" t="s">
        <v>1163</v>
      </c>
      <c r="B197" s="41" t="s">
        <v>1159</v>
      </c>
      <c r="C197" s="42">
        <v>5.0999999999999996</v>
      </c>
      <c r="D197" s="114"/>
    </row>
    <row r="198" spans="1:4" ht="15.75" outlineLevel="1">
      <c r="A198" s="40" t="s">
        <v>1163</v>
      </c>
      <c r="B198" s="41" t="s">
        <v>1158</v>
      </c>
      <c r="C198" s="40">
        <v>5.14</v>
      </c>
      <c r="D198" s="114"/>
    </row>
    <row r="199" spans="1:4" ht="15.75" outlineLevel="1">
      <c r="A199" s="40" t="s">
        <v>1163</v>
      </c>
      <c r="B199" s="41" t="s">
        <v>4</v>
      </c>
      <c r="C199" s="40">
        <v>5.19</v>
      </c>
      <c r="D199" s="114"/>
    </row>
    <row r="200" spans="1:4" ht="15.75" outlineLevel="1">
      <c r="A200" s="40" t="s">
        <v>1163</v>
      </c>
      <c r="B200" s="41" t="s">
        <v>183</v>
      </c>
      <c r="C200" s="40">
        <v>5.24</v>
      </c>
      <c r="D200" s="114"/>
    </row>
    <row r="201" spans="1:4" ht="15.75" outlineLevel="1">
      <c r="A201" s="40" t="s">
        <v>1163</v>
      </c>
      <c r="B201" s="41" t="s">
        <v>6</v>
      </c>
      <c r="C201" s="40">
        <v>5.27</v>
      </c>
      <c r="D201" s="114"/>
    </row>
    <row r="202" spans="1:4" ht="15.75" outlineLevel="1">
      <c r="A202" s="40" t="s">
        <v>1163</v>
      </c>
      <c r="B202" s="41" t="s">
        <v>7</v>
      </c>
      <c r="C202" s="40">
        <v>5.28</v>
      </c>
      <c r="D202" s="114"/>
    </row>
    <row r="203" spans="1:4" ht="15.75" outlineLevel="1">
      <c r="A203" s="40" t="s">
        <v>1163</v>
      </c>
      <c r="B203" s="41" t="s">
        <v>376</v>
      </c>
      <c r="C203" s="40">
        <v>5.29</v>
      </c>
      <c r="D203" s="114"/>
    </row>
    <row r="204" spans="1:4" ht="15.75" outlineLevel="1">
      <c r="A204" s="40" t="s">
        <v>1163</v>
      </c>
      <c r="B204" s="41" t="s">
        <v>8</v>
      </c>
      <c r="C204" s="42">
        <v>5.3</v>
      </c>
      <c r="D204" s="114"/>
    </row>
    <row r="205" spans="1:4" ht="15.75" outlineLevel="1">
      <c r="A205" s="40" t="s">
        <v>1163</v>
      </c>
      <c r="B205" s="41" t="s">
        <v>1164</v>
      </c>
      <c r="C205" s="40">
        <v>5.34</v>
      </c>
      <c r="D205" s="114"/>
    </row>
    <row r="206" spans="1:4" ht="15.75" outlineLevel="1">
      <c r="A206" s="40" t="s">
        <v>1163</v>
      </c>
      <c r="B206" s="41" t="s">
        <v>184</v>
      </c>
      <c r="C206" s="40">
        <v>5.31</v>
      </c>
      <c r="D206" s="114"/>
    </row>
    <row r="207" spans="1:4" ht="15.75" outlineLevel="1">
      <c r="A207" s="40" t="s">
        <v>1163</v>
      </c>
      <c r="B207" s="41" t="s">
        <v>1165</v>
      </c>
      <c r="C207" s="40">
        <v>5.101</v>
      </c>
      <c r="D207" s="114"/>
    </row>
    <row r="208" spans="1:4" ht="15.75" outlineLevel="1">
      <c r="A208" s="40" t="s">
        <v>1163</v>
      </c>
      <c r="B208" s="41" t="s">
        <v>159</v>
      </c>
      <c r="C208" s="40">
        <v>5.36</v>
      </c>
      <c r="D208" s="114"/>
    </row>
    <row r="209" spans="1:4" ht="15.75" outlineLevel="1">
      <c r="A209" s="40" t="s">
        <v>1163</v>
      </c>
      <c r="B209" s="41" t="s">
        <v>11</v>
      </c>
      <c r="C209" s="40">
        <v>5.53</v>
      </c>
      <c r="D209" s="114"/>
    </row>
    <row r="210" spans="1:4" ht="15.75" outlineLevel="1">
      <c r="A210" s="40" t="s">
        <v>1163</v>
      </c>
      <c r="B210" s="41" t="s">
        <v>1166</v>
      </c>
      <c r="C210" s="40">
        <v>5.1020000000000003</v>
      </c>
      <c r="D210" s="114"/>
    </row>
    <row r="211" spans="1:4" ht="15.75" outlineLevel="1">
      <c r="A211" s="40" t="s">
        <v>1163</v>
      </c>
      <c r="B211" s="41" t="s">
        <v>1167</v>
      </c>
      <c r="C211" s="43">
        <v>5.0999999999999996</v>
      </c>
      <c r="D211" s="114"/>
    </row>
    <row r="212" spans="1:4" ht="15.75" outlineLevel="1">
      <c r="A212" s="40" t="s">
        <v>1163</v>
      </c>
      <c r="B212" s="41" t="s">
        <v>17</v>
      </c>
      <c r="C212" s="40">
        <v>5.58</v>
      </c>
      <c r="D212" s="114"/>
    </row>
    <row r="213" spans="1:4" ht="15.75" outlineLevel="1">
      <c r="A213" s="40" t="s">
        <v>1163</v>
      </c>
      <c r="B213" s="41" t="s">
        <v>18</v>
      </c>
      <c r="C213" s="40">
        <v>5.54</v>
      </c>
      <c r="D213" s="114"/>
    </row>
    <row r="214" spans="1:4" ht="15.75" outlineLevel="1">
      <c r="A214" s="40" t="s">
        <v>1163</v>
      </c>
      <c r="B214" s="41" t="s">
        <v>19</v>
      </c>
      <c r="C214" s="40">
        <v>5.55</v>
      </c>
      <c r="D214" s="114"/>
    </row>
    <row r="215" spans="1:4" ht="15.75" outlineLevel="1">
      <c r="A215" s="40" t="s">
        <v>1163</v>
      </c>
      <c r="B215" s="41" t="s">
        <v>20</v>
      </c>
      <c r="C215" s="40">
        <v>5.63</v>
      </c>
      <c r="D215" s="114"/>
    </row>
    <row r="216" spans="1:4" ht="15.75" outlineLevel="1">
      <c r="A216" s="40" t="s">
        <v>1163</v>
      </c>
      <c r="B216" s="41" t="s">
        <v>24</v>
      </c>
      <c r="C216" s="40">
        <v>5.47</v>
      </c>
      <c r="D216" s="114"/>
    </row>
    <row r="217" spans="1:4" ht="15.75" outlineLevel="1">
      <c r="A217" s="40" t="s">
        <v>1163</v>
      </c>
      <c r="B217" s="41" t="s">
        <v>25</v>
      </c>
      <c r="C217" s="40">
        <v>5.48</v>
      </c>
      <c r="D217" s="114"/>
    </row>
    <row r="218" spans="1:4" ht="15.75">
      <c r="A218" s="46" t="s">
        <v>1163</v>
      </c>
      <c r="B218" s="41"/>
      <c r="C218" s="40"/>
      <c r="D218" s="114"/>
    </row>
    <row r="219" spans="1:4" ht="15.75" outlineLevel="1">
      <c r="A219" s="40" t="s">
        <v>1035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1035</v>
      </c>
      <c r="B220" s="41" t="s">
        <v>1</v>
      </c>
      <c r="C220" s="40">
        <v>5.2</v>
      </c>
      <c r="D220" s="114"/>
    </row>
    <row r="221" spans="1:4" ht="15.75" outlineLevel="1">
      <c r="A221" s="40" t="s">
        <v>1035</v>
      </c>
      <c r="B221" s="41" t="s">
        <v>2</v>
      </c>
      <c r="C221" s="40">
        <v>5.3</v>
      </c>
      <c r="D221" s="114"/>
    </row>
    <row r="222" spans="1:4" ht="15.75" outlineLevel="1">
      <c r="A222" s="40" t="s">
        <v>1035</v>
      </c>
      <c r="B222" s="41" t="s">
        <v>181</v>
      </c>
      <c r="C222" s="40">
        <v>5.6</v>
      </c>
      <c r="D222" s="114"/>
    </row>
    <row r="223" spans="1:4" ht="15.75" outlineLevel="1">
      <c r="A223" s="40" t="s">
        <v>1035</v>
      </c>
      <c r="B223" s="41" t="s">
        <v>1159</v>
      </c>
      <c r="C223" s="42">
        <v>5.0999999999999996</v>
      </c>
      <c r="D223" s="114"/>
    </row>
    <row r="224" spans="1:4" ht="15.75" outlineLevel="1">
      <c r="A224" s="40" t="s">
        <v>1035</v>
      </c>
      <c r="B224" s="41" t="s">
        <v>1158</v>
      </c>
      <c r="C224" s="40">
        <v>5.14</v>
      </c>
      <c r="D224" s="114"/>
    </row>
    <row r="225" spans="1:4" ht="15.75" outlineLevel="1">
      <c r="A225" s="40" t="s">
        <v>1035</v>
      </c>
      <c r="B225" s="41" t="s">
        <v>4</v>
      </c>
      <c r="C225" s="40">
        <v>5.19</v>
      </c>
      <c r="D225" s="114"/>
    </row>
    <row r="226" spans="1:4" ht="15.75" outlineLevel="1">
      <c r="A226" s="40" t="s">
        <v>1035</v>
      </c>
      <c r="B226" s="41" t="s">
        <v>183</v>
      </c>
      <c r="C226" s="40">
        <v>5.24</v>
      </c>
      <c r="D226" s="114"/>
    </row>
    <row r="227" spans="1:4" ht="15.75" outlineLevel="1">
      <c r="A227" s="40" t="s">
        <v>1035</v>
      </c>
      <c r="B227" s="41" t="s">
        <v>5</v>
      </c>
      <c r="C227" s="40">
        <v>5.26</v>
      </c>
      <c r="D227" s="114"/>
    </row>
    <row r="228" spans="1:4" ht="15.75" outlineLevel="1">
      <c r="A228" s="40" t="s">
        <v>1035</v>
      </c>
      <c r="B228" s="41" t="s">
        <v>6</v>
      </c>
      <c r="C228" s="40">
        <v>5.27</v>
      </c>
      <c r="D228" s="114"/>
    </row>
    <row r="229" spans="1:4" ht="15.75" outlineLevel="1">
      <c r="A229" s="40" t="s">
        <v>1035</v>
      </c>
      <c r="B229" s="41" t="s">
        <v>7</v>
      </c>
      <c r="C229" s="40">
        <v>5.28</v>
      </c>
      <c r="D229" s="114"/>
    </row>
    <row r="230" spans="1:4" ht="15.75" outlineLevel="1">
      <c r="A230" s="40" t="s">
        <v>1035</v>
      </c>
      <c r="B230" s="41" t="s">
        <v>376</v>
      </c>
      <c r="C230" s="40">
        <v>5.29</v>
      </c>
      <c r="D230" s="114"/>
    </row>
    <row r="231" spans="1:4" ht="15.75" outlineLevel="1">
      <c r="A231" s="40" t="s">
        <v>1035</v>
      </c>
      <c r="B231" s="41" t="s">
        <v>8</v>
      </c>
      <c r="C231" s="42">
        <v>5.3</v>
      </c>
      <c r="D231" s="114"/>
    </row>
    <row r="232" spans="1:4" ht="15.75" outlineLevel="1">
      <c r="A232" s="40" t="s">
        <v>1035</v>
      </c>
      <c r="B232" s="41" t="s">
        <v>184</v>
      </c>
      <c r="C232" s="40">
        <v>5.31</v>
      </c>
      <c r="D232" s="114"/>
    </row>
    <row r="233" spans="1:4" ht="15.75" outlineLevel="1">
      <c r="A233" s="40" t="s">
        <v>1035</v>
      </c>
      <c r="B233" s="41" t="s">
        <v>216</v>
      </c>
      <c r="C233" s="40">
        <v>5.33</v>
      </c>
      <c r="D233" s="114"/>
    </row>
    <row r="234" spans="1:4" ht="15.75" outlineLevel="1">
      <c r="A234" s="40" t="s">
        <v>1035</v>
      </c>
      <c r="B234" s="41" t="s">
        <v>1165</v>
      </c>
      <c r="C234" s="40">
        <v>5.101</v>
      </c>
      <c r="D234" s="114"/>
    </row>
    <row r="235" spans="1:4" ht="15.75" outlineLevel="1">
      <c r="A235" s="40" t="s">
        <v>1035</v>
      </c>
      <c r="B235" s="41" t="s">
        <v>159</v>
      </c>
      <c r="C235" s="40">
        <v>5.36</v>
      </c>
      <c r="D235" s="114"/>
    </row>
    <row r="236" spans="1:4" ht="15.75" outlineLevel="1">
      <c r="A236" s="40" t="s">
        <v>1035</v>
      </c>
      <c r="B236" s="41" t="s">
        <v>11</v>
      </c>
      <c r="C236" s="40">
        <v>5.53</v>
      </c>
      <c r="D236" s="114"/>
    </row>
    <row r="237" spans="1:4" ht="15.75" outlineLevel="1">
      <c r="A237" s="40" t="s">
        <v>1035</v>
      </c>
      <c r="B237" s="41" t="s">
        <v>1166</v>
      </c>
      <c r="C237" s="40">
        <v>5.1020000000000003</v>
      </c>
      <c r="D237" s="114"/>
    </row>
    <row r="238" spans="1:4" ht="15.75" outlineLevel="1">
      <c r="A238" s="40" t="s">
        <v>1035</v>
      </c>
      <c r="B238" s="41" t="s">
        <v>17</v>
      </c>
      <c r="C238" s="40">
        <v>5.58</v>
      </c>
      <c r="D238" s="114"/>
    </row>
    <row r="239" spans="1:4" ht="15.75" outlineLevel="1">
      <c r="A239" s="40" t="s">
        <v>1035</v>
      </c>
      <c r="B239" s="41" t="s">
        <v>18</v>
      </c>
      <c r="C239" s="40">
        <v>5.54</v>
      </c>
      <c r="D239" s="114"/>
    </row>
    <row r="240" spans="1:4" ht="15.75" outlineLevel="1">
      <c r="A240" s="40" t="s">
        <v>1035</v>
      </c>
      <c r="B240" s="41" t="s">
        <v>19</v>
      </c>
      <c r="C240" s="40">
        <v>5.55</v>
      </c>
      <c r="D240" s="114"/>
    </row>
    <row r="241" spans="1:4" ht="15.75" outlineLevel="1">
      <c r="A241" s="40" t="s">
        <v>1035</v>
      </c>
      <c r="B241" s="41" t="s">
        <v>20</v>
      </c>
      <c r="C241" s="40">
        <v>5.63</v>
      </c>
      <c r="D241" s="114"/>
    </row>
    <row r="242" spans="1:4" ht="15.75" outlineLevel="1">
      <c r="A242" s="40" t="s">
        <v>1035</v>
      </c>
      <c r="B242" s="41" t="s">
        <v>24</v>
      </c>
      <c r="C242" s="40">
        <v>5.47</v>
      </c>
      <c r="D242" s="114"/>
    </row>
    <row r="243" spans="1:4" ht="15.75" outlineLevel="1">
      <c r="A243" s="40" t="s">
        <v>1035</v>
      </c>
      <c r="B243" s="41" t="s">
        <v>25</v>
      </c>
      <c r="C243" s="40">
        <v>5.48</v>
      </c>
      <c r="D243" s="114"/>
    </row>
    <row r="244" spans="1:4" ht="15.75">
      <c r="A244" s="46" t="s">
        <v>1035</v>
      </c>
      <c r="B244" s="41"/>
      <c r="C244" s="40"/>
      <c r="D244" s="114"/>
    </row>
    <row r="245" spans="1:4" ht="15.75" outlineLevel="1">
      <c r="A245" s="40" t="s">
        <v>1168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1168</v>
      </c>
      <c r="B246" s="41" t="s">
        <v>1</v>
      </c>
      <c r="C246" s="40">
        <v>5.2</v>
      </c>
      <c r="D246" s="114"/>
    </row>
    <row r="247" spans="1:4" ht="15.75" outlineLevel="1">
      <c r="A247" s="40" t="s">
        <v>1168</v>
      </c>
      <c r="B247" s="41" t="s">
        <v>2</v>
      </c>
      <c r="C247" s="40">
        <v>5.3</v>
      </c>
      <c r="D247" s="114"/>
    </row>
    <row r="248" spans="1:4" ht="15.75" outlineLevel="1">
      <c r="A248" s="40" t="s">
        <v>1168</v>
      </c>
      <c r="B248" s="41" t="s">
        <v>181</v>
      </c>
      <c r="C248" s="40">
        <v>5.6</v>
      </c>
      <c r="D248" s="114"/>
    </row>
    <row r="249" spans="1:4" ht="15.75" outlineLevel="1">
      <c r="A249" s="40" t="s">
        <v>1168</v>
      </c>
      <c r="B249" s="41" t="s">
        <v>1159</v>
      </c>
      <c r="C249" s="42">
        <v>5.0999999999999996</v>
      </c>
      <c r="D249" s="114"/>
    </row>
    <row r="250" spans="1:4" ht="15.75" outlineLevel="1">
      <c r="A250" s="40" t="s">
        <v>1168</v>
      </c>
      <c r="B250" s="41" t="s">
        <v>1158</v>
      </c>
      <c r="C250" s="40">
        <v>5.14</v>
      </c>
      <c r="D250" s="114"/>
    </row>
    <row r="251" spans="1:4" ht="15.75" outlineLevel="1">
      <c r="A251" s="40" t="s">
        <v>1168</v>
      </c>
      <c r="B251" s="41" t="s">
        <v>4</v>
      </c>
      <c r="C251" s="40">
        <v>5.19</v>
      </c>
      <c r="D251" s="114"/>
    </row>
    <row r="252" spans="1:4" ht="15.75" outlineLevel="1">
      <c r="A252" s="40" t="s">
        <v>1168</v>
      </c>
      <c r="B252" s="41" t="s">
        <v>183</v>
      </c>
      <c r="C252" s="40">
        <v>5.24</v>
      </c>
      <c r="D252" s="114"/>
    </row>
    <row r="253" spans="1:4" ht="15.75" outlineLevel="1">
      <c r="A253" s="40" t="s">
        <v>1168</v>
      </c>
      <c r="B253" s="41" t="s">
        <v>6</v>
      </c>
      <c r="C253" s="40">
        <v>5.27</v>
      </c>
      <c r="D253" s="114"/>
    </row>
    <row r="254" spans="1:4" ht="15.75" outlineLevel="1">
      <c r="A254" s="40" t="s">
        <v>1168</v>
      </c>
      <c r="B254" s="41" t="s">
        <v>7</v>
      </c>
      <c r="C254" s="40">
        <v>5.28</v>
      </c>
      <c r="D254" s="114"/>
    </row>
    <row r="255" spans="1:4" ht="15.75" outlineLevel="1">
      <c r="A255" s="40" t="s">
        <v>1168</v>
      </c>
      <c r="B255" s="41" t="s">
        <v>8</v>
      </c>
      <c r="C255" s="42">
        <v>5.3</v>
      </c>
      <c r="D255" s="114"/>
    </row>
    <row r="256" spans="1:4" ht="15.75" outlineLevel="1">
      <c r="A256" s="40" t="s">
        <v>1168</v>
      </c>
      <c r="B256" s="41" t="s">
        <v>216</v>
      </c>
      <c r="C256" s="40">
        <v>5.33</v>
      </c>
      <c r="D256" s="114"/>
    </row>
    <row r="257" spans="1:4" ht="15.75" outlineLevel="1">
      <c r="A257" s="40" t="s">
        <v>1168</v>
      </c>
      <c r="B257" s="41" t="s">
        <v>159</v>
      </c>
      <c r="C257" s="40">
        <v>5.36</v>
      </c>
      <c r="D257" s="114"/>
    </row>
    <row r="258" spans="1:4" ht="15.75" outlineLevel="1">
      <c r="A258" s="40" t="s">
        <v>1168</v>
      </c>
      <c r="B258" s="41" t="s">
        <v>11</v>
      </c>
      <c r="C258" s="40">
        <v>5.53</v>
      </c>
      <c r="D258" s="114"/>
    </row>
    <row r="259" spans="1:4" ht="15.75" outlineLevel="1">
      <c r="A259" s="40" t="s">
        <v>1168</v>
      </c>
      <c r="B259" s="41" t="s">
        <v>17</v>
      </c>
      <c r="C259" s="40">
        <v>5.58</v>
      </c>
      <c r="D259" s="114"/>
    </row>
    <row r="260" spans="1:4" ht="15.75" outlineLevel="1">
      <c r="A260" s="40" t="s">
        <v>1168</v>
      </c>
      <c r="B260" s="41" t="s">
        <v>18</v>
      </c>
      <c r="C260" s="40">
        <v>5.54</v>
      </c>
      <c r="D260" s="114"/>
    </row>
    <row r="261" spans="1:4" ht="15.75" outlineLevel="1">
      <c r="A261" s="40" t="s">
        <v>1168</v>
      </c>
      <c r="B261" s="41" t="s">
        <v>19</v>
      </c>
      <c r="C261" s="40">
        <v>5.55</v>
      </c>
      <c r="D261" s="114"/>
    </row>
    <row r="262" spans="1:4" ht="15.75" outlineLevel="1">
      <c r="A262" s="40" t="s">
        <v>1168</v>
      </c>
      <c r="B262" s="41" t="s">
        <v>20</v>
      </c>
      <c r="C262" s="40">
        <v>5.63</v>
      </c>
      <c r="D262" s="114"/>
    </row>
    <row r="263" spans="1:4" ht="15.75" outlineLevel="1">
      <c r="A263" s="40" t="s">
        <v>1168</v>
      </c>
      <c r="B263" s="41" t="s">
        <v>24</v>
      </c>
      <c r="C263" s="40">
        <v>5.47</v>
      </c>
      <c r="D263" s="114"/>
    </row>
    <row r="264" spans="1:4" ht="15.75" outlineLevel="1">
      <c r="A264" s="40" t="s">
        <v>1168</v>
      </c>
      <c r="B264" s="41" t="s">
        <v>25</v>
      </c>
      <c r="C264" s="40">
        <v>5.48</v>
      </c>
      <c r="D264" s="114"/>
    </row>
    <row r="265" spans="1:4" ht="15.75">
      <c r="A265" s="46" t="s">
        <v>1168</v>
      </c>
      <c r="B265" s="41"/>
      <c r="C265" s="40"/>
      <c r="D265" s="114"/>
    </row>
    <row r="266" spans="1:4" ht="15.75" outlineLevel="1">
      <c r="A266" s="40" t="s">
        <v>1040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1040</v>
      </c>
      <c r="B267" s="41" t="s">
        <v>1</v>
      </c>
      <c r="C267" s="40">
        <v>5.2</v>
      </c>
      <c r="D267" s="114"/>
    </row>
    <row r="268" spans="1:4" ht="15.75" outlineLevel="1">
      <c r="A268" s="40" t="s">
        <v>1040</v>
      </c>
      <c r="B268" s="41" t="s">
        <v>2</v>
      </c>
      <c r="C268" s="40">
        <v>5.3</v>
      </c>
      <c r="D268" s="114"/>
    </row>
    <row r="269" spans="1:4" ht="15.75" outlineLevel="1">
      <c r="A269" s="40" t="s">
        <v>1040</v>
      </c>
      <c r="B269" s="41" t="s">
        <v>181</v>
      </c>
      <c r="C269" s="40">
        <v>5.6</v>
      </c>
      <c r="D269" s="114"/>
    </row>
    <row r="270" spans="1:4" ht="15.75" outlineLevel="1">
      <c r="A270" s="40" t="s">
        <v>1040</v>
      </c>
      <c r="B270" s="41" t="s">
        <v>1159</v>
      </c>
      <c r="C270" s="42">
        <v>5.0999999999999996</v>
      </c>
      <c r="D270" s="114"/>
    </row>
    <row r="271" spans="1:4" ht="15.75" outlineLevel="1">
      <c r="A271" s="40" t="s">
        <v>1040</v>
      </c>
      <c r="B271" s="41" t="s">
        <v>1158</v>
      </c>
      <c r="C271" s="40">
        <v>5.14</v>
      </c>
      <c r="D271" s="114"/>
    </row>
    <row r="272" spans="1:4" ht="15.75" outlineLevel="1">
      <c r="A272" s="40" t="s">
        <v>1040</v>
      </c>
      <c r="B272" s="41" t="s">
        <v>4</v>
      </c>
      <c r="C272" s="40">
        <v>5.19</v>
      </c>
      <c r="D272" s="114"/>
    </row>
    <row r="273" spans="1:4" ht="15.75" outlineLevel="1">
      <c r="A273" s="40" t="s">
        <v>1040</v>
      </c>
      <c r="B273" s="41" t="s">
        <v>183</v>
      </c>
      <c r="C273" s="40">
        <v>5.24</v>
      </c>
      <c r="D273" s="114"/>
    </row>
    <row r="274" spans="1:4" ht="15.75" outlineLevel="1">
      <c r="A274" s="40" t="s">
        <v>1040</v>
      </c>
      <c r="B274" s="41" t="s">
        <v>5</v>
      </c>
      <c r="C274" s="40">
        <v>5.26</v>
      </c>
      <c r="D274" s="114"/>
    </row>
    <row r="275" spans="1:4" ht="15.75" outlineLevel="1">
      <c r="A275" s="40" t="s">
        <v>1040</v>
      </c>
      <c r="B275" s="41" t="s">
        <v>6</v>
      </c>
      <c r="C275" s="40">
        <v>5.27</v>
      </c>
      <c r="D275" s="114"/>
    </row>
    <row r="276" spans="1:4" ht="15.75" outlineLevel="1">
      <c r="A276" s="40" t="s">
        <v>1040</v>
      </c>
      <c r="B276" s="41" t="s">
        <v>7</v>
      </c>
      <c r="C276" s="40">
        <v>5.28</v>
      </c>
      <c r="D276" s="114"/>
    </row>
    <row r="277" spans="1:4" ht="15.75" outlineLevel="1">
      <c r="A277" s="40" t="s">
        <v>1040</v>
      </c>
      <c r="B277" s="41" t="s">
        <v>376</v>
      </c>
      <c r="C277" s="40">
        <v>5.29</v>
      </c>
      <c r="D277" s="114"/>
    </row>
    <row r="278" spans="1:4" ht="15.75" outlineLevel="1">
      <c r="A278" s="40" t="s">
        <v>1040</v>
      </c>
      <c r="B278" s="41" t="s">
        <v>8</v>
      </c>
      <c r="C278" s="42">
        <v>5.3</v>
      </c>
      <c r="D278" s="114"/>
    </row>
    <row r="279" spans="1:4" ht="15.75" outlineLevel="1">
      <c r="A279" s="40" t="s">
        <v>1040</v>
      </c>
      <c r="B279" s="41" t="s">
        <v>216</v>
      </c>
      <c r="C279" s="40">
        <v>5.33</v>
      </c>
      <c r="D279" s="114"/>
    </row>
    <row r="280" spans="1:4" ht="15.75" outlineLevel="1">
      <c r="A280" s="40" t="s">
        <v>1040</v>
      </c>
      <c r="B280" s="41" t="s">
        <v>159</v>
      </c>
      <c r="C280" s="40">
        <v>5.36</v>
      </c>
      <c r="D280" s="114"/>
    </row>
    <row r="281" spans="1:4" ht="15.75" outlineLevel="1">
      <c r="A281" s="40" t="s">
        <v>1040</v>
      </c>
      <c r="B281" s="41" t="s">
        <v>12</v>
      </c>
      <c r="C281" s="40">
        <v>5.69</v>
      </c>
      <c r="D281" s="114"/>
    </row>
    <row r="282" spans="1:4" ht="15.75" outlineLevel="1">
      <c r="A282" s="40" t="s">
        <v>1040</v>
      </c>
      <c r="B282" s="41" t="s">
        <v>14</v>
      </c>
      <c r="C282" s="42">
        <v>5.7</v>
      </c>
      <c r="D282" s="114"/>
    </row>
    <row r="283" spans="1:4" ht="15.75" outlineLevel="1">
      <c r="A283" s="40" t="s">
        <v>1040</v>
      </c>
      <c r="B283" s="41" t="s">
        <v>15</v>
      </c>
      <c r="C283" s="40">
        <v>5.74</v>
      </c>
      <c r="D283" s="114"/>
    </row>
    <row r="284" spans="1:4" ht="15.75" outlineLevel="1">
      <c r="A284" s="40" t="s">
        <v>1040</v>
      </c>
      <c r="B284" s="41" t="s">
        <v>9</v>
      </c>
      <c r="C284" s="40">
        <v>5.49</v>
      </c>
      <c r="D284" s="114"/>
    </row>
    <row r="285" spans="1:4" ht="15.75" outlineLevel="1">
      <c r="A285" s="40" t="s">
        <v>1040</v>
      </c>
      <c r="B285" s="41" t="s">
        <v>10</v>
      </c>
      <c r="C285" s="40">
        <v>5.51</v>
      </c>
      <c r="D285" s="114"/>
    </row>
    <row r="286" spans="1:4" ht="15.75" outlineLevel="1">
      <c r="A286" s="40" t="s">
        <v>1040</v>
      </c>
      <c r="B286" s="41" t="s">
        <v>1160</v>
      </c>
      <c r="C286" s="40">
        <v>5.52</v>
      </c>
      <c r="D286" s="114"/>
    </row>
    <row r="287" spans="1:4" ht="15.75" outlineLevel="1">
      <c r="A287" s="40" t="s">
        <v>1040</v>
      </c>
      <c r="B287" s="41" t="s">
        <v>11</v>
      </c>
      <c r="C287" s="40">
        <v>5.53</v>
      </c>
      <c r="D287" s="114"/>
    </row>
    <row r="288" spans="1:4" ht="15.75" outlineLevel="1">
      <c r="A288" s="40" t="s">
        <v>1040</v>
      </c>
      <c r="B288" s="41" t="s">
        <v>17</v>
      </c>
      <c r="C288" s="40">
        <v>5.58</v>
      </c>
      <c r="D288" s="114"/>
    </row>
    <row r="289" spans="1:4" ht="15.75" outlineLevel="1">
      <c r="A289" s="40" t="s">
        <v>1040</v>
      </c>
      <c r="B289" s="41" t="s">
        <v>18</v>
      </c>
      <c r="C289" s="40">
        <v>5.54</v>
      </c>
      <c r="D289" s="114"/>
    </row>
    <row r="290" spans="1:4" ht="15.75" outlineLevel="1">
      <c r="A290" s="40" t="s">
        <v>1040</v>
      </c>
      <c r="B290" s="41" t="s">
        <v>19</v>
      </c>
      <c r="C290" s="40">
        <v>5.55</v>
      </c>
      <c r="D290" s="114"/>
    </row>
    <row r="291" spans="1:4" ht="15.75" outlineLevel="1">
      <c r="A291" s="40" t="s">
        <v>1040</v>
      </c>
      <c r="B291" s="41" t="s">
        <v>20</v>
      </c>
      <c r="C291" s="40">
        <v>5.63</v>
      </c>
      <c r="D291" s="114"/>
    </row>
    <row r="292" spans="1:4" ht="15.75" outlineLevel="1">
      <c r="A292" s="40" t="s">
        <v>1040</v>
      </c>
      <c r="B292" s="41" t="s">
        <v>24</v>
      </c>
      <c r="C292" s="40">
        <v>5.47</v>
      </c>
      <c r="D292" s="114"/>
    </row>
    <row r="293" spans="1:4" ht="15.75" outlineLevel="1">
      <c r="A293" s="40" t="s">
        <v>1040</v>
      </c>
      <c r="B293" s="41" t="s">
        <v>25</v>
      </c>
      <c r="C293" s="40">
        <v>5.48</v>
      </c>
      <c r="D293" s="114"/>
    </row>
    <row r="294" spans="1:4" ht="15.75">
      <c r="A294" s="46" t="s">
        <v>1040</v>
      </c>
      <c r="B294" s="41"/>
      <c r="C294" s="40"/>
      <c r="D294" s="114"/>
    </row>
    <row r="295" spans="1:4" ht="31.5" outlineLevel="1">
      <c r="A295" s="40" t="s">
        <v>1047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1047</v>
      </c>
      <c r="B296" s="41" t="s">
        <v>1</v>
      </c>
      <c r="C296" s="40">
        <v>5.2</v>
      </c>
      <c r="D296" s="114"/>
    </row>
    <row r="297" spans="1:4" ht="31.5" outlineLevel="1">
      <c r="A297" s="40" t="s">
        <v>1047</v>
      </c>
      <c r="B297" s="41" t="s">
        <v>2</v>
      </c>
      <c r="C297" s="40">
        <v>5.3</v>
      </c>
      <c r="D297" s="114"/>
    </row>
    <row r="298" spans="1:4" ht="31.5" outlineLevel="1">
      <c r="A298" s="40" t="s">
        <v>1047</v>
      </c>
      <c r="B298" s="41" t="s">
        <v>1158</v>
      </c>
      <c r="C298" s="40">
        <v>5.14</v>
      </c>
      <c r="D298" s="114"/>
    </row>
    <row r="299" spans="1:4" ht="31.5" outlineLevel="1">
      <c r="A299" s="40" t="s">
        <v>1047</v>
      </c>
      <c r="B299" s="41" t="s">
        <v>4</v>
      </c>
      <c r="C299" s="40">
        <v>5.19</v>
      </c>
      <c r="D299" s="114"/>
    </row>
    <row r="300" spans="1:4" ht="31.5" outlineLevel="1">
      <c r="A300" s="40" t="s">
        <v>1047</v>
      </c>
      <c r="B300" s="41" t="s">
        <v>183</v>
      </c>
      <c r="C300" s="40">
        <v>5.24</v>
      </c>
      <c r="D300" s="114"/>
    </row>
    <row r="301" spans="1:4" ht="31.5" outlineLevel="1">
      <c r="A301" s="40" t="s">
        <v>1047</v>
      </c>
      <c r="B301" s="41" t="s">
        <v>5</v>
      </c>
      <c r="C301" s="40">
        <v>5.26</v>
      </c>
      <c r="D301" s="114"/>
    </row>
    <row r="302" spans="1:4" ht="31.5" outlineLevel="1">
      <c r="A302" s="40" t="s">
        <v>1047</v>
      </c>
      <c r="B302" s="41" t="s">
        <v>6</v>
      </c>
      <c r="C302" s="40">
        <v>5.27</v>
      </c>
      <c r="D302" s="114"/>
    </row>
    <row r="303" spans="1:4" ht="31.5" outlineLevel="1">
      <c r="A303" s="40" t="s">
        <v>1047</v>
      </c>
      <c r="B303" s="41" t="s">
        <v>7</v>
      </c>
      <c r="C303" s="40">
        <v>5.28</v>
      </c>
      <c r="D303" s="114"/>
    </row>
    <row r="304" spans="1:4" ht="31.5" outlineLevel="1">
      <c r="A304" s="40" t="s">
        <v>1047</v>
      </c>
      <c r="B304" s="41" t="s">
        <v>192</v>
      </c>
      <c r="C304" s="40">
        <v>5.37</v>
      </c>
      <c r="D304" s="114"/>
    </row>
    <row r="305" spans="1:4" ht="31.5" outlineLevel="1">
      <c r="A305" s="40" t="s">
        <v>1047</v>
      </c>
      <c r="B305" s="41" t="s">
        <v>9</v>
      </c>
      <c r="C305" s="40">
        <v>5.49</v>
      </c>
      <c r="D305" s="114"/>
    </row>
    <row r="306" spans="1:4" ht="31.5" outlineLevel="1">
      <c r="A306" s="40" t="s">
        <v>1047</v>
      </c>
      <c r="B306" s="41" t="s">
        <v>10</v>
      </c>
      <c r="C306" s="40">
        <v>5.51</v>
      </c>
      <c r="D306" s="114"/>
    </row>
    <row r="307" spans="1:4" ht="31.5" outlineLevel="1">
      <c r="A307" s="40" t="s">
        <v>1047</v>
      </c>
      <c r="B307" s="41" t="s">
        <v>11</v>
      </c>
      <c r="C307" s="40">
        <v>5.53</v>
      </c>
      <c r="D307" s="114"/>
    </row>
    <row r="308" spans="1:4" ht="31.5" outlineLevel="1">
      <c r="A308" s="40" t="s">
        <v>1047</v>
      </c>
      <c r="B308" s="41" t="s">
        <v>12</v>
      </c>
      <c r="C308" s="40">
        <v>5.69</v>
      </c>
      <c r="D308" s="114"/>
    </row>
    <row r="309" spans="1:4" ht="31.5" outlineLevel="1">
      <c r="A309" s="40" t="s">
        <v>1047</v>
      </c>
      <c r="B309" s="41" t="s">
        <v>13</v>
      </c>
      <c r="C309" s="40">
        <v>5.75</v>
      </c>
      <c r="D309" s="114"/>
    </row>
    <row r="310" spans="1:4" ht="31.5" outlineLevel="1">
      <c r="A310" s="40" t="s">
        <v>1047</v>
      </c>
      <c r="B310" s="41" t="s">
        <v>14</v>
      </c>
      <c r="C310" s="42">
        <v>5.7</v>
      </c>
      <c r="D310" s="114"/>
    </row>
    <row r="311" spans="1:4" ht="31.5" outlineLevel="1">
      <c r="A311" s="40" t="s">
        <v>1047</v>
      </c>
      <c r="B311" s="41" t="s">
        <v>15</v>
      </c>
      <c r="C311" s="40">
        <v>5.74</v>
      </c>
      <c r="D311" s="114"/>
    </row>
    <row r="312" spans="1:4" ht="31.5" outlineLevel="1">
      <c r="A312" s="40" t="s">
        <v>1047</v>
      </c>
      <c r="B312" s="41" t="s">
        <v>17</v>
      </c>
      <c r="C312" s="40">
        <v>5.58</v>
      </c>
      <c r="D312" s="114"/>
    </row>
    <row r="313" spans="1:4" ht="31.5" outlineLevel="1">
      <c r="A313" s="40" t="s">
        <v>1047</v>
      </c>
      <c r="B313" s="41" t="s">
        <v>18</v>
      </c>
      <c r="C313" s="40">
        <v>5.54</v>
      </c>
      <c r="D313" s="114"/>
    </row>
    <row r="314" spans="1:4" ht="31.5" outlineLevel="1">
      <c r="A314" s="40" t="s">
        <v>1047</v>
      </c>
      <c r="B314" s="41" t="s">
        <v>19</v>
      </c>
      <c r="C314" s="40">
        <v>5.55</v>
      </c>
      <c r="D314" s="114"/>
    </row>
    <row r="315" spans="1:4" ht="31.5" outlineLevel="1">
      <c r="A315" s="40" t="s">
        <v>1047</v>
      </c>
      <c r="B315" s="41" t="s">
        <v>20</v>
      </c>
      <c r="C315" s="40">
        <v>5.63</v>
      </c>
      <c r="D315" s="114"/>
    </row>
    <row r="316" spans="1:4" ht="31.5" outlineLevel="1">
      <c r="A316" s="40" t="s">
        <v>1047</v>
      </c>
      <c r="B316" s="41" t="s">
        <v>21</v>
      </c>
      <c r="C316" s="40">
        <v>5.65</v>
      </c>
      <c r="D316" s="114"/>
    </row>
    <row r="317" spans="1:4" ht="31.5" outlineLevel="1">
      <c r="A317" s="40" t="s">
        <v>1047</v>
      </c>
      <c r="B317" s="41" t="s">
        <v>22</v>
      </c>
      <c r="C317" s="40">
        <v>5.68</v>
      </c>
      <c r="D317" s="114"/>
    </row>
    <row r="318" spans="1:4" ht="31.5" outlineLevel="1">
      <c r="A318" s="40" t="s">
        <v>1047</v>
      </c>
      <c r="B318" s="41" t="s">
        <v>24</v>
      </c>
      <c r="C318" s="40">
        <v>5.47</v>
      </c>
      <c r="D318" s="114"/>
    </row>
    <row r="319" spans="1:4" ht="31.5" outlineLevel="1">
      <c r="A319" s="40" t="s">
        <v>1047</v>
      </c>
      <c r="B319" s="41" t="s">
        <v>25</v>
      </c>
      <c r="C319" s="40">
        <v>5.48</v>
      </c>
      <c r="D319" s="114"/>
    </row>
    <row r="320" spans="1:4" ht="31.5">
      <c r="A320" s="46" t="s">
        <v>1047</v>
      </c>
      <c r="B320" s="41"/>
      <c r="C320" s="40"/>
      <c r="D320" s="114"/>
    </row>
    <row r="321" spans="1:4" ht="31.5" outlineLevel="1">
      <c r="A321" s="40" t="s">
        <v>1048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1048</v>
      </c>
      <c r="B322" s="41" t="s">
        <v>1</v>
      </c>
      <c r="C322" s="40">
        <v>5.2</v>
      </c>
      <c r="D322" s="114"/>
    </row>
    <row r="323" spans="1:4" ht="31.5" outlineLevel="1">
      <c r="A323" s="40" t="s">
        <v>1048</v>
      </c>
      <c r="B323" s="41" t="s">
        <v>5</v>
      </c>
      <c r="C323" s="40">
        <v>5.26</v>
      </c>
      <c r="D323" s="114"/>
    </row>
    <row r="324" spans="1:4" ht="31.5" outlineLevel="1">
      <c r="A324" s="40" t="s">
        <v>1048</v>
      </c>
      <c r="B324" s="41" t="s">
        <v>1158</v>
      </c>
      <c r="C324" s="40">
        <v>5.14</v>
      </c>
      <c r="D324" s="114"/>
    </row>
    <row r="325" spans="1:4" ht="31.5" outlineLevel="1">
      <c r="A325" s="40" t="s">
        <v>1048</v>
      </c>
      <c r="B325" s="41" t="s">
        <v>4</v>
      </c>
      <c r="C325" s="40">
        <v>5.19</v>
      </c>
      <c r="D325" s="114"/>
    </row>
    <row r="326" spans="1:4" ht="31.5" outlineLevel="1">
      <c r="A326" s="40" t="s">
        <v>1048</v>
      </c>
      <c r="B326" s="41" t="s">
        <v>192</v>
      </c>
      <c r="C326" s="40">
        <v>5.37</v>
      </c>
      <c r="D326" s="114"/>
    </row>
    <row r="327" spans="1:4" ht="31.5" outlineLevel="1">
      <c r="A327" s="40" t="s">
        <v>1048</v>
      </c>
      <c r="B327" s="41" t="s">
        <v>12</v>
      </c>
      <c r="C327" s="40">
        <v>5.69</v>
      </c>
      <c r="D327" s="114"/>
    </row>
    <row r="328" spans="1:4" ht="31.5" outlineLevel="1">
      <c r="A328" s="40" t="s">
        <v>1048</v>
      </c>
      <c r="B328" s="41" t="s">
        <v>802</v>
      </c>
      <c r="C328" s="42">
        <v>5.8</v>
      </c>
      <c r="D328" s="114"/>
    </row>
    <row r="329" spans="1:4" ht="31.5" outlineLevel="1">
      <c r="A329" s="40" t="s">
        <v>1048</v>
      </c>
      <c r="B329" s="41" t="s">
        <v>13</v>
      </c>
      <c r="C329" s="40">
        <v>5.75</v>
      </c>
      <c r="D329" s="114"/>
    </row>
    <row r="330" spans="1:4" ht="31.5" outlineLevel="1">
      <c r="A330" s="40" t="s">
        <v>1048</v>
      </c>
      <c r="B330" s="41" t="s">
        <v>14</v>
      </c>
      <c r="C330" s="42">
        <v>5.7</v>
      </c>
      <c r="D330" s="114"/>
    </row>
    <row r="331" spans="1:4" ht="31.5" outlineLevel="1">
      <c r="A331" s="40" t="s">
        <v>1048</v>
      </c>
      <c r="B331" s="41" t="s">
        <v>15</v>
      </c>
      <c r="C331" s="40">
        <v>5.74</v>
      </c>
      <c r="D331" s="114"/>
    </row>
    <row r="332" spans="1:4" ht="31.5" outlineLevel="1">
      <c r="A332" s="40" t="s">
        <v>1048</v>
      </c>
      <c r="B332" s="41" t="s">
        <v>17</v>
      </c>
      <c r="C332" s="40">
        <v>5.58</v>
      </c>
      <c r="D332" s="114"/>
    </row>
    <row r="333" spans="1:4" ht="31.5" outlineLevel="1">
      <c r="A333" s="40" t="s">
        <v>1048</v>
      </c>
      <c r="B333" s="41" t="s">
        <v>19</v>
      </c>
      <c r="C333" s="40">
        <v>5.55</v>
      </c>
      <c r="D333" s="114"/>
    </row>
    <row r="334" spans="1:4" ht="31.5" outlineLevel="1">
      <c r="A334" s="40" t="s">
        <v>1048</v>
      </c>
      <c r="B334" s="41" t="s">
        <v>20</v>
      </c>
      <c r="C334" s="40">
        <v>5.63</v>
      </c>
      <c r="D334" s="114"/>
    </row>
    <row r="335" spans="1:4" ht="31.5" outlineLevel="1">
      <c r="A335" s="40" t="s">
        <v>1048</v>
      </c>
      <c r="B335" s="41" t="s">
        <v>21</v>
      </c>
      <c r="C335" s="40">
        <v>5.65</v>
      </c>
      <c r="D335" s="114"/>
    </row>
    <row r="336" spans="1:4" ht="31.5" outlineLevel="1">
      <c r="A336" s="40" t="s">
        <v>1048</v>
      </c>
      <c r="B336" s="41" t="s">
        <v>22</v>
      </c>
      <c r="C336" s="40">
        <v>5.68</v>
      </c>
      <c r="D336" s="114"/>
    </row>
    <row r="337" spans="1:4" ht="31.5" outlineLevel="1">
      <c r="A337" s="40" t="s">
        <v>1048</v>
      </c>
      <c r="B337" s="41" t="s">
        <v>24</v>
      </c>
      <c r="C337" s="40">
        <v>5.47</v>
      </c>
      <c r="D337" s="114"/>
    </row>
    <row r="338" spans="1:4" ht="31.5" outlineLevel="1">
      <c r="A338" s="40" t="s">
        <v>1048</v>
      </c>
      <c r="B338" s="41" t="s">
        <v>25</v>
      </c>
      <c r="C338" s="40">
        <v>5.48</v>
      </c>
      <c r="D338" s="114"/>
    </row>
    <row r="339" spans="1:4" ht="31.5">
      <c r="A339" s="46" t="s">
        <v>1048</v>
      </c>
      <c r="B339" s="41"/>
      <c r="C339" s="40"/>
      <c r="D339" s="114"/>
    </row>
    <row r="340" spans="1:4" ht="31.5" outlineLevel="1">
      <c r="A340" s="40" t="s">
        <v>1054</v>
      </c>
      <c r="B340" s="41" t="s">
        <v>1169</v>
      </c>
      <c r="C340" s="40">
        <v>5.0999999999999996</v>
      </c>
      <c r="D340" s="114"/>
    </row>
    <row r="341" spans="1:4" ht="31.5" outlineLevel="1">
      <c r="A341" s="40" t="s">
        <v>1054</v>
      </c>
      <c r="B341" s="41" t="s">
        <v>1</v>
      </c>
      <c r="C341" s="40">
        <v>5.2</v>
      </c>
      <c r="D341" s="114"/>
    </row>
    <row r="342" spans="1:4" ht="31.5" outlineLevel="1">
      <c r="A342" s="40" t="s">
        <v>1054</v>
      </c>
      <c r="B342" s="41" t="s">
        <v>5</v>
      </c>
      <c r="C342" s="40">
        <v>5.26</v>
      </c>
      <c r="D342" s="114"/>
    </row>
    <row r="343" spans="1:4" ht="31.5" outlineLevel="1">
      <c r="A343" s="40" t="s">
        <v>1054</v>
      </c>
      <c r="B343" s="41" t="s">
        <v>1170</v>
      </c>
      <c r="C343" s="40">
        <v>5.38</v>
      </c>
      <c r="D343" s="114"/>
    </row>
    <row r="344" spans="1:4" ht="31.5" outlineLevel="1">
      <c r="A344" s="40" t="s">
        <v>1054</v>
      </c>
      <c r="B344" s="41" t="s">
        <v>1171</v>
      </c>
      <c r="C344" s="40">
        <v>5.39</v>
      </c>
      <c r="D344" s="114"/>
    </row>
    <row r="345" spans="1:4" ht="31.5" outlineLevel="1">
      <c r="A345" s="40" t="s">
        <v>1054</v>
      </c>
      <c r="B345" s="41" t="s">
        <v>1172</v>
      </c>
      <c r="C345" s="42">
        <v>5.6</v>
      </c>
      <c r="D345" s="114"/>
    </row>
    <row r="346" spans="1:4" ht="31.5" outlineLevel="1">
      <c r="A346" s="40" t="s">
        <v>1054</v>
      </c>
      <c r="B346" s="41" t="s">
        <v>25</v>
      </c>
      <c r="C346" s="40">
        <v>5.48</v>
      </c>
      <c r="D346" s="114"/>
    </row>
    <row r="347" spans="1:4" ht="31.5">
      <c r="A347" s="46" t="s">
        <v>1054</v>
      </c>
      <c r="B347" s="41"/>
      <c r="C347" s="40"/>
      <c r="D347" s="114"/>
    </row>
    <row r="348" spans="1:4" ht="31.5" outlineLevel="1">
      <c r="A348" s="40" t="s">
        <v>1058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1058</v>
      </c>
      <c r="B349" s="41" t="s">
        <v>1</v>
      </c>
      <c r="C349" s="40">
        <v>5.2</v>
      </c>
      <c r="D349" s="114"/>
    </row>
    <row r="350" spans="1:4" ht="31.5" outlineLevel="1">
      <c r="A350" s="40" t="s">
        <v>1058</v>
      </c>
      <c r="B350" s="41" t="s">
        <v>2</v>
      </c>
      <c r="C350" s="40">
        <v>5.3</v>
      </c>
      <c r="D350" s="114"/>
    </row>
    <row r="351" spans="1:4" ht="31.5" outlineLevel="1">
      <c r="A351" s="40" t="s">
        <v>1058</v>
      </c>
      <c r="B351" s="41" t="s">
        <v>181</v>
      </c>
      <c r="C351" s="40">
        <v>5.6</v>
      </c>
      <c r="D351" s="114"/>
    </row>
    <row r="352" spans="1:4" ht="31.5" outlineLevel="1">
      <c r="A352" s="40" t="s">
        <v>1058</v>
      </c>
      <c r="B352" s="41" t="s">
        <v>1159</v>
      </c>
      <c r="C352" s="42">
        <v>5.0999999999999996</v>
      </c>
      <c r="D352" s="114"/>
    </row>
    <row r="353" spans="1:4" ht="31.5" outlineLevel="1">
      <c r="A353" s="40" t="s">
        <v>1058</v>
      </c>
      <c r="B353" s="41" t="s">
        <v>1158</v>
      </c>
      <c r="C353" s="40">
        <v>5.14</v>
      </c>
      <c r="D353" s="114"/>
    </row>
    <row r="354" spans="1:4" ht="31.5" outlineLevel="1">
      <c r="A354" s="40" t="s">
        <v>1058</v>
      </c>
      <c r="B354" s="41" t="s">
        <v>4</v>
      </c>
      <c r="C354" s="40">
        <v>5.19</v>
      </c>
      <c r="D354" s="114"/>
    </row>
    <row r="355" spans="1:4" ht="31.5" outlineLevel="1">
      <c r="A355" s="40" t="s">
        <v>1058</v>
      </c>
      <c r="B355" s="41" t="s">
        <v>183</v>
      </c>
      <c r="C355" s="40">
        <v>5.24</v>
      </c>
      <c r="D355" s="114"/>
    </row>
    <row r="356" spans="1:4" ht="31.5" outlineLevel="1">
      <c r="A356" s="40" t="s">
        <v>1058</v>
      </c>
      <c r="B356" s="41" t="s">
        <v>5</v>
      </c>
      <c r="C356" s="40">
        <v>5.26</v>
      </c>
      <c r="D356" s="114"/>
    </row>
    <row r="357" spans="1:4" ht="31.5" outlineLevel="1">
      <c r="A357" s="40" t="s">
        <v>1058</v>
      </c>
      <c r="B357" s="41" t="s">
        <v>6</v>
      </c>
      <c r="C357" s="40">
        <v>5.27</v>
      </c>
      <c r="D357" s="114"/>
    </row>
    <row r="358" spans="1:4" ht="31.5" outlineLevel="1">
      <c r="A358" s="40" t="s">
        <v>1058</v>
      </c>
      <c r="B358" s="41" t="s">
        <v>7</v>
      </c>
      <c r="C358" s="40">
        <v>5.28</v>
      </c>
      <c r="D358" s="114"/>
    </row>
    <row r="359" spans="1:4" ht="31.5" outlineLevel="1">
      <c r="A359" s="40" t="s">
        <v>1058</v>
      </c>
      <c r="B359" s="41" t="s">
        <v>184</v>
      </c>
      <c r="C359" s="40">
        <v>5.31</v>
      </c>
      <c r="D359" s="114"/>
    </row>
    <row r="360" spans="1:4" ht="31.5" outlineLevel="1">
      <c r="A360" s="40" t="s">
        <v>1058</v>
      </c>
      <c r="B360" s="41" t="s">
        <v>159</v>
      </c>
      <c r="C360" s="40">
        <v>5.36</v>
      </c>
      <c r="D360" s="114"/>
    </row>
    <row r="361" spans="1:4" ht="31.5" outlineLevel="1">
      <c r="A361" s="40" t="s">
        <v>1058</v>
      </c>
      <c r="B361" s="41" t="s">
        <v>192</v>
      </c>
      <c r="C361" s="40">
        <v>5.37</v>
      </c>
      <c r="D361" s="114"/>
    </row>
    <row r="362" spans="1:4" ht="31.5" outlineLevel="1">
      <c r="A362" s="40" t="s">
        <v>1058</v>
      </c>
      <c r="B362" s="41" t="s">
        <v>9</v>
      </c>
      <c r="C362" s="40">
        <v>5.49</v>
      </c>
      <c r="D362" s="114"/>
    </row>
    <row r="363" spans="1:4" ht="31.5" outlineLevel="1">
      <c r="A363" s="40" t="s">
        <v>1058</v>
      </c>
      <c r="B363" s="41" t="s">
        <v>10</v>
      </c>
      <c r="C363" s="40">
        <v>5.51</v>
      </c>
      <c r="D363" s="114"/>
    </row>
    <row r="364" spans="1:4" ht="31.5" outlineLevel="1">
      <c r="A364" s="40" t="s">
        <v>1058</v>
      </c>
      <c r="B364" s="41" t="s">
        <v>1160</v>
      </c>
      <c r="C364" s="40">
        <v>5.52</v>
      </c>
      <c r="D364" s="114"/>
    </row>
    <row r="365" spans="1:4" ht="31.5" outlineLevel="1">
      <c r="A365" s="40" t="s">
        <v>1058</v>
      </c>
      <c r="B365" s="41" t="s">
        <v>11</v>
      </c>
      <c r="C365" s="40">
        <v>5.53</v>
      </c>
      <c r="D365" s="114"/>
    </row>
    <row r="366" spans="1:4" ht="31.5" outlineLevel="1">
      <c r="A366" s="40" t="s">
        <v>1058</v>
      </c>
      <c r="B366" s="41" t="s">
        <v>12</v>
      </c>
      <c r="C366" s="40">
        <v>5.69</v>
      </c>
      <c r="D366" s="114"/>
    </row>
    <row r="367" spans="1:4" ht="31.5" outlineLevel="1">
      <c r="A367" s="40" t="s">
        <v>1058</v>
      </c>
      <c r="B367" s="41" t="s">
        <v>802</v>
      </c>
      <c r="C367" s="42">
        <v>5.8</v>
      </c>
      <c r="D367" s="114"/>
    </row>
    <row r="368" spans="1:4" ht="31.5" outlineLevel="1">
      <c r="A368" s="40" t="s">
        <v>1058</v>
      </c>
      <c r="B368" s="41" t="s">
        <v>956</v>
      </c>
      <c r="C368" s="42">
        <v>5.72</v>
      </c>
      <c r="D368" s="114"/>
    </row>
    <row r="369" spans="1:4" ht="31.5" outlineLevel="1">
      <c r="A369" s="40" t="s">
        <v>1058</v>
      </c>
      <c r="B369" s="41" t="s">
        <v>13</v>
      </c>
      <c r="C369" s="40">
        <v>5.75</v>
      </c>
      <c r="D369" s="114"/>
    </row>
    <row r="370" spans="1:4" ht="31.5" outlineLevel="1">
      <c r="A370" s="40" t="s">
        <v>1058</v>
      </c>
      <c r="B370" s="41" t="s">
        <v>14</v>
      </c>
      <c r="C370" s="42">
        <v>5.7</v>
      </c>
      <c r="D370" s="114"/>
    </row>
    <row r="371" spans="1:4" ht="31.5" outlineLevel="1">
      <c r="A371" s="40" t="s">
        <v>1058</v>
      </c>
      <c r="B371" s="41" t="s">
        <v>15</v>
      </c>
      <c r="C371" s="40">
        <v>5.74</v>
      </c>
      <c r="D371" s="114"/>
    </row>
    <row r="372" spans="1:4" ht="31.5" outlineLevel="1">
      <c r="A372" s="40" t="s">
        <v>1058</v>
      </c>
      <c r="B372" s="41" t="s">
        <v>459</v>
      </c>
      <c r="C372" s="40">
        <v>5.76</v>
      </c>
      <c r="D372" s="114"/>
    </row>
    <row r="373" spans="1:4" ht="31.5" outlineLevel="1">
      <c r="A373" s="40" t="s">
        <v>1058</v>
      </c>
      <c r="B373" s="41" t="s">
        <v>880</v>
      </c>
      <c r="C373" s="40">
        <v>5.89</v>
      </c>
      <c r="D373" s="113" t="s">
        <v>1157</v>
      </c>
    </row>
    <row r="374" spans="1:4" ht="31.5" outlineLevel="1">
      <c r="A374" s="40" t="s">
        <v>1058</v>
      </c>
      <c r="B374" s="41" t="s">
        <v>185</v>
      </c>
      <c r="C374" s="40">
        <v>5.109</v>
      </c>
      <c r="D374" s="113"/>
    </row>
    <row r="375" spans="1:4" ht="31.5" outlineLevel="1">
      <c r="A375" s="40" t="s">
        <v>1058</v>
      </c>
      <c r="B375" s="41" t="s">
        <v>186</v>
      </c>
      <c r="C375" s="40">
        <v>5.1109999999999998</v>
      </c>
      <c r="D375" s="114"/>
    </row>
    <row r="376" spans="1:4" ht="31.5" outlineLevel="1">
      <c r="A376" s="40" t="s">
        <v>1058</v>
      </c>
      <c r="B376" s="41" t="s">
        <v>168</v>
      </c>
      <c r="C376" s="40">
        <v>5.1120000000000001</v>
      </c>
      <c r="D376" s="114"/>
    </row>
    <row r="377" spans="1:4" ht="31.5" outlineLevel="1">
      <c r="A377" s="40" t="s">
        <v>1058</v>
      </c>
      <c r="B377" s="41" t="s">
        <v>1173</v>
      </c>
      <c r="C377" s="40">
        <v>5.1130000000000004</v>
      </c>
      <c r="D377" s="114"/>
    </row>
    <row r="378" spans="1:4" ht="31.5" outlineLevel="1">
      <c r="A378" s="40" t="s">
        <v>1058</v>
      </c>
      <c r="B378" s="41" t="s">
        <v>17</v>
      </c>
      <c r="C378" s="40">
        <v>5.58</v>
      </c>
      <c r="D378" s="114"/>
    </row>
    <row r="379" spans="1:4" ht="31.5" outlineLevel="1">
      <c r="A379" s="40" t="s">
        <v>1058</v>
      </c>
      <c r="B379" s="41" t="s">
        <v>18</v>
      </c>
      <c r="C379" s="40">
        <v>5.54</v>
      </c>
      <c r="D379" s="114"/>
    </row>
    <row r="380" spans="1:4" ht="31.5" outlineLevel="1">
      <c r="A380" s="40" t="s">
        <v>1058</v>
      </c>
      <c r="B380" s="41" t="s">
        <v>19</v>
      </c>
      <c r="C380" s="40">
        <v>5.55</v>
      </c>
      <c r="D380" s="114"/>
    </row>
    <row r="381" spans="1:4" ht="31.5" outlineLevel="1">
      <c r="A381" s="40" t="s">
        <v>1058</v>
      </c>
      <c r="B381" s="41" t="s">
        <v>20</v>
      </c>
      <c r="C381" s="40">
        <v>5.63</v>
      </c>
      <c r="D381" s="114"/>
    </row>
    <row r="382" spans="1:4" ht="31.5" outlineLevel="1">
      <c r="A382" s="40" t="s">
        <v>1058</v>
      </c>
      <c r="B382" s="41" t="s">
        <v>21</v>
      </c>
      <c r="C382" s="40">
        <v>5.65</v>
      </c>
      <c r="D382" s="114"/>
    </row>
    <row r="383" spans="1:4" ht="31.5" outlineLevel="1">
      <c r="A383" s="40" t="s">
        <v>1058</v>
      </c>
      <c r="B383" s="41" t="s">
        <v>200</v>
      </c>
      <c r="C383" s="40">
        <v>5.66</v>
      </c>
      <c r="D383" s="114"/>
    </row>
    <row r="384" spans="1:4" ht="31.5" outlineLevel="1">
      <c r="A384" s="40" t="s">
        <v>1058</v>
      </c>
      <c r="B384" s="41" t="s">
        <v>22</v>
      </c>
      <c r="C384" s="40">
        <v>5.68</v>
      </c>
      <c r="D384" s="114"/>
    </row>
    <row r="385" spans="1:4" ht="31.5" outlineLevel="1">
      <c r="A385" s="40" t="s">
        <v>1058</v>
      </c>
      <c r="B385" s="41" t="s">
        <v>24</v>
      </c>
      <c r="C385" s="40">
        <v>5.47</v>
      </c>
      <c r="D385" s="114"/>
    </row>
    <row r="386" spans="1:4" ht="31.5" outlineLevel="1">
      <c r="A386" s="40" t="s">
        <v>1058</v>
      </c>
      <c r="B386" s="41" t="s">
        <v>25</v>
      </c>
      <c r="C386" s="40">
        <v>5.48</v>
      </c>
      <c r="D386" s="114"/>
    </row>
    <row r="387" spans="1:4" ht="31.5">
      <c r="A387" s="46" t="s">
        <v>1058</v>
      </c>
      <c r="B387" s="41"/>
      <c r="C387" s="40"/>
      <c r="D387" s="114"/>
    </row>
    <row r="388" spans="1:4" ht="15.75" outlineLevel="1">
      <c r="A388" s="40" t="s">
        <v>1060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1060</v>
      </c>
      <c r="B389" s="41" t="s">
        <v>1</v>
      </c>
      <c r="C389" s="40">
        <v>5.2</v>
      </c>
      <c r="D389" s="114"/>
    </row>
    <row r="390" spans="1:4" ht="15.75" outlineLevel="1">
      <c r="A390" s="40" t="s">
        <v>1060</v>
      </c>
      <c r="B390" s="41" t="s">
        <v>2</v>
      </c>
      <c r="C390" s="40">
        <v>5.3</v>
      </c>
      <c r="D390" s="114"/>
    </row>
    <row r="391" spans="1:4" ht="15.75" outlineLevel="1">
      <c r="A391" s="40" t="s">
        <v>1060</v>
      </c>
      <c r="B391" s="41" t="s">
        <v>181</v>
      </c>
      <c r="C391" s="40">
        <v>5.6</v>
      </c>
      <c r="D391" s="114"/>
    </row>
    <row r="392" spans="1:4" ht="15.75" outlineLevel="1">
      <c r="A392" s="40" t="s">
        <v>1060</v>
      </c>
      <c r="B392" s="41" t="s">
        <v>1159</v>
      </c>
      <c r="C392" s="42">
        <v>5.0999999999999996</v>
      </c>
      <c r="D392" s="114"/>
    </row>
    <row r="393" spans="1:4" ht="15.75" outlineLevel="1">
      <c r="A393" s="40" t="s">
        <v>1060</v>
      </c>
      <c r="B393" s="41" t="s">
        <v>1158</v>
      </c>
      <c r="C393" s="40">
        <v>5.14</v>
      </c>
      <c r="D393" s="114"/>
    </row>
    <row r="394" spans="1:4" ht="15.75" outlineLevel="1">
      <c r="A394" s="40" t="s">
        <v>1060</v>
      </c>
      <c r="B394" s="41" t="s">
        <v>4</v>
      </c>
      <c r="C394" s="40">
        <v>5.19</v>
      </c>
      <c r="D394" s="114"/>
    </row>
    <row r="395" spans="1:4" ht="15.75" outlineLevel="1">
      <c r="A395" s="40" t="s">
        <v>1060</v>
      </c>
      <c r="B395" s="41" t="s">
        <v>183</v>
      </c>
      <c r="C395" s="40">
        <v>5.24</v>
      </c>
      <c r="D395" s="114"/>
    </row>
    <row r="396" spans="1:4" ht="15.75" outlineLevel="1">
      <c r="A396" s="40" t="s">
        <v>1060</v>
      </c>
      <c r="B396" s="41" t="s">
        <v>5</v>
      </c>
      <c r="C396" s="40">
        <v>5.26</v>
      </c>
      <c r="D396" s="114"/>
    </row>
    <row r="397" spans="1:4" ht="15.75" outlineLevel="1">
      <c r="A397" s="40" t="s">
        <v>1060</v>
      </c>
      <c r="B397" s="41" t="s">
        <v>6</v>
      </c>
      <c r="C397" s="40">
        <v>5.27</v>
      </c>
      <c r="D397" s="114"/>
    </row>
    <row r="398" spans="1:4" ht="15.75" outlineLevel="1">
      <c r="A398" s="40" t="s">
        <v>1060</v>
      </c>
      <c r="B398" s="41" t="s">
        <v>7</v>
      </c>
      <c r="C398" s="40">
        <v>5.28</v>
      </c>
      <c r="D398" s="114"/>
    </row>
    <row r="399" spans="1:4" ht="15.75" outlineLevel="1">
      <c r="A399" s="40" t="s">
        <v>1060</v>
      </c>
      <c r="B399" s="41" t="s">
        <v>376</v>
      </c>
      <c r="C399" s="40">
        <v>5.29</v>
      </c>
      <c r="D399" s="114"/>
    </row>
    <row r="400" spans="1:4" ht="15.75" outlineLevel="1">
      <c r="A400" s="40" t="s">
        <v>1060</v>
      </c>
      <c r="B400" s="41" t="s">
        <v>184</v>
      </c>
      <c r="C400" s="40">
        <v>5.31</v>
      </c>
      <c r="D400" s="114"/>
    </row>
    <row r="401" spans="1:4" ht="15.75" outlineLevel="1">
      <c r="A401" s="40" t="s">
        <v>1060</v>
      </c>
      <c r="B401" s="41" t="s">
        <v>159</v>
      </c>
      <c r="C401" s="40">
        <v>5.36</v>
      </c>
      <c r="D401" s="114"/>
    </row>
    <row r="402" spans="1:4" ht="15.75" outlineLevel="1">
      <c r="A402" s="40" t="s">
        <v>1060</v>
      </c>
      <c r="B402" s="41" t="s">
        <v>192</v>
      </c>
      <c r="C402" s="40">
        <v>5.37</v>
      </c>
      <c r="D402" s="114"/>
    </row>
    <row r="403" spans="1:4" ht="15.75" outlineLevel="1">
      <c r="A403" s="40" t="s">
        <v>1060</v>
      </c>
      <c r="B403" s="41" t="s">
        <v>9</v>
      </c>
      <c r="C403" s="40">
        <v>5.49</v>
      </c>
      <c r="D403" s="114"/>
    </row>
    <row r="404" spans="1:4" ht="15.75" outlineLevel="1">
      <c r="A404" s="40" t="s">
        <v>1060</v>
      </c>
      <c r="B404" s="41" t="s">
        <v>10</v>
      </c>
      <c r="C404" s="40">
        <v>5.51</v>
      </c>
      <c r="D404" s="114"/>
    </row>
    <row r="405" spans="1:4" ht="15.75" outlineLevel="1">
      <c r="A405" s="40" t="s">
        <v>1060</v>
      </c>
      <c r="B405" s="41" t="s">
        <v>1160</v>
      </c>
      <c r="C405" s="40">
        <v>5.52</v>
      </c>
      <c r="D405" s="114"/>
    </row>
    <row r="406" spans="1:4" ht="15.75" outlineLevel="1">
      <c r="A406" s="40" t="s">
        <v>1060</v>
      </c>
      <c r="B406" s="41" t="s">
        <v>11</v>
      </c>
      <c r="C406" s="40">
        <v>5.53</v>
      </c>
      <c r="D406" s="114"/>
    </row>
    <row r="407" spans="1:4" ht="15.75" outlineLevel="1">
      <c r="A407" s="40" t="s">
        <v>1060</v>
      </c>
      <c r="B407" s="41" t="s">
        <v>12</v>
      </c>
      <c r="C407" s="40">
        <v>5.69</v>
      </c>
      <c r="D407" s="114"/>
    </row>
    <row r="408" spans="1:4" ht="15.75" outlineLevel="1">
      <c r="A408" s="40" t="s">
        <v>1060</v>
      </c>
      <c r="B408" s="41" t="s">
        <v>13</v>
      </c>
      <c r="C408" s="40">
        <v>5.75</v>
      </c>
      <c r="D408" s="114"/>
    </row>
    <row r="409" spans="1:4" ht="15.75" outlineLevel="1">
      <c r="A409" s="40" t="s">
        <v>1060</v>
      </c>
      <c r="B409" s="41" t="s">
        <v>15</v>
      </c>
      <c r="C409" s="40">
        <v>5.74</v>
      </c>
      <c r="D409" s="114"/>
    </row>
    <row r="410" spans="1:4" ht="15.75" outlineLevel="1">
      <c r="A410" s="40" t="s">
        <v>1060</v>
      </c>
      <c r="B410" s="41" t="s">
        <v>14</v>
      </c>
      <c r="C410" s="42">
        <v>5.7</v>
      </c>
      <c r="D410" s="114"/>
    </row>
    <row r="411" spans="1:4" ht="15.75" outlineLevel="1">
      <c r="A411" s="40" t="s">
        <v>1060</v>
      </c>
      <c r="B411" s="41" t="s">
        <v>459</v>
      </c>
      <c r="C411" s="40">
        <v>5.76</v>
      </c>
      <c r="D411" s="114"/>
    </row>
    <row r="412" spans="1:4" ht="15.75" outlineLevel="1">
      <c r="A412" s="40" t="s">
        <v>1060</v>
      </c>
      <c r="B412" s="41" t="s">
        <v>880</v>
      </c>
      <c r="C412" s="40">
        <v>5.89</v>
      </c>
      <c r="D412" s="113" t="s">
        <v>1157</v>
      </c>
    </row>
    <row r="413" spans="1:4" ht="15.75" outlineLevel="1">
      <c r="A413" s="40" t="s">
        <v>1060</v>
      </c>
      <c r="B413" s="41" t="s">
        <v>185</v>
      </c>
      <c r="C413" s="40">
        <v>5.109</v>
      </c>
      <c r="D413" s="114"/>
    </row>
    <row r="414" spans="1:4" ht="15.75" outlineLevel="1">
      <c r="A414" s="40" t="s">
        <v>1060</v>
      </c>
      <c r="B414" s="41" t="s">
        <v>186</v>
      </c>
      <c r="C414" s="40">
        <v>5.1109999999999998</v>
      </c>
      <c r="D414" s="114"/>
    </row>
    <row r="415" spans="1:4" ht="15.75" outlineLevel="1">
      <c r="A415" s="40" t="s">
        <v>1060</v>
      </c>
      <c r="B415" s="41" t="s">
        <v>168</v>
      </c>
      <c r="C415" s="40">
        <v>5.1120000000000001</v>
      </c>
      <c r="D415" s="114"/>
    </row>
    <row r="416" spans="1:4" ht="15.75" outlineLevel="1">
      <c r="A416" s="40" t="s">
        <v>1060</v>
      </c>
      <c r="B416" s="41" t="s">
        <v>1173</v>
      </c>
      <c r="C416" s="40">
        <v>5.1130000000000004</v>
      </c>
      <c r="D416" s="114"/>
    </row>
    <row r="417" spans="1:4" ht="15.75" outlineLevel="1">
      <c r="A417" s="40" t="s">
        <v>1060</v>
      </c>
      <c r="B417" s="41" t="s">
        <v>17</v>
      </c>
      <c r="C417" s="40">
        <v>5.58</v>
      </c>
      <c r="D417" s="114"/>
    </row>
    <row r="418" spans="1:4" ht="15.75" outlineLevel="1">
      <c r="A418" s="40" t="s">
        <v>1060</v>
      </c>
      <c r="B418" s="41" t="s">
        <v>18</v>
      </c>
      <c r="C418" s="40">
        <v>5.54</v>
      </c>
      <c r="D418" s="114"/>
    </row>
    <row r="419" spans="1:4" ht="15.75" outlineLevel="1">
      <c r="A419" s="40" t="s">
        <v>1060</v>
      </c>
      <c r="B419" s="41" t="s">
        <v>19</v>
      </c>
      <c r="C419" s="40">
        <v>5.55</v>
      </c>
      <c r="D419" s="114"/>
    </row>
    <row r="420" spans="1:4" ht="15.75" outlineLevel="1">
      <c r="A420" s="40" t="s">
        <v>1060</v>
      </c>
      <c r="B420" s="41" t="s">
        <v>20</v>
      </c>
      <c r="C420" s="40">
        <v>5.63</v>
      </c>
      <c r="D420" s="114"/>
    </row>
    <row r="421" spans="1:4" ht="15.75" outlineLevel="1">
      <c r="A421" s="40" t="s">
        <v>1060</v>
      </c>
      <c r="B421" s="41" t="s">
        <v>21</v>
      </c>
      <c r="C421" s="40">
        <v>5.65</v>
      </c>
      <c r="D421" s="114"/>
    </row>
    <row r="422" spans="1:4" ht="15.75" outlineLevel="1">
      <c r="A422" s="40" t="s">
        <v>1060</v>
      </c>
      <c r="B422" s="41" t="s">
        <v>200</v>
      </c>
      <c r="C422" s="40">
        <v>5.66</v>
      </c>
      <c r="D422" s="114"/>
    </row>
    <row r="423" spans="1:4" ht="15.75" outlineLevel="1">
      <c r="A423" s="40" t="s">
        <v>1060</v>
      </c>
      <c r="B423" s="41" t="s">
        <v>22</v>
      </c>
      <c r="C423" s="40">
        <v>5.68</v>
      </c>
      <c r="D423" s="114"/>
    </row>
    <row r="424" spans="1:4" ht="15.75" outlineLevel="1">
      <c r="A424" s="40" t="s">
        <v>1060</v>
      </c>
      <c r="B424" s="41" t="s">
        <v>24</v>
      </c>
      <c r="C424" s="40">
        <v>5.47</v>
      </c>
      <c r="D424" s="114"/>
    </row>
    <row r="425" spans="1:4" ht="15.75" outlineLevel="1">
      <c r="A425" s="40" t="s">
        <v>1060</v>
      </c>
      <c r="B425" s="41" t="s">
        <v>25</v>
      </c>
      <c r="C425" s="40">
        <v>5.48</v>
      </c>
      <c r="D425" s="114"/>
    </row>
    <row r="426" spans="1:4" ht="15.75">
      <c r="A426" s="46" t="s">
        <v>1060</v>
      </c>
      <c r="B426" s="41"/>
      <c r="C426" s="40"/>
      <c r="D426" s="114"/>
    </row>
    <row r="427" spans="1:4" ht="15.75" outlineLevel="1">
      <c r="A427" s="40" t="s">
        <v>1174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1174</v>
      </c>
      <c r="B428" s="41" t="s">
        <v>1</v>
      </c>
      <c r="C428" s="40">
        <v>5.2</v>
      </c>
      <c r="D428" s="114"/>
    </row>
    <row r="429" spans="1:4" ht="15.75" outlineLevel="1">
      <c r="A429" s="40" t="s">
        <v>1174</v>
      </c>
      <c r="B429" s="41" t="s">
        <v>2</v>
      </c>
      <c r="C429" s="40">
        <v>5.3</v>
      </c>
      <c r="D429" s="114"/>
    </row>
    <row r="430" spans="1:4" ht="15.75" outlineLevel="1">
      <c r="A430" s="40" t="s">
        <v>1174</v>
      </c>
      <c r="B430" s="41" t="s">
        <v>181</v>
      </c>
      <c r="C430" s="40">
        <v>5.6</v>
      </c>
      <c r="D430" s="114"/>
    </row>
    <row r="431" spans="1:4" ht="15.75" outlineLevel="1">
      <c r="A431" s="40" t="s">
        <v>1174</v>
      </c>
      <c r="B431" s="41" t="s">
        <v>1159</v>
      </c>
      <c r="C431" s="42">
        <v>5.0999999999999996</v>
      </c>
      <c r="D431" s="114"/>
    </row>
    <row r="432" spans="1:4" ht="15.75" outlineLevel="1">
      <c r="A432" s="40" t="s">
        <v>1174</v>
      </c>
      <c r="B432" s="41" t="s">
        <v>1158</v>
      </c>
      <c r="C432" s="40">
        <v>5.14</v>
      </c>
      <c r="D432" s="114"/>
    </row>
    <row r="433" spans="1:4" ht="15.75" outlineLevel="1">
      <c r="A433" s="40" t="s">
        <v>1174</v>
      </c>
      <c r="B433" s="41" t="s">
        <v>4</v>
      </c>
      <c r="C433" s="40">
        <v>5.19</v>
      </c>
      <c r="D433" s="114"/>
    </row>
    <row r="434" spans="1:4" ht="15.75" outlineLevel="1">
      <c r="A434" s="40" t="s">
        <v>1174</v>
      </c>
      <c r="B434" s="41" t="s">
        <v>183</v>
      </c>
      <c r="C434" s="40">
        <v>5.24</v>
      </c>
      <c r="D434" s="114"/>
    </row>
    <row r="435" spans="1:4" ht="15.75" outlineLevel="1">
      <c r="A435" s="40" t="s">
        <v>1174</v>
      </c>
      <c r="B435" s="41" t="s">
        <v>5</v>
      </c>
      <c r="C435" s="40">
        <v>5.26</v>
      </c>
      <c r="D435" s="114"/>
    </row>
    <row r="436" spans="1:4" ht="15.75" outlineLevel="1">
      <c r="A436" s="40" t="s">
        <v>1174</v>
      </c>
      <c r="B436" s="41" t="s">
        <v>6</v>
      </c>
      <c r="C436" s="40">
        <v>5.27</v>
      </c>
      <c r="D436" s="114"/>
    </row>
    <row r="437" spans="1:4" ht="15.75" outlineLevel="1">
      <c r="A437" s="40" t="s">
        <v>1174</v>
      </c>
      <c r="B437" s="41" t="s">
        <v>7</v>
      </c>
      <c r="C437" s="40">
        <v>5.28</v>
      </c>
      <c r="D437" s="114"/>
    </row>
    <row r="438" spans="1:4" ht="15.75" outlineLevel="1">
      <c r="A438" s="40" t="s">
        <v>1174</v>
      </c>
      <c r="B438" s="41" t="s">
        <v>376</v>
      </c>
      <c r="C438" s="40">
        <v>5.29</v>
      </c>
      <c r="D438" s="114"/>
    </row>
    <row r="439" spans="1:4" ht="15.75" outlineLevel="1">
      <c r="A439" s="40" t="s">
        <v>1174</v>
      </c>
      <c r="B439" s="41" t="s">
        <v>184</v>
      </c>
      <c r="C439" s="40">
        <v>5.31</v>
      </c>
      <c r="D439" s="114"/>
    </row>
    <row r="440" spans="1:4" ht="15.75" outlineLevel="1">
      <c r="A440" s="40" t="s">
        <v>1174</v>
      </c>
      <c r="B440" s="41" t="s">
        <v>159</v>
      </c>
      <c r="C440" s="40">
        <v>5.36</v>
      </c>
      <c r="D440" s="114"/>
    </row>
    <row r="441" spans="1:4" ht="15.75" outlineLevel="1">
      <c r="A441" s="40" t="s">
        <v>1174</v>
      </c>
      <c r="B441" s="41" t="s">
        <v>192</v>
      </c>
      <c r="C441" s="40">
        <v>5.37</v>
      </c>
      <c r="D441" s="114"/>
    </row>
    <row r="442" spans="1:4" ht="15.75" outlineLevel="1">
      <c r="A442" s="40" t="s">
        <v>1174</v>
      </c>
      <c r="B442" s="41" t="s">
        <v>11</v>
      </c>
      <c r="C442" s="40">
        <v>5.53</v>
      </c>
      <c r="D442" s="114"/>
    </row>
    <row r="443" spans="1:4" ht="15.75" outlineLevel="1">
      <c r="A443" s="40" t="s">
        <v>1174</v>
      </c>
      <c r="B443" s="41" t="s">
        <v>185</v>
      </c>
      <c r="C443" s="40">
        <v>5.109</v>
      </c>
      <c r="D443" s="114"/>
    </row>
    <row r="444" spans="1:4" ht="15.75" outlineLevel="1">
      <c r="A444" s="40" t="s">
        <v>1174</v>
      </c>
      <c r="B444" s="41" t="s">
        <v>186</v>
      </c>
      <c r="C444" s="40">
        <v>5.1109999999999998</v>
      </c>
      <c r="D444" s="114"/>
    </row>
    <row r="445" spans="1:4" ht="15.75" outlineLevel="1">
      <c r="A445" s="40" t="s">
        <v>1174</v>
      </c>
      <c r="B445" s="41" t="s">
        <v>168</v>
      </c>
      <c r="C445" s="40">
        <v>5.1120000000000001</v>
      </c>
      <c r="D445" s="114"/>
    </row>
    <row r="446" spans="1:4" ht="15.75" outlineLevel="1">
      <c r="A446" s="40" t="s">
        <v>1174</v>
      </c>
      <c r="B446" s="41" t="s">
        <v>1173</v>
      </c>
      <c r="C446" s="40">
        <v>5.1130000000000004</v>
      </c>
      <c r="D446" s="114"/>
    </row>
    <row r="447" spans="1:4" ht="15.75" outlineLevel="1">
      <c r="A447" s="40" t="s">
        <v>1174</v>
      </c>
      <c r="B447" s="41" t="s">
        <v>17</v>
      </c>
      <c r="C447" s="40">
        <v>5.58</v>
      </c>
      <c r="D447" s="114"/>
    </row>
    <row r="448" spans="1:4" ht="15.75" outlineLevel="1">
      <c r="A448" s="40" t="s">
        <v>1174</v>
      </c>
      <c r="B448" s="41" t="s">
        <v>18</v>
      </c>
      <c r="C448" s="40">
        <v>5.54</v>
      </c>
      <c r="D448" s="114"/>
    </row>
    <row r="449" spans="1:4" ht="15.75" outlineLevel="1">
      <c r="A449" s="40" t="s">
        <v>1174</v>
      </c>
      <c r="B449" s="41" t="s">
        <v>19</v>
      </c>
      <c r="C449" s="40">
        <v>5.55</v>
      </c>
      <c r="D449" s="114"/>
    </row>
    <row r="450" spans="1:4" ht="15.75" outlineLevel="1">
      <c r="A450" s="40" t="s">
        <v>1174</v>
      </c>
      <c r="B450" s="41" t="s">
        <v>20</v>
      </c>
      <c r="C450" s="40">
        <v>5.63</v>
      </c>
      <c r="D450" s="114"/>
    </row>
    <row r="451" spans="1:4" ht="15.75" outlineLevel="1">
      <c r="A451" s="40" t="s">
        <v>1174</v>
      </c>
      <c r="B451" s="41" t="s">
        <v>24</v>
      </c>
      <c r="C451" s="40">
        <v>5.47</v>
      </c>
      <c r="D451" s="114"/>
    </row>
    <row r="452" spans="1:4" ht="15.75" outlineLevel="1">
      <c r="A452" s="40" t="s">
        <v>1174</v>
      </c>
      <c r="B452" s="41" t="s">
        <v>25</v>
      </c>
      <c r="C452" s="40">
        <v>5.48</v>
      </c>
      <c r="D452" s="114"/>
    </row>
    <row r="453" spans="1:4" ht="31.5">
      <c r="A453" s="46" t="s">
        <v>1174</v>
      </c>
      <c r="B453" s="41"/>
      <c r="C453" s="40"/>
      <c r="D453" s="114"/>
    </row>
    <row r="454" spans="1:4" ht="15.75" outlineLevel="1">
      <c r="A454" s="40" t="s">
        <v>824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824</v>
      </c>
      <c r="B455" s="41" t="s">
        <v>1</v>
      </c>
      <c r="C455" s="40">
        <v>5.2</v>
      </c>
      <c r="D455" s="114"/>
    </row>
    <row r="456" spans="1:4" ht="15.75" outlineLevel="1">
      <c r="A456" s="40" t="s">
        <v>824</v>
      </c>
      <c r="B456" s="41" t="s">
        <v>243</v>
      </c>
      <c r="C456" s="40">
        <v>5.5</v>
      </c>
      <c r="D456" s="114"/>
    </row>
    <row r="457" spans="1:4" ht="15.75" outlineLevel="1">
      <c r="A457" s="40" t="s">
        <v>824</v>
      </c>
      <c r="B457" s="41" t="s">
        <v>244</v>
      </c>
      <c r="C457" s="40">
        <v>5.8</v>
      </c>
      <c r="D457" s="113" t="s">
        <v>1157</v>
      </c>
    </row>
    <row r="458" spans="1:4" ht="15.75" outlineLevel="1">
      <c r="A458" s="40" t="s">
        <v>824</v>
      </c>
      <c r="B458" s="41" t="s">
        <v>245</v>
      </c>
      <c r="C458" s="40">
        <v>5.12</v>
      </c>
      <c r="D458" s="113" t="s">
        <v>1157</v>
      </c>
    </row>
    <row r="459" spans="1:4" ht="15.75" outlineLevel="1">
      <c r="A459" s="40" t="s">
        <v>824</v>
      </c>
      <c r="B459" s="41" t="s">
        <v>246</v>
      </c>
      <c r="C459" s="40">
        <v>5.15</v>
      </c>
      <c r="D459" s="114"/>
    </row>
    <row r="460" spans="1:4" ht="15.75" outlineLevel="1">
      <c r="A460" s="40" t="s">
        <v>824</v>
      </c>
      <c r="B460" s="41" t="s">
        <v>247</v>
      </c>
      <c r="C460" s="42">
        <v>5.2</v>
      </c>
      <c r="D460" s="113"/>
    </row>
    <row r="461" spans="1:4" ht="15.75" outlineLevel="1">
      <c r="A461" s="40" t="s">
        <v>824</v>
      </c>
      <c r="B461" s="41" t="s">
        <v>248</v>
      </c>
      <c r="C461" s="40">
        <v>5.25</v>
      </c>
      <c r="D461" s="114"/>
    </row>
    <row r="462" spans="1:4" ht="15.75" outlineLevel="1">
      <c r="A462" s="40" t="s">
        <v>824</v>
      </c>
      <c r="B462" s="41" t="s">
        <v>5</v>
      </c>
      <c r="C462" s="40">
        <v>5.26</v>
      </c>
      <c r="D462" s="114"/>
    </row>
    <row r="463" spans="1:4" ht="15.75" outlineLevel="1">
      <c r="A463" s="40" t="s">
        <v>824</v>
      </c>
      <c r="B463" s="41" t="s">
        <v>881</v>
      </c>
      <c r="C463" s="40">
        <v>5.1139999999999999</v>
      </c>
      <c r="D463" s="113" t="s">
        <v>1157</v>
      </c>
    </row>
    <row r="464" spans="1:4" ht="15.75" outlineLevel="1">
      <c r="A464" s="40" t="s">
        <v>824</v>
      </c>
      <c r="B464" s="41" t="s">
        <v>6</v>
      </c>
      <c r="C464" s="40">
        <v>5.27</v>
      </c>
      <c r="D464" s="114"/>
    </row>
    <row r="465" spans="1:4" ht="15.75" outlineLevel="1">
      <c r="A465" s="40" t="s">
        <v>824</v>
      </c>
      <c r="B465" s="41" t="s">
        <v>1175</v>
      </c>
      <c r="C465" s="40">
        <v>5.1150000000000002</v>
      </c>
      <c r="D465" s="113" t="s">
        <v>1157</v>
      </c>
    </row>
    <row r="466" spans="1:4" ht="15.75" outlineLevel="1">
      <c r="A466" s="40" t="s">
        <v>824</v>
      </c>
      <c r="B466" s="41" t="s">
        <v>1176</v>
      </c>
      <c r="C466" s="40">
        <v>5.1159999999999997</v>
      </c>
      <c r="D466" s="113" t="s">
        <v>1157</v>
      </c>
    </row>
    <row r="467" spans="1:4" ht="15.75" outlineLevel="1">
      <c r="A467" s="40" t="s">
        <v>824</v>
      </c>
      <c r="B467" s="41" t="s">
        <v>7</v>
      </c>
      <c r="C467" s="40">
        <v>5.28</v>
      </c>
      <c r="D467" s="114"/>
    </row>
    <row r="468" spans="1:4" ht="15.75" outlineLevel="1">
      <c r="A468" s="40" t="s">
        <v>824</v>
      </c>
      <c r="B468" s="41" t="s">
        <v>159</v>
      </c>
      <c r="C468" s="40">
        <v>5.36</v>
      </c>
      <c r="D468" s="114"/>
    </row>
    <row r="469" spans="1:4" ht="15.75" outlineLevel="1">
      <c r="A469" s="40" t="s">
        <v>824</v>
      </c>
      <c r="B469" s="41" t="s">
        <v>192</v>
      </c>
      <c r="C469" s="40">
        <v>5.37</v>
      </c>
      <c r="D469" s="114"/>
    </row>
    <row r="470" spans="1:4" ht="15.75" outlineLevel="1">
      <c r="A470" s="40" t="s">
        <v>824</v>
      </c>
      <c r="B470" s="41" t="s">
        <v>11</v>
      </c>
      <c r="C470" s="40">
        <v>5.53</v>
      </c>
      <c r="D470" s="114"/>
    </row>
    <row r="471" spans="1:4" ht="15.75" outlineLevel="1">
      <c r="A471" s="40" t="s">
        <v>824</v>
      </c>
      <c r="B471" s="41" t="s">
        <v>185</v>
      </c>
      <c r="C471" s="40">
        <v>5.109</v>
      </c>
      <c r="D471" s="114"/>
    </row>
    <row r="472" spans="1:4" ht="15.75" outlineLevel="1">
      <c r="A472" s="40" t="s">
        <v>824</v>
      </c>
      <c r="B472" s="41" t="s">
        <v>186</v>
      </c>
      <c r="C472" s="40">
        <v>5.1109999999999998</v>
      </c>
      <c r="D472" s="114"/>
    </row>
    <row r="473" spans="1:4" ht="15.75" outlineLevel="1">
      <c r="A473" s="40" t="s">
        <v>824</v>
      </c>
      <c r="B473" s="41" t="s">
        <v>168</v>
      </c>
      <c r="C473" s="40">
        <v>5.1120000000000001</v>
      </c>
      <c r="D473" s="114"/>
    </row>
    <row r="474" spans="1:4" ht="15.75" outlineLevel="1">
      <c r="A474" s="40" t="s">
        <v>824</v>
      </c>
      <c r="B474" s="41" t="s">
        <v>18</v>
      </c>
      <c r="C474" s="40">
        <v>5.54</v>
      </c>
      <c r="D474" s="114"/>
    </row>
    <row r="475" spans="1:4" ht="15.75" outlineLevel="1">
      <c r="A475" s="40" t="s">
        <v>824</v>
      </c>
      <c r="B475" s="41" t="s">
        <v>1177</v>
      </c>
      <c r="C475" s="40">
        <v>5.61</v>
      </c>
      <c r="D475" s="114"/>
    </row>
    <row r="476" spans="1:4" ht="15.75" outlineLevel="1">
      <c r="A476" s="40" t="s">
        <v>824</v>
      </c>
      <c r="B476" s="41" t="s">
        <v>20</v>
      </c>
      <c r="C476" s="40">
        <v>5.63</v>
      </c>
      <c r="D476" s="114"/>
    </row>
    <row r="477" spans="1:4" ht="15.75" outlineLevel="1">
      <c r="A477" s="40" t="s">
        <v>824</v>
      </c>
      <c r="B477" s="41" t="s">
        <v>1178</v>
      </c>
      <c r="C477" s="40">
        <v>5.46</v>
      </c>
      <c r="D477" s="114"/>
    </row>
    <row r="478" spans="1:4" ht="15.75" outlineLevel="1">
      <c r="A478" s="40" t="s">
        <v>824</v>
      </c>
      <c r="B478" s="41" t="s">
        <v>24</v>
      </c>
      <c r="C478" s="40">
        <v>5.47</v>
      </c>
      <c r="D478" s="114"/>
    </row>
    <row r="479" spans="1:4" ht="15.75" outlineLevel="1">
      <c r="A479" s="40" t="s">
        <v>824</v>
      </c>
      <c r="B479" s="41" t="s">
        <v>25</v>
      </c>
      <c r="C479" s="40">
        <v>5.48</v>
      </c>
      <c r="D479" s="114"/>
    </row>
    <row r="480" spans="1:4" ht="15.75">
      <c r="A480" s="46" t="s">
        <v>824</v>
      </c>
      <c r="B480" s="41"/>
      <c r="C480" s="40"/>
      <c r="D480" s="114"/>
    </row>
    <row r="481" spans="1:4" ht="15.75" outlineLevel="1">
      <c r="A481" s="40" t="s">
        <v>1179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1179</v>
      </c>
      <c r="B482" s="41" t="s">
        <v>1</v>
      </c>
      <c r="C482" s="40">
        <v>5.2</v>
      </c>
      <c r="D482" s="114"/>
    </row>
    <row r="483" spans="1:4" ht="15.75" outlineLevel="1">
      <c r="A483" s="40" t="s">
        <v>1179</v>
      </c>
      <c r="B483" s="41" t="s">
        <v>2</v>
      </c>
      <c r="C483" s="40">
        <v>5.3</v>
      </c>
      <c r="D483" s="114"/>
    </row>
    <row r="484" spans="1:4" ht="15.75" outlineLevel="1">
      <c r="A484" s="40" t="s">
        <v>1179</v>
      </c>
      <c r="B484" s="41" t="s">
        <v>181</v>
      </c>
      <c r="C484" s="40">
        <v>5.6</v>
      </c>
      <c r="D484" s="114"/>
    </row>
    <row r="485" spans="1:4" ht="15.75" outlineLevel="1">
      <c r="A485" s="40" t="s">
        <v>1179</v>
      </c>
      <c r="B485" s="41" t="s">
        <v>1159</v>
      </c>
      <c r="C485" s="42">
        <v>5.0999999999999996</v>
      </c>
      <c r="D485" s="114"/>
    </row>
    <row r="486" spans="1:4" ht="15.75" outlineLevel="1">
      <c r="A486" s="40" t="s">
        <v>1179</v>
      </c>
      <c r="B486" s="41" t="s">
        <v>1158</v>
      </c>
      <c r="C486" s="40">
        <v>5.14</v>
      </c>
      <c r="D486" s="114"/>
    </row>
    <row r="487" spans="1:4" ht="15.75" outlineLevel="1">
      <c r="A487" s="40" t="s">
        <v>1179</v>
      </c>
      <c r="B487" s="41" t="s">
        <v>4</v>
      </c>
      <c r="C487" s="40">
        <v>5.19</v>
      </c>
      <c r="D487" s="114"/>
    </row>
    <row r="488" spans="1:4" ht="15.75" outlineLevel="1">
      <c r="A488" s="40" t="s">
        <v>1179</v>
      </c>
      <c r="B488" s="41" t="s">
        <v>183</v>
      </c>
      <c r="C488" s="40">
        <v>5.24</v>
      </c>
      <c r="D488" s="114"/>
    </row>
    <row r="489" spans="1:4" ht="15.75" outlineLevel="1">
      <c r="A489" s="40" t="s">
        <v>1179</v>
      </c>
      <c r="B489" s="41" t="s">
        <v>6</v>
      </c>
      <c r="C489" s="40">
        <v>5.27</v>
      </c>
      <c r="D489" s="114"/>
    </row>
    <row r="490" spans="1:4" ht="15.75" outlineLevel="1">
      <c r="A490" s="40" t="s">
        <v>1179</v>
      </c>
      <c r="B490" s="41" t="s">
        <v>7</v>
      </c>
      <c r="C490" s="40">
        <v>5.28</v>
      </c>
      <c r="D490" s="114"/>
    </row>
    <row r="491" spans="1:4" ht="15.75" outlineLevel="1">
      <c r="A491" s="40" t="s">
        <v>1179</v>
      </c>
      <c r="B491" s="41" t="s">
        <v>376</v>
      </c>
      <c r="C491" s="40">
        <v>5.29</v>
      </c>
      <c r="D491" s="114"/>
    </row>
    <row r="492" spans="1:4" ht="15.75" outlineLevel="1">
      <c r="A492" s="40" t="s">
        <v>1179</v>
      </c>
      <c r="B492" s="41" t="s">
        <v>1164</v>
      </c>
      <c r="C492" s="40">
        <v>5.34</v>
      </c>
      <c r="D492" s="114"/>
    </row>
    <row r="493" spans="1:4" ht="15.75" outlineLevel="1">
      <c r="A493" s="40" t="s">
        <v>1179</v>
      </c>
      <c r="B493" s="41" t="s">
        <v>184</v>
      </c>
      <c r="C493" s="40">
        <v>5.31</v>
      </c>
      <c r="D493" s="114"/>
    </row>
    <row r="494" spans="1:4" ht="15.75" outlineLevel="1">
      <c r="A494" s="40" t="s">
        <v>1179</v>
      </c>
      <c r="B494" s="41" t="s">
        <v>1165</v>
      </c>
      <c r="C494" s="40">
        <v>5.101</v>
      </c>
      <c r="D494" s="114"/>
    </row>
    <row r="495" spans="1:4" ht="15.75" outlineLevel="1">
      <c r="A495" s="40" t="s">
        <v>1179</v>
      </c>
      <c r="B495" s="41" t="s">
        <v>159</v>
      </c>
      <c r="C495" s="40">
        <v>5.36</v>
      </c>
      <c r="D495" s="114"/>
    </row>
    <row r="496" spans="1:4" ht="15.75" outlineLevel="1">
      <c r="A496" s="40" t="s">
        <v>1179</v>
      </c>
      <c r="B496" s="41" t="s">
        <v>192</v>
      </c>
      <c r="C496" s="40">
        <v>5.37</v>
      </c>
      <c r="D496" s="114"/>
    </row>
    <row r="497" spans="1:4" ht="15.75" outlineLevel="1">
      <c r="A497" s="40" t="s">
        <v>1179</v>
      </c>
      <c r="B497" s="41" t="s">
        <v>11</v>
      </c>
      <c r="C497" s="40">
        <v>5.53</v>
      </c>
      <c r="D497" s="114"/>
    </row>
    <row r="498" spans="1:4" ht="15.75" outlineLevel="1">
      <c r="A498" s="40" t="s">
        <v>1179</v>
      </c>
      <c r="B498" s="41" t="s">
        <v>185</v>
      </c>
      <c r="C498" s="40">
        <v>5.109</v>
      </c>
      <c r="D498" s="114"/>
    </row>
    <row r="499" spans="1:4" ht="15.75" outlineLevel="1">
      <c r="A499" s="40" t="s">
        <v>1179</v>
      </c>
      <c r="B499" s="41" t="s">
        <v>186</v>
      </c>
      <c r="C499" s="40">
        <v>5.1109999999999998</v>
      </c>
      <c r="D499" s="114"/>
    </row>
    <row r="500" spans="1:4" ht="15.75" outlineLevel="1">
      <c r="A500" s="40" t="s">
        <v>1179</v>
      </c>
      <c r="B500" s="41" t="s">
        <v>168</v>
      </c>
      <c r="C500" s="40">
        <v>5.1120000000000001</v>
      </c>
      <c r="D500" s="114"/>
    </row>
    <row r="501" spans="1:4" ht="15.75" outlineLevel="1">
      <c r="A501" s="40" t="s">
        <v>1179</v>
      </c>
      <c r="B501" s="41" t="s">
        <v>1166</v>
      </c>
      <c r="C501" s="40">
        <v>5.1020000000000003</v>
      </c>
      <c r="D501" s="114"/>
    </row>
    <row r="502" spans="1:4" ht="15.75" outlineLevel="1">
      <c r="A502" s="40" t="s">
        <v>1179</v>
      </c>
      <c r="B502" s="41" t="s">
        <v>1167</v>
      </c>
      <c r="C502" s="43">
        <v>5.0999999999999996</v>
      </c>
      <c r="D502" s="114"/>
    </row>
    <row r="503" spans="1:4" ht="15.75" outlineLevel="1">
      <c r="A503" s="40" t="s">
        <v>1179</v>
      </c>
      <c r="B503" s="41" t="s">
        <v>17</v>
      </c>
      <c r="C503" s="40">
        <v>5.58</v>
      </c>
      <c r="D503" s="114"/>
    </row>
    <row r="504" spans="1:4" ht="15.75" outlineLevel="1">
      <c r="A504" s="40" t="s">
        <v>1179</v>
      </c>
      <c r="B504" s="41" t="s">
        <v>19</v>
      </c>
      <c r="C504" s="40">
        <v>5.55</v>
      </c>
      <c r="D504" s="114"/>
    </row>
    <row r="505" spans="1:4" ht="15.75" outlineLevel="1">
      <c r="A505" s="40" t="s">
        <v>1179</v>
      </c>
      <c r="B505" s="41" t="s">
        <v>18</v>
      </c>
      <c r="C505" s="40">
        <v>5.54</v>
      </c>
      <c r="D505" s="114"/>
    </row>
    <row r="506" spans="1:4" ht="15.75" outlineLevel="1">
      <c r="A506" s="40" t="s">
        <v>1179</v>
      </c>
      <c r="B506" s="41" t="s">
        <v>20</v>
      </c>
      <c r="C506" s="40">
        <v>5.63</v>
      </c>
      <c r="D506" s="114"/>
    </row>
    <row r="507" spans="1:4" ht="15.75" outlineLevel="1">
      <c r="A507" s="40" t="s">
        <v>1179</v>
      </c>
      <c r="B507" s="41" t="s">
        <v>24</v>
      </c>
      <c r="C507" s="40">
        <v>5.47</v>
      </c>
      <c r="D507" s="114"/>
    </row>
    <row r="508" spans="1:4" ht="15.75" outlineLevel="1">
      <c r="A508" s="40" t="s">
        <v>1179</v>
      </c>
      <c r="B508" s="41" t="s">
        <v>25</v>
      </c>
      <c r="C508" s="40">
        <v>5.48</v>
      </c>
      <c r="D508" s="114"/>
    </row>
    <row r="509" spans="1:4" ht="15.75">
      <c r="A509" s="46" t="s">
        <v>1179</v>
      </c>
      <c r="B509" s="41"/>
      <c r="C509" s="40"/>
      <c r="D509" s="114"/>
    </row>
    <row r="510" spans="1:4" ht="15.75" outlineLevel="1">
      <c r="A510" s="40" t="s">
        <v>1078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1078</v>
      </c>
      <c r="B511" s="41" t="s">
        <v>1</v>
      </c>
      <c r="C511" s="40">
        <v>5.2</v>
      </c>
      <c r="D511" s="114"/>
    </row>
    <row r="512" spans="1:4" ht="15.75" outlineLevel="1">
      <c r="A512" s="40" t="s">
        <v>1078</v>
      </c>
      <c r="B512" s="41" t="s">
        <v>2</v>
      </c>
      <c r="C512" s="40">
        <v>5.3</v>
      </c>
      <c r="D512" s="114"/>
    </row>
    <row r="513" spans="1:4" ht="15.75" outlineLevel="1">
      <c r="A513" s="40" t="s">
        <v>1078</v>
      </c>
      <c r="B513" s="41" t="s">
        <v>181</v>
      </c>
      <c r="C513" s="40">
        <v>5.6</v>
      </c>
      <c r="D513" s="114"/>
    </row>
    <row r="514" spans="1:4" ht="15.75" outlineLevel="1">
      <c r="A514" s="40" t="s">
        <v>1078</v>
      </c>
      <c r="B514" s="41" t="s">
        <v>1159</v>
      </c>
      <c r="C514" s="42">
        <v>5.0999999999999996</v>
      </c>
      <c r="D514" s="114"/>
    </row>
    <row r="515" spans="1:4" ht="15.75" outlineLevel="1">
      <c r="A515" s="40" t="s">
        <v>1078</v>
      </c>
      <c r="B515" s="41" t="s">
        <v>1158</v>
      </c>
      <c r="C515" s="40">
        <v>5.14</v>
      </c>
      <c r="D515" s="114"/>
    </row>
    <row r="516" spans="1:4" ht="15.75" outlineLevel="1">
      <c r="A516" s="40" t="s">
        <v>1078</v>
      </c>
      <c r="B516" s="41" t="s">
        <v>4</v>
      </c>
      <c r="C516" s="40">
        <v>5.19</v>
      </c>
      <c r="D516" s="114"/>
    </row>
    <row r="517" spans="1:4" ht="15.75" outlineLevel="1">
      <c r="A517" s="40" t="s">
        <v>1078</v>
      </c>
      <c r="B517" s="41" t="s">
        <v>183</v>
      </c>
      <c r="C517" s="40">
        <v>5.24</v>
      </c>
      <c r="D517" s="114"/>
    </row>
    <row r="518" spans="1:4" ht="15.75" outlineLevel="1">
      <c r="A518" s="40" t="s">
        <v>1078</v>
      </c>
      <c r="B518" s="41" t="s">
        <v>5</v>
      </c>
      <c r="C518" s="40">
        <v>5.26</v>
      </c>
      <c r="D518" s="114"/>
    </row>
    <row r="519" spans="1:4" ht="15.75" outlineLevel="1">
      <c r="A519" s="40" t="s">
        <v>1078</v>
      </c>
      <c r="B519" s="41" t="s">
        <v>6</v>
      </c>
      <c r="C519" s="40">
        <v>5.27</v>
      </c>
      <c r="D519" s="114"/>
    </row>
    <row r="520" spans="1:4" ht="15.75" outlineLevel="1">
      <c r="A520" s="40" t="s">
        <v>1078</v>
      </c>
      <c r="B520" s="41" t="s">
        <v>7</v>
      </c>
      <c r="C520" s="40">
        <v>5.28</v>
      </c>
      <c r="D520" s="114"/>
    </row>
    <row r="521" spans="1:4" ht="15.75" outlineLevel="1">
      <c r="A521" s="40" t="s">
        <v>1078</v>
      </c>
      <c r="B521" s="41" t="s">
        <v>184</v>
      </c>
      <c r="C521" s="40">
        <v>5.31</v>
      </c>
      <c r="D521" s="114"/>
    </row>
    <row r="522" spans="1:4" ht="15.75" outlineLevel="1">
      <c r="A522" s="40" t="s">
        <v>1078</v>
      </c>
      <c r="B522" s="41" t="s">
        <v>216</v>
      </c>
      <c r="C522" s="40">
        <v>5.33</v>
      </c>
      <c r="D522" s="114"/>
    </row>
    <row r="523" spans="1:4" ht="15.75" outlineLevel="1">
      <c r="A523" s="40" t="s">
        <v>1078</v>
      </c>
      <c r="B523" s="41" t="s">
        <v>1165</v>
      </c>
      <c r="C523" s="40">
        <v>5.101</v>
      </c>
      <c r="D523" s="114"/>
    </row>
    <row r="524" spans="1:4" ht="15.75" outlineLevel="1">
      <c r="A524" s="40" t="s">
        <v>1078</v>
      </c>
      <c r="B524" s="41" t="s">
        <v>159</v>
      </c>
      <c r="C524" s="40">
        <v>5.36</v>
      </c>
      <c r="D524" s="114"/>
    </row>
    <row r="525" spans="1:4" ht="15.75" outlineLevel="1">
      <c r="A525" s="40" t="s">
        <v>1078</v>
      </c>
      <c r="B525" s="41" t="s">
        <v>192</v>
      </c>
      <c r="C525" s="40">
        <v>5.37</v>
      </c>
      <c r="D525" s="114"/>
    </row>
    <row r="526" spans="1:4" ht="15.75" outlineLevel="1">
      <c r="A526" s="40" t="s">
        <v>1078</v>
      </c>
      <c r="B526" s="41" t="s">
        <v>11</v>
      </c>
      <c r="C526" s="40">
        <v>5.53</v>
      </c>
      <c r="D526" s="114"/>
    </row>
    <row r="527" spans="1:4" ht="15.75" outlineLevel="1">
      <c r="A527" s="40" t="s">
        <v>1078</v>
      </c>
      <c r="B527" s="41" t="s">
        <v>185</v>
      </c>
      <c r="C527" s="40">
        <v>5.109</v>
      </c>
      <c r="D527" s="114"/>
    </row>
    <row r="528" spans="1:4" ht="15.75" outlineLevel="1">
      <c r="A528" s="40" t="s">
        <v>1078</v>
      </c>
      <c r="B528" s="41" t="s">
        <v>186</v>
      </c>
      <c r="C528" s="40">
        <v>5.1109999999999998</v>
      </c>
      <c r="D528" s="114"/>
    </row>
    <row r="529" spans="1:4" ht="15.75" outlineLevel="1">
      <c r="A529" s="40" t="s">
        <v>1078</v>
      </c>
      <c r="B529" s="41" t="s">
        <v>168</v>
      </c>
      <c r="C529" s="40">
        <v>5.1120000000000001</v>
      </c>
      <c r="D529" s="114"/>
    </row>
    <row r="530" spans="1:4" ht="15.75" outlineLevel="1">
      <c r="A530" s="40" t="s">
        <v>1078</v>
      </c>
      <c r="B530" s="41" t="s">
        <v>1166</v>
      </c>
      <c r="C530" s="40">
        <v>5.1020000000000003</v>
      </c>
      <c r="D530" s="114"/>
    </row>
    <row r="531" spans="1:4" ht="15.75" outlineLevel="1">
      <c r="A531" s="40" t="s">
        <v>1078</v>
      </c>
      <c r="B531" s="41" t="s">
        <v>1167</v>
      </c>
      <c r="C531" s="43">
        <v>5.0999999999999996</v>
      </c>
      <c r="D531" s="114"/>
    </row>
    <row r="532" spans="1:4" ht="15.75" outlineLevel="1">
      <c r="A532" s="40" t="s">
        <v>1078</v>
      </c>
      <c r="B532" s="41" t="s">
        <v>17</v>
      </c>
      <c r="C532" s="40">
        <v>5.58</v>
      </c>
      <c r="D532" s="114"/>
    </row>
    <row r="533" spans="1:4" ht="15.75" outlineLevel="1">
      <c r="A533" s="40" t="s">
        <v>1078</v>
      </c>
      <c r="B533" s="41" t="s">
        <v>19</v>
      </c>
      <c r="C533" s="40">
        <v>5.55</v>
      </c>
      <c r="D533" s="114"/>
    </row>
    <row r="534" spans="1:4" ht="15.75" outlineLevel="1">
      <c r="A534" s="40" t="s">
        <v>1078</v>
      </c>
      <c r="B534" s="41" t="s">
        <v>18</v>
      </c>
      <c r="C534" s="40">
        <v>5.54</v>
      </c>
      <c r="D534" s="114"/>
    </row>
    <row r="535" spans="1:4" ht="15.75" outlineLevel="1">
      <c r="A535" s="40" t="s">
        <v>1078</v>
      </c>
      <c r="B535" s="41" t="s">
        <v>20</v>
      </c>
      <c r="C535" s="40">
        <v>5.63</v>
      </c>
      <c r="D535" s="114"/>
    </row>
    <row r="536" spans="1:4" ht="15.75" outlineLevel="1">
      <c r="A536" s="40" t="s">
        <v>1078</v>
      </c>
      <c r="B536" s="41" t="s">
        <v>24</v>
      </c>
      <c r="C536" s="40">
        <v>5.47</v>
      </c>
      <c r="D536" s="114"/>
    </row>
    <row r="537" spans="1:4" ht="15.75" outlineLevel="1">
      <c r="A537" s="40" t="s">
        <v>1078</v>
      </c>
      <c r="B537" s="41" t="s">
        <v>25</v>
      </c>
      <c r="C537" s="40">
        <v>5.48</v>
      </c>
      <c r="D537" s="114"/>
    </row>
    <row r="538" spans="1:4" ht="15.75">
      <c r="A538" s="46" t="s">
        <v>1078</v>
      </c>
      <c r="B538" s="41"/>
      <c r="C538" s="40"/>
      <c r="D538" s="114"/>
    </row>
    <row r="539" spans="1:4" ht="15.75" outlineLevel="1">
      <c r="A539" s="40" t="s">
        <v>1087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1087</v>
      </c>
      <c r="B540" s="41" t="s">
        <v>1</v>
      </c>
      <c r="C540" s="40">
        <v>5.2</v>
      </c>
      <c r="D540" s="114"/>
    </row>
    <row r="541" spans="1:4" ht="15.75" outlineLevel="1">
      <c r="A541" s="40" t="s">
        <v>1087</v>
      </c>
      <c r="B541" s="41" t="s">
        <v>5</v>
      </c>
      <c r="C541" s="40">
        <v>5.26</v>
      </c>
      <c r="D541" s="114"/>
    </row>
    <row r="542" spans="1:4" ht="15.75" outlineLevel="1">
      <c r="A542" s="40" t="s">
        <v>1087</v>
      </c>
      <c r="B542" s="41" t="s">
        <v>1180</v>
      </c>
      <c r="C542" s="40">
        <v>5.21</v>
      </c>
      <c r="D542" s="114"/>
    </row>
    <row r="543" spans="1:4" ht="15.75" outlineLevel="1">
      <c r="A543" s="40" t="s">
        <v>1087</v>
      </c>
      <c r="B543" s="41" t="s">
        <v>1181</v>
      </c>
      <c r="C543" s="40">
        <v>5.53</v>
      </c>
      <c r="D543" s="114"/>
    </row>
    <row r="544" spans="1:4" ht="15.75" outlineLevel="1">
      <c r="A544" s="40" t="s">
        <v>1087</v>
      </c>
      <c r="B544" s="41" t="s">
        <v>18</v>
      </c>
      <c r="C544" s="40">
        <v>5.54</v>
      </c>
      <c r="D544" s="114"/>
    </row>
    <row r="545" spans="1:4" ht="15.75" outlineLevel="1">
      <c r="A545" s="40" t="s">
        <v>1087</v>
      </c>
      <c r="B545" s="41" t="s">
        <v>1182</v>
      </c>
      <c r="C545" s="40">
        <v>5.58</v>
      </c>
      <c r="D545" s="114"/>
    </row>
    <row r="546" spans="1:4" ht="15.75" outlineLevel="1">
      <c r="A546" s="40" t="s">
        <v>1087</v>
      </c>
      <c r="B546" s="41" t="s">
        <v>1183</v>
      </c>
      <c r="C546" s="40">
        <v>5.1180000000000003</v>
      </c>
      <c r="D546" s="114"/>
    </row>
    <row r="547" spans="1:4" ht="15.75" outlineLevel="1">
      <c r="A547" s="40" t="s">
        <v>1087</v>
      </c>
      <c r="B547" s="41" t="s">
        <v>1184</v>
      </c>
      <c r="C547" s="40">
        <v>5.47</v>
      </c>
      <c r="D547" s="114"/>
    </row>
    <row r="548" spans="1:4" ht="15.75" outlineLevel="1">
      <c r="A548" s="40" t="s">
        <v>1087</v>
      </c>
      <c r="B548" s="41" t="s">
        <v>1185</v>
      </c>
      <c r="C548" s="40">
        <v>5.48</v>
      </c>
      <c r="D548" s="114"/>
    </row>
    <row r="549" spans="1:4" ht="15.75" outlineLevel="1">
      <c r="A549" s="40" t="s">
        <v>1087</v>
      </c>
      <c r="B549" s="41" t="s">
        <v>1186</v>
      </c>
      <c r="C549" s="40">
        <v>5.21</v>
      </c>
      <c r="D549" s="114"/>
    </row>
    <row r="550" spans="1:4" ht="15.75" outlineLevel="1">
      <c r="A550" s="40" t="s">
        <v>1087</v>
      </c>
      <c r="B550" s="41" t="s">
        <v>1187</v>
      </c>
      <c r="C550" s="40">
        <v>5.53</v>
      </c>
      <c r="D550" s="114"/>
    </row>
    <row r="551" spans="1:4" ht="15.75" outlineLevel="1">
      <c r="A551" s="40" t="s">
        <v>1087</v>
      </c>
      <c r="B551" s="41" t="s">
        <v>18</v>
      </c>
      <c r="C551" s="40">
        <v>5.54</v>
      </c>
      <c r="D551" s="114"/>
    </row>
    <row r="552" spans="1:4" ht="15.75" outlineLevel="1">
      <c r="A552" s="40" t="s">
        <v>1087</v>
      </c>
      <c r="B552" s="41" t="s">
        <v>1188</v>
      </c>
      <c r="C552" s="40">
        <v>5.58</v>
      </c>
      <c r="D552" s="114"/>
    </row>
    <row r="553" spans="1:4" ht="15.75" outlineLevel="1">
      <c r="A553" s="40" t="s">
        <v>1087</v>
      </c>
      <c r="B553" s="41" t="s">
        <v>1189</v>
      </c>
      <c r="C553" s="40">
        <v>5.1180000000000003</v>
      </c>
      <c r="D553" s="114"/>
    </row>
    <row r="554" spans="1:4" ht="15.75" outlineLevel="1">
      <c r="A554" s="40" t="s">
        <v>1087</v>
      </c>
      <c r="B554" s="41" t="s">
        <v>1190</v>
      </c>
      <c r="C554" s="40">
        <v>5.47</v>
      </c>
      <c r="D554" s="114"/>
    </row>
    <row r="555" spans="1:4" ht="15.75" outlineLevel="1">
      <c r="A555" s="40" t="s">
        <v>1087</v>
      </c>
      <c r="B555" s="41" t="s">
        <v>1191</v>
      </c>
      <c r="C555" s="40">
        <v>5.48</v>
      </c>
      <c r="D555" s="114"/>
    </row>
    <row r="556" spans="1:4" ht="15.75" outlineLevel="1">
      <c r="A556" s="40" t="s">
        <v>1087</v>
      </c>
      <c r="B556" s="41" t="s">
        <v>1192</v>
      </c>
      <c r="C556" s="40">
        <v>5.63</v>
      </c>
      <c r="D556" s="114"/>
    </row>
    <row r="557" spans="1:4" ht="15.75" outlineLevel="1">
      <c r="A557" s="40" t="s">
        <v>1087</v>
      </c>
      <c r="B557" s="41" t="s">
        <v>6</v>
      </c>
      <c r="C557" s="40">
        <v>5.27</v>
      </c>
      <c r="D557" s="114"/>
    </row>
    <row r="558" spans="1:4" ht="15.75" outlineLevel="1">
      <c r="A558" s="40" t="s">
        <v>1087</v>
      </c>
      <c r="B558" s="41" t="s">
        <v>7</v>
      </c>
      <c r="C558" s="40">
        <v>5.28</v>
      </c>
      <c r="D558" s="114"/>
    </row>
    <row r="559" spans="1:4" ht="15.75" outlineLevel="1">
      <c r="A559" s="40" t="s">
        <v>1087</v>
      </c>
      <c r="B559" s="41" t="s">
        <v>1193</v>
      </c>
      <c r="C559" s="40">
        <v>5.35</v>
      </c>
      <c r="D559" s="114"/>
    </row>
    <row r="560" spans="1:4" ht="15.75" outlineLevel="1">
      <c r="A560" s="40" t="s">
        <v>1087</v>
      </c>
      <c r="B560" s="41" t="s">
        <v>974</v>
      </c>
      <c r="C560" s="40">
        <v>5.1189999999999998</v>
      </c>
      <c r="D560" s="114"/>
    </row>
    <row r="561" spans="1:4" ht="15.75" outlineLevel="1">
      <c r="A561" s="40" t="s">
        <v>1087</v>
      </c>
      <c r="B561" s="41" t="s">
        <v>981</v>
      </c>
      <c r="C561" s="43">
        <v>5.12</v>
      </c>
      <c r="D561" s="114"/>
    </row>
    <row r="562" spans="1:4" ht="15.75" outlineLevel="1">
      <c r="A562" s="40" t="s">
        <v>1087</v>
      </c>
      <c r="B562" s="41" t="s">
        <v>374</v>
      </c>
      <c r="C562" s="40">
        <v>5.1210000000000004</v>
      </c>
      <c r="D562" s="114"/>
    </row>
    <row r="563" spans="1:4" ht="15.75" outlineLevel="1">
      <c r="A563" s="40" t="s">
        <v>1087</v>
      </c>
      <c r="B563" s="41" t="s">
        <v>159</v>
      </c>
      <c r="C563" s="40">
        <v>5.36</v>
      </c>
      <c r="D563" s="114"/>
    </row>
    <row r="564" spans="1:4" ht="15.75" outlineLevel="1">
      <c r="A564" s="40" t="s">
        <v>1087</v>
      </c>
      <c r="B564" s="41" t="s">
        <v>1194</v>
      </c>
      <c r="C564" s="40">
        <v>5.1219999999999999</v>
      </c>
      <c r="D564" s="114"/>
    </row>
    <row r="565" spans="1:4" ht="15.75" outlineLevel="1">
      <c r="A565" s="40" t="s">
        <v>1087</v>
      </c>
      <c r="B565" s="41" t="s">
        <v>1195</v>
      </c>
      <c r="C565" s="40">
        <v>5.1230000000000002</v>
      </c>
      <c r="D565" s="114"/>
    </row>
    <row r="566" spans="1:4" ht="15.75" outlineLevel="1">
      <c r="A566" s="40" t="s">
        <v>1087</v>
      </c>
      <c r="B566" s="41" t="s">
        <v>945</v>
      </c>
      <c r="C566" s="40">
        <v>5.1239999999999997</v>
      </c>
      <c r="D566" s="114"/>
    </row>
    <row r="567" spans="1:4" ht="15.75" outlineLevel="1">
      <c r="A567" s="40" t="s">
        <v>1087</v>
      </c>
      <c r="B567" s="41" t="s">
        <v>953</v>
      </c>
      <c r="C567" s="40">
        <v>5.125</v>
      </c>
      <c r="D567" s="114"/>
    </row>
    <row r="568" spans="1:4" ht="15.75" outlineLevel="1">
      <c r="A568" s="40" t="s">
        <v>1087</v>
      </c>
      <c r="B568" s="41" t="s">
        <v>1196</v>
      </c>
      <c r="C568" s="40">
        <v>5.1260000000000003</v>
      </c>
      <c r="D568" s="114"/>
    </row>
    <row r="569" spans="1:4" ht="15.75" outlineLevel="1">
      <c r="A569" s="40" t="s">
        <v>1087</v>
      </c>
      <c r="B569" s="41" t="s">
        <v>971</v>
      </c>
      <c r="C569" s="40">
        <v>5.1269999999999998</v>
      </c>
      <c r="D569" s="114"/>
    </row>
    <row r="570" spans="1:4" ht="15.75" outlineLevel="1">
      <c r="A570" s="40" t="s">
        <v>1087</v>
      </c>
      <c r="B570" s="41" t="s">
        <v>956</v>
      </c>
      <c r="C570" s="42">
        <v>5.72</v>
      </c>
      <c r="D570" s="114"/>
    </row>
    <row r="571" spans="1:4" ht="15.75" outlineLevel="1">
      <c r="A571" s="40" t="s">
        <v>1087</v>
      </c>
      <c r="B571" s="41" t="s">
        <v>967</v>
      </c>
      <c r="C571" s="40">
        <v>5.1280000000000001</v>
      </c>
      <c r="D571" s="114"/>
    </row>
    <row r="572" spans="1:4" ht="15.75" outlineLevel="1">
      <c r="A572" s="40" t="s">
        <v>1087</v>
      </c>
      <c r="B572" s="41" t="s">
        <v>1197</v>
      </c>
      <c r="C572" s="40">
        <v>5.1289999999999996</v>
      </c>
      <c r="D572" s="113" t="s">
        <v>1157</v>
      </c>
    </row>
    <row r="573" spans="1:4" ht="15.75" outlineLevel="1">
      <c r="A573" s="40" t="s">
        <v>1087</v>
      </c>
      <c r="B573" s="41" t="s">
        <v>1198</v>
      </c>
      <c r="C573" s="40">
        <v>5.1310000000000002</v>
      </c>
      <c r="D573" s="114"/>
    </row>
    <row r="574" spans="1:4" ht="15.75" outlineLevel="1">
      <c r="A574" s="40" t="s">
        <v>1087</v>
      </c>
      <c r="B574" s="41" t="s">
        <v>1199</v>
      </c>
      <c r="C574" s="40">
        <v>5.1319999999999997</v>
      </c>
      <c r="D574" s="113" t="s">
        <v>1157</v>
      </c>
    </row>
    <row r="575" spans="1:4" ht="15.75" outlineLevel="1">
      <c r="A575" s="40" t="s">
        <v>1087</v>
      </c>
      <c r="B575" s="41" t="s">
        <v>996</v>
      </c>
      <c r="C575" s="40">
        <v>5.133</v>
      </c>
      <c r="D575" s="113" t="s">
        <v>1157</v>
      </c>
    </row>
    <row r="576" spans="1:4" ht="15.75" outlineLevel="1">
      <c r="A576" s="40" t="s">
        <v>1087</v>
      </c>
      <c r="B576" s="41" t="s">
        <v>1200</v>
      </c>
      <c r="C576" s="40">
        <v>5.1340000000000003</v>
      </c>
      <c r="D576" s="113" t="s">
        <v>1157</v>
      </c>
    </row>
    <row r="577" spans="1:4" ht="15.75" outlineLevel="1">
      <c r="A577" s="40" t="s">
        <v>1087</v>
      </c>
      <c r="B577" s="41" t="s">
        <v>1201</v>
      </c>
      <c r="C577" s="43">
        <v>5.13</v>
      </c>
      <c r="D577" s="114"/>
    </row>
    <row r="578" spans="1:4" ht="15.75" outlineLevel="1">
      <c r="A578" s="40" t="s">
        <v>1087</v>
      </c>
      <c r="B578" s="41" t="s">
        <v>24</v>
      </c>
      <c r="C578" s="40">
        <v>5.47</v>
      </c>
      <c r="D578" s="114"/>
    </row>
    <row r="579" spans="1:4" ht="15.75" outlineLevel="1">
      <c r="A579" s="40" t="s">
        <v>1087</v>
      </c>
      <c r="B579" s="41" t="s">
        <v>25</v>
      </c>
      <c r="C579" s="40">
        <v>5.48</v>
      </c>
      <c r="D579" s="114"/>
    </row>
    <row r="580" spans="1:4" ht="15.75">
      <c r="A580" s="46" t="s">
        <v>1087</v>
      </c>
      <c r="B580" s="41"/>
      <c r="C580" s="40"/>
      <c r="D580" s="114"/>
    </row>
    <row r="581" spans="1:4" ht="15.75" outlineLevel="1">
      <c r="A581" s="40" t="s">
        <v>1080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1080</v>
      </c>
      <c r="B582" s="41" t="s">
        <v>1</v>
      </c>
      <c r="C582" s="40">
        <v>5.2</v>
      </c>
      <c r="D582" s="114"/>
    </row>
    <row r="583" spans="1:4" ht="15.75" outlineLevel="1">
      <c r="A583" s="40" t="s">
        <v>1080</v>
      </c>
      <c r="B583" s="41" t="s">
        <v>154</v>
      </c>
      <c r="C583" s="40">
        <v>5.9</v>
      </c>
      <c r="D583" s="113" t="s">
        <v>1157</v>
      </c>
    </row>
    <row r="584" spans="1:4" ht="15.75" outlineLevel="1">
      <c r="A584" s="40" t="s">
        <v>1080</v>
      </c>
      <c r="B584" s="41" t="s">
        <v>155</v>
      </c>
      <c r="C584" s="40">
        <v>5.13</v>
      </c>
      <c r="D584" s="113" t="s">
        <v>1157</v>
      </c>
    </row>
    <row r="585" spans="1:4" ht="15.75" outlineLevel="1">
      <c r="A585" s="40" t="s">
        <v>1080</v>
      </c>
      <c r="B585" s="41" t="s">
        <v>156</v>
      </c>
      <c r="C585" s="40">
        <v>5.16</v>
      </c>
      <c r="D585" s="113" t="s">
        <v>1157</v>
      </c>
    </row>
    <row r="586" spans="1:4" ht="15.75" outlineLevel="1">
      <c r="A586" s="40" t="s">
        <v>1080</v>
      </c>
      <c r="B586" s="41" t="s">
        <v>157</v>
      </c>
      <c r="C586" s="40">
        <v>5.22</v>
      </c>
      <c r="D586" s="113"/>
    </row>
    <row r="587" spans="1:4" ht="15.75" outlineLevel="1">
      <c r="A587" s="40" t="s">
        <v>1080</v>
      </c>
      <c r="B587" s="41" t="s">
        <v>5</v>
      </c>
      <c r="C587" s="40">
        <v>5.26</v>
      </c>
      <c r="D587" s="114"/>
    </row>
    <row r="588" spans="1:4" ht="15.75" outlineLevel="1">
      <c r="A588" s="40" t="s">
        <v>1080</v>
      </c>
      <c r="B588" s="41" t="s">
        <v>1202</v>
      </c>
      <c r="C588" s="40">
        <v>5.77</v>
      </c>
      <c r="D588" s="114"/>
    </row>
    <row r="589" spans="1:4" ht="15.75" outlineLevel="1">
      <c r="A589" s="40" t="s">
        <v>1080</v>
      </c>
      <c r="B589" s="41" t="s">
        <v>6</v>
      </c>
      <c r="C589" s="40">
        <v>5.27</v>
      </c>
      <c r="D589" s="114"/>
    </row>
    <row r="590" spans="1:4" ht="15.75" outlineLevel="1">
      <c r="A590" s="40" t="s">
        <v>1080</v>
      </c>
      <c r="B590" s="41" t="s">
        <v>7</v>
      </c>
      <c r="C590" s="40">
        <v>5.28</v>
      </c>
      <c r="D590" s="113" t="s">
        <v>1157</v>
      </c>
    </row>
    <row r="591" spans="1:4" ht="15.75" outlineLevel="1">
      <c r="A591" s="40" t="s">
        <v>1080</v>
      </c>
      <c r="B591" s="41" t="s">
        <v>184</v>
      </c>
      <c r="C591" s="40">
        <v>5.31</v>
      </c>
      <c r="D591" s="114"/>
    </row>
    <row r="592" spans="1:4" ht="15.75" outlineLevel="1">
      <c r="A592" s="40" t="s">
        <v>1080</v>
      </c>
      <c r="B592" s="41" t="s">
        <v>159</v>
      </c>
      <c r="C592" s="40">
        <v>5.36</v>
      </c>
      <c r="D592" s="114"/>
    </row>
    <row r="593" spans="1:4" ht="15.75" outlineLevel="1">
      <c r="A593" s="40" t="s">
        <v>1080</v>
      </c>
      <c r="B593" s="41" t="s">
        <v>1203</v>
      </c>
      <c r="C593" s="40">
        <v>5.78</v>
      </c>
      <c r="D593" s="114"/>
    </row>
    <row r="594" spans="1:4" ht="15.75" outlineLevel="1">
      <c r="A594" s="40" t="s">
        <v>1080</v>
      </c>
      <c r="B594" s="41" t="s">
        <v>1204</v>
      </c>
      <c r="C594" s="40">
        <v>5.79</v>
      </c>
      <c r="D594" s="113" t="s">
        <v>1157</v>
      </c>
    </row>
    <row r="595" spans="1:4" ht="15.75" outlineLevel="1">
      <c r="A595" s="40" t="s">
        <v>1080</v>
      </c>
      <c r="B595" s="41" t="s">
        <v>1205</v>
      </c>
      <c r="C595" s="40">
        <v>5.41</v>
      </c>
      <c r="D595" s="114"/>
    </row>
    <row r="596" spans="1:4" ht="15.75" outlineLevel="1">
      <c r="A596" s="40" t="s">
        <v>1080</v>
      </c>
      <c r="B596" s="41" t="s">
        <v>9</v>
      </c>
      <c r="C596" s="40">
        <v>5.49</v>
      </c>
      <c r="D596" s="114"/>
    </row>
    <row r="597" spans="1:4" ht="15.75" outlineLevel="1">
      <c r="A597" s="40" t="s">
        <v>1080</v>
      </c>
      <c r="B597" s="41" t="s">
        <v>10</v>
      </c>
      <c r="C597" s="40">
        <v>5.51</v>
      </c>
      <c r="D597" s="114"/>
    </row>
    <row r="598" spans="1:4" ht="15.75" outlineLevel="1">
      <c r="A598" s="40" t="s">
        <v>1080</v>
      </c>
      <c r="B598" s="41" t="s">
        <v>1206</v>
      </c>
      <c r="C598" s="40">
        <v>5.52</v>
      </c>
      <c r="D598" s="114"/>
    </row>
    <row r="599" spans="1:4" ht="15.75" outlineLevel="1">
      <c r="A599" s="40" t="s">
        <v>1080</v>
      </c>
      <c r="B599" s="41" t="s">
        <v>11</v>
      </c>
      <c r="C599" s="40">
        <v>5.53</v>
      </c>
      <c r="D599" s="114"/>
    </row>
    <row r="600" spans="1:4" ht="15.75" outlineLevel="1">
      <c r="A600" s="40" t="s">
        <v>1080</v>
      </c>
      <c r="B600" s="41" t="s">
        <v>12</v>
      </c>
      <c r="C600" s="40">
        <v>5.69</v>
      </c>
      <c r="D600" s="114"/>
    </row>
    <row r="601" spans="1:4" ht="15.75" outlineLevel="1">
      <c r="A601" s="40" t="s">
        <v>1080</v>
      </c>
      <c r="B601" s="41" t="s">
        <v>161</v>
      </c>
      <c r="C601" s="40">
        <v>5.71</v>
      </c>
      <c r="D601" s="114"/>
    </row>
    <row r="602" spans="1:4" ht="15.75" outlineLevel="1">
      <c r="A602" s="40" t="s">
        <v>1080</v>
      </c>
      <c r="B602" s="41" t="s">
        <v>14</v>
      </c>
      <c r="C602" s="42">
        <v>5.7</v>
      </c>
      <c r="D602" s="114"/>
    </row>
    <row r="603" spans="1:4" ht="15.75" outlineLevel="1">
      <c r="A603" s="40" t="s">
        <v>1080</v>
      </c>
      <c r="B603" s="41" t="s">
        <v>802</v>
      </c>
      <c r="C603" s="42">
        <v>5.8</v>
      </c>
      <c r="D603" s="113" t="s">
        <v>1157</v>
      </c>
    </row>
    <row r="604" spans="1:4" ht="15.75" outlineLevel="1">
      <c r="A604" s="40" t="s">
        <v>1080</v>
      </c>
      <c r="B604" s="41" t="s">
        <v>956</v>
      </c>
      <c r="C604" s="42">
        <v>5.72</v>
      </c>
      <c r="D604" s="113" t="s">
        <v>1157</v>
      </c>
    </row>
    <row r="605" spans="1:4" ht="15.75" outlineLevel="1">
      <c r="A605" s="40" t="s">
        <v>1080</v>
      </c>
      <c r="B605" s="41" t="s">
        <v>1207</v>
      </c>
      <c r="C605" s="40">
        <v>5.73</v>
      </c>
      <c r="D605" s="113" t="s">
        <v>1157</v>
      </c>
    </row>
    <row r="606" spans="1:4" ht="15.75" outlineLevel="1">
      <c r="A606" s="40" t="s">
        <v>1080</v>
      </c>
      <c r="B606" s="41" t="s">
        <v>15</v>
      </c>
      <c r="C606" s="40">
        <v>5.74</v>
      </c>
      <c r="D606" s="114"/>
    </row>
    <row r="607" spans="1:4" ht="15.75" outlineLevel="1">
      <c r="A607" s="40" t="s">
        <v>1080</v>
      </c>
      <c r="B607" s="41" t="s">
        <v>13</v>
      </c>
      <c r="C607" s="40">
        <v>5.75</v>
      </c>
      <c r="D607" s="114"/>
    </row>
    <row r="608" spans="1:4" ht="15.75" outlineLevel="1">
      <c r="A608" s="40" t="s">
        <v>1080</v>
      </c>
      <c r="B608" s="41" t="s">
        <v>459</v>
      </c>
      <c r="C608" s="40">
        <v>5.76</v>
      </c>
      <c r="D608" s="114"/>
    </row>
    <row r="609" spans="1:4" ht="15.75" outlineLevel="1">
      <c r="A609" s="40" t="s">
        <v>1080</v>
      </c>
      <c r="B609" s="41" t="s">
        <v>807</v>
      </c>
      <c r="C609" s="40">
        <v>5.81</v>
      </c>
      <c r="D609" s="113" t="s">
        <v>1157</v>
      </c>
    </row>
    <row r="610" spans="1:4" ht="15.75" outlineLevel="1">
      <c r="A610" s="40" t="s">
        <v>1080</v>
      </c>
      <c r="B610" s="41" t="s">
        <v>1208</v>
      </c>
      <c r="C610" s="40">
        <v>5.82</v>
      </c>
      <c r="D610" s="113" t="s">
        <v>1157</v>
      </c>
    </row>
    <row r="611" spans="1:4" ht="15.75" outlineLevel="1">
      <c r="A611" s="40" t="s">
        <v>1080</v>
      </c>
      <c r="B611" s="41" t="s">
        <v>1209</v>
      </c>
      <c r="C611" s="40">
        <v>5.83</v>
      </c>
      <c r="D611" s="113" t="s">
        <v>1157</v>
      </c>
    </row>
    <row r="612" spans="1:4" ht="15.75" outlineLevel="1">
      <c r="A612" s="40" t="s">
        <v>1080</v>
      </c>
      <c r="B612" s="41" t="s">
        <v>1210</v>
      </c>
      <c r="C612" s="40">
        <v>5.84</v>
      </c>
      <c r="D612" s="114"/>
    </row>
    <row r="613" spans="1:4" ht="15.75" outlineLevel="1">
      <c r="A613" s="40" t="s">
        <v>1080</v>
      </c>
      <c r="B613" s="41" t="s">
        <v>830</v>
      </c>
      <c r="C613" s="40">
        <v>5.85</v>
      </c>
      <c r="D613" s="113" t="s">
        <v>1157</v>
      </c>
    </row>
    <row r="614" spans="1:4" ht="15.75" outlineLevel="1">
      <c r="A614" s="40" t="s">
        <v>1080</v>
      </c>
      <c r="B614" s="41" t="s">
        <v>831</v>
      </c>
      <c r="C614" s="40">
        <v>5.86</v>
      </c>
      <c r="D614" s="113" t="s">
        <v>1157</v>
      </c>
    </row>
    <row r="615" spans="1:4" ht="15.75" outlineLevel="1">
      <c r="A615" s="40" t="s">
        <v>1080</v>
      </c>
      <c r="B615" s="41" t="s">
        <v>1211</v>
      </c>
      <c r="C615" s="40">
        <v>5.88</v>
      </c>
      <c r="D615" s="113" t="s">
        <v>1157</v>
      </c>
    </row>
    <row r="616" spans="1:4" ht="15.75" outlineLevel="1">
      <c r="A616" s="40" t="s">
        <v>1080</v>
      </c>
      <c r="B616" s="41" t="s">
        <v>837</v>
      </c>
      <c r="C616" s="40">
        <v>5.87</v>
      </c>
      <c r="D616" s="114"/>
    </row>
    <row r="617" spans="1:4" ht="15.75" outlineLevel="1">
      <c r="A617" s="40" t="s">
        <v>1080</v>
      </c>
      <c r="B617" s="41" t="s">
        <v>185</v>
      </c>
      <c r="C617" s="40">
        <v>5.109</v>
      </c>
      <c r="D617" s="114"/>
    </row>
    <row r="618" spans="1:4" ht="15.75" outlineLevel="1">
      <c r="A618" s="40" t="s">
        <v>1080</v>
      </c>
      <c r="B618" s="41" t="s">
        <v>198</v>
      </c>
      <c r="C618" s="43">
        <v>5.1100000000000003</v>
      </c>
      <c r="D618" s="113" t="s">
        <v>1157</v>
      </c>
    </row>
    <row r="619" spans="1:4" ht="15.75" outlineLevel="1">
      <c r="A619" s="40" t="s">
        <v>1080</v>
      </c>
      <c r="B619" s="41" t="s">
        <v>186</v>
      </c>
      <c r="C619" s="40">
        <v>5.1109999999999998</v>
      </c>
      <c r="D619" s="114"/>
    </row>
    <row r="620" spans="1:4" ht="15.75" outlineLevel="1">
      <c r="A620" s="40" t="s">
        <v>1080</v>
      </c>
      <c r="B620" s="41" t="s">
        <v>168</v>
      </c>
      <c r="C620" s="40">
        <v>5.1120000000000001</v>
      </c>
      <c r="D620" s="114"/>
    </row>
    <row r="621" spans="1:4" ht="15.75" outlineLevel="1">
      <c r="A621" s="40" t="s">
        <v>1080</v>
      </c>
      <c r="B621" s="41" t="s">
        <v>1173</v>
      </c>
      <c r="C621" s="40">
        <v>5.1130000000000004</v>
      </c>
      <c r="D621" s="114"/>
    </row>
    <row r="622" spans="1:4" ht="15.75" outlineLevel="1">
      <c r="A622" s="40" t="s">
        <v>1080</v>
      </c>
      <c r="B622" s="41" t="s">
        <v>1212</v>
      </c>
      <c r="C622" s="40">
        <v>5.99</v>
      </c>
      <c r="D622" s="113" t="s">
        <v>1157</v>
      </c>
    </row>
    <row r="623" spans="1:4" ht="15.75" outlineLevel="1">
      <c r="A623" s="40" t="s">
        <v>1080</v>
      </c>
      <c r="B623" s="41" t="s">
        <v>1213</v>
      </c>
      <c r="C623" s="40">
        <v>5.58</v>
      </c>
      <c r="D623" s="113"/>
    </row>
    <row r="624" spans="1:4" ht="15.75" outlineLevel="1">
      <c r="A624" s="40" t="s">
        <v>1080</v>
      </c>
      <c r="B624" s="41" t="s">
        <v>18</v>
      </c>
      <c r="C624" s="40">
        <v>5.54</v>
      </c>
      <c r="D624" s="114"/>
    </row>
    <row r="625" spans="1:4" ht="15.75" outlineLevel="1">
      <c r="A625" s="40" t="s">
        <v>1080</v>
      </c>
      <c r="B625" s="41" t="s">
        <v>1214</v>
      </c>
      <c r="C625" s="40">
        <v>5.56</v>
      </c>
      <c r="D625" s="114"/>
    </row>
    <row r="626" spans="1:4" ht="15.75" outlineLevel="1">
      <c r="A626" s="40" t="s">
        <v>1080</v>
      </c>
      <c r="B626" s="41" t="s">
        <v>20</v>
      </c>
      <c r="C626" s="40">
        <v>5.63</v>
      </c>
      <c r="D626" s="114"/>
    </row>
    <row r="627" spans="1:4" ht="15.75" outlineLevel="1">
      <c r="A627" s="40" t="s">
        <v>1080</v>
      </c>
      <c r="B627" s="41" t="s">
        <v>199</v>
      </c>
      <c r="C627" s="40">
        <v>5.64</v>
      </c>
      <c r="D627" s="114"/>
    </row>
    <row r="628" spans="1:4" ht="15.75" outlineLevel="1">
      <c r="A628" s="40" t="s">
        <v>1080</v>
      </c>
      <c r="B628" s="41" t="s">
        <v>21</v>
      </c>
      <c r="C628" s="40">
        <v>5.65</v>
      </c>
      <c r="D628" s="114"/>
    </row>
    <row r="629" spans="1:4" ht="15.75" outlineLevel="1">
      <c r="A629" s="40" t="s">
        <v>1080</v>
      </c>
      <c r="B629" s="41" t="s">
        <v>200</v>
      </c>
      <c r="C629" s="40">
        <v>5.66</v>
      </c>
      <c r="D629" s="114"/>
    </row>
    <row r="630" spans="1:4" ht="15.75" outlineLevel="1">
      <c r="A630" s="40" t="s">
        <v>1080</v>
      </c>
      <c r="B630" s="41" t="s">
        <v>880</v>
      </c>
      <c r="C630" s="40">
        <v>5.89</v>
      </c>
      <c r="D630" s="113" t="s">
        <v>1157</v>
      </c>
    </row>
    <row r="631" spans="1:4" ht="15.75" outlineLevel="1">
      <c r="A631" s="40" t="s">
        <v>1080</v>
      </c>
      <c r="B631" s="41" t="s">
        <v>22</v>
      </c>
      <c r="C631" s="40">
        <v>5.68</v>
      </c>
      <c r="D631" s="114"/>
    </row>
    <row r="632" spans="1:4" ht="15.75" outlineLevel="1">
      <c r="A632" s="40" t="s">
        <v>1080</v>
      </c>
      <c r="B632" s="41" t="s">
        <v>24</v>
      </c>
      <c r="C632" s="40">
        <v>5.47</v>
      </c>
      <c r="D632" s="114"/>
    </row>
    <row r="633" spans="1:4" ht="15.75" outlineLevel="1">
      <c r="A633" s="40" t="s">
        <v>1080</v>
      </c>
      <c r="B633" s="41" t="s">
        <v>25</v>
      </c>
      <c r="C633" s="40">
        <v>5.48</v>
      </c>
      <c r="D633" s="114"/>
    </row>
    <row r="634" spans="1:4" ht="15.75">
      <c r="A634" s="46" t="s">
        <v>1080</v>
      </c>
      <c r="B634" s="41"/>
      <c r="C634" s="40"/>
      <c r="D634" s="114"/>
    </row>
    <row r="635" spans="1:4" ht="15.75" outlineLevel="1">
      <c r="A635" s="40" t="s">
        <v>1099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1099</v>
      </c>
      <c r="B636" s="41" t="s">
        <v>1</v>
      </c>
      <c r="C636" s="40">
        <v>5.2</v>
      </c>
      <c r="D636" s="114"/>
    </row>
    <row r="637" spans="1:4" ht="15.75" outlineLevel="1">
      <c r="A637" s="40" t="s">
        <v>1099</v>
      </c>
      <c r="B637" s="41" t="s">
        <v>2</v>
      </c>
      <c r="C637" s="40">
        <v>5.3</v>
      </c>
      <c r="D637" s="114"/>
    </row>
    <row r="638" spans="1:4" ht="15.75" outlineLevel="1">
      <c r="A638" s="40" t="s">
        <v>1099</v>
      </c>
      <c r="B638" s="41" t="s">
        <v>181</v>
      </c>
      <c r="C638" s="40">
        <v>5.6</v>
      </c>
      <c r="D638" s="114"/>
    </row>
    <row r="639" spans="1:4" ht="15.75" outlineLevel="1">
      <c r="A639" s="40" t="s">
        <v>1099</v>
      </c>
      <c r="B639" s="41" t="s">
        <v>1159</v>
      </c>
      <c r="C639" s="42">
        <v>5.0999999999999996</v>
      </c>
      <c r="D639" s="114"/>
    </row>
    <row r="640" spans="1:4" ht="15.75" outlineLevel="1">
      <c r="A640" s="40" t="s">
        <v>1099</v>
      </c>
      <c r="B640" s="41" t="s">
        <v>1158</v>
      </c>
      <c r="C640" s="40">
        <v>5.14</v>
      </c>
      <c r="D640" s="114"/>
    </row>
    <row r="641" spans="1:4" ht="15.75" outlineLevel="1">
      <c r="A641" s="40" t="s">
        <v>1099</v>
      </c>
      <c r="B641" s="41" t="s">
        <v>4</v>
      </c>
      <c r="C641" s="40">
        <v>5.19</v>
      </c>
      <c r="D641" s="114"/>
    </row>
    <row r="642" spans="1:4" ht="15.75" outlineLevel="1">
      <c r="A642" s="40" t="s">
        <v>1099</v>
      </c>
      <c r="B642" s="41" t="s">
        <v>183</v>
      </c>
      <c r="C642" s="40">
        <v>5.24</v>
      </c>
      <c r="D642" s="114"/>
    </row>
    <row r="643" spans="1:4" ht="15.75" outlineLevel="1">
      <c r="A643" s="40" t="s">
        <v>1099</v>
      </c>
      <c r="B643" s="41" t="s">
        <v>5</v>
      </c>
      <c r="C643" s="40">
        <v>5.26</v>
      </c>
      <c r="D643" s="114"/>
    </row>
    <row r="644" spans="1:4" ht="15.75" outlineLevel="1">
      <c r="A644" s="40" t="s">
        <v>1099</v>
      </c>
      <c r="B644" s="41" t="s">
        <v>6</v>
      </c>
      <c r="C644" s="40">
        <v>5.27</v>
      </c>
      <c r="D644" s="114"/>
    </row>
    <row r="645" spans="1:4" ht="15.75" outlineLevel="1">
      <c r="A645" s="40" t="s">
        <v>1099</v>
      </c>
      <c r="B645" s="41" t="s">
        <v>7</v>
      </c>
      <c r="C645" s="40">
        <v>5.28</v>
      </c>
      <c r="D645" s="114"/>
    </row>
    <row r="646" spans="1:4" ht="15.75" outlineLevel="1">
      <c r="A646" s="40" t="s">
        <v>1099</v>
      </c>
      <c r="B646" s="41" t="s">
        <v>159</v>
      </c>
      <c r="C646" s="40">
        <v>5.36</v>
      </c>
      <c r="D646" s="114"/>
    </row>
    <row r="647" spans="1:4" ht="15.75" outlineLevel="1">
      <c r="A647" s="40" t="s">
        <v>1099</v>
      </c>
      <c r="B647" s="41" t="s">
        <v>216</v>
      </c>
      <c r="C647" s="40">
        <v>5.33</v>
      </c>
      <c r="D647" s="114"/>
    </row>
    <row r="648" spans="1:4" ht="15.75" outlineLevel="1">
      <c r="A648" s="40" t="s">
        <v>1099</v>
      </c>
      <c r="B648" s="41" t="s">
        <v>192</v>
      </c>
      <c r="C648" s="40">
        <v>5.37</v>
      </c>
      <c r="D648" s="114"/>
    </row>
    <row r="649" spans="1:4" ht="15.75" outlineLevel="1">
      <c r="A649" s="40" t="s">
        <v>1099</v>
      </c>
      <c r="B649" s="41" t="s">
        <v>9</v>
      </c>
      <c r="C649" s="40">
        <v>5.49</v>
      </c>
      <c r="D649" s="114"/>
    </row>
    <row r="650" spans="1:4" ht="15.75" outlineLevel="1">
      <c r="A650" s="40" t="s">
        <v>1099</v>
      </c>
      <c r="B650" s="41" t="s">
        <v>10</v>
      </c>
      <c r="C650" s="40">
        <v>5.51</v>
      </c>
      <c r="D650" s="114"/>
    </row>
    <row r="651" spans="1:4" ht="15.75" outlineLevel="1">
      <c r="A651" s="40" t="s">
        <v>1099</v>
      </c>
      <c r="B651" s="41" t="s">
        <v>1160</v>
      </c>
      <c r="C651" s="40">
        <v>5.52</v>
      </c>
      <c r="D651" s="114"/>
    </row>
    <row r="652" spans="1:4" ht="15.75" outlineLevel="1">
      <c r="A652" s="40" t="s">
        <v>1099</v>
      </c>
      <c r="B652" s="41" t="s">
        <v>11</v>
      </c>
      <c r="C652" s="40">
        <v>5.53</v>
      </c>
      <c r="D652" s="114"/>
    </row>
    <row r="653" spans="1:4" ht="15.75" outlineLevel="1">
      <c r="A653" s="40" t="s">
        <v>1099</v>
      </c>
      <c r="B653" s="41" t="s">
        <v>12</v>
      </c>
      <c r="C653" s="40">
        <v>5.69</v>
      </c>
      <c r="D653" s="114"/>
    </row>
    <row r="654" spans="1:4" ht="15.75" outlineLevel="1">
      <c r="A654" s="40" t="s">
        <v>1099</v>
      </c>
      <c r="B654" s="41" t="s">
        <v>14</v>
      </c>
      <c r="C654" s="42">
        <v>5.7</v>
      </c>
      <c r="D654" s="114"/>
    </row>
    <row r="655" spans="1:4" ht="15.75" outlineLevel="1">
      <c r="A655" s="40" t="s">
        <v>1099</v>
      </c>
      <c r="B655" s="41" t="s">
        <v>15</v>
      </c>
      <c r="C655" s="40">
        <v>5.74</v>
      </c>
      <c r="D655" s="114"/>
    </row>
    <row r="656" spans="1:4" ht="15.75" outlineLevel="1">
      <c r="A656" s="40" t="s">
        <v>1099</v>
      </c>
      <c r="B656" s="41" t="s">
        <v>185</v>
      </c>
      <c r="C656" s="40">
        <v>5.109</v>
      </c>
      <c r="D656" s="114"/>
    </row>
    <row r="657" spans="1:4" ht="15.75" outlineLevel="1">
      <c r="A657" s="40" t="s">
        <v>1099</v>
      </c>
      <c r="B657" s="41" t="s">
        <v>186</v>
      </c>
      <c r="C657" s="40">
        <v>5.1109999999999998</v>
      </c>
      <c r="D657" s="114"/>
    </row>
    <row r="658" spans="1:4" ht="15.75" outlineLevel="1">
      <c r="A658" s="40" t="s">
        <v>1099</v>
      </c>
      <c r="B658" s="41" t="s">
        <v>168</v>
      </c>
      <c r="C658" s="40">
        <v>5.1120000000000001</v>
      </c>
      <c r="D658" s="114"/>
    </row>
    <row r="659" spans="1:4" ht="15.75" outlineLevel="1">
      <c r="A659" s="40" t="s">
        <v>1099</v>
      </c>
      <c r="B659" s="41" t="s">
        <v>17</v>
      </c>
      <c r="C659" s="40">
        <v>5.58</v>
      </c>
      <c r="D659" s="114"/>
    </row>
    <row r="660" spans="1:4" ht="15.75" outlineLevel="1">
      <c r="A660" s="40" t="s">
        <v>1099</v>
      </c>
      <c r="B660" s="41" t="s">
        <v>18</v>
      </c>
      <c r="C660" s="40">
        <v>5.54</v>
      </c>
      <c r="D660" s="114"/>
    </row>
    <row r="661" spans="1:4" ht="15.75" outlineLevel="1">
      <c r="A661" s="40" t="s">
        <v>1099</v>
      </c>
      <c r="B661" s="41" t="s">
        <v>19</v>
      </c>
      <c r="C661" s="40">
        <v>5.55</v>
      </c>
      <c r="D661" s="114"/>
    </row>
    <row r="662" spans="1:4" ht="15.75" outlineLevel="1">
      <c r="A662" s="40" t="s">
        <v>1099</v>
      </c>
      <c r="B662" s="41" t="s">
        <v>20</v>
      </c>
      <c r="C662" s="40">
        <v>5.63</v>
      </c>
      <c r="D662" s="114"/>
    </row>
    <row r="663" spans="1:4" ht="15.75" outlineLevel="1">
      <c r="A663" s="40" t="s">
        <v>1099</v>
      </c>
      <c r="B663" s="41" t="s">
        <v>24</v>
      </c>
      <c r="C663" s="40">
        <v>5.47</v>
      </c>
      <c r="D663" s="114"/>
    </row>
    <row r="664" spans="1:4" ht="15.75" outlineLevel="1">
      <c r="A664" s="40" t="s">
        <v>1099</v>
      </c>
      <c r="B664" s="41" t="s">
        <v>25</v>
      </c>
      <c r="C664" s="40">
        <v>5.48</v>
      </c>
      <c r="D664" s="114"/>
    </row>
    <row r="665" spans="1:4" ht="15.75">
      <c r="A665" s="46" t="s">
        <v>1099</v>
      </c>
      <c r="B665" s="41"/>
      <c r="C665" s="40"/>
      <c r="D665" s="114"/>
    </row>
    <row r="666" spans="1:4" ht="15.75" outlineLevel="1">
      <c r="A666" s="40" t="s">
        <v>1104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1104</v>
      </c>
      <c r="B667" s="41" t="s">
        <v>1</v>
      </c>
      <c r="C667" s="40">
        <v>5.2</v>
      </c>
      <c r="D667" s="114"/>
    </row>
    <row r="668" spans="1:4" ht="15.75" outlineLevel="1">
      <c r="A668" s="40" t="s">
        <v>1104</v>
      </c>
      <c r="B668" s="41" t="s">
        <v>210</v>
      </c>
      <c r="C668" s="40">
        <v>5.4</v>
      </c>
      <c r="D668" s="114"/>
    </row>
    <row r="669" spans="1:4" ht="15.75" outlineLevel="1">
      <c r="A669" s="40" t="s">
        <v>1104</v>
      </c>
      <c r="B669" s="41" t="s">
        <v>211</v>
      </c>
      <c r="C669" s="40">
        <v>5.7</v>
      </c>
      <c r="D669" s="114"/>
    </row>
    <row r="670" spans="1:4" ht="15.75" outlineLevel="1">
      <c r="A670" s="40" t="s">
        <v>1104</v>
      </c>
      <c r="B670" s="41" t="s">
        <v>212</v>
      </c>
      <c r="C670" s="40">
        <v>5.1100000000000003</v>
      </c>
      <c r="D670" s="114"/>
    </row>
    <row r="671" spans="1:4" ht="15.75" outlineLevel="1">
      <c r="A671" s="40" t="s">
        <v>1104</v>
      </c>
      <c r="B671" s="41" t="s">
        <v>5</v>
      </c>
      <c r="C671" s="40">
        <v>5.26</v>
      </c>
      <c r="D671" s="114"/>
    </row>
    <row r="672" spans="1:4" ht="15.75" outlineLevel="1">
      <c r="A672" s="40" t="s">
        <v>1104</v>
      </c>
      <c r="B672" s="41" t="s">
        <v>213</v>
      </c>
      <c r="C672" s="40">
        <v>5.43</v>
      </c>
      <c r="D672" s="114"/>
    </row>
    <row r="673" spans="1:4" ht="15.75" outlineLevel="1">
      <c r="A673" s="40" t="s">
        <v>1104</v>
      </c>
      <c r="B673" s="41" t="s">
        <v>6</v>
      </c>
      <c r="C673" s="40">
        <v>5.27</v>
      </c>
      <c r="D673" s="114"/>
    </row>
    <row r="674" spans="1:4" ht="15.75" outlineLevel="1">
      <c r="A674" s="40" t="s">
        <v>1104</v>
      </c>
      <c r="B674" s="41" t="s">
        <v>7</v>
      </c>
      <c r="C674" s="40">
        <v>5.28</v>
      </c>
      <c r="D674" s="114"/>
    </row>
    <row r="675" spans="1:4" ht="15.75" outlineLevel="1">
      <c r="A675" s="40" t="s">
        <v>1104</v>
      </c>
      <c r="B675" s="41" t="s">
        <v>159</v>
      </c>
      <c r="C675" s="40">
        <v>5.36</v>
      </c>
      <c r="D675" s="114"/>
    </row>
    <row r="676" spans="1:4" ht="15.75" outlineLevel="1">
      <c r="A676" s="40" t="s">
        <v>1104</v>
      </c>
      <c r="B676" s="41" t="s">
        <v>214</v>
      </c>
      <c r="C676" s="42">
        <v>5.5</v>
      </c>
      <c r="D676" s="114"/>
    </row>
    <row r="677" spans="1:4" ht="15.75" outlineLevel="1">
      <c r="A677" s="40" t="s">
        <v>1104</v>
      </c>
      <c r="B677" s="41" t="s">
        <v>10</v>
      </c>
      <c r="C677" s="40">
        <v>5.51</v>
      </c>
      <c r="D677" s="114"/>
    </row>
    <row r="678" spans="1:4" ht="15.75" outlineLevel="1">
      <c r="A678" s="40" t="s">
        <v>1104</v>
      </c>
      <c r="B678" s="41" t="s">
        <v>11</v>
      </c>
      <c r="C678" s="40">
        <v>5.53</v>
      </c>
      <c r="D678" s="114"/>
    </row>
    <row r="679" spans="1:4" ht="15.75" outlineLevel="1">
      <c r="A679" s="40" t="s">
        <v>1104</v>
      </c>
      <c r="B679" s="41" t="s">
        <v>12</v>
      </c>
      <c r="C679" s="40">
        <v>5.69</v>
      </c>
      <c r="D679" s="114"/>
    </row>
    <row r="680" spans="1:4" ht="15.75" outlineLevel="1">
      <c r="A680" s="40" t="s">
        <v>1104</v>
      </c>
      <c r="B680" s="41" t="s">
        <v>14</v>
      </c>
      <c r="C680" s="42">
        <v>5.7</v>
      </c>
      <c r="D680" s="113" t="s">
        <v>1157</v>
      </c>
    </row>
    <row r="681" spans="1:4" ht="15.75" outlineLevel="1">
      <c r="A681" s="40" t="s">
        <v>1104</v>
      </c>
      <c r="B681" s="41" t="s">
        <v>15</v>
      </c>
      <c r="C681" s="40">
        <v>5.74</v>
      </c>
      <c r="D681" s="114"/>
    </row>
    <row r="682" spans="1:4" ht="15.75" outlineLevel="1">
      <c r="A682" s="40" t="s">
        <v>1104</v>
      </c>
      <c r="B682" s="41" t="s">
        <v>169</v>
      </c>
      <c r="C682" s="40">
        <v>5.59</v>
      </c>
      <c r="D682" s="114"/>
    </row>
    <row r="683" spans="1:4" ht="15.75" outlineLevel="1">
      <c r="A683" s="40" t="s">
        <v>1104</v>
      </c>
      <c r="B683" s="41" t="s">
        <v>18</v>
      </c>
      <c r="C683" s="40">
        <v>5.54</v>
      </c>
      <c r="D683" s="114"/>
    </row>
    <row r="684" spans="1:4" ht="15.75" outlineLevel="1">
      <c r="A684" s="40" t="s">
        <v>1104</v>
      </c>
      <c r="B684" s="41" t="s">
        <v>215</v>
      </c>
      <c r="C684" s="40">
        <v>5.57</v>
      </c>
      <c r="D684" s="114"/>
    </row>
    <row r="685" spans="1:4" ht="15.75" outlineLevel="1">
      <c r="A685" s="40" t="s">
        <v>1104</v>
      </c>
      <c r="B685" s="41" t="s">
        <v>20</v>
      </c>
      <c r="C685" s="40">
        <v>5.63</v>
      </c>
      <c r="D685" s="114"/>
    </row>
    <row r="686" spans="1:4" ht="15.75" outlineLevel="1">
      <c r="A686" s="40" t="s">
        <v>1104</v>
      </c>
      <c r="B686" s="41" t="s">
        <v>24</v>
      </c>
      <c r="C686" s="40">
        <v>5.47</v>
      </c>
      <c r="D686" s="114"/>
    </row>
    <row r="687" spans="1:4" ht="15.75" outlineLevel="1">
      <c r="A687" s="40" t="s">
        <v>1104</v>
      </c>
      <c r="B687" s="41" t="s">
        <v>25</v>
      </c>
      <c r="C687" s="40">
        <v>5.48</v>
      </c>
      <c r="D687" s="114"/>
    </row>
    <row r="688" spans="1:4" ht="15.75">
      <c r="A688" s="46" t="s">
        <v>1104</v>
      </c>
      <c r="B688" s="41"/>
      <c r="C688" s="40"/>
      <c r="D688" s="114"/>
    </row>
    <row r="689" spans="1:4" ht="15.75" outlineLevel="1">
      <c r="A689" s="40" t="s">
        <v>1107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1107</v>
      </c>
      <c r="B690" s="41" t="s">
        <v>1</v>
      </c>
      <c r="C690" s="40">
        <v>5.2</v>
      </c>
      <c r="D690" s="114"/>
    </row>
    <row r="691" spans="1:4" ht="15.75" outlineLevel="1">
      <c r="A691" s="40" t="s">
        <v>1107</v>
      </c>
      <c r="B691" s="41" t="s">
        <v>190</v>
      </c>
      <c r="C691" s="40">
        <v>5.17</v>
      </c>
      <c r="D691" s="114"/>
    </row>
    <row r="692" spans="1:4" ht="15.75" outlineLevel="1">
      <c r="A692" s="40" t="s">
        <v>1107</v>
      </c>
      <c r="B692" s="41" t="s">
        <v>5</v>
      </c>
      <c r="C692" s="40">
        <v>5.26</v>
      </c>
      <c r="D692" s="114"/>
    </row>
    <row r="693" spans="1:4" ht="15.75" outlineLevel="1">
      <c r="A693" s="40" t="s">
        <v>1107</v>
      </c>
      <c r="B693" s="41" t="s">
        <v>191</v>
      </c>
      <c r="C693" s="40">
        <v>5.1029999999999998</v>
      </c>
      <c r="D693" s="114"/>
    </row>
    <row r="694" spans="1:4" ht="15.75" outlineLevel="1">
      <c r="A694" s="40" t="s">
        <v>1107</v>
      </c>
      <c r="B694" s="41" t="s">
        <v>159</v>
      </c>
      <c r="C694" s="40">
        <v>5.36</v>
      </c>
      <c r="D694" s="114"/>
    </row>
    <row r="695" spans="1:4" ht="15.75" outlineLevel="1">
      <c r="A695" s="40" t="s">
        <v>1107</v>
      </c>
      <c r="B695" s="41" t="s">
        <v>192</v>
      </c>
      <c r="C695" s="40">
        <v>5.37</v>
      </c>
      <c r="D695" s="114"/>
    </row>
    <row r="696" spans="1:4" ht="15.75" outlineLevel="1">
      <c r="A696" s="40" t="s">
        <v>1107</v>
      </c>
      <c r="B696" s="41" t="s">
        <v>193</v>
      </c>
      <c r="C696" s="40">
        <v>5.1040000000000001</v>
      </c>
      <c r="D696" s="114"/>
    </row>
    <row r="697" spans="1:4" ht="15.75" outlineLevel="1">
      <c r="A697" s="40" t="s">
        <v>1107</v>
      </c>
      <c r="B697" s="41" t="s">
        <v>194</v>
      </c>
      <c r="C697" s="40">
        <v>5.1050000000000004</v>
      </c>
      <c r="D697" s="114"/>
    </row>
    <row r="698" spans="1:4" ht="15.75" outlineLevel="1">
      <c r="A698" s="40" t="s">
        <v>1107</v>
      </c>
      <c r="B698" s="41" t="s">
        <v>195</v>
      </c>
      <c r="C698" s="40">
        <v>5.1059999999999999</v>
      </c>
      <c r="D698" s="114"/>
    </row>
    <row r="699" spans="1:4" ht="15.75" outlineLevel="1">
      <c r="A699" s="40" t="s">
        <v>1107</v>
      </c>
      <c r="B699" s="41" t="s">
        <v>196</v>
      </c>
      <c r="C699" s="40">
        <v>5.1070000000000002</v>
      </c>
      <c r="D699" s="114"/>
    </row>
    <row r="700" spans="1:4" ht="15.75" outlineLevel="1">
      <c r="A700" s="40" t="s">
        <v>1107</v>
      </c>
      <c r="B700" s="41" t="s">
        <v>931</v>
      </c>
      <c r="C700" s="40">
        <v>5.1079999999999997</v>
      </c>
      <c r="D700" s="113" t="s">
        <v>1157</v>
      </c>
    </row>
    <row r="701" spans="1:4" ht="15.75" outlineLevel="1">
      <c r="A701" s="40" t="s">
        <v>1107</v>
      </c>
      <c r="B701" s="41" t="s">
        <v>185</v>
      </c>
      <c r="C701" s="40">
        <v>5.109</v>
      </c>
      <c r="D701" s="114"/>
    </row>
    <row r="702" spans="1:4" ht="15.75" outlineLevel="1">
      <c r="A702" s="40" t="s">
        <v>1107</v>
      </c>
      <c r="B702" s="41" t="s">
        <v>198</v>
      </c>
      <c r="C702" s="43">
        <v>5.1100000000000003</v>
      </c>
      <c r="D702" s="113" t="s">
        <v>1157</v>
      </c>
    </row>
    <row r="703" spans="1:4" ht="15.75" outlineLevel="1">
      <c r="A703" s="40" t="s">
        <v>1107</v>
      </c>
      <c r="B703" s="41" t="s">
        <v>186</v>
      </c>
      <c r="C703" s="40">
        <v>5.1109999999999998</v>
      </c>
      <c r="D703" s="114"/>
    </row>
    <row r="704" spans="1:4" ht="15.75" outlineLevel="1">
      <c r="A704" s="40" t="s">
        <v>1107</v>
      </c>
      <c r="B704" s="41" t="s">
        <v>168</v>
      </c>
      <c r="C704" s="40">
        <v>5.1120000000000001</v>
      </c>
      <c r="D704" s="114"/>
    </row>
    <row r="705" spans="1:4" ht="15.75" outlineLevel="1">
      <c r="A705" s="40" t="s">
        <v>1107</v>
      </c>
      <c r="B705" s="41" t="s">
        <v>11</v>
      </c>
      <c r="C705" s="40">
        <v>5.53</v>
      </c>
      <c r="D705" s="114"/>
    </row>
    <row r="706" spans="1:4" ht="15.75" outlineLevel="1">
      <c r="A706" s="40" t="s">
        <v>1107</v>
      </c>
      <c r="B706" s="41" t="s">
        <v>199</v>
      </c>
      <c r="C706" s="40">
        <v>5.64</v>
      </c>
      <c r="D706" s="114"/>
    </row>
    <row r="707" spans="1:4" ht="15.75" outlineLevel="1">
      <c r="A707" s="40" t="s">
        <v>1107</v>
      </c>
      <c r="B707" s="41" t="s">
        <v>20</v>
      </c>
      <c r="C707" s="40">
        <v>5.63</v>
      </c>
      <c r="D707" s="114"/>
    </row>
    <row r="708" spans="1:4" ht="15.75" outlineLevel="1">
      <c r="A708" s="40" t="s">
        <v>1107</v>
      </c>
      <c r="B708" s="41" t="s">
        <v>21</v>
      </c>
      <c r="C708" s="40">
        <v>5.65</v>
      </c>
      <c r="D708" s="114"/>
    </row>
    <row r="709" spans="1:4" ht="15.75" outlineLevel="1">
      <c r="A709" s="40" t="s">
        <v>1107</v>
      </c>
      <c r="B709" s="41" t="s">
        <v>200</v>
      </c>
      <c r="C709" s="40">
        <v>5.66</v>
      </c>
      <c r="D709" s="114"/>
    </row>
    <row r="710" spans="1:4" ht="15.75" outlineLevel="1">
      <c r="A710" s="40" t="s">
        <v>1107</v>
      </c>
      <c r="B710" s="41" t="s">
        <v>22</v>
      </c>
      <c r="C710" s="40">
        <v>5.68</v>
      </c>
      <c r="D710" s="114"/>
    </row>
    <row r="711" spans="1:4" ht="15.75" outlineLevel="1">
      <c r="A711" s="40" t="s">
        <v>1107</v>
      </c>
      <c r="B711" s="41" t="s">
        <v>24</v>
      </c>
      <c r="C711" s="40">
        <v>5.47</v>
      </c>
      <c r="D711" s="114"/>
    </row>
    <row r="712" spans="1:4" ht="15.75" outlineLevel="1">
      <c r="A712" s="40" t="s">
        <v>1107</v>
      </c>
      <c r="B712" s="41" t="s">
        <v>25</v>
      </c>
      <c r="C712" s="40">
        <v>5.48</v>
      </c>
      <c r="D712" s="114"/>
    </row>
    <row r="713" spans="1:4" ht="15.75">
      <c r="A713" s="46" t="s">
        <v>1107</v>
      </c>
      <c r="B713" s="41"/>
      <c r="C713" s="40"/>
      <c r="D713" s="114"/>
    </row>
    <row r="714" spans="1:4" ht="15.75" outlineLevel="1">
      <c r="A714" s="40" t="s">
        <v>1215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1215</v>
      </c>
      <c r="B715" s="41" t="s">
        <v>1</v>
      </c>
      <c r="C715" s="40">
        <v>5.2</v>
      </c>
      <c r="D715" s="114"/>
    </row>
    <row r="716" spans="1:4" ht="15.75" outlineLevel="1">
      <c r="A716" s="40" t="s">
        <v>1215</v>
      </c>
      <c r="B716" s="41" t="s">
        <v>2</v>
      </c>
      <c r="C716" s="40">
        <v>5.3</v>
      </c>
      <c r="D716" s="114"/>
    </row>
    <row r="717" spans="1:4" ht="15.75" outlineLevel="1">
      <c r="A717" s="40" t="s">
        <v>1215</v>
      </c>
      <c r="B717" s="41" t="s">
        <v>181</v>
      </c>
      <c r="C717" s="40">
        <v>5.6</v>
      </c>
      <c r="D717" s="114"/>
    </row>
    <row r="718" spans="1:4" ht="15.75" outlineLevel="1">
      <c r="A718" s="40" t="s">
        <v>1215</v>
      </c>
      <c r="B718" s="41" t="s">
        <v>1159</v>
      </c>
      <c r="C718" s="42">
        <v>5.0999999999999996</v>
      </c>
      <c r="D718" s="114"/>
    </row>
    <row r="719" spans="1:4" ht="15.75" outlineLevel="1">
      <c r="A719" s="40" t="s">
        <v>1215</v>
      </c>
      <c r="B719" s="41" t="s">
        <v>1158</v>
      </c>
      <c r="C719" s="40">
        <v>5.14</v>
      </c>
      <c r="D719" s="114"/>
    </row>
    <row r="720" spans="1:4" ht="15.75" outlineLevel="1">
      <c r="A720" s="40" t="s">
        <v>1215</v>
      </c>
      <c r="B720" s="41" t="s">
        <v>4</v>
      </c>
      <c r="C720" s="40">
        <v>5.19</v>
      </c>
      <c r="D720" s="114"/>
    </row>
    <row r="721" spans="1:4" ht="15.75" outlineLevel="1">
      <c r="A721" s="40" t="s">
        <v>1215</v>
      </c>
      <c r="B721" s="41" t="s">
        <v>183</v>
      </c>
      <c r="C721" s="40">
        <v>5.24</v>
      </c>
      <c r="D721" s="114"/>
    </row>
    <row r="722" spans="1:4" ht="15.75" outlineLevel="1">
      <c r="A722" s="40" t="s">
        <v>1215</v>
      </c>
      <c r="B722" s="41" t="s">
        <v>5</v>
      </c>
      <c r="C722" s="40">
        <v>5.26</v>
      </c>
      <c r="D722" s="114"/>
    </row>
    <row r="723" spans="1:4" ht="15.75" outlineLevel="1">
      <c r="A723" s="40" t="s">
        <v>1215</v>
      </c>
      <c r="B723" s="41" t="s">
        <v>6</v>
      </c>
      <c r="C723" s="40">
        <v>5.27</v>
      </c>
      <c r="D723" s="114"/>
    </row>
    <row r="724" spans="1:4" ht="15.75" outlineLevel="1">
      <c r="A724" s="40" t="s">
        <v>1215</v>
      </c>
      <c r="B724" s="41" t="s">
        <v>7</v>
      </c>
      <c r="C724" s="40">
        <v>5.28</v>
      </c>
      <c r="D724" s="114"/>
    </row>
    <row r="725" spans="1:4" ht="15.75" outlineLevel="1">
      <c r="A725" s="40" t="s">
        <v>1215</v>
      </c>
      <c r="B725" s="41" t="s">
        <v>184</v>
      </c>
      <c r="C725" s="40">
        <v>5.31</v>
      </c>
      <c r="D725" s="114"/>
    </row>
    <row r="726" spans="1:4" ht="15.75" outlineLevel="1">
      <c r="A726" s="40" t="s">
        <v>1215</v>
      </c>
      <c r="B726" s="41" t="s">
        <v>159</v>
      </c>
      <c r="C726" s="40">
        <v>5.36</v>
      </c>
      <c r="D726" s="114"/>
    </row>
    <row r="727" spans="1:4" ht="15.75" outlineLevel="1">
      <c r="A727" s="40" t="s">
        <v>1215</v>
      </c>
      <c r="B727" s="41" t="s">
        <v>11</v>
      </c>
      <c r="C727" s="40">
        <v>5.53</v>
      </c>
      <c r="D727" s="114"/>
    </row>
    <row r="728" spans="1:4" ht="15.75" outlineLevel="1">
      <c r="A728" s="40" t="s">
        <v>1215</v>
      </c>
      <c r="B728" s="41" t="s">
        <v>185</v>
      </c>
      <c r="C728" s="40">
        <v>5.109</v>
      </c>
      <c r="D728" s="114"/>
    </row>
    <row r="729" spans="1:4" ht="15.75" outlineLevel="1">
      <c r="A729" s="40" t="s">
        <v>1215</v>
      </c>
      <c r="B729" s="41" t="s">
        <v>186</v>
      </c>
      <c r="C729" s="40">
        <v>5.1109999999999998</v>
      </c>
      <c r="D729" s="114"/>
    </row>
    <row r="730" spans="1:4" ht="15.75" outlineLevel="1">
      <c r="A730" s="40" t="s">
        <v>1215</v>
      </c>
      <c r="B730" s="41" t="s">
        <v>168</v>
      </c>
      <c r="C730" s="40">
        <v>5.1120000000000001</v>
      </c>
      <c r="D730" s="114"/>
    </row>
    <row r="731" spans="1:4" ht="15.75" outlineLevel="1">
      <c r="A731" s="40" t="s">
        <v>1215</v>
      </c>
      <c r="B731" s="41" t="s">
        <v>1173</v>
      </c>
      <c r="C731" s="40">
        <v>5.1130000000000004</v>
      </c>
      <c r="D731" s="114"/>
    </row>
    <row r="732" spans="1:4" ht="15.75" outlineLevel="1">
      <c r="A732" s="40" t="s">
        <v>1215</v>
      </c>
      <c r="B732" s="41" t="s">
        <v>188</v>
      </c>
      <c r="C732" s="40">
        <v>5.117</v>
      </c>
      <c r="D732" s="114"/>
    </row>
    <row r="733" spans="1:4" ht="15.75" outlineLevel="1">
      <c r="A733" s="40" t="s">
        <v>1215</v>
      </c>
      <c r="B733" s="41" t="s">
        <v>189</v>
      </c>
      <c r="C733" s="40">
        <v>5.67</v>
      </c>
      <c r="D733" s="114"/>
    </row>
    <row r="734" spans="1:4" ht="15.75" outlineLevel="1">
      <c r="A734" s="40" t="s">
        <v>1215</v>
      </c>
      <c r="B734" s="41" t="s">
        <v>20</v>
      </c>
      <c r="C734" s="40">
        <v>5.63</v>
      </c>
      <c r="D734" s="114"/>
    </row>
    <row r="735" spans="1:4" ht="15.75" outlineLevel="1">
      <c r="A735" s="40" t="s">
        <v>1215</v>
      </c>
      <c r="B735" s="41" t="s">
        <v>24</v>
      </c>
      <c r="C735" s="40">
        <v>5.47</v>
      </c>
      <c r="D735" s="114"/>
    </row>
    <row r="736" spans="1:4" ht="15.75" outlineLevel="1">
      <c r="A736" s="40" t="s">
        <v>1215</v>
      </c>
      <c r="B736" s="41" t="s">
        <v>25</v>
      </c>
      <c r="C736" s="40">
        <v>5.48</v>
      </c>
      <c r="D736" s="114"/>
    </row>
    <row r="737" spans="1:4" ht="15.75">
      <c r="A737" s="46" t="s">
        <v>1216</v>
      </c>
      <c r="B737" s="41"/>
      <c r="C737" s="40"/>
      <c r="D737" s="114"/>
    </row>
    <row r="738" spans="1:4" ht="15.75" outlineLevel="1">
      <c r="A738" s="40" t="s">
        <v>1109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1109</v>
      </c>
      <c r="B739" s="41" t="s">
        <v>1</v>
      </c>
      <c r="C739" s="40">
        <v>5.2</v>
      </c>
      <c r="D739" s="114"/>
    </row>
    <row r="740" spans="1:4" ht="15.75" outlineLevel="1">
      <c r="A740" s="40" t="s">
        <v>1109</v>
      </c>
      <c r="B740" s="41" t="s">
        <v>165</v>
      </c>
      <c r="C740" s="40">
        <v>5.18</v>
      </c>
      <c r="D740" s="114"/>
    </row>
    <row r="741" spans="1:4" ht="15.75" outlineLevel="1">
      <c r="A741" s="40" t="s">
        <v>1109</v>
      </c>
      <c r="B741" s="41" t="s">
        <v>166</v>
      </c>
      <c r="C741" s="40">
        <v>5.23</v>
      </c>
      <c r="D741" s="114"/>
    </row>
    <row r="742" spans="1:4" ht="15.75" outlineLevel="1">
      <c r="A742" s="40" t="s">
        <v>1109</v>
      </c>
      <c r="B742" s="41" t="s">
        <v>5</v>
      </c>
      <c r="C742" s="40">
        <v>5.26</v>
      </c>
      <c r="D742" s="114"/>
    </row>
    <row r="743" spans="1:4" ht="15.75" outlineLevel="1">
      <c r="A743" s="40" t="s">
        <v>1109</v>
      </c>
      <c r="B743" s="41" t="s">
        <v>6</v>
      </c>
      <c r="C743" s="40">
        <v>5.27</v>
      </c>
      <c r="D743" s="114"/>
    </row>
    <row r="744" spans="1:4" ht="15.75" outlineLevel="1">
      <c r="A744" s="40" t="s">
        <v>1109</v>
      </c>
      <c r="B744" s="41" t="s">
        <v>7</v>
      </c>
      <c r="C744" s="40">
        <v>5.28</v>
      </c>
      <c r="D744" s="114"/>
    </row>
    <row r="745" spans="1:4" ht="15.75" outlineLevel="1">
      <c r="A745" s="40" t="s">
        <v>1109</v>
      </c>
      <c r="B745" s="41" t="s">
        <v>159</v>
      </c>
      <c r="C745" s="40">
        <v>5.36</v>
      </c>
      <c r="D745" s="114"/>
    </row>
    <row r="746" spans="1:4" ht="15.75" outlineLevel="1">
      <c r="A746" s="40" t="s">
        <v>1109</v>
      </c>
      <c r="B746" s="41" t="s">
        <v>167</v>
      </c>
      <c r="C746" s="40">
        <v>5.44</v>
      </c>
      <c r="D746" s="114"/>
    </row>
    <row r="747" spans="1:4" ht="15.75" outlineLevel="1">
      <c r="A747" s="40" t="s">
        <v>1109</v>
      </c>
      <c r="B747" s="41" t="s">
        <v>11</v>
      </c>
      <c r="C747" s="40">
        <v>5.53</v>
      </c>
      <c r="D747" s="114"/>
    </row>
    <row r="748" spans="1:4" ht="15.75" outlineLevel="1">
      <c r="A748" s="40" t="s">
        <v>1109</v>
      </c>
      <c r="B748" s="41" t="s">
        <v>168</v>
      </c>
      <c r="C748" s="40">
        <v>5.1120000000000001</v>
      </c>
      <c r="D748" s="114"/>
    </row>
    <row r="749" spans="1:4" ht="15.75" outlineLevel="1">
      <c r="A749" s="40" t="s">
        <v>1109</v>
      </c>
      <c r="B749" s="41" t="s">
        <v>169</v>
      </c>
      <c r="C749" s="40">
        <v>5.59</v>
      </c>
      <c r="D749" s="114"/>
    </row>
    <row r="750" spans="1:4" ht="15.75" outlineLevel="1">
      <c r="A750" s="40" t="s">
        <v>1109</v>
      </c>
      <c r="B750" s="41" t="s">
        <v>18</v>
      </c>
      <c r="C750" s="40">
        <v>5.54</v>
      </c>
      <c r="D750" s="114"/>
    </row>
    <row r="751" spans="1:4" ht="15.75" outlineLevel="1">
      <c r="A751" s="40" t="s">
        <v>1109</v>
      </c>
      <c r="B751" s="41" t="s">
        <v>20</v>
      </c>
      <c r="C751" s="40">
        <v>5.63</v>
      </c>
      <c r="D751" s="114"/>
    </row>
    <row r="752" spans="1:4" ht="15.75" outlineLevel="1">
      <c r="A752" s="40" t="s">
        <v>1109</v>
      </c>
      <c r="B752" s="41" t="s">
        <v>21</v>
      </c>
      <c r="C752" s="40">
        <v>5.65</v>
      </c>
      <c r="D752" s="114"/>
    </row>
    <row r="753" spans="1:4" ht="15.75" outlineLevel="1">
      <c r="A753" s="40" t="s">
        <v>1109</v>
      </c>
      <c r="B753" s="41" t="s">
        <v>22</v>
      </c>
      <c r="C753" s="40">
        <v>5.68</v>
      </c>
      <c r="D753" s="114"/>
    </row>
    <row r="754" spans="1:4" ht="15.75" outlineLevel="1">
      <c r="A754" s="40" t="s">
        <v>1109</v>
      </c>
      <c r="B754" s="41" t="s">
        <v>24</v>
      </c>
      <c r="C754" s="40">
        <v>5.47</v>
      </c>
      <c r="D754" s="114"/>
    </row>
    <row r="755" spans="1:4" ht="15.75" outlineLevel="1">
      <c r="A755" s="40" t="s">
        <v>1109</v>
      </c>
      <c r="B755" s="41" t="s">
        <v>25</v>
      </c>
      <c r="C755" s="40">
        <v>5.48</v>
      </c>
      <c r="D755" s="114"/>
    </row>
    <row r="756" spans="1:4" ht="15.75">
      <c r="A756" s="46" t="s">
        <v>1109</v>
      </c>
      <c r="B756" s="41"/>
      <c r="C756" s="40"/>
      <c r="D756" s="114"/>
    </row>
    <row r="757" spans="1:4" ht="15.75" outlineLevel="1">
      <c r="A757" s="40" t="s">
        <v>1217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1217</v>
      </c>
      <c r="B758" s="41" t="s">
        <v>1</v>
      </c>
      <c r="C758" s="40">
        <v>5.2</v>
      </c>
      <c r="D758" s="114"/>
    </row>
    <row r="759" spans="1:4" ht="15.75" outlineLevel="1">
      <c r="A759" s="40" t="s">
        <v>1217</v>
      </c>
      <c r="B759" s="41" t="s">
        <v>154</v>
      </c>
      <c r="C759" s="40">
        <v>5.9</v>
      </c>
      <c r="D759" s="113" t="s">
        <v>1157</v>
      </c>
    </row>
    <row r="760" spans="1:4" ht="15.75" outlineLevel="1">
      <c r="A760" s="40" t="s">
        <v>1217</v>
      </c>
      <c r="B760" s="41" t="s">
        <v>155</v>
      </c>
      <c r="C760" s="40">
        <v>5.13</v>
      </c>
      <c r="D760" s="114"/>
    </row>
    <row r="761" spans="1:4" ht="15.75" outlineLevel="1">
      <c r="A761" s="40" t="s">
        <v>1217</v>
      </c>
      <c r="B761" s="41" t="s">
        <v>156</v>
      </c>
      <c r="C761" s="40">
        <v>5.16</v>
      </c>
      <c r="D761" s="113" t="s">
        <v>1157</v>
      </c>
    </row>
    <row r="762" spans="1:4" ht="15.75" outlineLevel="1">
      <c r="A762" s="40" t="s">
        <v>1217</v>
      </c>
      <c r="B762" s="41" t="s">
        <v>157</v>
      </c>
      <c r="C762" s="40">
        <v>5.22</v>
      </c>
      <c r="D762" s="113"/>
    </row>
    <row r="763" spans="1:4" ht="15.75" outlineLevel="1">
      <c r="A763" s="40" t="s">
        <v>1217</v>
      </c>
      <c r="B763" s="41" t="s">
        <v>158</v>
      </c>
      <c r="C763" s="40">
        <v>5.42</v>
      </c>
      <c r="D763" s="114"/>
    </row>
    <row r="764" spans="1:4" ht="15.75" outlineLevel="1">
      <c r="A764" s="40" t="s">
        <v>1217</v>
      </c>
      <c r="B764" s="41" t="s">
        <v>6</v>
      </c>
      <c r="C764" s="40">
        <v>5.27</v>
      </c>
      <c r="D764" s="114"/>
    </row>
    <row r="765" spans="1:4" ht="15.75" outlineLevel="1">
      <c r="A765" s="40" t="s">
        <v>1217</v>
      </c>
      <c r="B765" s="41" t="s">
        <v>7</v>
      </c>
      <c r="C765" s="40">
        <v>5.28</v>
      </c>
      <c r="D765" s="113" t="s">
        <v>1157</v>
      </c>
    </row>
    <row r="766" spans="1:4" ht="15.75" outlineLevel="1">
      <c r="A766" s="40" t="s">
        <v>1217</v>
      </c>
      <c r="B766" s="41" t="s">
        <v>159</v>
      </c>
      <c r="C766" s="40">
        <v>5.36</v>
      </c>
      <c r="D766" s="114"/>
    </row>
    <row r="767" spans="1:4" ht="15.75" outlineLevel="1">
      <c r="A767" s="40" t="s">
        <v>1217</v>
      </c>
      <c r="B767" s="41" t="s">
        <v>9</v>
      </c>
      <c r="C767" s="40">
        <v>5.49</v>
      </c>
      <c r="D767" s="114"/>
    </row>
    <row r="768" spans="1:4" ht="15.75" outlineLevel="1">
      <c r="A768" s="40" t="s">
        <v>1217</v>
      </c>
      <c r="B768" s="41" t="s">
        <v>10</v>
      </c>
      <c r="C768" s="40">
        <v>5.51</v>
      </c>
      <c r="D768" s="114"/>
    </row>
    <row r="769" spans="1:4" ht="15.75" outlineLevel="1">
      <c r="A769" s="40" t="s">
        <v>1217</v>
      </c>
      <c r="B769" s="41" t="s">
        <v>1206</v>
      </c>
      <c r="C769" s="40">
        <v>5.52</v>
      </c>
      <c r="D769" s="114"/>
    </row>
    <row r="770" spans="1:4" ht="15.75" outlineLevel="1">
      <c r="A770" s="40" t="s">
        <v>1217</v>
      </c>
      <c r="B770" s="41" t="s">
        <v>11</v>
      </c>
      <c r="C770" s="40">
        <v>5.53</v>
      </c>
      <c r="D770" s="114"/>
    </row>
    <row r="771" spans="1:4" ht="15.75" outlineLevel="1">
      <c r="A771" s="40" t="s">
        <v>1217</v>
      </c>
      <c r="B771" s="41" t="s">
        <v>18</v>
      </c>
      <c r="C771" s="40">
        <v>5.54</v>
      </c>
      <c r="D771" s="114"/>
    </row>
    <row r="772" spans="1:4" ht="15.75" outlineLevel="1">
      <c r="A772" s="40" t="s">
        <v>1217</v>
      </c>
      <c r="B772" s="41" t="s">
        <v>14</v>
      </c>
      <c r="C772" s="42">
        <v>5.7</v>
      </c>
      <c r="D772" s="114"/>
    </row>
    <row r="773" spans="1:4" ht="15.75" outlineLevel="1">
      <c r="A773" s="40" t="s">
        <v>1217</v>
      </c>
      <c r="B773" s="41" t="s">
        <v>161</v>
      </c>
      <c r="C773" s="40">
        <v>5.71</v>
      </c>
      <c r="D773" s="114"/>
    </row>
    <row r="774" spans="1:4" ht="15.75" outlineLevel="1">
      <c r="A774" s="40" t="s">
        <v>1217</v>
      </c>
      <c r="B774" s="41" t="s">
        <v>162</v>
      </c>
      <c r="C774" s="42">
        <v>5.9</v>
      </c>
      <c r="D774" s="114"/>
    </row>
    <row r="775" spans="1:4" ht="15.75" outlineLevel="1">
      <c r="A775" s="40" t="s">
        <v>1217</v>
      </c>
      <c r="B775" s="41" t="s">
        <v>163</v>
      </c>
      <c r="C775" s="40">
        <v>5.91</v>
      </c>
      <c r="D775" s="114"/>
    </row>
    <row r="776" spans="1:4" ht="15.75" outlineLevel="1">
      <c r="A776" s="40" t="s">
        <v>1217</v>
      </c>
      <c r="B776" s="41" t="s">
        <v>164</v>
      </c>
      <c r="C776" s="40">
        <v>5.97</v>
      </c>
      <c r="D776" s="114"/>
    </row>
    <row r="777" spans="1:4" ht="15.75">
      <c r="A777" s="46" t="s">
        <v>1217</v>
      </c>
      <c r="B777" s="41"/>
      <c r="C777" s="40"/>
      <c r="D777" s="114"/>
    </row>
    <row r="778" spans="1:4" ht="15.75" outlineLevel="1">
      <c r="A778" s="40" t="s">
        <v>1144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1144</v>
      </c>
      <c r="B779" s="41" t="s">
        <v>1</v>
      </c>
      <c r="C779" s="40">
        <v>5.2</v>
      </c>
      <c r="D779" s="114"/>
    </row>
    <row r="780" spans="1:4" ht="15.75" outlineLevel="1">
      <c r="A780" s="40" t="s">
        <v>1144</v>
      </c>
      <c r="B780" s="41" t="s">
        <v>5</v>
      </c>
      <c r="C780" s="40">
        <v>5.26</v>
      </c>
      <c r="D780" s="114"/>
    </row>
    <row r="781" spans="1:4" ht="15.75" outlineLevel="1">
      <c r="A781" s="40" t="s">
        <v>1144</v>
      </c>
      <c r="B781" s="41" t="s">
        <v>243</v>
      </c>
      <c r="C781" s="40">
        <v>5.5</v>
      </c>
      <c r="D781" s="114"/>
    </row>
    <row r="782" spans="1:4" ht="15.75" outlineLevel="1">
      <c r="A782" s="40" t="s">
        <v>1144</v>
      </c>
      <c r="B782" s="41" t="s">
        <v>244</v>
      </c>
      <c r="C782" s="40">
        <v>5.8</v>
      </c>
      <c r="D782" s="113" t="s">
        <v>1157</v>
      </c>
    </row>
    <row r="783" spans="1:4" ht="15.75" outlineLevel="1">
      <c r="A783" s="40" t="s">
        <v>1144</v>
      </c>
      <c r="B783" s="41" t="s">
        <v>245</v>
      </c>
      <c r="C783" s="40">
        <v>5.12</v>
      </c>
      <c r="D783" s="40"/>
    </row>
    <row r="784" spans="1:4" ht="15.75" outlineLevel="1">
      <c r="A784" s="40" t="s">
        <v>1144</v>
      </c>
      <c r="B784" s="41" t="s">
        <v>246</v>
      </c>
      <c r="C784" s="40">
        <v>5.15</v>
      </c>
      <c r="D784" s="40"/>
    </row>
    <row r="785" spans="1:4" ht="15.75" outlineLevel="1">
      <c r="A785" s="40" t="s">
        <v>1144</v>
      </c>
      <c r="B785" s="41" t="s">
        <v>247</v>
      </c>
      <c r="C785" s="42">
        <v>5.2</v>
      </c>
      <c r="D785" s="113"/>
    </row>
    <row r="786" spans="1:4" ht="15.75" outlineLevel="1">
      <c r="A786" s="40" t="s">
        <v>1144</v>
      </c>
      <c r="B786" s="41" t="s">
        <v>248</v>
      </c>
      <c r="C786" s="40">
        <v>5.25</v>
      </c>
      <c r="D786" s="40"/>
    </row>
    <row r="787" spans="1:4" ht="15.75" outlineLevel="1">
      <c r="A787" s="40" t="s">
        <v>1144</v>
      </c>
      <c r="B787" s="41" t="s">
        <v>11</v>
      </c>
      <c r="C787" s="40">
        <v>5.53</v>
      </c>
      <c r="D787" s="40"/>
    </row>
    <row r="788" spans="1:4" ht="15.75" outlineLevel="1">
      <c r="A788" s="40" t="s">
        <v>1144</v>
      </c>
      <c r="B788" s="41" t="s">
        <v>249</v>
      </c>
      <c r="C788" s="42">
        <v>5.4</v>
      </c>
      <c r="D788" s="40"/>
    </row>
    <row r="789" spans="1:4" ht="31.5" outlineLevel="1">
      <c r="A789" s="40" t="s">
        <v>1144</v>
      </c>
      <c r="B789" s="41" t="s">
        <v>250</v>
      </c>
      <c r="C789" s="40">
        <v>5.92</v>
      </c>
      <c r="D789" s="40"/>
    </row>
    <row r="790" spans="1:4" ht="15.75" outlineLevel="1">
      <c r="A790" s="40" t="s">
        <v>1144</v>
      </c>
      <c r="B790" s="41" t="s">
        <v>251</v>
      </c>
      <c r="C790" s="40">
        <v>5.93</v>
      </c>
      <c r="D790" s="40"/>
    </row>
    <row r="791" spans="1:4" ht="31.5" outlineLevel="1">
      <c r="A791" s="40" t="s">
        <v>1144</v>
      </c>
      <c r="B791" s="41" t="s">
        <v>252</v>
      </c>
      <c r="C791" s="40">
        <v>5.94</v>
      </c>
      <c r="D791" s="40"/>
    </row>
    <row r="792" spans="1:4" ht="15.75" outlineLevel="1">
      <c r="A792" s="40" t="s">
        <v>1144</v>
      </c>
      <c r="B792" s="41" t="s">
        <v>253</v>
      </c>
      <c r="C792" s="40">
        <v>5.95</v>
      </c>
      <c r="D792" s="40"/>
    </row>
    <row r="793" spans="1:4" ht="15.75" outlineLevel="1">
      <c r="A793" s="40" t="s">
        <v>1144</v>
      </c>
      <c r="B793" s="41" t="s">
        <v>254</v>
      </c>
      <c r="C793" s="40">
        <v>5.98</v>
      </c>
      <c r="D793" s="40"/>
    </row>
    <row r="794" spans="1:4" ht="15.75" outlineLevel="1">
      <c r="A794" s="40" t="s">
        <v>1144</v>
      </c>
      <c r="B794" s="41" t="s">
        <v>255</v>
      </c>
      <c r="C794" s="40">
        <v>5.96</v>
      </c>
      <c r="D794" s="40"/>
    </row>
    <row r="795" spans="1:4" ht="31.5">
      <c r="A795" s="46" t="s">
        <v>1144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1231</v>
      </c>
    </row>
    <row r="3" spans="1:2">
      <c r="A3" t="s">
        <v>1232</v>
      </c>
      <c r="B3" t="s">
        <v>1233</v>
      </c>
    </row>
    <row r="4" spans="1:2">
      <c r="A4" t="s">
        <v>230</v>
      </c>
      <c r="B4" t="s">
        <v>1234</v>
      </c>
    </row>
    <row r="5" spans="1:2">
      <c r="A5" t="s">
        <v>1235</v>
      </c>
      <c r="B5" t="s">
        <v>1236</v>
      </c>
    </row>
    <row r="6" spans="1:2">
      <c r="A6" t="s">
        <v>1237</v>
      </c>
      <c r="B6" t="s">
        <v>1238</v>
      </c>
    </row>
    <row r="7" spans="1:2">
      <c r="A7" t="s">
        <v>1239</v>
      </c>
      <c r="B7" t="s">
        <v>1240</v>
      </c>
    </row>
    <row r="8" spans="1:2">
      <c r="A8" t="s">
        <v>1241</v>
      </c>
      <c r="B8" t="s">
        <v>1242</v>
      </c>
    </row>
    <row r="10" spans="1:2" ht="15">
      <c r="A10" s="26" t="s">
        <v>1243</v>
      </c>
    </row>
    <row r="11" spans="1:2">
      <c r="A11" t="s">
        <v>1244</v>
      </c>
    </row>
    <row r="12" spans="1:2">
      <c r="A12" t="s">
        <v>1245</v>
      </c>
      <c r="B12" t="s">
        <v>1246</v>
      </c>
    </row>
    <row r="14" spans="1:2">
      <c r="A14" s="39"/>
    </row>
    <row r="15" spans="1:2" ht="15">
      <c r="A15" s="26" t="s">
        <v>1247</v>
      </c>
    </row>
    <row r="16" spans="1:2">
      <c r="A16" s="37" t="s">
        <v>1248</v>
      </c>
    </row>
    <row r="17" spans="1:2">
      <c r="A17" s="37" t="s">
        <v>1249</v>
      </c>
    </row>
    <row r="18" spans="1:2">
      <c r="A18" s="37" t="s">
        <v>1250</v>
      </c>
    </row>
    <row r="19" spans="1:2">
      <c r="A19" s="37" t="s">
        <v>1251</v>
      </c>
    </row>
    <row r="21" spans="1:2" ht="15">
      <c r="A21" s="38" t="s">
        <v>1252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1253</v>
      </c>
      <c r="B34" s="26" t="s">
        <v>363</v>
      </c>
    </row>
    <row r="35" spans="1:2">
      <c r="A35" s="18" t="s">
        <v>1254</v>
      </c>
      <c r="B35" s="45">
        <v>512310509</v>
      </c>
    </row>
    <row r="36" spans="1:2">
      <c r="A36" t="s">
        <v>1255</v>
      </c>
      <c r="B36" s="45">
        <v>513910703</v>
      </c>
    </row>
    <row r="37" spans="1:2">
      <c r="A37" t="s">
        <v>1256</v>
      </c>
      <c r="B37" s="45">
        <v>512304882</v>
      </c>
    </row>
    <row r="38" spans="1:2">
      <c r="A38" t="s">
        <v>1257</v>
      </c>
      <c r="B38" s="45">
        <v>520030677</v>
      </c>
    </row>
    <row r="39" spans="1:2">
      <c r="A39" t="s">
        <v>1258</v>
      </c>
      <c r="B39" s="45">
        <v>513621110</v>
      </c>
    </row>
    <row r="40" spans="1:2">
      <c r="A40" t="s">
        <v>1259</v>
      </c>
      <c r="B40" s="18">
        <v>513173393</v>
      </c>
    </row>
    <row r="41" spans="1:2">
      <c r="A41" t="s">
        <v>1260</v>
      </c>
      <c r="B41" s="18">
        <v>511880460</v>
      </c>
    </row>
    <row r="42" spans="1:2">
      <c r="A42" t="s">
        <v>1261</v>
      </c>
      <c r="B42" s="18">
        <v>510773922</v>
      </c>
    </row>
    <row r="43" spans="1:2">
      <c r="A43" t="s">
        <v>1262</v>
      </c>
      <c r="B43">
        <v>520021916</v>
      </c>
    </row>
    <row r="44" spans="1:2">
      <c r="A44" t="s">
        <v>1263</v>
      </c>
      <c r="B44">
        <v>520044025</v>
      </c>
    </row>
    <row r="45" spans="1:2">
      <c r="A45" t="s">
        <v>1264</v>
      </c>
      <c r="B45">
        <v>570003152</v>
      </c>
    </row>
    <row r="46" spans="1:2">
      <c r="A46" t="s">
        <v>1265</v>
      </c>
      <c r="B46" s="18">
        <v>520023094</v>
      </c>
    </row>
    <row r="47" spans="1:2">
      <c r="A47" t="s">
        <v>1266</v>
      </c>
      <c r="B47" s="18">
        <v>512711409</v>
      </c>
    </row>
    <row r="48" spans="1:2">
      <c r="A48" t="s">
        <v>1267</v>
      </c>
      <c r="B48">
        <v>515859379</v>
      </c>
    </row>
    <row r="49" spans="1:2">
      <c r="A49" t="s">
        <v>1268</v>
      </c>
      <c r="B49" s="18">
        <v>520030990</v>
      </c>
    </row>
    <row r="50" spans="1:2">
      <c r="A50" t="s">
        <v>1269</v>
      </c>
      <c r="B50" s="18">
        <v>520028812</v>
      </c>
    </row>
    <row r="51" spans="1:2">
      <c r="A51" t="s">
        <v>1270</v>
      </c>
      <c r="B51" s="18">
        <v>520034968</v>
      </c>
    </row>
    <row r="52" spans="1:2">
      <c r="A52" t="s">
        <v>1271</v>
      </c>
      <c r="B52" s="18">
        <v>520031824</v>
      </c>
    </row>
    <row r="53" spans="1:2">
      <c r="A53" t="s">
        <v>1272</v>
      </c>
      <c r="B53" s="18">
        <v>520005497</v>
      </c>
    </row>
    <row r="54" spans="1:2">
      <c r="A54" t="s">
        <v>1273</v>
      </c>
      <c r="B54" s="18">
        <v>520022518</v>
      </c>
    </row>
    <row r="55" spans="1:2">
      <c r="A55" t="s">
        <v>1274</v>
      </c>
      <c r="B55" s="18">
        <v>520028556</v>
      </c>
    </row>
    <row r="56" spans="1:2">
      <c r="A56" t="s">
        <v>1275</v>
      </c>
      <c r="B56" s="18">
        <v>520032269</v>
      </c>
    </row>
    <row r="57" spans="1:2">
      <c r="A57" t="s">
        <v>1276</v>
      </c>
      <c r="B57" s="18">
        <v>520027954</v>
      </c>
    </row>
    <row r="58" spans="1:2">
      <c r="A58" t="s">
        <v>1277</v>
      </c>
      <c r="B58">
        <v>520029620</v>
      </c>
    </row>
    <row r="59" spans="1:2">
      <c r="A59" t="s">
        <v>1278</v>
      </c>
      <c r="B59" s="18">
        <v>520028861</v>
      </c>
    </row>
    <row r="60" spans="1:2">
      <c r="A60" t="s">
        <v>1279</v>
      </c>
      <c r="B60" s="18">
        <v>520030743</v>
      </c>
    </row>
    <row r="61" spans="1:2">
      <c r="A61" t="s">
        <v>1280</v>
      </c>
      <c r="B61">
        <v>520042177</v>
      </c>
    </row>
    <row r="62" spans="1:2">
      <c r="A62" t="s">
        <v>1281</v>
      </c>
      <c r="B62" s="18">
        <v>515447035</v>
      </c>
    </row>
    <row r="63" spans="1:2">
      <c r="A63" t="s">
        <v>1282</v>
      </c>
      <c r="B63" s="18">
        <v>520042607</v>
      </c>
    </row>
    <row r="64" spans="1:2">
      <c r="A64" t="s">
        <v>1283</v>
      </c>
      <c r="B64" s="18">
        <v>513026484</v>
      </c>
    </row>
    <row r="65" spans="1:2">
      <c r="A65" t="s">
        <v>1284</v>
      </c>
      <c r="B65">
        <v>520023185</v>
      </c>
    </row>
    <row r="66" spans="1:2">
      <c r="A66" t="s">
        <v>1285</v>
      </c>
      <c r="B66">
        <v>520004078</v>
      </c>
    </row>
    <row r="67" spans="1:2">
      <c r="A67" t="s">
        <v>1286</v>
      </c>
      <c r="B67" s="18">
        <v>512267592</v>
      </c>
    </row>
    <row r="68" spans="1:2">
      <c r="A68" t="s">
        <v>1287</v>
      </c>
      <c r="B68">
        <v>515764868</v>
      </c>
    </row>
    <row r="69" spans="1:2">
      <c r="A69" t="s">
        <v>1288</v>
      </c>
      <c r="B69" s="18">
        <v>513452003</v>
      </c>
    </row>
    <row r="70" spans="1:2">
      <c r="A70" t="s">
        <v>1289</v>
      </c>
      <c r="B70" s="18">
        <v>510142789</v>
      </c>
    </row>
    <row r="71" spans="1:2">
      <c r="A71" t="s">
        <v>1290</v>
      </c>
      <c r="B71" s="18">
        <v>510960586</v>
      </c>
    </row>
    <row r="72" spans="1:2">
      <c r="A72" t="s">
        <v>1291</v>
      </c>
      <c r="B72" s="18">
        <v>510930670</v>
      </c>
    </row>
    <row r="73" spans="1:2">
      <c r="A73" t="s">
        <v>1292</v>
      </c>
      <c r="B73" s="18">
        <v>510927536</v>
      </c>
    </row>
    <row r="74" spans="1:2">
      <c r="A74" t="s">
        <v>1293</v>
      </c>
      <c r="B74" s="18">
        <v>510930654</v>
      </c>
    </row>
    <row r="75" spans="1:2">
      <c r="A75" t="s">
        <v>1294</v>
      </c>
      <c r="B75" s="18">
        <v>520032566</v>
      </c>
    </row>
    <row r="76" spans="1:2">
      <c r="A76" t="s">
        <v>1295</v>
      </c>
      <c r="B76" s="18">
        <v>513611509</v>
      </c>
    </row>
    <row r="77" spans="1:2">
      <c r="A77" t="s">
        <v>1296</v>
      </c>
      <c r="B77">
        <v>510888985</v>
      </c>
    </row>
    <row r="78" spans="1:2">
      <c r="A78" t="s">
        <v>1297</v>
      </c>
      <c r="B78">
        <v>520024647</v>
      </c>
    </row>
    <row r="79" spans="1:2">
      <c r="A79" t="s">
        <v>1298</v>
      </c>
      <c r="B79" s="18">
        <v>512244146</v>
      </c>
    </row>
    <row r="80" spans="1:2">
      <c r="A80" t="s">
        <v>1299</v>
      </c>
      <c r="B80" s="18">
        <v>510694821</v>
      </c>
    </row>
    <row r="81" spans="1:2">
      <c r="A81" t="s">
        <v>1300</v>
      </c>
      <c r="B81">
        <v>515761625</v>
      </c>
    </row>
    <row r="82" spans="1:2">
      <c r="A82" t="s">
        <v>1301</v>
      </c>
      <c r="B82" s="18">
        <v>511423048</v>
      </c>
    </row>
    <row r="83" spans="1:2">
      <c r="A83" t="s">
        <v>1302</v>
      </c>
      <c r="B83" s="18">
        <v>520019688</v>
      </c>
    </row>
    <row r="84" spans="1:2">
      <c r="A84" t="s">
        <v>1303</v>
      </c>
      <c r="B84">
        <v>520004896</v>
      </c>
    </row>
    <row r="85" spans="1:2">
      <c r="A85" t="s">
        <v>1304</v>
      </c>
      <c r="B85" s="18">
        <v>512237744</v>
      </c>
    </row>
    <row r="86" spans="1:2">
      <c r="A86" t="s">
        <v>1305</v>
      </c>
      <c r="B86" s="18">
        <v>514956465</v>
      </c>
    </row>
    <row r="87" spans="1:2">
      <c r="A87" t="s">
        <v>1306</v>
      </c>
      <c r="B87" s="18">
        <v>512362914</v>
      </c>
    </row>
    <row r="88" spans="1:2">
      <c r="A88" t="s">
        <v>1307</v>
      </c>
      <c r="B88" s="18">
        <v>520042615</v>
      </c>
    </row>
    <row r="89" spans="1:2">
      <c r="A89" t="s">
        <v>1308</v>
      </c>
      <c r="B89" s="18">
        <v>512065202</v>
      </c>
    </row>
    <row r="90" spans="1:2">
      <c r="A90" t="s">
        <v>1309</v>
      </c>
      <c r="B90">
        <v>520042540</v>
      </c>
    </row>
    <row r="91" spans="1:2">
      <c r="A91" t="s">
        <v>1310</v>
      </c>
      <c r="B91" s="18">
        <v>520027715</v>
      </c>
    </row>
    <row r="92" spans="1:2">
      <c r="A92" t="s">
        <v>1311</v>
      </c>
      <c r="B92" s="18">
        <v>512245812</v>
      </c>
    </row>
    <row r="93" spans="1:2">
      <c r="A93" t="s">
        <v>1312</v>
      </c>
      <c r="B93" s="18">
        <v>520022351</v>
      </c>
    </row>
    <row r="94" spans="1:2">
      <c r="A94" t="s">
        <v>1313</v>
      </c>
      <c r="B94" s="18">
        <v>514767490</v>
      </c>
    </row>
    <row r="95" spans="1:2">
      <c r="A95" t="s">
        <v>1314</v>
      </c>
      <c r="B95" s="18">
        <v>520024985</v>
      </c>
    </row>
    <row r="96" spans="1:2">
      <c r="A96" t="s">
        <v>1315</v>
      </c>
      <c r="B96" s="18">
        <v>520042573</v>
      </c>
    </row>
    <row r="97" spans="1:2">
      <c r="A97" t="s">
        <v>1316</v>
      </c>
      <c r="B97" s="18">
        <v>570009449</v>
      </c>
    </row>
    <row r="98" spans="1:2">
      <c r="A98" t="s">
        <v>1317</v>
      </c>
      <c r="B98" s="18">
        <v>520031659</v>
      </c>
    </row>
    <row r="99" spans="1:2">
      <c r="A99" t="s">
        <v>1318</v>
      </c>
      <c r="B99" s="18">
        <v>520042581</v>
      </c>
    </row>
    <row r="100" spans="1:2">
      <c r="A100" t="s">
        <v>1319</v>
      </c>
      <c r="B100">
        <v>520031030</v>
      </c>
    </row>
    <row r="101" spans="1:2">
      <c r="A101" t="s">
        <v>1320</v>
      </c>
      <c r="B101" s="18">
        <v>520030941</v>
      </c>
    </row>
    <row r="102" spans="1:2">
      <c r="A102" t="s">
        <v>1321</v>
      </c>
      <c r="B102" s="18">
        <v>512008335</v>
      </c>
    </row>
    <row r="103" spans="1:2">
      <c r="A103" t="s">
        <v>1322</v>
      </c>
      <c r="B103" s="18">
        <v>520022963</v>
      </c>
    </row>
    <row r="104" spans="1:2">
      <c r="A104" t="s">
        <v>1323</v>
      </c>
      <c r="B104" s="18">
        <v>570011767</v>
      </c>
    </row>
    <row r="105" spans="1:2">
      <c r="A105" t="s">
        <v>1324</v>
      </c>
      <c r="B105" s="18">
        <v>570014928</v>
      </c>
    </row>
    <row r="106" spans="1:2">
      <c r="A106" t="s">
        <v>1325</v>
      </c>
      <c r="B106" s="18">
        <v>570005959</v>
      </c>
    </row>
    <row r="107" spans="1:2">
      <c r="A107" t="s">
        <v>1326</v>
      </c>
      <c r="B107" s="18">
        <v>510800402</v>
      </c>
    </row>
    <row r="108" spans="1:2">
      <c r="A108" t="s">
        <v>1327</v>
      </c>
      <c r="B108" s="18">
        <v>570007476</v>
      </c>
    </row>
    <row r="109" spans="1:2">
      <c r="A109" t="s">
        <v>1328</v>
      </c>
      <c r="B109" s="18">
        <v>570005850</v>
      </c>
    </row>
    <row r="110" spans="1:2">
      <c r="A110" t="s">
        <v>1329</v>
      </c>
      <c r="B110" s="18">
        <v>520020504</v>
      </c>
    </row>
    <row r="111" spans="1:2">
      <c r="A111" t="s">
        <v>1330</v>
      </c>
      <c r="B111" s="18">
        <v>520020447</v>
      </c>
    </row>
    <row r="112" spans="1:2">
      <c r="A112" t="s">
        <v>1331</v>
      </c>
      <c r="B112" s="18">
        <v>511033060</v>
      </c>
    </row>
    <row r="113" spans="1:2">
      <c r="A113" t="s">
        <v>1332</v>
      </c>
      <c r="B113">
        <v>520027848</v>
      </c>
    </row>
    <row r="114" spans="1:2">
      <c r="A114" t="s">
        <v>1333</v>
      </c>
      <c r="B114" s="18">
        <v>570009852</v>
      </c>
    </row>
    <row r="115" spans="1:2">
      <c r="A115" t="s">
        <v>1334</v>
      </c>
      <c r="B115" s="18">
        <v>520027251</v>
      </c>
    </row>
    <row r="116" spans="1:2">
      <c r="A116" t="s">
        <v>1335</v>
      </c>
      <c r="B116" s="18">
        <v>520028390</v>
      </c>
    </row>
    <row r="117" spans="1:2">
      <c r="A117" t="s">
        <v>1336</v>
      </c>
      <c r="B117" s="18">
        <v>510806870</v>
      </c>
    </row>
    <row r="118" spans="1:2">
      <c r="A118" t="s">
        <v>1337</v>
      </c>
      <c r="B118">
        <v>513879189</v>
      </c>
    </row>
    <row r="119" spans="1:2">
      <c r="A119" t="s">
        <v>1338</v>
      </c>
      <c r="B119">
        <v>510015951</v>
      </c>
    </row>
    <row r="120" spans="1:2">
      <c r="A120" t="s">
        <v>1339</v>
      </c>
      <c r="B120" s="18">
        <v>520030693</v>
      </c>
    </row>
    <row r="121" spans="1:2">
      <c r="A121" t="s">
        <v>1340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Levi Efrat</cp:lastModifiedBy>
  <cp:lastPrinted>2022-08-08T09:16:18Z</cp:lastPrinted>
  <dcterms:created xsi:type="dcterms:W3CDTF">2021-05-03T04:41:48Z</dcterms:created>
  <dcterms:modified xsi:type="dcterms:W3CDTF">2024-12-22T07:54:16Z</dcterms:modified>
</cp:coreProperties>
</file>