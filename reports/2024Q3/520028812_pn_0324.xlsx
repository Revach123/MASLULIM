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bookViews>
    <workbookView xWindow="0" yWindow="0" windowWidth="28800" windowHeight="12360" tabRatio="960" activeTab="5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, מב&quot;כ ויה&quot;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, מב&quot;כ ויה&quot;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יות להשקעה" sheetId="31" r:id="rId31"/>
  </sheets>
  <calcPr calcId="162913"/>
</workbook>
</file>

<file path=xl/calcChain.xml><?xml version="1.0" encoding="utf-8"?>
<calcChain xmlns="http://schemas.openxmlformats.org/spreadsheetml/2006/main">
  <c r="V5" i="26" l="1"/>
  <c r="E2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B29" i="2"/>
</calcChain>
</file>

<file path=xl/sharedStrings.xml><?xml version="1.0" encoding="utf-8"?>
<sst xmlns="http://schemas.openxmlformats.org/spreadsheetml/2006/main" count="2835" uniqueCount="771">
  <si>
    <t/>
  </si>
  <si>
    <t>קובץ דיווח עבור רשימת נכסים ברמת הנכס הבודד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</si>
  <si>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</si>
  <si>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</si>
  <si>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</si>
  <si>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</si>
  <si>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</si>
  <si>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</si>
  <si>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</si>
  <si>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</si>
  <si>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</si>
  <si>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</si>
  <si>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520028812_pn_0324.xls</t>
  </si>
  <si>
    <t>פרטי האחראי על הדיווח בגוף המוסדי</t>
  </si>
  <si>
    <t>:שם</t>
  </si>
  <si>
    <t>:מספר טלפון</t>
  </si>
  <si>
    <t>:כתובת מייל</t>
  </si>
  <si>
    <t>(שווי הוגן (באלפי ש"ח</t>
  </si>
  <si>
    <t>עלות מופחתת</t>
  </si>
  <si>
    <t>השיטה שיושמה בדוח הכספי</t>
  </si>
  <si>
    <t>שעור מסך נכסי השקעה</t>
  </si>
  <si>
    <t>מזומנים ושווי מזומנים</t>
  </si>
  <si>
    <t>שווי הוגן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</si>
  <si>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</si>
  <si>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</si>
  <si>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</si>
  <si>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</si>
  <si>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2.060%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</si>
  <si>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</si>
  <si>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</si>
  <si>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</si>
  <si>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</si>
  <si>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</si>
  <si>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</si>
  <si>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</si>
  <si>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</si>
  <si>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</si>
  <si>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</si>
  <si>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</si>
  <si>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2.070%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</si>
  <si>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</si>
  <si>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</si>
  <si>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</si>
  <si>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</si>
  <si>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</si>
  <si>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</si>
  <si>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</si>
  <si>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</si>
  <si>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</si>
  <si>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</si>
  <si>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</si>
  <si>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</si>
  <si>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100.000%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</si>
  <si>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</si>
  <si>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</si>
  <si>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</si>
  <si>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</si>
  <si>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</si>
  <si>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</si>
  <si>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</si>
  <si>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</si>
  <si>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</si>
  <si>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</si>
  <si>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</si>
  <si>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</si>
  <si>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</si>
  <si>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</si>
  <si>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</si>
  <si>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</si>
  <si>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</si>
  <si>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</si>
  <si>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יתרות פר"י לבהק הפועלים</t>
  </si>
  <si>
    <t>.ח.פ</t>
  </si>
  <si>
    <t>פח"ק/פר"י</t>
  </si>
  <si>
    <t>ישראל</t>
  </si>
  <si>
    <t>לא</t>
  </si>
  <si>
    <t>ilAAA</t>
  </si>
  <si>
    <t>מעלות</t>
  </si>
  <si>
    <t>שקל חדש</t>
  </si>
  <si>
    <t>4.100%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</si>
  <si>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</si>
  <si>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</si>
  <si>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</si>
  <si>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</si>
  <si>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</si>
  <si>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</si>
  <si>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</si>
  <si>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</si>
  <si>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</si>
  <si>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</si>
  <si>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</si>
  <si>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</si>
  <si>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</si>
  <si>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</si>
  <si>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</si>
  <si>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</si>
  <si>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</si>
  <si>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</si>
  <si>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</si>
  <si>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</si>
  <si>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</si>
  <si>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</si>
  <si>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</si>
  <si>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</si>
  <si>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</si>
  <si>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5.15% 30/11/2036 אדמה אגח ב</t>
  </si>
  <si>
    <t>IL0011109159</t>
  </si>
  <si>
    <t>ISIN</t>
  </si>
  <si>
    <t>צמוד למדד המחירים לצרכן</t>
  </si>
  <si>
    <t>סחיר</t>
  </si>
  <si>
    <t>TASE</t>
  </si>
  <si>
    <t>כימיה, גומי ופלסטיק</t>
  </si>
  <si>
    <t>ilAA-</t>
  </si>
  <si>
    <t>S&amp;P מעלות</t>
  </si>
  <si>
    <t>נייר ערך</t>
  </si>
  <si>
    <t>30/11/2036</t>
  </si>
  <si>
    <t>5.150%</t>
  </si>
  <si>
    <t>החוב לא נחות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</si>
  <si>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</si>
  <si>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</si>
  <si>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</si>
  <si>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</si>
  <si>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</si>
  <si>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</si>
  <si>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</si>
  <si>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30/08/2028</t>
  </si>
  <si>
    <t>4.690%</t>
  </si>
  <si>
    <t>7.510%</t>
  </si>
  <si>
    <t>N.V סאפיינס אינטרנשיונל קורפוריישן</t>
  </si>
  <si>
    <t>3.37% 01/01/2026 סאפיינס אגח ב</t>
  </si>
  <si>
    <t>IL0011419368</t>
  </si>
  <si>
    <t>הולנד</t>
  </si>
  <si>
    <t>תוכנה ואינטרנט</t>
  </si>
  <si>
    <t>1/01/2026</t>
  </si>
  <si>
    <t>3.370%</t>
  </si>
  <si>
    <t>6.850%</t>
  </si>
  <si>
    <t>4.69% 30/08/2028 תמר פטרוליום אגח ב</t>
  </si>
  <si>
    <t>IL0011435935</t>
  </si>
  <si>
    <t>7.430%</t>
  </si>
  <si>
    <t>תומר תמלוגי אנרגיה (2012) בע"מ</t>
  </si>
  <si>
    <t>5.48% 30/08/2028 תומר אנרגיה אגח א</t>
  </si>
  <si>
    <t>IL0011474793</t>
  </si>
  <si>
    <t>Aa3.il</t>
  </si>
  <si>
    <t>5.480%</t>
  </si>
  <si>
    <t>6.890%</t>
  </si>
  <si>
    <t>מקורות חברת מים בע"מ</t>
  </si>
  <si>
    <t>2.45% 31/12/2053 11 מקורות אגח</t>
  </si>
  <si>
    <t>IL0011584765</t>
  </si>
  <si>
    <t>שרותים</t>
  </si>
  <si>
    <t>31/12/2053</t>
  </si>
  <si>
    <t>2.450%</t>
  </si>
  <si>
    <t>3.290%</t>
  </si>
  <si>
    <t>ריט 1 בע"מ</t>
  </si>
  <si>
    <t>2.5% 20/09/2034 ריט 1 אגח ז</t>
  </si>
  <si>
    <t>IL0011712713</t>
  </si>
  <si>
    <t>נדל"ן מניב בישראל</t>
  </si>
  <si>
    <t>ilAA</t>
  </si>
  <si>
    <t>20/09/2034</t>
  </si>
  <si>
    <t>2.500%</t>
  </si>
  <si>
    <t>3.390%</t>
  </si>
  <si>
    <t>קבוצת עזריאלי בע"מ</t>
  </si>
  <si>
    <t>1.69% 02/01/2041 עזריאלי אגח ח</t>
  </si>
  <si>
    <t>IL0011786808</t>
  </si>
  <si>
    <t>ilAA+</t>
  </si>
  <si>
    <t>2/01/2041</t>
  </si>
  <si>
    <t>1.690%</t>
  </si>
  <si>
    <t>3.640%</t>
  </si>
  <si>
    <t>קבוצת אשטרום בע"מ</t>
  </si>
  <si>
    <t>0.75% 31/12/2029 אשטרום קב אגח ד</t>
  </si>
  <si>
    <t>IL0011829897</t>
  </si>
  <si>
    <t>בנייה</t>
  </si>
  <si>
    <t>ilA</t>
  </si>
  <si>
    <t>31/12/2029</t>
  </si>
  <si>
    <t>0.750%</t>
  </si>
  <si>
    <t>3.510%</t>
  </si>
  <si>
    <t>חברת החשמל לישראל בע"מ</t>
  </si>
  <si>
    <t>3.2% 12/06/2037 35 חשמל אגח</t>
  </si>
  <si>
    <t>IL0011967994</t>
  </si>
  <si>
    <t>אנרגיה</t>
  </si>
  <si>
    <t>Aa1.il</t>
  </si>
  <si>
    <t>12/06/2037</t>
  </si>
  <si>
    <t>3.200%</t>
  </si>
  <si>
    <t>3.480%</t>
  </si>
  <si>
    <t>בזק החברה הישראלית לתקשורת בע"מ</t>
  </si>
  <si>
    <t>0.58% 01/06/2035 14 בזק אגח</t>
  </si>
  <si>
    <t>IL0023003176</t>
  </si>
  <si>
    <t>תקשורת ומדיה</t>
  </si>
  <si>
    <t>1/06/2035</t>
  </si>
  <si>
    <t>0.580%</t>
  </si>
  <si>
    <t>3.160%</t>
  </si>
  <si>
    <t>אשטרום נכסים בע"מ</t>
  </si>
  <si>
    <t>0.9% 31/12/2030 13 אשטרום נכסים אגח</t>
  </si>
  <si>
    <t>IL0025103032</t>
  </si>
  <si>
    <t>31/12/2030</t>
  </si>
  <si>
    <t>0.900%</t>
  </si>
  <si>
    <t>3.500%</t>
  </si>
  <si>
    <t>החברה לישראל בע"מ</t>
  </si>
  <si>
    <t>3.35% 30/09/2026 13 חברה לישראל אגח</t>
  </si>
  <si>
    <t>IL0057602695</t>
  </si>
  <si>
    <t>השקעה ואחזקות</t>
  </si>
  <si>
    <t>ilA+</t>
  </si>
  <si>
    <t>30/09/2026</t>
  </si>
  <si>
    <t>3.350%</t>
  </si>
  <si>
    <t>6.760%</t>
  </si>
  <si>
    <t>1.25% 30/05/2036 33 חשמל אגח</t>
  </si>
  <si>
    <t>IL0060003923</t>
  </si>
  <si>
    <t>30/05/2036</t>
  </si>
  <si>
    <t>1.250%</t>
  </si>
  <si>
    <t>3.490%</t>
  </si>
  <si>
    <t>כלל החזקות עסקי ביטוח בע"מ</t>
  </si>
  <si>
    <t>כלל עסקי ביטוח</t>
  </si>
  <si>
    <t>IL0002240146</t>
  </si>
  <si>
    <t>מניות</t>
  </si>
  <si>
    <t>ביטוח</t>
  </si>
  <si>
    <t>0.070%</t>
  </si>
  <si>
    <t>9.500%</t>
  </si>
  <si>
    <t>נייס בע"מ</t>
  </si>
  <si>
    <t>נייס מ"ר</t>
  </si>
  <si>
    <t>IL0002730112</t>
  </si>
  <si>
    <t>0.010%</t>
  </si>
  <si>
    <t>8.480%</t>
  </si>
  <si>
    <t>0.170%</t>
  </si>
  <si>
    <t>איי.סי.אל גרופ בע"מ</t>
  </si>
  <si>
    <t>איי.סי.אל</t>
  </si>
  <si>
    <t>IL0002810146</t>
  </si>
  <si>
    <t>0.030%</t>
  </si>
  <si>
    <t>13.510%</t>
  </si>
  <si>
    <t>אלוני-חץ נכסים והשקעות בע"מ</t>
  </si>
  <si>
    <t>אלוני חץ מר</t>
  </si>
  <si>
    <t>IL0003900136</t>
  </si>
  <si>
    <t>0.040%</t>
  </si>
  <si>
    <t>5.180%</t>
  </si>
  <si>
    <t>0.110%</t>
  </si>
  <si>
    <t>מנורה מבטחים החזקות בע"מ</t>
  </si>
  <si>
    <t>מנורה מבטחים החזקות</t>
  </si>
  <si>
    <t>IL0005660183</t>
  </si>
  <si>
    <t>0.060%</t>
  </si>
  <si>
    <t>9.830%</t>
  </si>
  <si>
    <t>הראל השקעות בביטוח ושרותים פיננסים בע"מ</t>
  </si>
  <si>
    <t>הראל השקעות</t>
  </si>
  <si>
    <t>IL0005850180</t>
  </si>
  <si>
    <t>0.100%</t>
  </si>
  <si>
    <t>18.900%</t>
  </si>
  <si>
    <t>0.390%</t>
  </si>
  <si>
    <t>חברת גב ים לקרקעות בע"מ</t>
  </si>
  <si>
    <t>גב-ים</t>
  </si>
  <si>
    <t>IL0007590198</t>
  </si>
  <si>
    <t>5.120%</t>
  </si>
  <si>
    <t>מגדל אחזקות ביטוח ופיננסים בע"מ</t>
  </si>
  <si>
    <t>מגדל אחזקות ביטוח</t>
  </si>
  <si>
    <t>IL0010811656</t>
  </si>
  <si>
    <t>5.510%</t>
  </si>
  <si>
    <t>שיכון ובינוי בע"מ</t>
  </si>
  <si>
    <t>שיכון ובינוי</t>
  </si>
  <si>
    <t>IL0010819428</t>
  </si>
  <si>
    <t>פז-פקדון זר בע"מ</t>
  </si>
  <si>
    <t>פז נפט 5 ש"ח ע"נ</t>
  </si>
  <si>
    <t>IL0011000077</t>
  </si>
  <si>
    <t>7.260%</t>
  </si>
  <si>
    <t>0.150%</t>
  </si>
  <si>
    <t>אשטרום קבוצה</t>
  </si>
  <si>
    <t>IL0011323156</t>
  </si>
  <si>
    <t>1.520%</t>
  </si>
  <si>
    <t>ישראכרט בע"מ</t>
  </si>
  <si>
    <t>ישראכרט</t>
  </si>
  <si>
    <t>IL0011574030</t>
  </si>
  <si>
    <t>שירותים פיננסיים</t>
  </si>
  <si>
    <t>0.120%</t>
  </si>
  <si>
    <t>8.210%</t>
  </si>
  <si>
    <t>טראלייט בע"מ</t>
  </si>
  <si>
    <t>טראלייט</t>
  </si>
  <si>
    <t>IL0011801730</t>
  </si>
  <si>
    <t>אנרגיה מתחדשת</t>
  </si>
  <si>
    <t>0.050%</t>
  </si>
  <si>
    <t>0.590%</t>
  </si>
  <si>
    <t>פז בית זיקוק אשדוד בע"מ</t>
  </si>
  <si>
    <t>בית זיקוק אשדוד</t>
  </si>
  <si>
    <t>IL0011989105</t>
  </si>
  <si>
    <t>1.960%</t>
  </si>
  <si>
    <t>אדגר השקעות ופיתוח בע"מ</t>
  </si>
  <si>
    <t>אדגר מ"ר</t>
  </si>
  <si>
    <t>IL0018200837</t>
  </si>
  <si>
    <t>נדל"ן מניב בחו"ל</t>
  </si>
  <si>
    <t>1.150%</t>
  </si>
  <si>
    <t>מספר מזהה מנפיק</t>
  </si>
  <si>
    <t>סיווג הקרן</t>
  </si>
  <si>
    <t>(ערך נקוב (יחידות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</si>
  <si>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</si>
  <si>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</si>
  <si>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</si>
  <si>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</si>
  <si>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</si>
  <si>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</si>
  <si>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</si>
  <si>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4.80% 2028 8799 ערד סדרה</t>
  </si>
  <si>
    <t>1/02/2013</t>
  </si>
  <si>
    <t>1/02/2028</t>
  </si>
  <si>
    <t>4.800%</t>
  </si>
  <si>
    <t>1.680%</t>
  </si>
  <si>
    <t>1.940%</t>
  </si>
  <si>
    <t>4.8% 2028 8800 ערד סדרה</t>
  </si>
  <si>
    <t>1/03/2013</t>
  </si>
  <si>
    <t>1/03/2028</t>
  </si>
  <si>
    <t>1.710%</t>
  </si>
  <si>
    <t>1.330%</t>
  </si>
  <si>
    <t>4.8% 2028 8801 ערד סדרה</t>
  </si>
  <si>
    <t>2/04/2013</t>
  </si>
  <si>
    <t>2/04/2028</t>
  </si>
  <si>
    <t>0.430%</t>
  </si>
  <si>
    <t>4.8% 2028 8802 ערד סדרה</t>
  </si>
  <si>
    <t>1/05/2013</t>
  </si>
  <si>
    <t>1/05/2028</t>
  </si>
  <si>
    <t>1.700%</t>
  </si>
  <si>
    <t>10.450%</t>
  </si>
  <si>
    <t>4.8% 2028 8803 ערד סדרה</t>
  </si>
  <si>
    <t>2/06/2013</t>
  </si>
  <si>
    <t>2/06/2028</t>
  </si>
  <si>
    <t>1.730%</t>
  </si>
  <si>
    <t>2.620%</t>
  </si>
  <si>
    <t>4.8% 2028 8804 ערד סדרה</t>
  </si>
  <si>
    <t>1/07/2013</t>
  </si>
  <si>
    <t>1/07/2028</t>
  </si>
  <si>
    <t>1.260%</t>
  </si>
  <si>
    <t>4.8% 2028 8805 ערד סדרה</t>
  </si>
  <si>
    <t>1/08/2013</t>
  </si>
  <si>
    <t>1/08/2028</t>
  </si>
  <si>
    <t>0.560%</t>
  </si>
  <si>
    <t>4.8% 2028 8806 ערד סדרה</t>
  </si>
  <si>
    <t>1/09/2013</t>
  </si>
  <si>
    <t>1/09/2028</t>
  </si>
  <si>
    <t>1.750%</t>
  </si>
  <si>
    <t>0.810%</t>
  </si>
  <si>
    <t>4.8% 2028 8807 ערד סדרה</t>
  </si>
  <si>
    <t>1/10/2013</t>
  </si>
  <si>
    <t>1/10/2028</t>
  </si>
  <si>
    <t>0.190%</t>
  </si>
  <si>
    <t>4.8% 2028 8808 ערד סדרה</t>
  </si>
  <si>
    <t>1/11/2013</t>
  </si>
  <si>
    <t>1/11/2028</t>
  </si>
  <si>
    <t>1.320%</t>
  </si>
  <si>
    <t>4.8% 2028 8809 ערד סדרה</t>
  </si>
  <si>
    <t>1/12/2013</t>
  </si>
  <si>
    <t>1/12/2028</t>
  </si>
  <si>
    <t>1.770%</t>
  </si>
  <si>
    <t>4.570%</t>
  </si>
  <si>
    <t>4.80% 2029 8811 ערד סדרה</t>
  </si>
  <si>
    <t>2/02/2014</t>
  </si>
  <si>
    <t>2/02/2029</t>
  </si>
  <si>
    <t>1.640%</t>
  </si>
  <si>
    <t>4.80% 2029 8812 ערד סדרה</t>
  </si>
  <si>
    <t>2/03/2014</t>
  </si>
  <si>
    <t>2/03/2029</t>
  </si>
  <si>
    <t>1.790%</t>
  </si>
  <si>
    <t>1.920%</t>
  </si>
  <si>
    <t>4.80% 2029 8813 ערד סדרה</t>
  </si>
  <si>
    <t>1/04/2014</t>
  </si>
  <si>
    <t>1/04/2029</t>
  </si>
  <si>
    <t>1.310%</t>
  </si>
  <si>
    <t>2029 4.80% 8814 ערד סדרה</t>
  </si>
  <si>
    <t>1/05/2014</t>
  </si>
  <si>
    <t>1/05/2029</t>
  </si>
  <si>
    <t>0.180%</t>
  </si>
  <si>
    <t>2029 4.80% 8815 ערד סדרה</t>
  </si>
  <si>
    <t>1/06/2014</t>
  </si>
  <si>
    <t>1/06/2029</t>
  </si>
  <si>
    <t>1.810%</t>
  </si>
  <si>
    <t>4.480%</t>
  </si>
  <si>
    <t>2029 4.80% 8817 ערד סדרה</t>
  </si>
  <si>
    <t>1/08/2014</t>
  </si>
  <si>
    <t>1/08/2029</t>
  </si>
  <si>
    <t>0.770%</t>
  </si>
  <si>
    <t>4.8% 2029 8819 ערד סדרה</t>
  </si>
  <si>
    <t>1/10/2014</t>
  </si>
  <si>
    <t>1/10/2029</t>
  </si>
  <si>
    <t>1.830%</t>
  </si>
  <si>
    <t>0.220%</t>
  </si>
  <si>
    <t>4.80% 2029 8820 ערד סדרה</t>
  </si>
  <si>
    <t>2/11/2014</t>
  </si>
  <si>
    <t>2/11/2029</t>
  </si>
  <si>
    <t>0.250%</t>
  </si>
  <si>
    <t>2029  4.80% 8821 ערד סדרה</t>
  </si>
  <si>
    <t>1/12/2014</t>
  </si>
  <si>
    <t>1/12/2029</t>
  </si>
  <si>
    <t>1.850%</t>
  </si>
  <si>
    <t>2.300%</t>
  </si>
  <si>
    <t>2030  4.80%  8823 ערד סדרה</t>
  </si>
  <si>
    <t>1/02/2015</t>
  </si>
  <si>
    <t>1/02/2030</t>
  </si>
  <si>
    <t>2.310%</t>
  </si>
  <si>
    <t>2030  4.80%  8824 ערד סדרה</t>
  </si>
  <si>
    <t>1/03/2015</t>
  </si>
  <si>
    <t>1/03/2030</t>
  </si>
  <si>
    <t>1.870%</t>
  </si>
  <si>
    <t>2.950%</t>
  </si>
  <si>
    <t>2030  4.80% 8826 אג"ח ערד סדרנ</t>
  </si>
  <si>
    <t>1/05/2015</t>
  </si>
  <si>
    <t>1/05/2030</t>
  </si>
  <si>
    <t>2030    4.80%  8829 ערד סדרה</t>
  </si>
  <si>
    <t>2/08/2015</t>
  </si>
  <si>
    <t>2/08/2030</t>
  </si>
  <si>
    <t>1.890%</t>
  </si>
  <si>
    <t>0.340%</t>
  </si>
  <si>
    <t>2030  4.80%  8832 ערד סדרה</t>
  </si>
  <si>
    <t>1/11/2015</t>
  </si>
  <si>
    <t>1/11/2030</t>
  </si>
  <si>
    <t>1.900%</t>
  </si>
  <si>
    <t>0.970%</t>
  </si>
  <si>
    <t>2030  4.80% 8833 ערד סדרה</t>
  </si>
  <si>
    <t>1/12/2015</t>
  </si>
  <si>
    <t>1/12/2030</t>
  </si>
  <si>
    <t>2031   4.80%  8834 ערד סדרה</t>
  </si>
  <si>
    <t>1/01/2016</t>
  </si>
  <si>
    <t>1/01/2031</t>
  </si>
  <si>
    <t>1.430%</t>
  </si>
  <si>
    <t>2031  4.80%  8836 ערד סדרה</t>
  </si>
  <si>
    <t>1/03/2016</t>
  </si>
  <si>
    <t>1/03/2031</t>
  </si>
  <si>
    <t>1.930%</t>
  </si>
  <si>
    <t>0.500%</t>
  </si>
  <si>
    <t>2031  4.80%  8837 ערד סדרה</t>
  </si>
  <si>
    <t>1/04/2016</t>
  </si>
  <si>
    <t>1/04/2031</t>
  </si>
  <si>
    <t>2.140%</t>
  </si>
  <si>
    <t>4.8%   2031  8839 ערד סדרה</t>
  </si>
  <si>
    <t>1/06/2016</t>
  </si>
  <si>
    <t>1/06/2031</t>
  </si>
  <si>
    <t>1.950%</t>
  </si>
  <si>
    <t>0.600%</t>
  </si>
  <si>
    <t>4.8%  2031  8840 ערד סדרה</t>
  </si>
  <si>
    <t>1/07/2016</t>
  </si>
  <si>
    <t>1/07/2031</t>
  </si>
  <si>
    <t>3.040%</t>
  </si>
  <si>
    <t>2031  4.80% 8843 ערד סדרה</t>
  </si>
  <si>
    <t>2/10/2016</t>
  </si>
  <si>
    <t>2/10/2031</t>
  </si>
  <si>
    <t>0.400%</t>
  </si>
  <si>
    <t>2031  4.80% 8845 ערד סדרה</t>
  </si>
  <si>
    <t>1/12/2016</t>
  </si>
  <si>
    <t>1/12/2031</t>
  </si>
  <si>
    <t>1.970%</t>
  </si>
  <si>
    <t>2032  4.80%  8846 ערד סדר</t>
  </si>
  <si>
    <t>1/01/2017</t>
  </si>
  <si>
    <t>1/01/2032</t>
  </si>
  <si>
    <t>2032  4.80%   8847 ערד סדרה</t>
  </si>
  <si>
    <t>1/02/2017</t>
  </si>
  <si>
    <t>1/02/2032</t>
  </si>
  <si>
    <t>2017/2032 %4.80 8848 ערד סדרה</t>
  </si>
  <si>
    <t>1/03/2017</t>
  </si>
  <si>
    <t>1/03/2032</t>
  </si>
  <si>
    <t>1.990%</t>
  </si>
  <si>
    <t>2032 4.80% 8849 ערד סדרה</t>
  </si>
  <si>
    <t>2/04/2017</t>
  </si>
  <si>
    <t>2/04/2032</t>
  </si>
  <si>
    <t>2032  4.80%   8850 'ערד סד</t>
  </si>
  <si>
    <t>1/05/2017</t>
  </si>
  <si>
    <t>1/05/2032</t>
  </si>
  <si>
    <t>2032  4.80%  8851 ערד סדרה</t>
  </si>
  <si>
    <t>1/06/2017</t>
  </si>
  <si>
    <t>1/06/2032</t>
  </si>
  <si>
    <t>2.000%</t>
  </si>
  <si>
    <t>0.920%</t>
  </si>
  <si>
    <t>2032  4.8%  8852 ערד סדרה</t>
  </si>
  <si>
    <t>2/07/2017</t>
  </si>
  <si>
    <t>2/07/2032</t>
  </si>
  <si>
    <t>0.990%</t>
  </si>
  <si>
    <t>2032  4.80% 8853 ערד סדרה</t>
  </si>
  <si>
    <t>2/08/2017</t>
  </si>
  <si>
    <t>2/08/2032</t>
  </si>
  <si>
    <t>2017/2032  4.80%  8854 ערד סדרה</t>
  </si>
  <si>
    <t>1/09/2017</t>
  </si>
  <si>
    <t>1/09/2032</t>
  </si>
  <si>
    <t>2.010%</t>
  </si>
  <si>
    <t>2032  4.80%  8857 ערד סדרה</t>
  </si>
  <si>
    <t>1/12/2017</t>
  </si>
  <si>
    <t>1/12/2032</t>
  </si>
  <si>
    <t>2.020%</t>
  </si>
  <si>
    <t>2.570%</t>
  </si>
  <si>
    <t>2033  4.80%  8858 ערד סדרה</t>
  </si>
  <si>
    <t>1/01/2018</t>
  </si>
  <si>
    <t>1/01/2033</t>
  </si>
  <si>
    <t>0.620%</t>
  </si>
  <si>
    <t>2033  4.80% 8859 ערד סדרה</t>
  </si>
  <si>
    <t>1/02/2018</t>
  </si>
  <si>
    <t>1/02/2033</t>
  </si>
  <si>
    <t>0.690%</t>
  </si>
  <si>
    <t>2033  4.80%  8860 ערד סדרה</t>
  </si>
  <si>
    <t>2/03/2018</t>
  </si>
  <si>
    <t>2/03/2033</t>
  </si>
  <si>
    <t>2.030%</t>
  </si>
  <si>
    <t>0.660%</t>
  </si>
  <si>
    <t>2033  4.80%  8863 ערד  סדרה</t>
  </si>
  <si>
    <t>1/06/2018</t>
  </si>
  <si>
    <t>1/06/2033</t>
  </si>
  <si>
    <t>2.050%</t>
  </si>
  <si>
    <t>1.470%</t>
  </si>
  <si>
    <t>2033  4.80% 8866 ערד סדרה</t>
  </si>
  <si>
    <t>2/09/2018</t>
  </si>
  <si>
    <t>2/09/2033</t>
  </si>
  <si>
    <t>0.640%</t>
  </si>
  <si>
    <t>2033  4.80% 8869 ערד סדרה</t>
  </si>
  <si>
    <t>2/12/2018</t>
  </si>
  <si>
    <t>2/12/2033</t>
  </si>
  <si>
    <t>0.780%</t>
  </si>
  <si>
    <t>2034  4.80% 8871 ערד סדרה</t>
  </si>
  <si>
    <t>1/02/2019</t>
  </si>
  <si>
    <t>1/02/2034</t>
  </si>
  <si>
    <t>2304 4.80% 8872 ערד סדרה</t>
  </si>
  <si>
    <t>1/03/2019</t>
  </si>
  <si>
    <t>1/03/2034</t>
  </si>
  <si>
    <t>2.080%</t>
  </si>
  <si>
    <t>2034  4.80%  8875 ערד סדרה</t>
  </si>
  <si>
    <t>2/06/2019</t>
  </si>
  <si>
    <t>1/06/2034</t>
  </si>
  <si>
    <t>2.090%</t>
  </si>
  <si>
    <t>2034  4.80%  8876 ערד סדרה</t>
  </si>
  <si>
    <t>1/07/2019</t>
  </si>
  <si>
    <t>1/07/2034</t>
  </si>
  <si>
    <t>1.120%</t>
  </si>
  <si>
    <t>2034  4.80%  8877 ערד סדרה</t>
  </si>
  <si>
    <t>1/08/2019</t>
  </si>
  <si>
    <t>1/08/2034</t>
  </si>
  <si>
    <t>2034  4.80%  8880 ערד סדרה</t>
  </si>
  <si>
    <t>1/11/2019</t>
  </si>
  <si>
    <t>1/11/2034</t>
  </si>
  <si>
    <t>2.100%</t>
  </si>
  <si>
    <t>1.220%</t>
  </si>
  <si>
    <t>2034  4.80%  8881 ערד סדרה</t>
  </si>
  <si>
    <t>1/12/2019</t>
  </si>
  <si>
    <t>1/12/2034</t>
  </si>
  <si>
    <t>2.110%</t>
  </si>
  <si>
    <t>2020/2035  4.80%  8892 ערד סדרה</t>
  </si>
  <si>
    <t>1/12/2020</t>
  </si>
  <si>
    <t>1/12/2035</t>
  </si>
  <si>
    <t>2021/2036  4.80%  8894 ערד סדרה</t>
  </si>
  <si>
    <t>1/02/2021</t>
  </si>
  <si>
    <t>1/02/2036</t>
  </si>
  <si>
    <t>2.190%</t>
  </si>
  <si>
    <t>2021/2036  4.80%  8895 ערד סדרה</t>
  </si>
  <si>
    <t>1/03/2021</t>
  </si>
  <si>
    <t>1/03/2036</t>
  </si>
  <si>
    <t>2.150%</t>
  </si>
  <si>
    <t>1.090%</t>
  </si>
  <si>
    <t>2021/2036  4.80%  8896 ערד סדרה</t>
  </si>
  <si>
    <t>1/04/2021</t>
  </si>
  <si>
    <t>1/04/2036</t>
  </si>
  <si>
    <t>1.800%</t>
  </si>
  <si>
    <t>2021/2036  4.80%  8897 ערד סדרה</t>
  </si>
  <si>
    <t>4/05/2021</t>
  </si>
  <si>
    <t>1/05/2036</t>
  </si>
  <si>
    <t>2.940%</t>
  </si>
  <si>
    <t>2021/2036  4.80%  8898 ערד סדרה</t>
  </si>
  <si>
    <t>1/06/2021</t>
  </si>
  <si>
    <t>1/06/2036</t>
  </si>
  <si>
    <t>0.470%</t>
  </si>
  <si>
    <t>2021/2036  4.80%  8899 ערד סדרה</t>
  </si>
  <si>
    <t>1/07/2021</t>
  </si>
  <si>
    <t>2/07/2036</t>
  </si>
  <si>
    <t>0.650%</t>
  </si>
  <si>
    <t>2021/2036  4.80%  8901 ערד סדרה</t>
  </si>
  <si>
    <t>1/09/2021</t>
  </si>
  <si>
    <t>1/09/2036</t>
  </si>
  <si>
    <t>2.160%</t>
  </si>
  <si>
    <t>2.290%</t>
  </si>
  <si>
    <t>2021/2036  4.80%  8903 ערד סדרה</t>
  </si>
  <si>
    <t>1/11/2021</t>
  </si>
  <si>
    <t>1/11/2036</t>
  </si>
  <si>
    <t>2021/2036  4.80%  8904 ערד סדרה</t>
  </si>
  <si>
    <t>1/12/2021</t>
  </si>
  <si>
    <t>1/12/2036</t>
  </si>
  <si>
    <t>3.890%</t>
  </si>
  <si>
    <t>2022/2037  4.80%  8905 ערד סדרה</t>
  </si>
  <si>
    <t>2/01/2022</t>
  </si>
  <si>
    <t>1/01/2037</t>
  </si>
  <si>
    <t>0.210%</t>
  </si>
  <si>
    <t>2022/2037  4.80%  8906 ערד סדרה</t>
  </si>
  <si>
    <t>1/02/2022</t>
  </si>
  <si>
    <t>1/02/2037</t>
  </si>
  <si>
    <t>0.550%</t>
  </si>
  <si>
    <t>מספר קרן</t>
  </si>
  <si>
    <t>חודש הנפקת שכבה</t>
  </si>
  <si>
    <t>חודש הבדיקה</t>
  </si>
  <si>
    <t>שווי הנכסים באפיק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</si>
  <si>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</si>
  <si>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</si>
  <si>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</si>
  <si>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</si>
  <si>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</si>
  <si>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</si>
  <si>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</si>
  <si>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</si>
  <si>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</si>
  <si>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2/01/2007</t>
  </si>
  <si>
    <t>25/12/2036</t>
  </si>
  <si>
    <t>3.070%</t>
  </si>
  <si>
    <t>4.900%</t>
  </si>
  <si>
    <t>חברת ציטוט</t>
  </si>
  <si>
    <t>אי-תלות</t>
  </si>
  <si>
    <t>30/09/2024</t>
  </si>
  <si>
    <t>אלון חברת הדלק לישראל בע"מ</t>
  </si>
  <si>
    <t>5.6% 06/2025 אלון חב הדלק אגח א-רמ</t>
  </si>
  <si>
    <t>IL0011015679</t>
  </si>
  <si>
    <t>3/02/2008</t>
  </si>
  <si>
    <t>NR</t>
  </si>
  <si>
    <t>30/06/2025</t>
  </si>
  <si>
    <t>111.160%</t>
  </si>
  <si>
    <t>5.600%</t>
  </si>
  <si>
    <t>נתיבי הגז הטבעי לישראל בע"מ</t>
  </si>
  <si>
    <t>5.6% 29/12/2026 נתיבי הגז אגח א -רמ</t>
  </si>
  <si>
    <t>IL0011030843</t>
  </si>
  <si>
    <t>15/03/2009</t>
  </si>
  <si>
    <t>29/12/2026</t>
  </si>
  <si>
    <t>2.480%</t>
  </si>
  <si>
    <t>4.8% 12/2031 נתיבי הגז אגח ג - רמ</t>
  </si>
  <si>
    <t>IL0011255093</t>
  </si>
  <si>
    <t>9/01/2012</t>
  </si>
  <si>
    <t>31/12/2031</t>
  </si>
  <si>
    <t>2.800%</t>
  </si>
  <si>
    <t>גדות השקעות בע"ם</t>
  </si>
  <si>
    <t>ח.פ.</t>
  </si>
  <si>
    <t>גדות - השקעה</t>
  </si>
  <si>
    <t>פנימי</t>
  </si>
  <si>
    <t>מניות לא סחירות</t>
  </si>
  <si>
    <t>קרן השקעה</t>
  </si>
  <si>
    <t>16/08/2021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</si>
  <si>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</si>
  <si>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</si>
  <si>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</si>
  <si>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</si>
  <si>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</si>
  <si>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</si>
  <si>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</si>
  <si>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</si>
  <si>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</si>
  <si>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</si>
  <si>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</si>
  <si>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</si>
  <si>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</si>
  <si>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1 מספר עסקה (רגל)</t>
  </si>
  <si>
    <t>1 מטבע פעילות (רגל)</t>
  </si>
  <si>
    <t>1 ערך נקוב (רגל)</t>
  </si>
  <si>
    <t>1 שווי הוגן במטבע הנסחר (רגל)</t>
  </si>
  <si>
    <t>1 שיעור מנכסי אפיק ההשקעה (רגל)</t>
  </si>
  <si>
    <t>1 שיעור מסך נכסי ההשקעה (רגל)</t>
  </si>
  <si>
    <t>2 מספר עסקה (רגל)</t>
  </si>
  <si>
    <t>2 מטבע פעילות (רגל)</t>
  </si>
  <si>
    <t>2 ערך נקוב (רגל)</t>
  </si>
  <si>
    <t>2 שווי הוגן במטבע הנסחר (רגל)</t>
  </si>
  <si>
    <t>2 שיעור מנכסי אפיק ההשקעה (רגל)</t>
  </si>
  <si>
    <t>2 שיעור מסך נכסי ההשקעה (רגל)</t>
  </si>
  <si>
    <t>שווי הוגן (נטו  בש"ח)</t>
  </si>
  <si>
    <t>סוג הנכס</t>
  </si>
  <si>
    <t>פטקור מוביל</t>
  </si>
  <si>
    <t>פטקור נוסף</t>
  </si>
  <si>
    <t>טיקר</t>
  </si>
  <si>
    <t>מועד ההתקשרות בעסקה</t>
  </si>
  <si>
    <t>מועד סיום חוזי</t>
  </si>
  <si>
    <t>Reset תדירות</t>
  </si>
  <si>
    <t>סוג הסליקה</t>
  </si>
  <si>
    <t>CSA - נספח התחשבנות בטחונות</t>
  </si>
  <si>
    <t>גורם מצטט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</si>
  <si>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</si>
  <si>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</si>
  <si>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</si>
  <si>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</si>
  <si>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</si>
  <si>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</si>
  <si>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</si>
  <si>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</si>
  <si>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</si>
  <si>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</si>
  <si>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</si>
  <si>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</si>
  <si>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</si>
  <si>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</si>
  <si>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</si>
  <si>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18 דרך ארץ קטע</t>
  </si>
  <si>
    <t>נדל"ן ובנוי</t>
  </si>
  <si>
    <t>28/06/2007</t>
  </si>
  <si>
    <t>Aa2.il</t>
  </si>
  <si>
    <t>4.700%</t>
  </si>
  <si>
    <t>ללא</t>
  </si>
  <si>
    <t>3.730%</t>
  </si>
  <si>
    <t>30/06/2027</t>
  </si>
  <si>
    <t>6.7142% 2007/2027 (3)1 חוצה ישראל</t>
  </si>
  <si>
    <t>30/03/2000</t>
  </si>
  <si>
    <t>6.710%</t>
  </si>
  <si>
    <t>2007/2027 6.7142% (6)1 חוצה ישראל</t>
  </si>
  <si>
    <t>31/12/2000</t>
  </si>
  <si>
    <t>2007/2027 6.7142%(7)1 חוצה ישראל</t>
  </si>
  <si>
    <t>23/03/2001</t>
  </si>
  <si>
    <t>2007/2027 6.7142%(8)1 חוצה ישראל</t>
  </si>
  <si>
    <t>28/06/2001</t>
  </si>
  <si>
    <t>2007/2027 6.7142%(9)1 חוצה ישראל</t>
  </si>
  <si>
    <t>30/09/2001</t>
  </si>
  <si>
    <t>2007/2027 6.7142%(10)1 חוצה ישראל</t>
  </si>
  <si>
    <t>31/12/2001</t>
  </si>
  <si>
    <t>6.610%</t>
  </si>
  <si>
    <t>2007/2027 6.7142% (11)1 חוצה ישראל</t>
  </si>
  <si>
    <t>31/03/2002</t>
  </si>
  <si>
    <t>2007/2027 6.7142%(12)1 חוצה ישראל</t>
  </si>
  <si>
    <t>30/06/2002</t>
  </si>
  <si>
    <t>2.120%</t>
  </si>
  <si>
    <t>2007/2027 6.7142%(2)1 חוצה ישראל</t>
  </si>
  <si>
    <t>תשתיות</t>
  </si>
  <si>
    <t>3/01/2000</t>
  </si>
  <si>
    <t>2007/2027 6.7142%(1)1 חוצה ישראל</t>
  </si>
  <si>
    <t>28/10/1999</t>
  </si>
  <si>
    <t>2007/2027 6.7142%(4)1 חוצה ישראל</t>
  </si>
  <si>
    <t>6/07/2000</t>
  </si>
  <si>
    <t>2007/2027 6.7142%(5)1 חוצה ישראל</t>
  </si>
  <si>
    <t>5/10/2000</t>
  </si>
  <si>
    <t>2007/2027 6.7142%(13)1 חוצה ישראל</t>
  </si>
  <si>
    <t>30/09/2002</t>
  </si>
  <si>
    <t>2007/2027 6.7142%(14)1 חוצה ישראל</t>
  </si>
  <si>
    <t>31/12/2002</t>
  </si>
  <si>
    <t>2007/2027 6.7142% (15)1 חוצה ישראל</t>
  </si>
  <si>
    <t>31/03/2003</t>
  </si>
  <si>
    <t>2007/2027 6.7142%(16)1 חוצה ישראל</t>
  </si>
  <si>
    <t>30/06/2003</t>
  </si>
  <si>
    <t>2007/2027 6.7142%(17)1 חוצה ישראל</t>
  </si>
  <si>
    <t>30/09/2003</t>
  </si>
  <si>
    <t>2007/2027 6.7142% (18)1 חוצה ישראל</t>
  </si>
  <si>
    <t>31/12/2003</t>
  </si>
  <si>
    <t>2007/2027 6.7142% (19)1 חוצה ישראל</t>
  </si>
  <si>
    <t>28/04/2004</t>
  </si>
  <si>
    <t>תאריך פקיעת פיקדון</t>
  </si>
  <si>
    <t>שער פיקדון</t>
  </si>
  <si>
    <t>10 :לאומי למשכ' 6.45% 2001/2025             מס.בנק</t>
  </si>
  <si>
    <t>2/10/2025</t>
  </si>
  <si>
    <t>6.450%</t>
  </si>
  <si>
    <t>1.620%</t>
  </si>
  <si>
    <t>1.410%</t>
  </si>
  <si>
    <t>10 :לאומי פקדון 12/2027 3.4%                מס.בנק</t>
  </si>
  <si>
    <t>30/08/2027</t>
  </si>
  <si>
    <t>3.400%</t>
  </si>
  <si>
    <t>38.930%</t>
  </si>
  <si>
    <t>4% 2028 מזרחי פקדון</t>
  </si>
  <si>
    <t>7/04/2028</t>
  </si>
  <si>
    <t>4.000%</t>
  </si>
  <si>
    <t>2.040%</t>
  </si>
  <si>
    <t>24.980%</t>
  </si>
  <si>
    <t>1.96% 2025 מזרחי פקדון</t>
  </si>
  <si>
    <t>12/01/2025</t>
  </si>
  <si>
    <t>34.680%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</si>
  <si>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</si>
  <si>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</si>
  <si>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</si>
  <si>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</si>
  <si>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</si>
  <si>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</si>
  <si>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</si>
  <si>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שווי הוגן (במטבע הפעילות)</t>
  </si>
  <si>
    <t>שיעור אחזקה באמצעי שליטה</t>
  </si>
  <si>
    <t>שווי מאזני (בש"ח)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</si>
  <si>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</si>
  <si>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</si>
  <si>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</si>
  <si>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</si>
  <si>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</si>
  <si>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</si>
  <si>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</si>
  <si>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</si>
  <si>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</si>
  <si>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(בש"ח)</t>
  </si>
  <si>
    <t>(יתרת המחויבות לתקופת הדיווח (במטבע הדיווח של קרן ההשקעה</t>
  </si>
  <si>
    <t>יתרת המחויבות לתקופת הדיווח (בש"ח)</t>
  </si>
  <si>
    <t>שיעור יתרת המחויבות</t>
  </si>
  <si>
    <t>תאריך פקיעת מחויבות להשקעה</t>
  </si>
  <si>
    <t>תהילה דרזנר</t>
  </si>
  <si>
    <t>054-2153421</t>
  </si>
  <si>
    <t>tehilad@dan.co.il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</si>
</sst>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,###,###,##0.000"/>
    <numFmt numFmtId="165" formatCode="##########0"/>
    <numFmt numFmtId="166" formatCode="###,###,###,##0.0000"/>
    <numFmt numFmtId="167" formatCode="##"/>
  </numFmts>
  <fonts count="936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935" fillId="0" borderId="0" applyFont="0" applyFill="0" applyBorder="0" applyAlignment="0" applyProtection="0"/>
  </cellStyleXfs>
  <cellXfs count="93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0" borderId="0" xfId="0" applyFont="1" applyAlignment="1">
      <alignment horizontal="right"/>
    </xf>
    <xf numFmtId="16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165" fontId="36" fillId="0" borderId="0" xfId="0" applyNumberFormat="1" applyFont="1" applyAlignment="1">
      <alignment horizontal="right"/>
    </xf>
    <xf numFmtId="165" fontId="37" fillId="0" borderId="0" xfId="0" applyNumberFormat="1" applyFont="1" applyAlignment="1">
      <alignment horizontal="right"/>
    </xf>
    <xf numFmtId="0" fontId="38" fillId="0" borderId="0" xfId="0" applyFont="1" applyAlignment="1">
      <alignment horizontal="right"/>
    </xf>
    <xf numFmtId="165" fontId="39" fillId="0" borderId="0" xfId="0" applyNumberFormat="1" applyFont="1" applyAlignment="1">
      <alignment horizontal="right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164" fontId="47" fillId="0" borderId="0" xfId="0" applyNumberFormat="1" applyFont="1" applyAlignment="1">
      <alignment horizontal="right"/>
    </xf>
    <xf numFmtId="166" fontId="48" fillId="0" borderId="0" xfId="0" applyNumberFormat="1" applyFont="1" applyAlignment="1">
      <alignment horizontal="right"/>
    </xf>
    <xf numFmtId="0" fontId="49" fillId="0" borderId="0" xfId="0" applyFont="1" applyAlignment="1">
      <alignment horizontal="right"/>
    </xf>
    <xf numFmtId="164" fontId="50" fillId="0" borderId="0" xfId="0" applyNumberFormat="1" applyFont="1" applyAlignment="1">
      <alignment horizontal="right"/>
    </xf>
    <xf numFmtId="0" fontId="51" fillId="0" borderId="0" xfId="0" applyFont="1" applyAlignment="1">
      <alignment horizontal="right"/>
    </xf>
    <xf numFmtId="0" fontId="53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57" fillId="2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0" fontId="59" fillId="2" borderId="1" xfId="0" applyFont="1" applyFill="1" applyBorder="1" applyAlignment="1">
      <alignment horizontal="center"/>
    </xf>
    <xf numFmtId="0" fontId="60" fillId="2" borderId="1" xfId="0" applyFont="1" applyFill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3" fillId="2" borderId="1" xfId="0" applyFont="1" applyFill="1" applyBorder="1" applyAlignment="1">
      <alignment horizontal="center"/>
    </xf>
    <xf numFmtId="0" fontId="64" fillId="2" borderId="1" xfId="0" applyFont="1" applyFill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6" fillId="2" borderId="1" xfId="0" applyFont="1" applyFill="1" applyBorder="1" applyAlignment="1">
      <alignment horizontal="center"/>
    </xf>
    <xf numFmtId="0" fontId="67" fillId="2" borderId="1" xfId="0" applyFont="1" applyFill="1" applyBorder="1" applyAlignment="1">
      <alignment horizontal="center"/>
    </xf>
    <xf numFmtId="0" fontId="68" fillId="2" borderId="1" xfId="0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/>
    </xf>
    <xf numFmtId="0" fontId="71" fillId="2" borderId="1" xfId="0" applyFont="1" applyFill="1" applyBorder="1" applyAlignment="1">
      <alignment horizontal="center"/>
    </xf>
    <xf numFmtId="0" fontId="72" fillId="2" borderId="1" xfId="0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0" fontId="74" fillId="2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/>
    </xf>
    <xf numFmtId="0" fontId="77" fillId="2" borderId="1" xfId="0" applyFont="1" applyFill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8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horizontal="center"/>
    </xf>
    <xf numFmtId="0" fontId="82" fillId="2" borderId="1" xfId="0" applyFont="1" applyFill="1" applyBorder="1" applyAlignment="1">
      <alignment horizontal="center"/>
    </xf>
    <xf numFmtId="0" fontId="83" fillId="2" borderId="1" xfId="0" applyFont="1" applyFill="1" applyBorder="1" applyAlignment="1">
      <alignment horizontal="center"/>
    </xf>
    <xf numFmtId="0" fontId="84" fillId="2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0" fontId="87" fillId="2" borderId="1" xfId="0" applyFont="1" applyFill="1" applyBorder="1" applyAlignment="1">
      <alignment horizontal="center"/>
    </xf>
    <xf numFmtId="0" fontId="88" fillId="2" borderId="1" xfId="0" applyFont="1" applyFill="1" applyBorder="1" applyAlignment="1">
      <alignment horizontal="center"/>
    </xf>
    <xf numFmtId="0" fontId="89" fillId="2" borderId="1" xfId="0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0" fontId="91" fillId="2" borderId="1" xfId="0" applyFont="1" applyFill="1" applyBorder="1" applyAlignment="1">
      <alignment horizontal="center"/>
    </xf>
    <xf numFmtId="0" fontId="92" fillId="2" borderId="1" xfId="0" applyFont="1" applyFill="1" applyBorder="1" applyAlignment="1">
      <alignment horizontal="center"/>
    </xf>
    <xf numFmtId="0" fontId="93" fillId="2" borderId="1" xfId="0" applyFont="1" applyFill="1" applyBorder="1" applyAlignment="1">
      <alignment horizontal="center"/>
    </xf>
    <xf numFmtId="0" fontId="94" fillId="2" borderId="1" xfId="0" applyFont="1" applyFill="1" applyBorder="1" applyAlignment="1">
      <alignment horizontal="center"/>
    </xf>
    <xf numFmtId="0" fontId="95" fillId="2" borderId="1" xfId="0" applyFont="1" applyFill="1" applyBorder="1" applyAlignment="1">
      <alignment horizontal="center"/>
    </xf>
    <xf numFmtId="0" fontId="96" fillId="2" borderId="1" xfId="0" applyFont="1" applyFill="1" applyBorder="1" applyAlignment="1">
      <alignment horizontal="center"/>
    </xf>
    <xf numFmtId="0" fontId="97" fillId="2" borderId="1" xfId="0" applyFont="1" applyFill="1" applyBorder="1" applyAlignment="1">
      <alignment horizontal="center"/>
    </xf>
    <xf numFmtId="0" fontId="98" fillId="2" borderId="1" xfId="0" applyFont="1" applyFill="1" applyBorder="1" applyAlignment="1">
      <alignment horizontal="center"/>
    </xf>
    <xf numFmtId="0" fontId="99" fillId="2" borderId="1" xfId="0" applyFont="1" applyFill="1" applyBorder="1" applyAlignment="1">
      <alignment horizontal="center"/>
    </xf>
    <xf numFmtId="0" fontId="100" fillId="2" borderId="1" xfId="0" applyFont="1" applyFill="1" applyBorder="1" applyAlignment="1">
      <alignment horizontal="center"/>
    </xf>
    <xf numFmtId="0" fontId="101" fillId="2" borderId="1" xfId="0" applyFont="1" applyFill="1" applyBorder="1" applyAlignment="1">
      <alignment horizontal="center"/>
    </xf>
    <xf numFmtId="0" fontId="102" fillId="2" borderId="1" xfId="0" applyFont="1" applyFill="1" applyBorder="1" applyAlignment="1">
      <alignment horizontal="center"/>
    </xf>
    <xf numFmtId="0" fontId="103" fillId="2" borderId="1" xfId="0" applyFont="1" applyFill="1" applyBorder="1" applyAlignment="1">
      <alignment horizontal="center"/>
    </xf>
    <xf numFmtId="0" fontId="104" fillId="2" borderId="1" xfId="0" applyFont="1" applyFill="1" applyBorder="1" applyAlignment="1">
      <alignment horizontal="center"/>
    </xf>
    <xf numFmtId="0" fontId="105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7" fillId="2" borderId="1" xfId="0" applyFont="1" applyFill="1" applyBorder="1" applyAlignment="1">
      <alignment horizontal="center"/>
    </xf>
    <xf numFmtId="0" fontId="108" fillId="2" borderId="1" xfId="0" applyFont="1" applyFill="1" applyBorder="1" applyAlignment="1">
      <alignment horizontal="center"/>
    </xf>
    <xf numFmtId="0" fontId="109" fillId="2" borderId="1" xfId="0" applyFont="1" applyFill="1" applyBorder="1" applyAlignment="1">
      <alignment horizontal="center"/>
    </xf>
    <xf numFmtId="0" fontId="110" fillId="2" borderId="1" xfId="0" applyFont="1" applyFill="1" applyBorder="1" applyAlignment="1">
      <alignment horizontal="center"/>
    </xf>
    <xf numFmtId="0" fontId="111" fillId="2" borderId="1" xfId="0" applyFont="1" applyFill="1" applyBorder="1" applyAlignment="1">
      <alignment horizontal="center"/>
    </xf>
    <xf numFmtId="0" fontId="112" fillId="2" borderId="1" xfId="0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0" fontId="114" fillId="2" borderId="1" xfId="0" applyFont="1" applyFill="1" applyBorder="1" applyAlignment="1">
      <alignment horizontal="center"/>
    </xf>
    <xf numFmtId="0" fontId="115" fillId="2" borderId="1" xfId="0" applyFont="1" applyFill="1" applyBorder="1" applyAlignment="1">
      <alignment horizontal="center"/>
    </xf>
    <xf numFmtId="0" fontId="116" fillId="2" borderId="1" xfId="0" applyFont="1" applyFill="1" applyBorder="1" applyAlignment="1">
      <alignment horizontal="center"/>
    </xf>
    <xf numFmtId="0" fontId="117" fillId="2" borderId="1" xfId="0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0" fontId="119" fillId="2" borderId="1" xfId="0" applyFont="1" applyFill="1" applyBorder="1" applyAlignment="1">
      <alignment horizontal="center"/>
    </xf>
    <xf numFmtId="0" fontId="120" fillId="2" borderId="1" xfId="0" applyFont="1" applyFill="1" applyBorder="1" applyAlignment="1">
      <alignment horizontal="center"/>
    </xf>
    <xf numFmtId="0" fontId="121" fillId="2" borderId="1" xfId="0" applyFont="1" applyFill="1" applyBorder="1" applyAlignment="1">
      <alignment horizontal="center"/>
    </xf>
    <xf numFmtId="0" fontId="122" fillId="2" borderId="1" xfId="0" applyFont="1" applyFill="1" applyBorder="1" applyAlignment="1">
      <alignment horizontal="center"/>
    </xf>
    <xf numFmtId="0" fontId="123" fillId="2" borderId="1" xfId="0" applyFont="1" applyFill="1" applyBorder="1" applyAlignment="1">
      <alignment horizontal="center"/>
    </xf>
    <xf numFmtId="0" fontId="124" fillId="2" borderId="1" xfId="0" applyFont="1" applyFill="1" applyBorder="1" applyAlignment="1">
      <alignment horizontal="center"/>
    </xf>
    <xf numFmtId="0" fontId="125" fillId="2" borderId="1" xfId="0" applyFont="1" applyFill="1" applyBorder="1" applyAlignment="1">
      <alignment horizontal="center"/>
    </xf>
    <xf numFmtId="0" fontId="126" fillId="2" borderId="1" xfId="0" applyFont="1" applyFill="1" applyBorder="1" applyAlignment="1">
      <alignment horizontal="center"/>
    </xf>
    <xf numFmtId="0" fontId="127" fillId="2" borderId="1" xfId="0" applyFont="1" applyFill="1" applyBorder="1" applyAlignment="1">
      <alignment horizontal="center"/>
    </xf>
    <xf numFmtId="0" fontId="128" fillId="2" borderId="1" xfId="0" applyFont="1" applyFill="1" applyBorder="1" applyAlignment="1">
      <alignment horizontal="center"/>
    </xf>
    <xf numFmtId="0" fontId="129" fillId="2" borderId="1" xfId="0" applyFont="1" applyFill="1" applyBorder="1" applyAlignment="1">
      <alignment horizontal="center"/>
    </xf>
    <xf numFmtId="0" fontId="130" fillId="2" borderId="1" xfId="0" applyFont="1" applyFill="1" applyBorder="1" applyAlignment="1">
      <alignment horizontal="center"/>
    </xf>
    <xf numFmtId="0" fontId="131" fillId="2" borderId="1" xfId="0" applyFont="1" applyFill="1" applyBorder="1" applyAlignment="1">
      <alignment horizontal="center"/>
    </xf>
    <xf numFmtId="0" fontId="132" fillId="2" borderId="1" xfId="0" applyFont="1" applyFill="1" applyBorder="1" applyAlignment="1">
      <alignment horizontal="center"/>
    </xf>
    <xf numFmtId="0" fontId="133" fillId="2" borderId="1" xfId="0" applyFont="1" applyFill="1" applyBorder="1" applyAlignment="1">
      <alignment horizontal="center"/>
    </xf>
    <xf numFmtId="0" fontId="134" fillId="2" borderId="1" xfId="0" applyFont="1" applyFill="1" applyBorder="1" applyAlignment="1">
      <alignment horizontal="center"/>
    </xf>
    <xf numFmtId="0" fontId="135" fillId="2" borderId="1" xfId="0" applyFont="1" applyFill="1" applyBorder="1" applyAlignment="1">
      <alignment horizontal="center"/>
    </xf>
    <xf numFmtId="0" fontId="136" fillId="2" borderId="1" xfId="0" applyFont="1" applyFill="1" applyBorder="1" applyAlignment="1">
      <alignment horizontal="center"/>
    </xf>
    <xf numFmtId="0" fontId="137" fillId="2" borderId="1" xfId="0" applyFont="1" applyFill="1" applyBorder="1" applyAlignment="1">
      <alignment horizontal="center"/>
    </xf>
    <xf numFmtId="0" fontId="138" fillId="2" borderId="1" xfId="0" applyFont="1" applyFill="1" applyBorder="1" applyAlignment="1">
      <alignment horizontal="center"/>
    </xf>
    <xf numFmtId="0" fontId="139" fillId="2" borderId="1" xfId="0" applyFont="1" applyFill="1" applyBorder="1" applyAlignment="1">
      <alignment horizontal="center"/>
    </xf>
    <xf numFmtId="0" fontId="140" fillId="2" borderId="1" xfId="0" applyFont="1" applyFill="1" applyBorder="1" applyAlignment="1">
      <alignment horizontal="center"/>
    </xf>
    <xf numFmtId="0" fontId="141" fillId="2" borderId="1" xfId="0" applyFont="1" applyFill="1" applyBorder="1" applyAlignment="1">
      <alignment horizontal="center"/>
    </xf>
    <xf numFmtId="0" fontId="142" fillId="2" borderId="1" xfId="0" applyFont="1" applyFill="1" applyBorder="1" applyAlignment="1">
      <alignment horizontal="center"/>
    </xf>
    <xf numFmtId="165" fontId="143" fillId="0" borderId="0" xfId="0" applyNumberFormat="1" applyFont="1" applyAlignment="1">
      <alignment horizontal="right"/>
    </xf>
    <xf numFmtId="165" fontId="144" fillId="0" borderId="0" xfId="0" applyNumberFormat="1" applyFont="1" applyAlignment="1">
      <alignment horizontal="right"/>
    </xf>
    <xf numFmtId="0" fontId="145" fillId="0" borderId="0" xfId="0" applyFont="1" applyAlignment="1">
      <alignment horizontal="right"/>
    </xf>
    <xf numFmtId="165" fontId="146" fillId="0" borderId="0" xfId="0" applyNumberFormat="1" applyFont="1" applyAlignment="1">
      <alignment horizontal="right"/>
    </xf>
    <xf numFmtId="0" fontId="147" fillId="0" borderId="0" xfId="0" applyFont="1" applyAlignment="1">
      <alignment horizontal="right"/>
    </xf>
    <xf numFmtId="0" fontId="148" fillId="0" borderId="0" xfId="0" applyFont="1" applyAlignment="1">
      <alignment horizontal="right"/>
    </xf>
    <xf numFmtId="0" fontId="149" fillId="0" borderId="0" xfId="0" applyFont="1" applyAlignment="1">
      <alignment horizontal="right"/>
    </xf>
    <xf numFmtId="0" fontId="150" fillId="0" borderId="0" xfId="0" applyFont="1" applyAlignment="1">
      <alignment horizontal="right"/>
    </xf>
    <xf numFmtId="0" fontId="151" fillId="0" borderId="0" xfId="0" applyFont="1" applyAlignment="1">
      <alignment horizontal="right"/>
    </xf>
    <xf numFmtId="0" fontId="152" fillId="0" borderId="0" xfId="0" applyFont="1" applyAlignment="1">
      <alignment horizontal="right"/>
    </xf>
    <xf numFmtId="0" fontId="153" fillId="0" borderId="0" xfId="0" applyFont="1" applyAlignment="1">
      <alignment horizontal="right"/>
    </xf>
    <xf numFmtId="0" fontId="154" fillId="0" borderId="0" xfId="0" applyFont="1" applyAlignment="1">
      <alignment horizontal="right"/>
    </xf>
    <xf numFmtId="0" fontId="155" fillId="0" borderId="0" xfId="0" applyFont="1" applyAlignment="1">
      <alignment horizontal="right"/>
    </xf>
    <xf numFmtId="0" fontId="156" fillId="0" borderId="0" xfId="0" applyFont="1" applyAlignment="1">
      <alignment horizontal="right"/>
    </xf>
    <xf numFmtId="0" fontId="157" fillId="0" borderId="0" xfId="0" applyFont="1" applyAlignment="1">
      <alignment horizontal="right"/>
    </xf>
    <xf numFmtId="0" fontId="158" fillId="0" borderId="0" xfId="0" applyFont="1" applyAlignment="1">
      <alignment horizontal="right"/>
    </xf>
    <xf numFmtId="0" fontId="159" fillId="0" borderId="0" xfId="0" applyFont="1" applyAlignment="1">
      <alignment horizontal="right"/>
    </xf>
    <xf numFmtId="0" fontId="160" fillId="0" borderId="0" xfId="0" applyFont="1" applyAlignment="1">
      <alignment horizontal="right"/>
    </xf>
    <xf numFmtId="0" fontId="161" fillId="0" borderId="0" xfId="0" applyFont="1" applyAlignment="1">
      <alignment horizontal="right"/>
    </xf>
    <xf numFmtId="164" fontId="162" fillId="0" borderId="0" xfId="0" applyNumberFormat="1" applyFont="1" applyAlignment="1">
      <alignment horizontal="right"/>
    </xf>
    <xf numFmtId="0" fontId="163" fillId="0" borderId="0" xfId="0" applyFont="1" applyAlignment="1">
      <alignment horizontal="right"/>
    </xf>
    <xf numFmtId="0" fontId="164" fillId="0" borderId="0" xfId="0" applyFont="1" applyAlignment="1">
      <alignment horizontal="right"/>
    </xf>
    <xf numFmtId="0" fontId="165" fillId="0" borderId="0" xfId="0" applyFont="1" applyAlignment="1">
      <alignment horizontal="right"/>
    </xf>
    <xf numFmtId="0" fontId="166" fillId="0" borderId="0" xfId="0" applyFont="1" applyAlignment="1">
      <alignment horizontal="right"/>
    </xf>
    <xf numFmtId="0" fontId="167" fillId="0" borderId="0" xfId="0" applyFont="1" applyAlignment="1">
      <alignment horizontal="right"/>
    </xf>
    <xf numFmtId="164" fontId="168" fillId="0" borderId="0" xfId="0" applyNumberFormat="1" applyFont="1" applyAlignment="1">
      <alignment horizontal="right"/>
    </xf>
    <xf numFmtId="166" fontId="169" fillId="0" borderId="0" xfId="0" applyNumberFormat="1" applyFont="1" applyAlignment="1">
      <alignment horizontal="right"/>
    </xf>
    <xf numFmtId="164" fontId="170" fillId="0" borderId="0" xfId="0" applyNumberFormat="1" applyFont="1" applyAlignment="1">
      <alignment horizontal="right"/>
    </xf>
    <xf numFmtId="0" fontId="171" fillId="0" borderId="0" xfId="0" applyFont="1" applyAlignment="1">
      <alignment horizontal="right"/>
    </xf>
    <xf numFmtId="164" fontId="172" fillId="0" borderId="0" xfId="0" applyNumberFormat="1" applyFont="1" applyAlignment="1">
      <alignment horizontal="right"/>
    </xf>
    <xf numFmtId="167" fontId="173" fillId="0" borderId="0" xfId="0" applyNumberFormat="1" applyFont="1" applyAlignment="1">
      <alignment horizontal="right"/>
    </xf>
    <xf numFmtId="167" fontId="174" fillId="0" borderId="0" xfId="0" applyNumberFormat="1" applyFont="1" applyAlignment="1">
      <alignment horizontal="right"/>
    </xf>
    <xf numFmtId="0" fontId="175" fillId="2" borderId="1" xfId="0" applyFont="1" applyFill="1" applyBorder="1" applyAlignment="1">
      <alignment horizontal="center"/>
    </xf>
    <xf numFmtId="0" fontId="176" fillId="2" borderId="1" xfId="0" applyFont="1" applyFill="1" applyBorder="1" applyAlignment="1">
      <alignment horizontal="center"/>
    </xf>
    <xf numFmtId="0" fontId="177" fillId="2" borderId="1" xfId="0" applyFont="1" applyFill="1" applyBorder="1" applyAlignment="1">
      <alignment horizontal="center"/>
    </xf>
    <xf numFmtId="0" fontId="178" fillId="2" borderId="1" xfId="0" applyFont="1" applyFill="1" applyBorder="1" applyAlignment="1">
      <alignment horizontal="center"/>
    </xf>
    <xf numFmtId="0" fontId="179" fillId="2" borderId="1" xfId="0" applyFont="1" applyFill="1" applyBorder="1" applyAlignment="1">
      <alignment horizontal="center"/>
    </xf>
    <xf numFmtId="0" fontId="180" fillId="2" borderId="1" xfId="0" applyFont="1" applyFill="1" applyBorder="1" applyAlignment="1">
      <alignment horizontal="center"/>
    </xf>
    <xf numFmtId="0" fontId="181" fillId="2" borderId="1" xfId="0" applyFont="1" applyFill="1" applyBorder="1" applyAlignment="1">
      <alignment horizontal="center"/>
    </xf>
    <xf numFmtId="0" fontId="182" fillId="2" borderId="1" xfId="0" applyFont="1" applyFill="1" applyBorder="1" applyAlignment="1">
      <alignment horizontal="center"/>
    </xf>
    <xf numFmtId="0" fontId="183" fillId="2" borderId="1" xfId="0" applyFont="1" applyFill="1" applyBorder="1" applyAlignment="1">
      <alignment horizontal="center"/>
    </xf>
    <xf numFmtId="0" fontId="184" fillId="2" borderId="1" xfId="0" applyFont="1" applyFill="1" applyBorder="1" applyAlignment="1">
      <alignment horizontal="center"/>
    </xf>
    <xf numFmtId="0" fontId="185" fillId="2" borderId="1" xfId="0" applyFont="1" applyFill="1" applyBorder="1" applyAlignment="1">
      <alignment horizontal="center"/>
    </xf>
    <xf numFmtId="0" fontId="186" fillId="2" borderId="1" xfId="0" applyFont="1" applyFill="1" applyBorder="1" applyAlignment="1">
      <alignment horizontal="center"/>
    </xf>
    <xf numFmtId="0" fontId="187" fillId="2" borderId="1" xfId="0" applyFont="1" applyFill="1" applyBorder="1" applyAlignment="1">
      <alignment horizontal="center"/>
    </xf>
    <xf numFmtId="0" fontId="188" fillId="2" borderId="1" xfId="0" applyFont="1" applyFill="1" applyBorder="1" applyAlignment="1">
      <alignment horizontal="center"/>
    </xf>
    <xf numFmtId="0" fontId="189" fillId="2" borderId="1" xfId="0" applyFont="1" applyFill="1" applyBorder="1" applyAlignment="1">
      <alignment horizontal="center"/>
    </xf>
    <xf numFmtId="0" fontId="190" fillId="2" borderId="1" xfId="0" applyFont="1" applyFill="1" applyBorder="1" applyAlignment="1">
      <alignment horizontal="center"/>
    </xf>
    <xf numFmtId="0" fontId="191" fillId="2" borderId="1" xfId="0" applyFont="1" applyFill="1" applyBorder="1" applyAlignment="1">
      <alignment horizontal="center"/>
    </xf>
    <xf numFmtId="0" fontId="192" fillId="2" borderId="1" xfId="0" applyFont="1" applyFill="1" applyBorder="1" applyAlignment="1">
      <alignment horizontal="center"/>
    </xf>
    <xf numFmtId="0" fontId="193" fillId="2" borderId="1" xfId="0" applyFont="1" applyFill="1" applyBorder="1" applyAlignment="1">
      <alignment horizontal="center"/>
    </xf>
    <xf numFmtId="0" fontId="194" fillId="2" borderId="1" xfId="0" applyFont="1" applyFill="1" applyBorder="1" applyAlignment="1">
      <alignment horizontal="center"/>
    </xf>
    <xf numFmtId="0" fontId="195" fillId="2" borderId="1" xfId="0" applyFont="1" applyFill="1" applyBorder="1" applyAlignment="1">
      <alignment horizontal="center"/>
    </xf>
    <xf numFmtId="0" fontId="196" fillId="2" borderId="1" xfId="0" applyFont="1" applyFill="1" applyBorder="1" applyAlignment="1">
      <alignment horizontal="center"/>
    </xf>
    <xf numFmtId="0" fontId="197" fillId="2" borderId="1" xfId="0" applyFont="1" applyFill="1" applyBorder="1" applyAlignment="1">
      <alignment horizontal="center"/>
    </xf>
    <xf numFmtId="0" fontId="198" fillId="2" borderId="1" xfId="0" applyFont="1" applyFill="1" applyBorder="1" applyAlignment="1">
      <alignment horizontal="center"/>
    </xf>
    <xf numFmtId="165" fontId="199" fillId="0" borderId="0" xfId="0" applyNumberFormat="1" applyFont="1" applyAlignment="1">
      <alignment horizontal="right"/>
    </xf>
    <xf numFmtId="165" fontId="200" fillId="0" borderId="0" xfId="0" applyNumberFormat="1" applyFont="1" applyAlignment="1">
      <alignment horizontal="right"/>
    </xf>
    <xf numFmtId="0" fontId="201" fillId="0" borderId="0" xfId="0" applyFont="1" applyAlignment="1">
      <alignment horizontal="right"/>
    </xf>
    <xf numFmtId="165" fontId="202" fillId="0" borderId="0" xfId="0" applyNumberFormat="1" applyFont="1" applyAlignment="1">
      <alignment horizontal="right"/>
    </xf>
    <xf numFmtId="0" fontId="203" fillId="0" borderId="0" xfId="0" applyFont="1" applyAlignment="1">
      <alignment horizontal="right"/>
    </xf>
    <xf numFmtId="0" fontId="204" fillId="0" borderId="0" xfId="0" applyFont="1" applyAlignment="1">
      <alignment horizontal="right"/>
    </xf>
    <xf numFmtId="0" fontId="205" fillId="0" borderId="0" xfId="0" applyFont="1" applyAlignment="1">
      <alignment horizontal="right"/>
    </xf>
    <xf numFmtId="0" fontId="206" fillId="0" borderId="0" xfId="0" applyFont="1" applyAlignment="1">
      <alignment horizontal="right"/>
    </xf>
    <xf numFmtId="0" fontId="207" fillId="0" borderId="0" xfId="0" applyFont="1" applyAlignment="1">
      <alignment horizontal="right"/>
    </xf>
    <xf numFmtId="0" fontId="208" fillId="0" borderId="0" xfId="0" applyFont="1" applyAlignment="1">
      <alignment horizontal="right"/>
    </xf>
    <xf numFmtId="0" fontId="209" fillId="0" borderId="0" xfId="0" applyFont="1" applyAlignment="1">
      <alignment horizontal="right"/>
    </xf>
    <xf numFmtId="0" fontId="210" fillId="0" borderId="0" xfId="0" applyFont="1" applyAlignment="1">
      <alignment horizontal="right"/>
    </xf>
    <xf numFmtId="0" fontId="211" fillId="0" borderId="0" xfId="0" applyFont="1" applyAlignment="1">
      <alignment horizontal="right"/>
    </xf>
    <xf numFmtId="0" fontId="212" fillId="0" borderId="0" xfId="0" applyFont="1" applyAlignment="1">
      <alignment horizontal="right"/>
    </xf>
    <xf numFmtId="0" fontId="213" fillId="0" borderId="0" xfId="0" applyFont="1" applyAlignment="1">
      <alignment horizontal="right"/>
    </xf>
    <xf numFmtId="0" fontId="214" fillId="0" borderId="0" xfId="0" applyFont="1" applyAlignment="1">
      <alignment horizontal="right"/>
    </xf>
    <xf numFmtId="164" fontId="215" fillId="0" borderId="0" xfId="0" applyNumberFormat="1" applyFont="1" applyAlignment="1">
      <alignment horizontal="right"/>
    </xf>
    <xf numFmtId="166" fontId="216" fillId="0" borderId="0" xfId="0" applyNumberFormat="1" applyFont="1" applyAlignment="1">
      <alignment horizontal="right"/>
    </xf>
    <xf numFmtId="164" fontId="217" fillId="0" borderId="0" xfId="0" applyNumberFormat="1" applyFont="1" applyAlignment="1">
      <alignment horizontal="right"/>
    </xf>
    <xf numFmtId="0" fontId="218" fillId="0" borderId="0" xfId="0" applyFont="1" applyAlignment="1">
      <alignment horizontal="right"/>
    </xf>
    <xf numFmtId="164" fontId="219" fillId="0" borderId="0" xfId="0" applyNumberFormat="1" applyFont="1" applyAlignment="1">
      <alignment horizontal="right"/>
    </xf>
    <xf numFmtId="0" fontId="220" fillId="0" borderId="0" xfId="0" applyFont="1" applyAlignment="1">
      <alignment horizontal="right"/>
    </xf>
    <xf numFmtId="0" fontId="221" fillId="0" borderId="0" xfId="0" applyFont="1" applyAlignment="1">
      <alignment horizontal="right"/>
    </xf>
    <xf numFmtId="0" fontId="223" fillId="2" borderId="1" xfId="0" applyFont="1" applyFill="1" applyBorder="1" applyAlignment="1">
      <alignment horizontal="center"/>
    </xf>
    <xf numFmtId="0" fontId="224" fillId="2" borderId="1" xfId="0" applyFont="1" applyFill="1" applyBorder="1" applyAlignment="1">
      <alignment horizontal="center"/>
    </xf>
    <xf numFmtId="0" fontId="225" fillId="2" borderId="1" xfId="0" applyFont="1" applyFill="1" applyBorder="1" applyAlignment="1">
      <alignment horizontal="center"/>
    </xf>
    <xf numFmtId="0" fontId="226" fillId="2" borderId="1" xfId="0" applyFont="1" applyFill="1" applyBorder="1" applyAlignment="1">
      <alignment horizontal="center"/>
    </xf>
    <xf numFmtId="0" fontId="227" fillId="2" borderId="1" xfId="0" applyFont="1" applyFill="1" applyBorder="1" applyAlignment="1">
      <alignment horizontal="center"/>
    </xf>
    <xf numFmtId="0" fontId="228" fillId="2" borderId="1" xfId="0" applyFont="1" applyFill="1" applyBorder="1" applyAlignment="1">
      <alignment horizontal="center"/>
    </xf>
    <xf numFmtId="0" fontId="229" fillId="2" borderId="1" xfId="0" applyFont="1" applyFill="1" applyBorder="1" applyAlignment="1">
      <alignment horizontal="center"/>
    </xf>
    <xf numFmtId="0" fontId="230" fillId="2" borderId="1" xfId="0" applyFont="1" applyFill="1" applyBorder="1" applyAlignment="1">
      <alignment horizontal="center"/>
    </xf>
    <xf numFmtId="0" fontId="231" fillId="2" borderId="1" xfId="0" applyFont="1" applyFill="1" applyBorder="1" applyAlignment="1">
      <alignment horizontal="center"/>
    </xf>
    <xf numFmtId="0" fontId="232" fillId="2" borderId="1" xfId="0" applyFont="1" applyFill="1" applyBorder="1" applyAlignment="1">
      <alignment horizontal="center"/>
    </xf>
    <xf numFmtId="0" fontId="233" fillId="2" borderId="1" xfId="0" applyFont="1" applyFill="1" applyBorder="1" applyAlignment="1">
      <alignment horizontal="center"/>
    </xf>
    <xf numFmtId="0" fontId="234" fillId="2" borderId="1" xfId="0" applyFont="1" applyFill="1" applyBorder="1" applyAlignment="1">
      <alignment horizontal="center"/>
    </xf>
    <xf numFmtId="0" fontId="235" fillId="2" borderId="1" xfId="0" applyFont="1" applyFill="1" applyBorder="1" applyAlignment="1">
      <alignment horizontal="center"/>
    </xf>
    <xf numFmtId="0" fontId="236" fillId="2" borderId="1" xfId="0" applyFont="1" applyFill="1" applyBorder="1" applyAlignment="1">
      <alignment horizontal="center"/>
    </xf>
    <xf numFmtId="0" fontId="237" fillId="2" borderId="1" xfId="0" applyFont="1" applyFill="1" applyBorder="1" applyAlignment="1">
      <alignment horizontal="center"/>
    </xf>
    <xf numFmtId="0" fontId="238" fillId="2" borderId="1" xfId="0" applyFont="1" applyFill="1" applyBorder="1" applyAlignment="1">
      <alignment horizontal="center"/>
    </xf>
    <xf numFmtId="0" fontId="239" fillId="2" borderId="1" xfId="0" applyFont="1" applyFill="1" applyBorder="1" applyAlignment="1">
      <alignment horizontal="center"/>
    </xf>
    <xf numFmtId="0" fontId="240" fillId="2" borderId="1" xfId="0" applyFont="1" applyFill="1" applyBorder="1" applyAlignment="1">
      <alignment horizontal="center"/>
    </xf>
    <xf numFmtId="0" fontId="241" fillId="2" borderId="1" xfId="0" applyFont="1" applyFill="1" applyBorder="1" applyAlignment="1">
      <alignment horizontal="center"/>
    </xf>
    <xf numFmtId="0" fontId="242" fillId="2" borderId="1" xfId="0" applyFont="1" applyFill="1" applyBorder="1" applyAlignment="1">
      <alignment horizontal="center"/>
    </xf>
    <xf numFmtId="0" fontId="243" fillId="2" borderId="1" xfId="0" applyFont="1" applyFill="1" applyBorder="1" applyAlignment="1">
      <alignment horizontal="center"/>
    </xf>
    <xf numFmtId="0" fontId="244" fillId="2" borderId="1" xfId="0" applyFont="1" applyFill="1" applyBorder="1" applyAlignment="1">
      <alignment horizontal="center"/>
    </xf>
    <xf numFmtId="0" fontId="245" fillId="2" borderId="1" xfId="0" applyFont="1" applyFill="1" applyBorder="1" applyAlignment="1">
      <alignment horizontal="center"/>
    </xf>
    <xf numFmtId="0" fontId="246" fillId="2" borderId="1" xfId="0" applyFont="1" applyFill="1" applyBorder="1" applyAlignment="1">
      <alignment horizontal="center"/>
    </xf>
    <xf numFmtId="0" fontId="247" fillId="2" borderId="1" xfId="0" applyFont="1" applyFill="1" applyBorder="1" applyAlignment="1">
      <alignment horizontal="center"/>
    </xf>
    <xf numFmtId="0" fontId="248" fillId="2" borderId="1" xfId="0" applyFont="1" applyFill="1" applyBorder="1" applyAlignment="1">
      <alignment horizontal="center"/>
    </xf>
    <xf numFmtId="0" fontId="249" fillId="2" borderId="1" xfId="0" applyFont="1" applyFill="1" applyBorder="1" applyAlignment="1">
      <alignment horizontal="center"/>
    </xf>
    <xf numFmtId="0" fontId="250" fillId="2" borderId="1" xfId="0" applyFont="1" applyFill="1" applyBorder="1" applyAlignment="1">
      <alignment horizontal="center"/>
    </xf>
    <xf numFmtId="0" fontId="251" fillId="2" borderId="1" xfId="0" applyFont="1" applyFill="1" applyBorder="1" applyAlignment="1">
      <alignment horizontal="center"/>
    </xf>
    <xf numFmtId="0" fontId="252" fillId="2" borderId="1" xfId="0" applyFont="1" applyFill="1" applyBorder="1" applyAlignment="1">
      <alignment horizontal="center"/>
    </xf>
    <xf numFmtId="0" fontId="253" fillId="2" borderId="1" xfId="0" applyFont="1" applyFill="1" applyBorder="1" applyAlignment="1">
      <alignment horizontal="center"/>
    </xf>
    <xf numFmtId="0" fontId="254" fillId="2" borderId="1" xfId="0" applyFont="1" applyFill="1" applyBorder="1" applyAlignment="1">
      <alignment horizontal="center"/>
    </xf>
    <xf numFmtId="0" fontId="255" fillId="2" borderId="1" xfId="0" applyFont="1" applyFill="1" applyBorder="1" applyAlignment="1">
      <alignment horizontal="center"/>
    </xf>
    <xf numFmtId="0" fontId="256" fillId="2" borderId="1" xfId="0" applyFont="1" applyFill="1" applyBorder="1" applyAlignment="1">
      <alignment horizontal="center"/>
    </xf>
    <xf numFmtId="0" fontId="257" fillId="2" borderId="1" xfId="0" applyFont="1" applyFill="1" applyBorder="1" applyAlignment="1">
      <alignment horizontal="center"/>
    </xf>
    <xf numFmtId="0" fontId="258" fillId="2" borderId="1" xfId="0" applyFont="1" applyFill="1" applyBorder="1" applyAlignment="1">
      <alignment horizontal="center"/>
    </xf>
    <xf numFmtId="0" fontId="259" fillId="2" borderId="1" xfId="0" applyFont="1" applyFill="1" applyBorder="1" applyAlignment="1">
      <alignment horizontal="center"/>
    </xf>
    <xf numFmtId="0" fontId="260" fillId="2" borderId="1" xfId="0" applyFont="1" applyFill="1" applyBorder="1" applyAlignment="1">
      <alignment horizontal="center"/>
    </xf>
    <xf numFmtId="0" fontId="261" fillId="2" borderId="1" xfId="0" applyFont="1" applyFill="1" applyBorder="1" applyAlignment="1">
      <alignment horizontal="center"/>
    </xf>
    <xf numFmtId="0" fontId="262" fillId="2" borderId="1" xfId="0" applyFont="1" applyFill="1" applyBorder="1" applyAlignment="1">
      <alignment horizontal="center"/>
    </xf>
    <xf numFmtId="0" fontId="263" fillId="2" borderId="1" xfId="0" applyFont="1" applyFill="1" applyBorder="1" applyAlignment="1">
      <alignment horizontal="center"/>
    </xf>
    <xf numFmtId="0" fontId="264" fillId="2" borderId="1" xfId="0" applyFont="1" applyFill="1" applyBorder="1" applyAlignment="1">
      <alignment horizontal="center"/>
    </xf>
    <xf numFmtId="0" fontId="265" fillId="2" borderId="1" xfId="0" applyFont="1" applyFill="1" applyBorder="1" applyAlignment="1">
      <alignment horizontal="center"/>
    </xf>
    <xf numFmtId="0" fontId="266" fillId="2" borderId="1" xfId="0" applyFont="1" applyFill="1" applyBorder="1" applyAlignment="1">
      <alignment horizontal="center"/>
    </xf>
    <xf numFmtId="0" fontId="267" fillId="2" borderId="1" xfId="0" applyFont="1" applyFill="1" applyBorder="1" applyAlignment="1">
      <alignment horizontal="center"/>
    </xf>
    <xf numFmtId="0" fontId="268" fillId="2" borderId="1" xfId="0" applyFont="1" applyFill="1" applyBorder="1" applyAlignment="1">
      <alignment horizontal="center"/>
    </xf>
    <xf numFmtId="0" fontId="269" fillId="2" borderId="1" xfId="0" applyFont="1" applyFill="1" applyBorder="1" applyAlignment="1">
      <alignment horizontal="center"/>
    </xf>
    <xf numFmtId="0" fontId="270" fillId="2" borderId="1" xfId="0" applyFont="1" applyFill="1" applyBorder="1" applyAlignment="1">
      <alignment horizontal="center"/>
    </xf>
    <xf numFmtId="0" fontId="271" fillId="2" borderId="1" xfId="0" applyFont="1" applyFill="1" applyBorder="1" applyAlignment="1">
      <alignment horizontal="center"/>
    </xf>
    <xf numFmtId="0" fontId="272" fillId="2" borderId="1" xfId="0" applyFont="1" applyFill="1" applyBorder="1" applyAlignment="1">
      <alignment horizontal="center"/>
    </xf>
    <xf numFmtId="0" fontId="273" fillId="2" borderId="1" xfId="0" applyFont="1" applyFill="1" applyBorder="1" applyAlignment="1">
      <alignment horizontal="center"/>
    </xf>
    <xf numFmtId="0" fontId="274" fillId="2" borderId="1" xfId="0" applyFont="1" applyFill="1" applyBorder="1" applyAlignment="1">
      <alignment horizontal="center"/>
    </xf>
    <xf numFmtId="0" fontId="275" fillId="2" borderId="1" xfId="0" applyFont="1" applyFill="1" applyBorder="1" applyAlignment="1">
      <alignment horizontal="center"/>
    </xf>
    <xf numFmtId="0" fontId="276" fillId="2" borderId="1" xfId="0" applyFont="1" applyFill="1" applyBorder="1" applyAlignment="1">
      <alignment horizontal="center"/>
    </xf>
    <xf numFmtId="0" fontId="277" fillId="2" borderId="1" xfId="0" applyFont="1" applyFill="1" applyBorder="1" applyAlignment="1">
      <alignment horizontal="center"/>
    </xf>
    <xf numFmtId="0" fontId="278" fillId="2" borderId="1" xfId="0" applyFont="1" applyFill="1" applyBorder="1" applyAlignment="1">
      <alignment horizontal="center"/>
    </xf>
    <xf numFmtId="0" fontId="279" fillId="2" borderId="1" xfId="0" applyFont="1" applyFill="1" applyBorder="1" applyAlignment="1">
      <alignment horizontal="center"/>
    </xf>
    <xf numFmtId="0" fontId="280" fillId="2" borderId="1" xfId="0" applyFont="1" applyFill="1" applyBorder="1" applyAlignment="1">
      <alignment horizontal="center"/>
    </xf>
    <xf numFmtId="0" fontId="281" fillId="2" borderId="1" xfId="0" applyFont="1" applyFill="1" applyBorder="1" applyAlignment="1">
      <alignment horizontal="center"/>
    </xf>
    <xf numFmtId="0" fontId="282" fillId="2" borderId="1" xfId="0" applyFont="1" applyFill="1" applyBorder="1" applyAlignment="1">
      <alignment horizontal="center"/>
    </xf>
    <xf numFmtId="0" fontId="283" fillId="2" borderId="1" xfId="0" applyFont="1" applyFill="1" applyBorder="1" applyAlignment="1">
      <alignment horizontal="center"/>
    </xf>
    <xf numFmtId="0" fontId="284" fillId="2" borderId="1" xfId="0" applyFont="1" applyFill="1" applyBorder="1" applyAlignment="1">
      <alignment horizontal="center"/>
    </xf>
    <xf numFmtId="0" fontId="285" fillId="2" borderId="1" xfId="0" applyFont="1" applyFill="1" applyBorder="1" applyAlignment="1">
      <alignment horizontal="center"/>
    </xf>
    <xf numFmtId="0" fontId="286" fillId="2" borderId="1" xfId="0" applyFont="1" applyFill="1" applyBorder="1" applyAlignment="1">
      <alignment horizontal="center"/>
    </xf>
    <xf numFmtId="0" fontId="287" fillId="2" borderId="1" xfId="0" applyFont="1" applyFill="1" applyBorder="1" applyAlignment="1">
      <alignment horizontal="center"/>
    </xf>
    <xf numFmtId="0" fontId="288" fillId="2" borderId="1" xfId="0" applyFont="1" applyFill="1" applyBorder="1" applyAlignment="1">
      <alignment horizontal="center"/>
    </xf>
    <xf numFmtId="0" fontId="289" fillId="2" borderId="1" xfId="0" applyFont="1" applyFill="1" applyBorder="1" applyAlignment="1">
      <alignment horizontal="center"/>
    </xf>
    <xf numFmtId="0" fontId="290" fillId="2" borderId="1" xfId="0" applyFont="1" applyFill="1" applyBorder="1" applyAlignment="1">
      <alignment horizontal="center"/>
    </xf>
    <xf numFmtId="0" fontId="291" fillId="2" borderId="1" xfId="0" applyFont="1" applyFill="1" applyBorder="1" applyAlignment="1">
      <alignment horizontal="center"/>
    </xf>
    <xf numFmtId="0" fontId="292" fillId="2" borderId="1" xfId="0" applyFont="1" applyFill="1" applyBorder="1" applyAlignment="1">
      <alignment horizontal="center"/>
    </xf>
    <xf numFmtId="0" fontId="293" fillId="2" borderId="1" xfId="0" applyFont="1" applyFill="1" applyBorder="1" applyAlignment="1">
      <alignment horizontal="center"/>
    </xf>
    <xf numFmtId="0" fontId="294" fillId="2" borderId="1" xfId="0" applyFont="1" applyFill="1" applyBorder="1" applyAlignment="1">
      <alignment horizontal="center"/>
    </xf>
    <xf numFmtId="0" fontId="295" fillId="2" borderId="1" xfId="0" applyFont="1" applyFill="1" applyBorder="1" applyAlignment="1">
      <alignment horizontal="center"/>
    </xf>
    <xf numFmtId="0" fontId="296" fillId="2" borderId="1" xfId="0" applyFont="1" applyFill="1" applyBorder="1" applyAlignment="1">
      <alignment horizontal="center"/>
    </xf>
    <xf numFmtId="0" fontId="297" fillId="2" borderId="1" xfId="0" applyFont="1" applyFill="1" applyBorder="1" applyAlignment="1">
      <alignment horizontal="center"/>
    </xf>
    <xf numFmtId="0" fontId="298" fillId="2" borderId="1" xfId="0" applyFont="1" applyFill="1" applyBorder="1" applyAlignment="1">
      <alignment horizontal="center"/>
    </xf>
    <xf numFmtId="0" fontId="299" fillId="2" borderId="1" xfId="0" applyFont="1" applyFill="1" applyBorder="1" applyAlignment="1">
      <alignment horizontal="center"/>
    </xf>
    <xf numFmtId="0" fontId="300" fillId="2" borderId="1" xfId="0" applyFont="1" applyFill="1" applyBorder="1" applyAlignment="1">
      <alignment horizontal="center"/>
    </xf>
    <xf numFmtId="0" fontId="301" fillId="2" borderId="1" xfId="0" applyFont="1" applyFill="1" applyBorder="1" applyAlignment="1">
      <alignment horizontal="center"/>
    </xf>
    <xf numFmtId="0" fontId="302" fillId="2" borderId="1" xfId="0" applyFont="1" applyFill="1" applyBorder="1" applyAlignment="1">
      <alignment horizontal="center"/>
    </xf>
    <xf numFmtId="0" fontId="303" fillId="2" borderId="1" xfId="0" applyFont="1" applyFill="1" applyBorder="1" applyAlignment="1">
      <alignment horizontal="center"/>
    </xf>
    <xf numFmtId="0" fontId="304" fillId="2" borderId="1" xfId="0" applyFont="1" applyFill="1" applyBorder="1" applyAlignment="1">
      <alignment horizontal="center"/>
    </xf>
    <xf numFmtId="0" fontId="305" fillId="2" borderId="1" xfId="0" applyFont="1" applyFill="1" applyBorder="1" applyAlignment="1">
      <alignment horizontal="center"/>
    </xf>
    <xf numFmtId="0" fontId="306" fillId="2" borderId="1" xfId="0" applyFont="1" applyFill="1" applyBorder="1" applyAlignment="1">
      <alignment horizontal="center"/>
    </xf>
    <xf numFmtId="0" fontId="307" fillId="2" borderId="1" xfId="0" applyFont="1" applyFill="1" applyBorder="1" applyAlignment="1">
      <alignment horizontal="center"/>
    </xf>
    <xf numFmtId="0" fontId="308" fillId="2" borderId="1" xfId="0" applyFont="1" applyFill="1" applyBorder="1" applyAlignment="1">
      <alignment horizontal="center"/>
    </xf>
    <xf numFmtId="0" fontId="309" fillId="2" borderId="1" xfId="0" applyFont="1" applyFill="1" applyBorder="1" applyAlignment="1">
      <alignment horizontal="center"/>
    </xf>
    <xf numFmtId="0" fontId="310" fillId="2" borderId="1" xfId="0" applyFont="1" applyFill="1" applyBorder="1" applyAlignment="1">
      <alignment horizontal="center"/>
    </xf>
    <xf numFmtId="0" fontId="311" fillId="2" borderId="1" xfId="0" applyFont="1" applyFill="1" applyBorder="1" applyAlignment="1">
      <alignment horizontal="center"/>
    </xf>
    <xf numFmtId="0" fontId="312" fillId="2" borderId="1" xfId="0" applyFont="1" applyFill="1" applyBorder="1" applyAlignment="1">
      <alignment horizontal="center"/>
    </xf>
    <xf numFmtId="0" fontId="313" fillId="2" borderId="1" xfId="0" applyFont="1" applyFill="1" applyBorder="1" applyAlignment="1">
      <alignment horizontal="center"/>
    </xf>
    <xf numFmtId="0" fontId="314" fillId="2" borderId="1" xfId="0" applyFont="1" applyFill="1" applyBorder="1" applyAlignment="1">
      <alignment horizontal="center"/>
    </xf>
    <xf numFmtId="0" fontId="315" fillId="2" borderId="1" xfId="0" applyFont="1" applyFill="1" applyBorder="1" applyAlignment="1">
      <alignment horizontal="center"/>
    </xf>
    <xf numFmtId="0" fontId="316" fillId="2" borderId="1" xfId="0" applyFont="1" applyFill="1" applyBorder="1" applyAlignment="1">
      <alignment horizontal="center"/>
    </xf>
    <xf numFmtId="0" fontId="317" fillId="2" borderId="1" xfId="0" applyFont="1" applyFill="1" applyBorder="1" applyAlignment="1">
      <alignment horizontal="center"/>
    </xf>
    <xf numFmtId="0" fontId="318" fillId="2" borderId="1" xfId="0" applyFont="1" applyFill="1" applyBorder="1" applyAlignment="1">
      <alignment horizontal="center"/>
    </xf>
    <xf numFmtId="0" fontId="319" fillId="2" borderId="1" xfId="0" applyFont="1" applyFill="1" applyBorder="1" applyAlignment="1">
      <alignment horizontal="center"/>
    </xf>
    <xf numFmtId="0" fontId="320" fillId="2" borderId="1" xfId="0" applyFont="1" applyFill="1" applyBorder="1" applyAlignment="1">
      <alignment horizontal="center"/>
    </xf>
    <xf numFmtId="0" fontId="321" fillId="2" borderId="1" xfId="0" applyFont="1" applyFill="1" applyBorder="1" applyAlignment="1">
      <alignment horizontal="center"/>
    </xf>
    <xf numFmtId="0" fontId="322" fillId="2" borderId="1" xfId="0" applyFont="1" applyFill="1" applyBorder="1" applyAlignment="1">
      <alignment horizontal="center"/>
    </xf>
    <xf numFmtId="0" fontId="323" fillId="2" borderId="1" xfId="0" applyFont="1" applyFill="1" applyBorder="1" applyAlignment="1">
      <alignment horizontal="center"/>
    </xf>
    <xf numFmtId="0" fontId="324" fillId="2" borderId="1" xfId="0" applyFont="1" applyFill="1" applyBorder="1" applyAlignment="1">
      <alignment horizontal="center"/>
    </xf>
    <xf numFmtId="0" fontId="325" fillId="2" borderId="1" xfId="0" applyFont="1" applyFill="1" applyBorder="1" applyAlignment="1">
      <alignment horizontal="center"/>
    </xf>
    <xf numFmtId="0" fontId="326" fillId="2" borderId="1" xfId="0" applyFont="1" applyFill="1" applyBorder="1" applyAlignment="1">
      <alignment horizontal="center"/>
    </xf>
    <xf numFmtId="0" fontId="327" fillId="2" borderId="1" xfId="0" applyFont="1" applyFill="1" applyBorder="1" applyAlignment="1">
      <alignment horizontal="center"/>
    </xf>
    <xf numFmtId="0" fontId="328" fillId="2" borderId="1" xfId="0" applyFont="1" applyFill="1" applyBorder="1" applyAlignment="1">
      <alignment horizontal="center"/>
    </xf>
    <xf numFmtId="0" fontId="329" fillId="2" borderId="1" xfId="0" applyFont="1" applyFill="1" applyBorder="1" applyAlignment="1">
      <alignment horizontal="center"/>
    </xf>
    <xf numFmtId="0" fontId="330" fillId="2" borderId="1" xfId="0" applyFont="1" applyFill="1" applyBorder="1" applyAlignment="1">
      <alignment horizontal="center"/>
    </xf>
    <xf numFmtId="0" fontId="331" fillId="2" borderId="1" xfId="0" applyFont="1" applyFill="1" applyBorder="1" applyAlignment="1">
      <alignment horizontal="center"/>
    </xf>
    <xf numFmtId="0" fontId="332" fillId="2" borderId="1" xfId="0" applyFont="1" applyFill="1" applyBorder="1" applyAlignment="1">
      <alignment horizontal="center"/>
    </xf>
    <xf numFmtId="0" fontId="333" fillId="2" borderId="1" xfId="0" applyFont="1" applyFill="1" applyBorder="1" applyAlignment="1">
      <alignment horizontal="center"/>
    </xf>
    <xf numFmtId="0" fontId="334" fillId="2" borderId="1" xfId="0" applyFont="1" applyFill="1" applyBorder="1" applyAlignment="1">
      <alignment horizontal="center"/>
    </xf>
    <xf numFmtId="0" fontId="335" fillId="2" borderId="1" xfId="0" applyFont="1" applyFill="1" applyBorder="1" applyAlignment="1">
      <alignment horizontal="center"/>
    </xf>
    <xf numFmtId="0" fontId="336" fillId="2" borderId="1" xfId="0" applyFont="1" applyFill="1" applyBorder="1" applyAlignment="1">
      <alignment horizontal="center"/>
    </xf>
    <xf numFmtId="0" fontId="337" fillId="2" borderId="1" xfId="0" applyFont="1" applyFill="1" applyBorder="1" applyAlignment="1">
      <alignment horizontal="center"/>
    </xf>
    <xf numFmtId="0" fontId="338" fillId="2" borderId="1" xfId="0" applyFont="1" applyFill="1" applyBorder="1" applyAlignment="1">
      <alignment horizontal="center"/>
    </xf>
    <xf numFmtId="0" fontId="339" fillId="2" borderId="1" xfId="0" applyFont="1" applyFill="1" applyBorder="1" applyAlignment="1">
      <alignment horizontal="center"/>
    </xf>
    <xf numFmtId="0" fontId="340" fillId="2" borderId="1" xfId="0" applyFont="1" applyFill="1" applyBorder="1" applyAlignment="1">
      <alignment horizontal="center"/>
    </xf>
    <xf numFmtId="0" fontId="341" fillId="2" borderId="1" xfId="0" applyFont="1" applyFill="1" applyBorder="1" applyAlignment="1">
      <alignment horizontal="center"/>
    </xf>
    <xf numFmtId="0" fontId="342" fillId="2" borderId="1" xfId="0" applyFont="1" applyFill="1" applyBorder="1" applyAlignment="1">
      <alignment horizontal="center"/>
    </xf>
    <xf numFmtId="0" fontId="343" fillId="2" borderId="1" xfId="0" applyFont="1" applyFill="1" applyBorder="1" applyAlignment="1">
      <alignment horizontal="center"/>
    </xf>
    <xf numFmtId="0" fontId="344" fillId="2" borderId="1" xfId="0" applyFont="1" applyFill="1" applyBorder="1" applyAlignment="1">
      <alignment horizontal="center"/>
    </xf>
    <xf numFmtId="0" fontId="345" fillId="2" borderId="1" xfId="0" applyFont="1" applyFill="1" applyBorder="1" applyAlignment="1">
      <alignment horizontal="center"/>
    </xf>
    <xf numFmtId="0" fontId="346" fillId="2" borderId="1" xfId="0" applyFont="1" applyFill="1" applyBorder="1" applyAlignment="1">
      <alignment horizontal="center"/>
    </xf>
    <xf numFmtId="0" fontId="347" fillId="2" borderId="1" xfId="0" applyFont="1" applyFill="1" applyBorder="1" applyAlignment="1">
      <alignment horizontal="center"/>
    </xf>
    <xf numFmtId="0" fontId="348" fillId="2" borderId="1" xfId="0" applyFont="1" applyFill="1" applyBorder="1" applyAlignment="1">
      <alignment horizontal="center"/>
    </xf>
    <xf numFmtId="0" fontId="349" fillId="2" borderId="1" xfId="0" applyFont="1" applyFill="1" applyBorder="1" applyAlignment="1">
      <alignment horizontal="center"/>
    </xf>
    <xf numFmtId="0" fontId="350" fillId="2" borderId="1" xfId="0" applyFont="1" applyFill="1" applyBorder="1" applyAlignment="1">
      <alignment horizontal="center"/>
    </xf>
    <xf numFmtId="0" fontId="351" fillId="2" borderId="1" xfId="0" applyFont="1" applyFill="1" applyBorder="1" applyAlignment="1">
      <alignment horizontal="center"/>
    </xf>
    <xf numFmtId="0" fontId="352" fillId="2" borderId="1" xfId="0" applyFont="1" applyFill="1" applyBorder="1" applyAlignment="1">
      <alignment horizontal="center"/>
    </xf>
    <xf numFmtId="0" fontId="353" fillId="2" borderId="1" xfId="0" applyFont="1" applyFill="1" applyBorder="1" applyAlignment="1">
      <alignment horizontal="center"/>
    </xf>
    <xf numFmtId="0" fontId="354" fillId="2" borderId="1" xfId="0" applyFont="1" applyFill="1" applyBorder="1" applyAlignment="1">
      <alignment horizontal="center"/>
    </xf>
    <xf numFmtId="0" fontId="355" fillId="2" borderId="1" xfId="0" applyFont="1" applyFill="1" applyBorder="1" applyAlignment="1">
      <alignment horizontal="center"/>
    </xf>
    <xf numFmtId="0" fontId="356" fillId="2" borderId="1" xfId="0" applyFont="1" applyFill="1" applyBorder="1" applyAlignment="1">
      <alignment horizontal="center"/>
    </xf>
    <xf numFmtId="0" fontId="357" fillId="2" borderId="1" xfId="0" applyFont="1" applyFill="1" applyBorder="1" applyAlignment="1">
      <alignment horizontal="center"/>
    </xf>
    <xf numFmtId="0" fontId="358" fillId="2" borderId="1" xfId="0" applyFont="1" applyFill="1" applyBorder="1" applyAlignment="1">
      <alignment horizontal="center"/>
    </xf>
    <xf numFmtId="0" fontId="359" fillId="2" borderId="1" xfId="0" applyFont="1" applyFill="1" applyBorder="1" applyAlignment="1">
      <alignment horizontal="center"/>
    </xf>
    <xf numFmtId="0" fontId="360" fillId="2" borderId="1" xfId="0" applyFont="1" applyFill="1" applyBorder="1" applyAlignment="1">
      <alignment horizontal="center"/>
    </xf>
    <xf numFmtId="0" fontId="361" fillId="2" borderId="1" xfId="0" applyFont="1" applyFill="1" applyBorder="1" applyAlignment="1">
      <alignment horizontal="center"/>
    </xf>
    <xf numFmtId="0" fontId="362" fillId="2" borderId="1" xfId="0" applyFont="1" applyFill="1" applyBorder="1" applyAlignment="1">
      <alignment horizontal="center"/>
    </xf>
    <xf numFmtId="0" fontId="363" fillId="2" borderId="1" xfId="0" applyFont="1" applyFill="1" applyBorder="1" applyAlignment="1">
      <alignment horizontal="center"/>
    </xf>
    <xf numFmtId="0" fontId="364" fillId="2" borderId="1" xfId="0" applyFont="1" applyFill="1" applyBorder="1" applyAlignment="1">
      <alignment horizontal="center"/>
    </xf>
    <xf numFmtId="0" fontId="365" fillId="2" borderId="1" xfId="0" applyFont="1" applyFill="1" applyBorder="1" applyAlignment="1">
      <alignment horizontal="center"/>
    </xf>
    <xf numFmtId="0" fontId="366" fillId="2" borderId="1" xfId="0" applyFont="1" applyFill="1" applyBorder="1" applyAlignment="1">
      <alignment horizontal="center"/>
    </xf>
    <xf numFmtId="0" fontId="367" fillId="2" borderId="1" xfId="0" applyFont="1" applyFill="1" applyBorder="1" applyAlignment="1">
      <alignment horizontal="center"/>
    </xf>
    <xf numFmtId="0" fontId="368" fillId="2" borderId="1" xfId="0" applyFont="1" applyFill="1" applyBorder="1" applyAlignment="1">
      <alignment horizontal="center"/>
    </xf>
    <xf numFmtId="0" fontId="369" fillId="2" borderId="1" xfId="0" applyFont="1" applyFill="1" applyBorder="1" applyAlignment="1">
      <alignment horizontal="center"/>
    </xf>
    <xf numFmtId="0" fontId="370" fillId="2" borderId="1" xfId="0" applyFont="1" applyFill="1" applyBorder="1" applyAlignment="1">
      <alignment horizontal="center"/>
    </xf>
    <xf numFmtId="0" fontId="371" fillId="2" borderId="1" xfId="0" applyFont="1" applyFill="1" applyBorder="1" applyAlignment="1">
      <alignment horizontal="center"/>
    </xf>
    <xf numFmtId="0" fontId="372" fillId="2" borderId="1" xfId="0" applyFont="1" applyFill="1" applyBorder="1" applyAlignment="1">
      <alignment horizontal="center"/>
    </xf>
    <xf numFmtId="0" fontId="373" fillId="2" borderId="1" xfId="0" applyFont="1" applyFill="1" applyBorder="1" applyAlignment="1">
      <alignment horizontal="center"/>
    </xf>
    <xf numFmtId="0" fontId="374" fillId="2" borderId="1" xfId="0" applyFont="1" applyFill="1" applyBorder="1" applyAlignment="1">
      <alignment horizontal="center"/>
    </xf>
    <xf numFmtId="0" fontId="375" fillId="2" borderId="1" xfId="0" applyFont="1" applyFill="1" applyBorder="1" applyAlignment="1">
      <alignment horizontal="center"/>
    </xf>
    <xf numFmtId="0" fontId="376" fillId="2" borderId="1" xfId="0" applyFont="1" applyFill="1" applyBorder="1" applyAlignment="1">
      <alignment horizontal="center"/>
    </xf>
    <xf numFmtId="0" fontId="377" fillId="2" borderId="1" xfId="0" applyFont="1" applyFill="1" applyBorder="1" applyAlignment="1">
      <alignment horizontal="center"/>
    </xf>
    <xf numFmtId="0" fontId="378" fillId="2" borderId="1" xfId="0" applyFont="1" applyFill="1" applyBorder="1" applyAlignment="1">
      <alignment horizontal="center"/>
    </xf>
    <xf numFmtId="0" fontId="379" fillId="2" borderId="1" xfId="0" applyFont="1" applyFill="1" applyBorder="1" applyAlignment="1">
      <alignment horizontal="center"/>
    </xf>
    <xf numFmtId="0" fontId="380" fillId="2" borderId="1" xfId="0" applyFont="1" applyFill="1" applyBorder="1" applyAlignment="1">
      <alignment horizontal="center"/>
    </xf>
    <xf numFmtId="0" fontId="381" fillId="2" borderId="1" xfId="0" applyFont="1" applyFill="1" applyBorder="1" applyAlignment="1">
      <alignment horizontal="center"/>
    </xf>
    <xf numFmtId="0" fontId="382" fillId="2" borderId="1" xfId="0" applyFont="1" applyFill="1" applyBorder="1" applyAlignment="1">
      <alignment horizontal="center"/>
    </xf>
    <xf numFmtId="0" fontId="383" fillId="2" borderId="1" xfId="0" applyFont="1" applyFill="1" applyBorder="1" applyAlignment="1">
      <alignment horizontal="center"/>
    </xf>
    <xf numFmtId="0" fontId="384" fillId="2" borderId="1" xfId="0" applyFont="1" applyFill="1" applyBorder="1" applyAlignment="1">
      <alignment horizontal="center"/>
    </xf>
    <xf numFmtId="0" fontId="385" fillId="2" borderId="1" xfId="0" applyFont="1" applyFill="1" applyBorder="1" applyAlignment="1">
      <alignment horizontal="center"/>
    </xf>
    <xf numFmtId="0" fontId="386" fillId="2" borderId="1" xfId="0" applyFont="1" applyFill="1" applyBorder="1" applyAlignment="1">
      <alignment horizontal="center"/>
    </xf>
    <xf numFmtId="0" fontId="387" fillId="2" borderId="1" xfId="0" applyFont="1" applyFill="1" applyBorder="1" applyAlignment="1">
      <alignment horizontal="center"/>
    </xf>
    <xf numFmtId="0" fontId="388" fillId="2" borderId="1" xfId="0" applyFont="1" applyFill="1" applyBorder="1" applyAlignment="1">
      <alignment horizontal="center"/>
    </xf>
    <xf numFmtId="0" fontId="389" fillId="2" borderId="1" xfId="0" applyFont="1" applyFill="1" applyBorder="1" applyAlignment="1">
      <alignment horizontal="center"/>
    </xf>
    <xf numFmtId="0" fontId="390" fillId="2" borderId="1" xfId="0" applyFont="1" applyFill="1" applyBorder="1" applyAlignment="1">
      <alignment horizontal="center"/>
    </xf>
    <xf numFmtId="0" fontId="391" fillId="2" borderId="1" xfId="0" applyFont="1" applyFill="1" applyBorder="1" applyAlignment="1">
      <alignment horizontal="center"/>
    </xf>
    <xf numFmtId="0" fontId="392" fillId="2" borderId="1" xfId="0" applyFont="1" applyFill="1" applyBorder="1" applyAlignment="1">
      <alignment horizontal="center"/>
    </xf>
    <xf numFmtId="0" fontId="393" fillId="2" borderId="1" xfId="0" applyFont="1" applyFill="1" applyBorder="1" applyAlignment="1">
      <alignment horizontal="center"/>
    </xf>
    <xf numFmtId="0" fontId="394" fillId="2" borderId="1" xfId="0" applyFont="1" applyFill="1" applyBorder="1" applyAlignment="1">
      <alignment horizontal="center"/>
    </xf>
    <xf numFmtId="0" fontId="395" fillId="2" borderId="1" xfId="0" applyFont="1" applyFill="1" applyBorder="1" applyAlignment="1">
      <alignment horizontal="center"/>
    </xf>
    <xf numFmtId="0" fontId="396" fillId="2" borderId="1" xfId="0" applyFont="1" applyFill="1" applyBorder="1" applyAlignment="1">
      <alignment horizontal="center"/>
    </xf>
    <xf numFmtId="0" fontId="397" fillId="2" borderId="1" xfId="0" applyFont="1" applyFill="1" applyBorder="1" applyAlignment="1">
      <alignment horizontal="center"/>
    </xf>
    <xf numFmtId="0" fontId="398" fillId="2" borderId="1" xfId="0" applyFont="1" applyFill="1" applyBorder="1" applyAlignment="1">
      <alignment horizontal="center"/>
    </xf>
    <xf numFmtId="0" fontId="399" fillId="2" borderId="1" xfId="0" applyFont="1" applyFill="1" applyBorder="1" applyAlignment="1">
      <alignment horizontal="center"/>
    </xf>
    <xf numFmtId="0" fontId="400" fillId="2" borderId="1" xfId="0" applyFont="1" applyFill="1" applyBorder="1" applyAlignment="1">
      <alignment horizontal="center"/>
    </xf>
    <xf numFmtId="0" fontId="401" fillId="2" borderId="1" xfId="0" applyFont="1" applyFill="1" applyBorder="1" applyAlignment="1">
      <alignment horizontal="center"/>
    </xf>
    <xf numFmtId="0" fontId="402" fillId="2" borderId="1" xfId="0" applyFont="1" applyFill="1" applyBorder="1" applyAlignment="1">
      <alignment horizontal="center"/>
    </xf>
    <xf numFmtId="0" fontId="403" fillId="2" borderId="1" xfId="0" applyFont="1" applyFill="1" applyBorder="1" applyAlignment="1">
      <alignment horizontal="center"/>
    </xf>
    <xf numFmtId="0" fontId="404" fillId="2" borderId="1" xfId="0" applyFont="1" applyFill="1" applyBorder="1" applyAlignment="1">
      <alignment horizontal="center"/>
    </xf>
    <xf numFmtId="0" fontId="405" fillId="2" borderId="1" xfId="0" applyFont="1" applyFill="1" applyBorder="1" applyAlignment="1">
      <alignment horizontal="center"/>
    </xf>
    <xf numFmtId="0" fontId="406" fillId="2" borderId="1" xfId="0" applyFont="1" applyFill="1" applyBorder="1" applyAlignment="1">
      <alignment horizontal="center"/>
    </xf>
    <xf numFmtId="0" fontId="407" fillId="2" borderId="1" xfId="0" applyFont="1" applyFill="1" applyBorder="1" applyAlignment="1">
      <alignment horizontal="center"/>
    </xf>
    <xf numFmtId="165" fontId="408" fillId="0" borderId="0" xfId="0" applyNumberFormat="1" applyFont="1" applyAlignment="1">
      <alignment horizontal="right"/>
    </xf>
    <xf numFmtId="165" fontId="409" fillId="0" borderId="0" xfId="0" applyNumberFormat="1" applyFont="1" applyAlignment="1">
      <alignment horizontal="right"/>
    </xf>
    <xf numFmtId="0" fontId="410" fillId="0" borderId="0" xfId="0" applyFont="1" applyAlignment="1">
      <alignment horizontal="right"/>
    </xf>
    <xf numFmtId="0" fontId="411" fillId="0" borderId="0" xfId="0" applyFont="1" applyAlignment="1">
      <alignment horizontal="right"/>
    </xf>
    <xf numFmtId="165" fontId="412" fillId="0" borderId="0" xfId="0" applyNumberFormat="1" applyFont="1" applyAlignment="1">
      <alignment horizontal="right"/>
    </xf>
    <xf numFmtId="0" fontId="413" fillId="0" borderId="0" xfId="0" applyFont="1" applyAlignment="1">
      <alignment horizontal="right"/>
    </xf>
    <xf numFmtId="164" fontId="414" fillId="0" borderId="0" xfId="0" applyNumberFormat="1" applyFont="1" applyAlignment="1">
      <alignment horizontal="right"/>
    </xf>
    <xf numFmtId="0" fontId="415" fillId="0" borderId="0" xfId="0" applyFont="1" applyAlignment="1">
      <alignment horizontal="right"/>
    </xf>
    <xf numFmtId="0" fontId="416" fillId="0" borderId="0" xfId="0" applyFont="1" applyAlignment="1">
      <alignment horizontal="right"/>
    </xf>
    <xf numFmtId="0" fontId="417" fillId="0" borderId="0" xfId="0" applyFont="1" applyAlignment="1">
      <alignment horizontal="right"/>
    </xf>
    <xf numFmtId="0" fontId="418" fillId="0" borderId="0" xfId="0" applyFont="1" applyAlignment="1">
      <alignment horizontal="right"/>
    </xf>
    <xf numFmtId="164" fontId="419" fillId="0" borderId="0" xfId="0" applyNumberFormat="1" applyFont="1" applyAlignment="1">
      <alignment horizontal="right"/>
    </xf>
    <xf numFmtId="164" fontId="420" fillId="0" borderId="0" xfId="0" applyNumberFormat="1" applyFont="1" applyAlignment="1">
      <alignment horizontal="right"/>
    </xf>
    <xf numFmtId="164" fontId="421" fillId="0" borderId="0" xfId="0" applyNumberFormat="1" applyFont="1" applyAlignment="1">
      <alignment horizontal="right"/>
    </xf>
    <xf numFmtId="167" fontId="422" fillId="0" borderId="0" xfId="0" applyNumberFormat="1" applyFont="1" applyAlignment="1">
      <alignment horizontal="right"/>
    </xf>
    <xf numFmtId="0" fontId="423" fillId="0" borderId="0" xfId="0" applyFont="1" applyAlignment="1">
      <alignment horizontal="right"/>
    </xf>
    <xf numFmtId="0" fontId="424" fillId="0" borderId="0" xfId="0" applyFont="1" applyAlignment="1">
      <alignment horizontal="right"/>
    </xf>
    <xf numFmtId="0" fontId="425" fillId="0" borderId="0" xfId="0" applyFont="1" applyAlignment="1">
      <alignment horizontal="right"/>
    </xf>
    <xf numFmtId="0" fontId="426" fillId="2" borderId="1" xfId="0" applyFont="1" applyFill="1" applyBorder="1" applyAlignment="1">
      <alignment horizontal="center"/>
    </xf>
    <xf numFmtId="0" fontId="427" fillId="2" borderId="1" xfId="0" applyFont="1" applyFill="1" applyBorder="1" applyAlignment="1">
      <alignment horizontal="center"/>
    </xf>
    <xf numFmtId="0" fontId="428" fillId="2" borderId="1" xfId="0" applyFont="1" applyFill="1" applyBorder="1" applyAlignment="1">
      <alignment horizontal="center"/>
    </xf>
    <xf numFmtId="0" fontId="429" fillId="2" borderId="1" xfId="0" applyFont="1" applyFill="1" applyBorder="1" applyAlignment="1">
      <alignment horizontal="center"/>
    </xf>
    <xf numFmtId="0" fontId="430" fillId="2" borderId="1" xfId="0" applyFont="1" applyFill="1" applyBorder="1" applyAlignment="1">
      <alignment horizontal="center"/>
    </xf>
    <xf numFmtId="0" fontId="431" fillId="2" borderId="1" xfId="0" applyFont="1" applyFill="1" applyBorder="1" applyAlignment="1">
      <alignment horizontal="center"/>
    </xf>
    <xf numFmtId="0" fontId="432" fillId="2" borderId="1" xfId="0" applyFont="1" applyFill="1" applyBorder="1" applyAlignment="1">
      <alignment horizontal="center"/>
    </xf>
    <xf numFmtId="0" fontId="433" fillId="2" borderId="1" xfId="0" applyFont="1" applyFill="1" applyBorder="1" applyAlignment="1">
      <alignment horizontal="center"/>
    </xf>
    <xf numFmtId="0" fontId="434" fillId="2" borderId="1" xfId="0" applyFont="1" applyFill="1" applyBorder="1" applyAlignment="1">
      <alignment horizontal="center"/>
    </xf>
    <xf numFmtId="0" fontId="435" fillId="2" borderId="1" xfId="0" applyFont="1" applyFill="1" applyBorder="1" applyAlignment="1">
      <alignment horizontal="center"/>
    </xf>
    <xf numFmtId="0" fontId="436" fillId="2" borderId="1" xfId="0" applyFont="1" applyFill="1" applyBorder="1" applyAlignment="1">
      <alignment horizontal="center"/>
    </xf>
    <xf numFmtId="0" fontId="437" fillId="2" borderId="1" xfId="0" applyFont="1" applyFill="1" applyBorder="1" applyAlignment="1">
      <alignment horizontal="center"/>
    </xf>
    <xf numFmtId="0" fontId="438" fillId="2" borderId="1" xfId="0" applyFont="1" applyFill="1" applyBorder="1" applyAlignment="1">
      <alignment horizontal="center"/>
    </xf>
    <xf numFmtId="0" fontId="439" fillId="2" borderId="1" xfId="0" applyFont="1" applyFill="1" applyBorder="1" applyAlignment="1">
      <alignment horizontal="center"/>
    </xf>
    <xf numFmtId="0" fontId="440" fillId="2" borderId="1" xfId="0" applyFont="1" applyFill="1" applyBorder="1" applyAlignment="1">
      <alignment horizontal="center"/>
    </xf>
    <xf numFmtId="0" fontId="441" fillId="2" borderId="1" xfId="0" applyFont="1" applyFill="1" applyBorder="1" applyAlignment="1">
      <alignment horizontal="center"/>
    </xf>
    <xf numFmtId="0" fontId="442" fillId="2" borderId="1" xfId="0" applyFont="1" applyFill="1" applyBorder="1" applyAlignment="1">
      <alignment horizontal="center"/>
    </xf>
    <xf numFmtId="0" fontId="443" fillId="2" borderId="1" xfId="0" applyFont="1" applyFill="1" applyBorder="1" applyAlignment="1">
      <alignment horizontal="center"/>
    </xf>
    <xf numFmtId="0" fontId="444" fillId="2" borderId="1" xfId="0" applyFont="1" applyFill="1" applyBorder="1" applyAlignment="1">
      <alignment horizontal="center"/>
    </xf>
    <xf numFmtId="0" fontId="445" fillId="2" borderId="1" xfId="0" applyFont="1" applyFill="1" applyBorder="1" applyAlignment="1">
      <alignment horizontal="center"/>
    </xf>
    <xf numFmtId="0" fontId="446" fillId="2" borderId="1" xfId="0" applyFont="1" applyFill="1" applyBorder="1" applyAlignment="1">
      <alignment horizontal="center"/>
    </xf>
    <xf numFmtId="0" fontId="447" fillId="2" borderId="1" xfId="0" applyFont="1" applyFill="1" applyBorder="1" applyAlignment="1">
      <alignment horizontal="center"/>
    </xf>
    <xf numFmtId="0" fontId="448" fillId="2" borderId="1" xfId="0" applyFont="1" applyFill="1" applyBorder="1" applyAlignment="1">
      <alignment horizontal="center"/>
    </xf>
    <xf numFmtId="0" fontId="449" fillId="2" borderId="1" xfId="0" applyFont="1" applyFill="1" applyBorder="1" applyAlignment="1">
      <alignment horizontal="center"/>
    </xf>
    <xf numFmtId="0" fontId="450" fillId="2" borderId="1" xfId="0" applyFont="1" applyFill="1" applyBorder="1" applyAlignment="1">
      <alignment horizontal="center"/>
    </xf>
    <xf numFmtId="0" fontId="451" fillId="2" borderId="1" xfId="0" applyFont="1" applyFill="1" applyBorder="1" applyAlignment="1">
      <alignment horizontal="center"/>
    </xf>
    <xf numFmtId="0" fontId="452" fillId="2" borderId="1" xfId="0" applyFont="1" applyFill="1" applyBorder="1" applyAlignment="1">
      <alignment horizontal="center"/>
    </xf>
    <xf numFmtId="0" fontId="453" fillId="2" borderId="1" xfId="0" applyFont="1" applyFill="1" applyBorder="1" applyAlignment="1">
      <alignment horizontal="center"/>
    </xf>
    <xf numFmtId="0" fontId="454" fillId="2" borderId="1" xfId="0" applyFont="1" applyFill="1" applyBorder="1" applyAlignment="1">
      <alignment horizontal="center"/>
    </xf>
    <xf numFmtId="0" fontId="455" fillId="2" borderId="1" xfId="0" applyFont="1" applyFill="1" applyBorder="1" applyAlignment="1">
      <alignment horizontal="center"/>
    </xf>
    <xf numFmtId="0" fontId="456" fillId="2" borderId="1" xfId="0" applyFont="1" applyFill="1" applyBorder="1" applyAlignment="1">
      <alignment horizontal="center"/>
    </xf>
    <xf numFmtId="0" fontId="457" fillId="2" borderId="1" xfId="0" applyFont="1" applyFill="1" applyBorder="1" applyAlignment="1">
      <alignment horizontal="center"/>
    </xf>
    <xf numFmtId="0" fontId="458" fillId="2" borderId="1" xfId="0" applyFont="1" applyFill="1" applyBorder="1" applyAlignment="1">
      <alignment horizontal="center"/>
    </xf>
    <xf numFmtId="0" fontId="459" fillId="2" borderId="1" xfId="0" applyFont="1" applyFill="1" applyBorder="1" applyAlignment="1">
      <alignment horizontal="center"/>
    </xf>
    <xf numFmtId="0" fontId="460" fillId="2" borderId="1" xfId="0" applyFont="1" applyFill="1" applyBorder="1" applyAlignment="1">
      <alignment horizontal="center"/>
    </xf>
    <xf numFmtId="0" fontId="461" fillId="2" borderId="1" xfId="0" applyFont="1" applyFill="1" applyBorder="1" applyAlignment="1">
      <alignment horizontal="center"/>
    </xf>
    <xf numFmtId="0" fontId="462" fillId="2" borderId="1" xfId="0" applyFont="1" applyFill="1" applyBorder="1" applyAlignment="1">
      <alignment horizontal="center"/>
    </xf>
    <xf numFmtId="0" fontId="463" fillId="2" borderId="1" xfId="0" applyFont="1" applyFill="1" applyBorder="1" applyAlignment="1">
      <alignment horizontal="center"/>
    </xf>
    <xf numFmtId="0" fontId="464" fillId="2" borderId="1" xfId="0" applyFont="1" applyFill="1" applyBorder="1" applyAlignment="1">
      <alignment horizontal="center"/>
    </xf>
    <xf numFmtId="0" fontId="465" fillId="2" borderId="1" xfId="0" applyFont="1" applyFill="1" applyBorder="1" applyAlignment="1">
      <alignment horizontal="center"/>
    </xf>
    <xf numFmtId="0" fontId="466" fillId="2" borderId="1" xfId="0" applyFont="1" applyFill="1" applyBorder="1" applyAlignment="1">
      <alignment horizontal="center"/>
    </xf>
    <xf numFmtId="0" fontId="467" fillId="2" borderId="1" xfId="0" applyFont="1" applyFill="1" applyBorder="1" applyAlignment="1">
      <alignment horizontal="center"/>
    </xf>
    <xf numFmtId="0" fontId="468" fillId="2" borderId="1" xfId="0" applyFont="1" applyFill="1" applyBorder="1" applyAlignment="1">
      <alignment horizontal="center"/>
    </xf>
    <xf numFmtId="0" fontId="469" fillId="2" borderId="1" xfId="0" applyFont="1" applyFill="1" applyBorder="1" applyAlignment="1">
      <alignment horizontal="center"/>
    </xf>
    <xf numFmtId="0" fontId="470" fillId="2" borderId="1" xfId="0" applyFont="1" applyFill="1" applyBorder="1" applyAlignment="1">
      <alignment horizontal="center"/>
    </xf>
    <xf numFmtId="0" fontId="471" fillId="2" borderId="1" xfId="0" applyFont="1" applyFill="1" applyBorder="1" applyAlignment="1">
      <alignment horizontal="center"/>
    </xf>
    <xf numFmtId="0" fontId="472" fillId="2" borderId="1" xfId="0" applyFont="1" applyFill="1" applyBorder="1" applyAlignment="1">
      <alignment horizontal="center"/>
    </xf>
    <xf numFmtId="0" fontId="473" fillId="2" borderId="1" xfId="0" applyFont="1" applyFill="1" applyBorder="1" applyAlignment="1">
      <alignment horizontal="center"/>
    </xf>
    <xf numFmtId="0" fontId="474" fillId="2" borderId="1" xfId="0" applyFont="1" applyFill="1" applyBorder="1" applyAlignment="1">
      <alignment horizontal="center"/>
    </xf>
    <xf numFmtId="0" fontId="475" fillId="2" borderId="1" xfId="0" applyFont="1" applyFill="1" applyBorder="1" applyAlignment="1">
      <alignment horizontal="center"/>
    </xf>
    <xf numFmtId="0" fontId="476" fillId="2" borderId="1" xfId="0" applyFont="1" applyFill="1" applyBorder="1" applyAlignment="1">
      <alignment horizontal="center"/>
    </xf>
    <xf numFmtId="0" fontId="477" fillId="2" borderId="1" xfId="0" applyFont="1" applyFill="1" applyBorder="1" applyAlignment="1">
      <alignment horizontal="center"/>
    </xf>
    <xf numFmtId="0" fontId="478" fillId="2" borderId="1" xfId="0" applyFont="1" applyFill="1" applyBorder="1" applyAlignment="1">
      <alignment horizontal="center"/>
    </xf>
    <xf numFmtId="0" fontId="479" fillId="2" borderId="1" xfId="0" applyFont="1" applyFill="1" applyBorder="1" applyAlignment="1">
      <alignment horizontal="center"/>
    </xf>
    <xf numFmtId="0" fontId="480" fillId="2" borderId="1" xfId="0" applyFont="1" applyFill="1" applyBorder="1" applyAlignment="1">
      <alignment horizontal="center"/>
    </xf>
    <xf numFmtId="0" fontId="481" fillId="2" borderId="1" xfId="0" applyFont="1" applyFill="1" applyBorder="1" applyAlignment="1">
      <alignment horizontal="center"/>
    </xf>
    <xf numFmtId="0" fontId="482" fillId="2" borderId="1" xfId="0" applyFont="1" applyFill="1" applyBorder="1" applyAlignment="1">
      <alignment horizontal="center"/>
    </xf>
    <xf numFmtId="0" fontId="483" fillId="2" borderId="1" xfId="0" applyFont="1" applyFill="1" applyBorder="1" applyAlignment="1">
      <alignment horizontal="center"/>
    </xf>
    <xf numFmtId="0" fontId="484" fillId="2" borderId="1" xfId="0" applyFont="1" applyFill="1" applyBorder="1" applyAlignment="1">
      <alignment horizontal="center"/>
    </xf>
    <xf numFmtId="0" fontId="485" fillId="2" borderId="1" xfId="0" applyFont="1" applyFill="1" applyBorder="1" applyAlignment="1">
      <alignment horizontal="center"/>
    </xf>
    <xf numFmtId="0" fontId="486" fillId="2" borderId="1" xfId="0" applyFont="1" applyFill="1" applyBorder="1" applyAlignment="1">
      <alignment horizontal="center"/>
    </xf>
    <xf numFmtId="0" fontId="487" fillId="2" borderId="1" xfId="0" applyFont="1" applyFill="1" applyBorder="1" applyAlignment="1">
      <alignment horizontal="center"/>
    </xf>
    <xf numFmtId="0" fontId="488" fillId="2" borderId="1" xfId="0" applyFont="1" applyFill="1" applyBorder="1" applyAlignment="1">
      <alignment horizontal="center"/>
    </xf>
    <xf numFmtId="0" fontId="489" fillId="2" borderId="1" xfId="0" applyFont="1" applyFill="1" applyBorder="1" applyAlignment="1">
      <alignment horizontal="center"/>
    </xf>
    <xf numFmtId="0" fontId="490" fillId="2" borderId="1" xfId="0" applyFont="1" applyFill="1" applyBorder="1" applyAlignment="1">
      <alignment horizontal="center"/>
    </xf>
    <xf numFmtId="0" fontId="491" fillId="2" borderId="1" xfId="0" applyFont="1" applyFill="1" applyBorder="1" applyAlignment="1">
      <alignment horizontal="center"/>
    </xf>
    <xf numFmtId="0" fontId="492" fillId="2" borderId="1" xfId="0" applyFont="1" applyFill="1" applyBorder="1" applyAlignment="1">
      <alignment horizontal="center"/>
    </xf>
    <xf numFmtId="0" fontId="493" fillId="2" borderId="1" xfId="0" applyFont="1" applyFill="1" applyBorder="1" applyAlignment="1">
      <alignment horizontal="center"/>
    </xf>
    <xf numFmtId="0" fontId="494" fillId="2" borderId="1" xfId="0" applyFont="1" applyFill="1" applyBorder="1" applyAlignment="1">
      <alignment horizontal="center"/>
    </xf>
    <xf numFmtId="0" fontId="495" fillId="2" borderId="1" xfId="0" applyFont="1" applyFill="1" applyBorder="1" applyAlignment="1">
      <alignment horizontal="center"/>
    </xf>
    <xf numFmtId="0" fontId="496" fillId="2" borderId="1" xfId="0" applyFont="1" applyFill="1" applyBorder="1" applyAlignment="1">
      <alignment horizontal="center"/>
    </xf>
    <xf numFmtId="165" fontId="497" fillId="0" borderId="0" xfId="0" applyNumberFormat="1" applyFont="1" applyAlignment="1">
      <alignment horizontal="right"/>
    </xf>
    <xf numFmtId="165" fontId="498" fillId="0" borderId="0" xfId="0" applyNumberFormat="1" applyFont="1" applyAlignment="1">
      <alignment horizontal="right"/>
    </xf>
    <xf numFmtId="0" fontId="499" fillId="0" borderId="0" xfId="0" applyFont="1" applyAlignment="1">
      <alignment horizontal="right"/>
    </xf>
    <xf numFmtId="165" fontId="500" fillId="0" borderId="0" xfId="0" applyNumberFormat="1" applyFont="1" applyAlignment="1">
      <alignment horizontal="right"/>
    </xf>
    <xf numFmtId="0" fontId="501" fillId="0" borderId="0" xfId="0" applyFont="1" applyAlignment="1">
      <alignment horizontal="right"/>
    </xf>
    <xf numFmtId="0" fontId="502" fillId="0" borderId="0" xfId="0" applyFont="1" applyAlignment="1">
      <alignment horizontal="right"/>
    </xf>
    <xf numFmtId="0" fontId="503" fillId="0" borderId="0" xfId="0" applyFont="1" applyAlignment="1">
      <alignment horizontal="right"/>
    </xf>
    <xf numFmtId="0" fontId="504" fillId="0" borderId="0" xfId="0" applyFont="1" applyAlignment="1">
      <alignment horizontal="right"/>
    </xf>
    <xf numFmtId="0" fontId="505" fillId="0" borderId="0" xfId="0" applyFont="1" applyAlignment="1">
      <alignment horizontal="right"/>
    </xf>
    <xf numFmtId="0" fontId="506" fillId="0" borderId="0" xfId="0" applyFont="1" applyAlignment="1">
      <alignment horizontal="right"/>
    </xf>
    <xf numFmtId="0" fontId="507" fillId="0" borderId="0" xfId="0" applyFont="1" applyAlignment="1">
      <alignment horizontal="right"/>
    </xf>
    <xf numFmtId="0" fontId="508" fillId="0" borderId="0" xfId="0" applyFont="1" applyAlignment="1">
      <alignment horizontal="right"/>
    </xf>
    <xf numFmtId="0" fontId="509" fillId="0" borderId="0" xfId="0" applyFont="1" applyAlignment="1">
      <alignment horizontal="right"/>
    </xf>
    <xf numFmtId="0" fontId="510" fillId="0" borderId="0" xfId="0" applyFont="1" applyAlignment="1">
      <alignment horizontal="right"/>
    </xf>
    <xf numFmtId="0" fontId="511" fillId="0" borderId="0" xfId="0" applyFont="1" applyAlignment="1">
      <alignment horizontal="right"/>
    </xf>
    <xf numFmtId="0" fontId="512" fillId="0" borderId="0" xfId="0" applyFont="1" applyAlignment="1">
      <alignment horizontal="right"/>
    </xf>
    <xf numFmtId="0" fontId="513" fillId="0" borderId="0" xfId="0" applyFont="1" applyAlignment="1">
      <alignment horizontal="right"/>
    </xf>
    <xf numFmtId="0" fontId="514" fillId="0" borderId="0" xfId="0" applyFont="1" applyAlignment="1">
      <alignment horizontal="right"/>
    </xf>
    <xf numFmtId="0" fontId="515" fillId="0" borderId="0" xfId="0" applyFont="1" applyAlignment="1">
      <alignment horizontal="right"/>
    </xf>
    <xf numFmtId="164" fontId="516" fillId="0" borderId="0" xfId="0" applyNumberFormat="1" applyFont="1" applyAlignment="1">
      <alignment horizontal="right"/>
    </xf>
    <xf numFmtId="0" fontId="517" fillId="0" borderId="0" xfId="0" applyFont="1" applyAlignment="1">
      <alignment horizontal="right"/>
    </xf>
    <xf numFmtId="0" fontId="518" fillId="0" borderId="0" xfId="0" applyFont="1" applyAlignment="1">
      <alignment horizontal="right"/>
    </xf>
    <xf numFmtId="0" fontId="519" fillId="0" borderId="0" xfId="0" applyFont="1" applyAlignment="1">
      <alignment horizontal="right"/>
    </xf>
    <xf numFmtId="0" fontId="520" fillId="0" borderId="0" xfId="0" applyFont="1" applyAlignment="1">
      <alignment horizontal="right"/>
    </xf>
    <xf numFmtId="0" fontId="521" fillId="0" borderId="0" xfId="0" applyFont="1" applyAlignment="1">
      <alignment horizontal="right"/>
    </xf>
    <xf numFmtId="0" fontId="522" fillId="0" borderId="0" xfId="0" applyFont="1" applyAlignment="1">
      <alignment horizontal="right"/>
    </xf>
    <xf numFmtId="0" fontId="523" fillId="0" borderId="0" xfId="0" applyFont="1" applyAlignment="1">
      <alignment horizontal="right"/>
    </xf>
    <xf numFmtId="0" fontId="524" fillId="0" borderId="0" xfId="0" applyFont="1" applyAlignment="1">
      <alignment horizontal="right"/>
    </xf>
    <xf numFmtId="0" fontId="525" fillId="0" borderId="0" xfId="0" applyFont="1" applyAlignment="1">
      <alignment horizontal="right"/>
    </xf>
    <xf numFmtId="164" fontId="526" fillId="0" borderId="0" xfId="0" applyNumberFormat="1" applyFont="1" applyAlignment="1">
      <alignment horizontal="right"/>
    </xf>
    <xf numFmtId="166" fontId="527" fillId="0" borderId="0" xfId="0" applyNumberFormat="1" applyFont="1" applyAlignment="1">
      <alignment horizontal="right"/>
    </xf>
    <xf numFmtId="164" fontId="528" fillId="0" borderId="0" xfId="0" applyNumberFormat="1" applyFont="1" applyAlignment="1">
      <alignment horizontal="right"/>
    </xf>
    <xf numFmtId="0" fontId="529" fillId="2" borderId="1" xfId="0" applyFont="1" applyFill="1" applyBorder="1" applyAlignment="1">
      <alignment horizontal="center"/>
    </xf>
    <xf numFmtId="0" fontId="530" fillId="2" borderId="1" xfId="0" applyFont="1" applyFill="1" applyBorder="1" applyAlignment="1">
      <alignment horizontal="center"/>
    </xf>
    <xf numFmtId="0" fontId="531" fillId="2" borderId="1" xfId="0" applyFont="1" applyFill="1" applyBorder="1" applyAlignment="1">
      <alignment horizontal="center"/>
    </xf>
    <xf numFmtId="0" fontId="532" fillId="2" borderId="1" xfId="0" applyFont="1" applyFill="1" applyBorder="1" applyAlignment="1">
      <alignment horizontal="center"/>
    </xf>
    <xf numFmtId="0" fontId="533" fillId="2" borderId="1" xfId="0" applyFont="1" applyFill="1" applyBorder="1" applyAlignment="1">
      <alignment horizontal="center"/>
    </xf>
    <xf numFmtId="0" fontId="534" fillId="2" borderId="1" xfId="0" applyFont="1" applyFill="1" applyBorder="1" applyAlignment="1">
      <alignment horizontal="center"/>
    </xf>
    <xf numFmtId="0" fontId="535" fillId="2" borderId="1" xfId="0" applyFont="1" applyFill="1" applyBorder="1" applyAlignment="1">
      <alignment horizontal="center"/>
    </xf>
    <xf numFmtId="0" fontId="536" fillId="2" borderId="1" xfId="0" applyFont="1" applyFill="1" applyBorder="1" applyAlignment="1">
      <alignment horizontal="center"/>
    </xf>
    <xf numFmtId="0" fontId="537" fillId="2" borderId="1" xfId="0" applyFont="1" applyFill="1" applyBorder="1" applyAlignment="1">
      <alignment horizontal="center"/>
    </xf>
    <xf numFmtId="0" fontId="538" fillId="2" borderId="1" xfId="0" applyFont="1" applyFill="1" applyBorder="1" applyAlignment="1">
      <alignment horizontal="center"/>
    </xf>
    <xf numFmtId="0" fontId="539" fillId="2" borderId="1" xfId="0" applyFont="1" applyFill="1" applyBorder="1" applyAlignment="1">
      <alignment horizontal="center"/>
    </xf>
    <xf numFmtId="0" fontId="540" fillId="2" borderId="1" xfId="0" applyFont="1" applyFill="1" applyBorder="1" applyAlignment="1">
      <alignment horizontal="center"/>
    </xf>
    <xf numFmtId="0" fontId="541" fillId="2" borderId="1" xfId="0" applyFont="1" applyFill="1" applyBorder="1" applyAlignment="1">
      <alignment horizontal="center"/>
    </xf>
    <xf numFmtId="0" fontId="542" fillId="2" borderId="1" xfId="0" applyFont="1" applyFill="1" applyBorder="1" applyAlignment="1">
      <alignment horizontal="center"/>
    </xf>
    <xf numFmtId="0" fontId="543" fillId="2" borderId="1" xfId="0" applyFont="1" applyFill="1" applyBorder="1" applyAlignment="1">
      <alignment horizontal="center"/>
    </xf>
    <xf numFmtId="0" fontId="544" fillId="2" borderId="1" xfId="0" applyFont="1" applyFill="1" applyBorder="1" applyAlignment="1">
      <alignment horizontal="center"/>
    </xf>
    <xf numFmtId="0" fontId="545" fillId="2" borderId="1" xfId="0" applyFont="1" applyFill="1" applyBorder="1" applyAlignment="1">
      <alignment horizontal="center"/>
    </xf>
    <xf numFmtId="0" fontId="546" fillId="2" borderId="1" xfId="0" applyFont="1" applyFill="1" applyBorder="1" applyAlignment="1">
      <alignment horizontal="center"/>
    </xf>
    <xf numFmtId="0" fontId="547" fillId="2" borderId="1" xfId="0" applyFont="1" applyFill="1" applyBorder="1" applyAlignment="1">
      <alignment horizontal="center"/>
    </xf>
    <xf numFmtId="0" fontId="548" fillId="2" borderId="1" xfId="0" applyFont="1" applyFill="1" applyBorder="1" applyAlignment="1">
      <alignment horizontal="center"/>
    </xf>
    <xf numFmtId="0" fontId="549" fillId="2" borderId="1" xfId="0" applyFont="1" applyFill="1" applyBorder="1" applyAlignment="1">
      <alignment horizontal="center"/>
    </xf>
    <xf numFmtId="0" fontId="550" fillId="2" borderId="1" xfId="0" applyFont="1" applyFill="1" applyBorder="1" applyAlignment="1">
      <alignment horizontal="center"/>
    </xf>
    <xf numFmtId="0" fontId="551" fillId="2" borderId="1" xfId="0" applyFont="1" applyFill="1" applyBorder="1" applyAlignment="1">
      <alignment horizontal="center"/>
    </xf>
    <xf numFmtId="0" fontId="552" fillId="2" borderId="1" xfId="0" applyFont="1" applyFill="1" applyBorder="1" applyAlignment="1">
      <alignment horizontal="center"/>
    </xf>
    <xf numFmtId="0" fontId="553" fillId="2" borderId="1" xfId="0" applyFont="1" applyFill="1" applyBorder="1" applyAlignment="1">
      <alignment horizontal="center"/>
    </xf>
    <xf numFmtId="0" fontId="554" fillId="2" borderId="1" xfId="0" applyFont="1" applyFill="1" applyBorder="1" applyAlignment="1">
      <alignment horizontal="center"/>
    </xf>
    <xf numFmtId="165" fontId="555" fillId="0" borderId="0" xfId="0" applyNumberFormat="1" applyFont="1" applyAlignment="1">
      <alignment horizontal="right"/>
    </xf>
    <xf numFmtId="165" fontId="556" fillId="0" borderId="0" xfId="0" applyNumberFormat="1" applyFont="1" applyAlignment="1">
      <alignment horizontal="right"/>
    </xf>
    <xf numFmtId="0" fontId="557" fillId="0" borderId="0" xfId="0" applyFont="1" applyAlignment="1">
      <alignment horizontal="right"/>
    </xf>
    <xf numFmtId="165" fontId="558" fillId="0" borderId="0" xfId="0" applyNumberFormat="1" applyFont="1" applyAlignment="1">
      <alignment horizontal="right"/>
    </xf>
    <xf numFmtId="0" fontId="559" fillId="0" borderId="0" xfId="0" applyFont="1" applyAlignment="1">
      <alignment horizontal="right"/>
    </xf>
    <xf numFmtId="0" fontId="560" fillId="0" borderId="0" xfId="0" applyFont="1" applyAlignment="1">
      <alignment horizontal="right"/>
    </xf>
    <xf numFmtId="165" fontId="561" fillId="0" borderId="0" xfId="0" applyNumberFormat="1" applyFont="1" applyAlignment="1">
      <alignment horizontal="right"/>
    </xf>
    <xf numFmtId="0" fontId="562" fillId="0" borderId="0" xfId="0" applyFont="1" applyAlignment="1">
      <alignment horizontal="right"/>
    </xf>
    <xf numFmtId="0" fontId="563" fillId="0" borderId="0" xfId="0" applyFont="1" applyAlignment="1">
      <alignment horizontal="right"/>
    </xf>
    <xf numFmtId="0" fontId="564" fillId="0" borderId="0" xfId="0" applyFont="1" applyAlignment="1">
      <alignment horizontal="right"/>
    </xf>
    <xf numFmtId="0" fontId="565" fillId="0" borderId="0" xfId="0" applyFont="1" applyAlignment="1">
      <alignment horizontal="right"/>
    </xf>
    <xf numFmtId="0" fontId="566" fillId="0" borderId="0" xfId="0" applyFont="1" applyAlignment="1">
      <alignment horizontal="right"/>
    </xf>
    <xf numFmtId="0" fontId="567" fillId="0" borderId="0" xfId="0" applyFont="1" applyAlignment="1">
      <alignment horizontal="right"/>
    </xf>
    <xf numFmtId="0" fontId="568" fillId="0" borderId="0" xfId="0" applyFont="1" applyAlignment="1">
      <alignment horizontal="right"/>
    </xf>
    <xf numFmtId="0" fontId="569" fillId="0" borderId="0" xfId="0" applyFont="1" applyAlignment="1">
      <alignment horizontal="right"/>
    </xf>
    <xf numFmtId="0" fontId="570" fillId="0" borderId="0" xfId="0" applyFont="1" applyAlignment="1">
      <alignment horizontal="right"/>
    </xf>
    <xf numFmtId="0" fontId="571" fillId="0" borderId="0" xfId="0" applyFont="1" applyAlignment="1">
      <alignment horizontal="right"/>
    </xf>
    <xf numFmtId="0" fontId="572" fillId="0" borderId="0" xfId="0" applyFont="1" applyAlignment="1">
      <alignment horizontal="right"/>
    </xf>
    <xf numFmtId="0" fontId="573" fillId="0" borderId="0" xfId="0" applyFont="1" applyAlignment="1">
      <alignment horizontal="right"/>
    </xf>
    <xf numFmtId="0" fontId="574" fillId="0" borderId="0" xfId="0" applyFont="1" applyAlignment="1">
      <alignment horizontal="right"/>
    </xf>
    <xf numFmtId="164" fontId="575" fillId="0" borderId="0" xfId="0" applyNumberFormat="1" applyFont="1" applyAlignment="1">
      <alignment horizontal="right"/>
    </xf>
    <xf numFmtId="166" fontId="576" fillId="0" borderId="0" xfId="0" applyNumberFormat="1" applyFont="1" applyAlignment="1">
      <alignment horizontal="right"/>
    </xf>
    <xf numFmtId="164" fontId="577" fillId="0" borderId="0" xfId="0" applyNumberFormat="1" applyFont="1" applyAlignment="1">
      <alignment horizontal="right"/>
    </xf>
    <xf numFmtId="164" fontId="578" fillId="0" borderId="0" xfId="0" applyNumberFormat="1" applyFont="1" applyAlignment="1">
      <alignment horizontal="right"/>
    </xf>
    <xf numFmtId="0" fontId="579" fillId="0" borderId="0" xfId="0" applyFont="1" applyAlignment="1">
      <alignment horizontal="right"/>
    </xf>
    <xf numFmtId="0" fontId="581" fillId="2" borderId="1" xfId="0" applyFont="1" applyFill="1" applyBorder="1" applyAlignment="1">
      <alignment horizontal="center"/>
    </xf>
    <xf numFmtId="0" fontId="582" fillId="2" borderId="1" xfId="0" applyFont="1" applyFill="1" applyBorder="1" applyAlignment="1">
      <alignment horizontal="center"/>
    </xf>
    <xf numFmtId="0" fontId="583" fillId="2" borderId="1" xfId="0" applyFont="1" applyFill="1" applyBorder="1" applyAlignment="1">
      <alignment horizontal="center"/>
    </xf>
    <xf numFmtId="0" fontId="584" fillId="2" borderId="1" xfId="0" applyFont="1" applyFill="1" applyBorder="1" applyAlignment="1">
      <alignment horizontal="center"/>
    </xf>
    <xf numFmtId="0" fontId="585" fillId="2" borderId="1" xfId="0" applyFont="1" applyFill="1" applyBorder="1" applyAlignment="1">
      <alignment horizontal="center"/>
    </xf>
    <xf numFmtId="0" fontId="586" fillId="2" borderId="1" xfId="0" applyFont="1" applyFill="1" applyBorder="1" applyAlignment="1">
      <alignment horizontal="center"/>
    </xf>
    <xf numFmtId="0" fontId="587" fillId="2" borderId="1" xfId="0" applyFont="1" applyFill="1" applyBorder="1" applyAlignment="1">
      <alignment horizontal="center"/>
    </xf>
    <xf numFmtId="0" fontId="588" fillId="2" borderId="1" xfId="0" applyFont="1" applyFill="1" applyBorder="1" applyAlignment="1">
      <alignment horizontal="center"/>
    </xf>
    <xf numFmtId="0" fontId="589" fillId="2" borderId="1" xfId="0" applyFont="1" applyFill="1" applyBorder="1" applyAlignment="1">
      <alignment horizontal="center"/>
    </xf>
    <xf numFmtId="0" fontId="590" fillId="2" borderId="1" xfId="0" applyFont="1" applyFill="1" applyBorder="1" applyAlignment="1">
      <alignment horizontal="center"/>
    </xf>
    <xf numFmtId="0" fontId="591" fillId="2" borderId="1" xfId="0" applyFont="1" applyFill="1" applyBorder="1" applyAlignment="1">
      <alignment horizontal="center"/>
    </xf>
    <xf numFmtId="0" fontId="592" fillId="2" borderId="1" xfId="0" applyFont="1" applyFill="1" applyBorder="1" applyAlignment="1">
      <alignment horizontal="center"/>
    </xf>
    <xf numFmtId="0" fontId="593" fillId="2" borderId="1" xfId="0" applyFont="1" applyFill="1" applyBorder="1" applyAlignment="1">
      <alignment horizontal="center"/>
    </xf>
    <xf numFmtId="0" fontId="594" fillId="2" borderId="1" xfId="0" applyFont="1" applyFill="1" applyBorder="1" applyAlignment="1">
      <alignment horizontal="center"/>
    </xf>
    <xf numFmtId="0" fontId="595" fillId="2" borderId="1" xfId="0" applyFont="1" applyFill="1" applyBorder="1" applyAlignment="1">
      <alignment horizontal="center"/>
    </xf>
    <xf numFmtId="0" fontId="596" fillId="2" borderId="1" xfId="0" applyFont="1" applyFill="1" applyBorder="1" applyAlignment="1">
      <alignment horizontal="center"/>
    </xf>
    <xf numFmtId="0" fontId="597" fillId="2" borderId="1" xfId="0" applyFont="1" applyFill="1" applyBorder="1" applyAlignment="1">
      <alignment horizontal="center"/>
    </xf>
    <xf numFmtId="0" fontId="598" fillId="2" borderId="1" xfId="0" applyFont="1" applyFill="1" applyBorder="1" applyAlignment="1">
      <alignment horizontal="center"/>
    </xf>
    <xf numFmtId="0" fontId="599" fillId="2" borderId="1" xfId="0" applyFont="1" applyFill="1" applyBorder="1" applyAlignment="1">
      <alignment horizontal="center"/>
    </xf>
    <xf numFmtId="0" fontId="600" fillId="2" borderId="1" xfId="0" applyFont="1" applyFill="1" applyBorder="1" applyAlignment="1">
      <alignment horizontal="center"/>
    </xf>
    <xf numFmtId="0" fontId="601" fillId="2" borderId="1" xfId="0" applyFont="1" applyFill="1" applyBorder="1" applyAlignment="1">
      <alignment horizontal="center"/>
    </xf>
    <xf numFmtId="0" fontId="602" fillId="2" borderId="1" xfId="0" applyFont="1" applyFill="1" applyBorder="1" applyAlignment="1">
      <alignment horizontal="center"/>
    </xf>
    <xf numFmtId="0" fontId="603" fillId="2" borderId="1" xfId="0" applyFont="1" applyFill="1" applyBorder="1" applyAlignment="1">
      <alignment horizontal="center"/>
    </xf>
    <xf numFmtId="0" fontId="604" fillId="2" borderId="1" xfId="0" applyFont="1" applyFill="1" applyBorder="1" applyAlignment="1">
      <alignment horizontal="center"/>
    </xf>
    <xf numFmtId="0" fontId="605" fillId="2" borderId="1" xfId="0" applyFont="1" applyFill="1" applyBorder="1" applyAlignment="1">
      <alignment horizontal="center"/>
    </xf>
    <xf numFmtId="0" fontId="606" fillId="2" borderId="1" xfId="0" applyFont="1" applyFill="1" applyBorder="1" applyAlignment="1">
      <alignment horizontal="center"/>
    </xf>
    <xf numFmtId="0" fontId="607" fillId="2" borderId="1" xfId="0" applyFont="1" applyFill="1" applyBorder="1" applyAlignment="1">
      <alignment horizontal="center"/>
    </xf>
    <xf numFmtId="0" fontId="608" fillId="2" borderId="1" xfId="0" applyFont="1" applyFill="1" applyBorder="1" applyAlignment="1">
      <alignment horizontal="center"/>
    </xf>
    <xf numFmtId="0" fontId="609" fillId="2" borderId="1" xfId="0" applyFont="1" applyFill="1" applyBorder="1" applyAlignment="1">
      <alignment horizontal="center"/>
    </xf>
    <xf numFmtId="0" fontId="610" fillId="2" borderId="1" xfId="0" applyFont="1" applyFill="1" applyBorder="1" applyAlignment="1">
      <alignment horizontal="center"/>
    </xf>
    <xf numFmtId="0" fontId="611" fillId="2" borderId="1" xfId="0" applyFont="1" applyFill="1" applyBorder="1" applyAlignment="1">
      <alignment horizontal="center"/>
    </xf>
    <xf numFmtId="0" fontId="612" fillId="2" borderId="1" xfId="0" applyFont="1" applyFill="1" applyBorder="1" applyAlignment="1">
      <alignment horizontal="center"/>
    </xf>
    <xf numFmtId="0" fontId="613" fillId="2" borderId="1" xfId="0" applyFont="1" applyFill="1" applyBorder="1" applyAlignment="1">
      <alignment horizontal="center"/>
    </xf>
    <xf numFmtId="0" fontId="614" fillId="2" borderId="1" xfId="0" applyFont="1" applyFill="1" applyBorder="1" applyAlignment="1">
      <alignment horizontal="center"/>
    </xf>
    <xf numFmtId="0" fontId="615" fillId="2" borderId="1" xfId="0" applyFont="1" applyFill="1" applyBorder="1" applyAlignment="1">
      <alignment horizontal="center"/>
    </xf>
    <xf numFmtId="0" fontId="616" fillId="2" borderId="1" xfId="0" applyFont="1" applyFill="1" applyBorder="1" applyAlignment="1">
      <alignment horizontal="center"/>
    </xf>
    <xf numFmtId="0" fontId="617" fillId="2" borderId="1" xfId="0" applyFont="1" applyFill="1" applyBorder="1" applyAlignment="1">
      <alignment horizontal="center"/>
    </xf>
    <xf numFmtId="0" fontId="618" fillId="2" borderId="1" xfId="0" applyFont="1" applyFill="1" applyBorder="1" applyAlignment="1">
      <alignment horizontal="center"/>
    </xf>
    <xf numFmtId="0" fontId="619" fillId="2" borderId="1" xfId="0" applyFont="1" applyFill="1" applyBorder="1" applyAlignment="1">
      <alignment horizontal="center"/>
    </xf>
    <xf numFmtId="0" fontId="620" fillId="2" borderId="1" xfId="0" applyFont="1" applyFill="1" applyBorder="1" applyAlignment="1">
      <alignment horizontal="center"/>
    </xf>
    <xf numFmtId="0" fontId="621" fillId="2" borderId="1" xfId="0" applyFont="1" applyFill="1" applyBorder="1" applyAlignment="1">
      <alignment horizontal="center"/>
    </xf>
    <xf numFmtId="0" fontId="622" fillId="2" borderId="1" xfId="0" applyFont="1" applyFill="1" applyBorder="1" applyAlignment="1">
      <alignment horizontal="center"/>
    </xf>
    <xf numFmtId="0" fontId="623" fillId="2" borderId="1" xfId="0" applyFont="1" applyFill="1" applyBorder="1" applyAlignment="1">
      <alignment horizontal="center"/>
    </xf>
    <xf numFmtId="0" fontId="624" fillId="2" borderId="1" xfId="0" applyFont="1" applyFill="1" applyBorder="1" applyAlignment="1">
      <alignment horizontal="center"/>
    </xf>
    <xf numFmtId="0" fontId="625" fillId="2" borderId="1" xfId="0" applyFont="1" applyFill="1" applyBorder="1" applyAlignment="1">
      <alignment horizontal="center"/>
    </xf>
    <xf numFmtId="0" fontId="626" fillId="2" borderId="1" xfId="0" applyFont="1" applyFill="1" applyBorder="1" applyAlignment="1">
      <alignment horizontal="center"/>
    </xf>
    <xf numFmtId="0" fontId="627" fillId="2" borderId="1" xfId="0" applyFont="1" applyFill="1" applyBorder="1" applyAlignment="1">
      <alignment horizontal="center"/>
    </xf>
    <xf numFmtId="0" fontId="628" fillId="2" borderId="1" xfId="0" applyFont="1" applyFill="1" applyBorder="1" applyAlignment="1">
      <alignment horizontal="center"/>
    </xf>
    <xf numFmtId="0" fontId="629" fillId="2" borderId="1" xfId="0" applyFont="1" applyFill="1" applyBorder="1" applyAlignment="1">
      <alignment horizontal="center"/>
    </xf>
    <xf numFmtId="0" fontId="630" fillId="2" borderId="1" xfId="0" applyFont="1" applyFill="1" applyBorder="1" applyAlignment="1">
      <alignment horizontal="center"/>
    </xf>
    <xf numFmtId="0" fontId="631" fillId="2" borderId="1" xfId="0" applyFont="1" applyFill="1" applyBorder="1" applyAlignment="1">
      <alignment horizontal="center"/>
    </xf>
    <xf numFmtId="0" fontId="632" fillId="2" borderId="1" xfId="0" applyFont="1" applyFill="1" applyBorder="1" applyAlignment="1">
      <alignment horizontal="center"/>
    </xf>
    <xf numFmtId="0" fontId="633" fillId="2" borderId="1" xfId="0" applyFont="1" applyFill="1" applyBorder="1" applyAlignment="1">
      <alignment horizontal="center"/>
    </xf>
    <xf numFmtId="0" fontId="634" fillId="2" borderId="1" xfId="0" applyFont="1" applyFill="1" applyBorder="1" applyAlignment="1">
      <alignment horizontal="center"/>
    </xf>
    <xf numFmtId="0" fontId="635" fillId="2" borderId="1" xfId="0" applyFont="1" applyFill="1" applyBorder="1" applyAlignment="1">
      <alignment horizontal="center"/>
    </xf>
    <xf numFmtId="0" fontId="636" fillId="2" borderId="1" xfId="0" applyFont="1" applyFill="1" applyBorder="1" applyAlignment="1">
      <alignment horizontal="center"/>
    </xf>
    <xf numFmtId="0" fontId="637" fillId="2" borderId="1" xfId="0" applyFont="1" applyFill="1" applyBorder="1" applyAlignment="1">
      <alignment horizontal="center"/>
    </xf>
    <xf numFmtId="0" fontId="638" fillId="2" borderId="1" xfId="0" applyFont="1" applyFill="1" applyBorder="1" applyAlignment="1">
      <alignment horizontal="center"/>
    </xf>
    <xf numFmtId="0" fontId="639" fillId="2" borderId="1" xfId="0" applyFont="1" applyFill="1" applyBorder="1" applyAlignment="1">
      <alignment horizontal="center"/>
    </xf>
    <xf numFmtId="0" fontId="640" fillId="2" borderId="1" xfId="0" applyFont="1" applyFill="1" applyBorder="1" applyAlignment="1">
      <alignment horizontal="center"/>
    </xf>
    <xf numFmtId="0" fontId="641" fillId="2" borderId="1" xfId="0" applyFont="1" applyFill="1" applyBorder="1" applyAlignment="1">
      <alignment horizontal="center"/>
    </xf>
    <xf numFmtId="0" fontId="642" fillId="2" borderId="1" xfId="0" applyFont="1" applyFill="1" applyBorder="1" applyAlignment="1">
      <alignment horizontal="center"/>
    </xf>
    <xf numFmtId="0" fontId="643" fillId="2" borderId="1" xfId="0" applyFont="1" applyFill="1" applyBorder="1" applyAlignment="1">
      <alignment horizontal="center"/>
    </xf>
    <xf numFmtId="0" fontId="644" fillId="2" borderId="1" xfId="0" applyFont="1" applyFill="1" applyBorder="1" applyAlignment="1">
      <alignment horizontal="center"/>
    </xf>
    <xf numFmtId="0" fontId="645" fillId="2" borderId="1" xfId="0" applyFont="1" applyFill="1" applyBorder="1" applyAlignment="1">
      <alignment horizontal="center"/>
    </xf>
    <xf numFmtId="0" fontId="646" fillId="2" borderId="1" xfId="0" applyFont="1" applyFill="1" applyBorder="1" applyAlignment="1">
      <alignment horizontal="center"/>
    </xf>
    <xf numFmtId="0" fontId="647" fillId="2" borderId="1" xfId="0" applyFont="1" applyFill="1" applyBorder="1" applyAlignment="1">
      <alignment horizontal="center"/>
    </xf>
    <xf numFmtId="0" fontId="648" fillId="2" borderId="1" xfId="0" applyFont="1" applyFill="1" applyBorder="1" applyAlignment="1">
      <alignment horizontal="center"/>
    </xf>
    <xf numFmtId="0" fontId="649" fillId="2" borderId="1" xfId="0" applyFont="1" applyFill="1" applyBorder="1" applyAlignment="1">
      <alignment horizontal="center"/>
    </xf>
    <xf numFmtId="0" fontId="650" fillId="2" borderId="1" xfId="0" applyFont="1" applyFill="1" applyBorder="1" applyAlignment="1">
      <alignment horizontal="center"/>
    </xf>
    <xf numFmtId="0" fontId="651" fillId="2" borderId="1" xfId="0" applyFont="1" applyFill="1" applyBorder="1" applyAlignment="1">
      <alignment horizontal="center"/>
    </xf>
    <xf numFmtId="0" fontId="652" fillId="2" borderId="1" xfId="0" applyFont="1" applyFill="1" applyBorder="1" applyAlignment="1">
      <alignment horizontal="center"/>
    </xf>
    <xf numFmtId="0" fontId="653" fillId="2" borderId="1" xfId="0" applyFont="1" applyFill="1" applyBorder="1" applyAlignment="1">
      <alignment horizontal="center"/>
    </xf>
    <xf numFmtId="0" fontId="654" fillId="2" borderId="1" xfId="0" applyFont="1" applyFill="1" applyBorder="1" applyAlignment="1">
      <alignment horizontal="center"/>
    </xf>
    <xf numFmtId="0" fontId="655" fillId="2" borderId="1" xfId="0" applyFont="1" applyFill="1" applyBorder="1" applyAlignment="1">
      <alignment horizontal="center"/>
    </xf>
    <xf numFmtId="0" fontId="656" fillId="2" borderId="1" xfId="0" applyFont="1" applyFill="1" applyBorder="1" applyAlignment="1">
      <alignment horizontal="center"/>
    </xf>
    <xf numFmtId="0" fontId="657" fillId="2" borderId="1" xfId="0" applyFont="1" applyFill="1" applyBorder="1" applyAlignment="1">
      <alignment horizontal="center"/>
    </xf>
    <xf numFmtId="0" fontId="658" fillId="2" borderId="1" xfId="0" applyFont="1" applyFill="1" applyBorder="1" applyAlignment="1">
      <alignment horizontal="center"/>
    </xf>
    <xf numFmtId="0" fontId="659" fillId="2" borderId="1" xfId="0" applyFont="1" applyFill="1" applyBorder="1" applyAlignment="1">
      <alignment horizontal="center"/>
    </xf>
    <xf numFmtId="0" fontId="660" fillId="2" borderId="1" xfId="0" applyFont="1" applyFill="1" applyBorder="1" applyAlignment="1">
      <alignment horizontal="center"/>
    </xf>
    <xf numFmtId="0" fontId="661" fillId="2" borderId="1" xfId="0" applyFont="1" applyFill="1" applyBorder="1" applyAlignment="1">
      <alignment horizontal="center"/>
    </xf>
    <xf numFmtId="0" fontId="662" fillId="2" borderId="1" xfId="0" applyFont="1" applyFill="1" applyBorder="1" applyAlignment="1">
      <alignment horizontal="center"/>
    </xf>
    <xf numFmtId="0" fontId="663" fillId="2" borderId="1" xfId="0" applyFont="1" applyFill="1" applyBorder="1" applyAlignment="1">
      <alignment horizontal="center"/>
    </xf>
    <xf numFmtId="0" fontId="664" fillId="2" borderId="1" xfId="0" applyFont="1" applyFill="1" applyBorder="1" applyAlignment="1">
      <alignment horizontal="center"/>
    </xf>
    <xf numFmtId="0" fontId="665" fillId="2" borderId="1" xfId="0" applyFont="1" applyFill="1" applyBorder="1" applyAlignment="1">
      <alignment horizontal="center"/>
    </xf>
    <xf numFmtId="0" fontId="666" fillId="2" borderId="1" xfId="0" applyFont="1" applyFill="1" applyBorder="1" applyAlignment="1">
      <alignment horizontal="center"/>
    </xf>
    <xf numFmtId="0" fontId="667" fillId="2" borderId="1" xfId="0" applyFont="1" applyFill="1" applyBorder="1" applyAlignment="1">
      <alignment horizontal="center"/>
    </xf>
    <xf numFmtId="0" fontId="668" fillId="2" borderId="1" xfId="0" applyFont="1" applyFill="1" applyBorder="1" applyAlignment="1">
      <alignment horizontal="center"/>
    </xf>
    <xf numFmtId="0" fontId="669" fillId="2" borderId="1" xfId="0" applyFont="1" applyFill="1" applyBorder="1" applyAlignment="1">
      <alignment horizontal="center"/>
    </xf>
    <xf numFmtId="0" fontId="670" fillId="2" borderId="1" xfId="0" applyFont="1" applyFill="1" applyBorder="1" applyAlignment="1">
      <alignment horizontal="center"/>
    </xf>
    <xf numFmtId="0" fontId="671" fillId="2" borderId="1" xfId="0" applyFont="1" applyFill="1" applyBorder="1" applyAlignment="1">
      <alignment horizontal="center"/>
    </xf>
    <xf numFmtId="0" fontId="672" fillId="2" borderId="1" xfId="0" applyFont="1" applyFill="1" applyBorder="1" applyAlignment="1">
      <alignment horizontal="center"/>
    </xf>
    <xf numFmtId="0" fontId="673" fillId="2" borderId="1" xfId="0" applyFont="1" applyFill="1" applyBorder="1" applyAlignment="1">
      <alignment horizontal="center"/>
    </xf>
    <xf numFmtId="0" fontId="674" fillId="2" borderId="1" xfId="0" applyFont="1" applyFill="1" applyBorder="1" applyAlignment="1">
      <alignment horizontal="center"/>
    </xf>
    <xf numFmtId="0" fontId="675" fillId="2" borderId="1" xfId="0" applyFont="1" applyFill="1" applyBorder="1" applyAlignment="1">
      <alignment horizontal="center"/>
    </xf>
    <xf numFmtId="0" fontId="676" fillId="2" borderId="1" xfId="0" applyFont="1" applyFill="1" applyBorder="1" applyAlignment="1">
      <alignment horizontal="center"/>
    </xf>
    <xf numFmtId="0" fontId="677" fillId="2" borderId="1" xfId="0" applyFont="1" applyFill="1" applyBorder="1" applyAlignment="1">
      <alignment horizontal="center"/>
    </xf>
    <xf numFmtId="0" fontId="678" fillId="2" borderId="1" xfId="0" applyFont="1" applyFill="1" applyBorder="1" applyAlignment="1">
      <alignment horizontal="center"/>
    </xf>
    <xf numFmtId="0" fontId="679" fillId="2" borderId="1" xfId="0" applyFont="1" applyFill="1" applyBorder="1" applyAlignment="1">
      <alignment horizontal="center"/>
    </xf>
    <xf numFmtId="0" fontId="680" fillId="2" borderId="1" xfId="0" applyFont="1" applyFill="1" applyBorder="1" applyAlignment="1">
      <alignment horizontal="center"/>
    </xf>
    <xf numFmtId="0" fontId="681" fillId="2" borderId="1" xfId="0" applyFont="1" applyFill="1" applyBorder="1" applyAlignment="1">
      <alignment horizontal="center"/>
    </xf>
    <xf numFmtId="0" fontId="682" fillId="2" borderId="1" xfId="0" applyFont="1" applyFill="1" applyBorder="1" applyAlignment="1">
      <alignment horizontal="center"/>
    </xf>
    <xf numFmtId="0" fontId="683" fillId="2" borderId="1" xfId="0" applyFont="1" applyFill="1" applyBorder="1" applyAlignment="1">
      <alignment horizontal="center"/>
    </xf>
    <xf numFmtId="0" fontId="684" fillId="2" borderId="1" xfId="0" applyFont="1" applyFill="1" applyBorder="1" applyAlignment="1">
      <alignment horizontal="center"/>
    </xf>
    <xf numFmtId="0" fontId="685" fillId="2" borderId="1" xfId="0" applyFont="1" applyFill="1" applyBorder="1" applyAlignment="1">
      <alignment horizontal="center"/>
    </xf>
    <xf numFmtId="0" fontId="686" fillId="2" borderId="1" xfId="0" applyFont="1" applyFill="1" applyBorder="1" applyAlignment="1">
      <alignment horizontal="center"/>
    </xf>
    <xf numFmtId="0" fontId="687" fillId="2" borderId="1" xfId="0" applyFont="1" applyFill="1" applyBorder="1" applyAlignment="1">
      <alignment horizontal="center"/>
    </xf>
    <xf numFmtId="0" fontId="688" fillId="2" borderId="1" xfId="0" applyFont="1" applyFill="1" applyBorder="1" applyAlignment="1">
      <alignment horizontal="center"/>
    </xf>
    <xf numFmtId="0" fontId="689" fillId="2" borderId="1" xfId="0" applyFont="1" applyFill="1" applyBorder="1" applyAlignment="1">
      <alignment horizontal="center"/>
    </xf>
    <xf numFmtId="0" fontId="690" fillId="2" borderId="1" xfId="0" applyFont="1" applyFill="1" applyBorder="1" applyAlignment="1">
      <alignment horizontal="center"/>
    </xf>
    <xf numFmtId="0" fontId="691" fillId="2" borderId="1" xfId="0" applyFont="1" applyFill="1" applyBorder="1" applyAlignment="1">
      <alignment horizontal="center"/>
    </xf>
    <xf numFmtId="0" fontId="692" fillId="2" borderId="1" xfId="0" applyFont="1" applyFill="1" applyBorder="1" applyAlignment="1">
      <alignment horizontal="center"/>
    </xf>
    <xf numFmtId="0" fontId="693" fillId="2" borderId="1" xfId="0" applyFont="1" applyFill="1" applyBorder="1" applyAlignment="1">
      <alignment horizontal="center"/>
    </xf>
    <xf numFmtId="0" fontId="694" fillId="2" borderId="1" xfId="0" applyFont="1" applyFill="1" applyBorder="1" applyAlignment="1">
      <alignment horizontal="center"/>
    </xf>
    <xf numFmtId="0" fontId="695" fillId="2" borderId="1" xfId="0" applyFont="1" applyFill="1" applyBorder="1" applyAlignment="1">
      <alignment horizontal="center"/>
    </xf>
    <xf numFmtId="0" fontId="696" fillId="2" borderId="1" xfId="0" applyFont="1" applyFill="1" applyBorder="1" applyAlignment="1">
      <alignment horizontal="center"/>
    </xf>
    <xf numFmtId="0" fontId="697" fillId="2" borderId="1" xfId="0" applyFont="1" applyFill="1" applyBorder="1" applyAlignment="1">
      <alignment horizontal="center"/>
    </xf>
    <xf numFmtId="0" fontId="698" fillId="2" borderId="1" xfId="0" applyFont="1" applyFill="1" applyBorder="1" applyAlignment="1">
      <alignment horizontal="center"/>
    </xf>
    <xf numFmtId="0" fontId="699" fillId="2" borderId="1" xfId="0" applyFont="1" applyFill="1" applyBorder="1" applyAlignment="1">
      <alignment horizontal="center"/>
    </xf>
    <xf numFmtId="0" fontId="700" fillId="2" borderId="1" xfId="0" applyFont="1" applyFill="1" applyBorder="1" applyAlignment="1">
      <alignment horizontal="center"/>
    </xf>
    <xf numFmtId="0" fontId="701" fillId="2" borderId="1" xfId="0" applyFont="1" applyFill="1" applyBorder="1" applyAlignment="1">
      <alignment horizontal="center"/>
    </xf>
    <xf numFmtId="0" fontId="702" fillId="2" borderId="1" xfId="0" applyFont="1" applyFill="1" applyBorder="1" applyAlignment="1">
      <alignment horizontal="center"/>
    </xf>
    <xf numFmtId="0" fontId="703" fillId="2" borderId="1" xfId="0" applyFont="1" applyFill="1" applyBorder="1" applyAlignment="1">
      <alignment horizontal="center"/>
    </xf>
    <xf numFmtId="0" fontId="704" fillId="2" borderId="1" xfId="0" applyFont="1" applyFill="1" applyBorder="1" applyAlignment="1">
      <alignment horizontal="center"/>
    </xf>
    <xf numFmtId="0" fontId="705" fillId="2" borderId="1" xfId="0" applyFont="1" applyFill="1" applyBorder="1" applyAlignment="1">
      <alignment horizontal="center"/>
    </xf>
    <xf numFmtId="0" fontId="706" fillId="2" borderId="1" xfId="0" applyFont="1" applyFill="1" applyBorder="1" applyAlignment="1">
      <alignment horizontal="center"/>
    </xf>
    <xf numFmtId="0" fontId="707" fillId="2" borderId="1" xfId="0" applyFont="1" applyFill="1" applyBorder="1" applyAlignment="1">
      <alignment horizontal="center"/>
    </xf>
    <xf numFmtId="0" fontId="708" fillId="2" borderId="1" xfId="0" applyFont="1" applyFill="1" applyBorder="1" applyAlignment="1">
      <alignment horizontal="center"/>
    </xf>
    <xf numFmtId="0" fontId="709" fillId="2" borderId="1" xfId="0" applyFont="1" applyFill="1" applyBorder="1" applyAlignment="1">
      <alignment horizontal="center"/>
    </xf>
    <xf numFmtId="0" fontId="710" fillId="2" borderId="1" xfId="0" applyFont="1" applyFill="1" applyBorder="1" applyAlignment="1">
      <alignment horizontal="center"/>
    </xf>
    <xf numFmtId="0" fontId="711" fillId="2" borderId="1" xfId="0" applyFont="1" applyFill="1" applyBorder="1" applyAlignment="1">
      <alignment horizontal="center"/>
    </xf>
    <xf numFmtId="0" fontId="712" fillId="2" borderId="1" xfId="0" applyFont="1" applyFill="1" applyBorder="1" applyAlignment="1">
      <alignment horizontal="center"/>
    </xf>
    <xf numFmtId="0" fontId="713" fillId="2" borderId="1" xfId="0" applyFont="1" applyFill="1" applyBorder="1" applyAlignment="1">
      <alignment horizontal="center"/>
    </xf>
    <xf numFmtId="0" fontId="714" fillId="2" borderId="1" xfId="0" applyFont="1" applyFill="1" applyBorder="1" applyAlignment="1">
      <alignment horizontal="center"/>
    </xf>
    <xf numFmtId="0" fontId="715" fillId="2" borderId="1" xfId="0" applyFont="1" applyFill="1" applyBorder="1" applyAlignment="1">
      <alignment horizontal="center"/>
    </xf>
    <xf numFmtId="0" fontId="716" fillId="2" borderId="1" xfId="0" applyFont="1" applyFill="1" applyBorder="1" applyAlignment="1">
      <alignment horizontal="center"/>
    </xf>
    <xf numFmtId="0" fontId="717" fillId="2" borderId="1" xfId="0" applyFont="1" applyFill="1" applyBorder="1" applyAlignment="1">
      <alignment horizontal="center"/>
    </xf>
    <xf numFmtId="0" fontId="718" fillId="2" borderId="1" xfId="0" applyFont="1" applyFill="1" applyBorder="1" applyAlignment="1">
      <alignment horizontal="center"/>
    </xf>
    <xf numFmtId="0" fontId="719" fillId="2" borderId="1" xfId="0" applyFont="1" applyFill="1" applyBorder="1" applyAlignment="1">
      <alignment horizontal="center"/>
    </xf>
    <xf numFmtId="0" fontId="720" fillId="2" borderId="1" xfId="0" applyFont="1" applyFill="1" applyBorder="1" applyAlignment="1">
      <alignment horizontal="center"/>
    </xf>
    <xf numFmtId="0" fontId="721" fillId="2" borderId="1" xfId="0" applyFont="1" applyFill="1" applyBorder="1" applyAlignment="1">
      <alignment horizontal="center"/>
    </xf>
    <xf numFmtId="0" fontId="722" fillId="2" borderId="1" xfId="0" applyFont="1" applyFill="1" applyBorder="1" applyAlignment="1">
      <alignment horizontal="center"/>
    </xf>
    <xf numFmtId="0" fontId="723" fillId="2" borderId="1" xfId="0" applyFont="1" applyFill="1" applyBorder="1" applyAlignment="1">
      <alignment horizontal="center"/>
    </xf>
    <xf numFmtId="0" fontId="724" fillId="2" borderId="1" xfId="0" applyFont="1" applyFill="1" applyBorder="1" applyAlignment="1">
      <alignment horizontal="center"/>
    </xf>
    <xf numFmtId="0" fontId="725" fillId="2" borderId="1" xfId="0" applyFont="1" applyFill="1" applyBorder="1" applyAlignment="1">
      <alignment horizontal="center"/>
    </xf>
    <xf numFmtId="0" fontId="726" fillId="2" borderId="1" xfId="0" applyFont="1" applyFill="1" applyBorder="1" applyAlignment="1">
      <alignment horizontal="center"/>
    </xf>
    <xf numFmtId="165" fontId="727" fillId="0" borderId="0" xfId="0" applyNumberFormat="1" applyFont="1" applyAlignment="1">
      <alignment horizontal="right"/>
    </xf>
    <xf numFmtId="165" fontId="728" fillId="0" borderId="0" xfId="0" applyNumberFormat="1" applyFont="1" applyAlignment="1">
      <alignment horizontal="right"/>
    </xf>
    <xf numFmtId="165" fontId="729" fillId="0" borderId="0" xfId="0" applyNumberFormat="1" applyFont="1" applyAlignment="1">
      <alignment horizontal="right"/>
    </xf>
    <xf numFmtId="0" fontId="730" fillId="0" borderId="0" xfId="0" applyFont="1" applyAlignment="1">
      <alignment horizontal="right"/>
    </xf>
    <xf numFmtId="0" fontId="731" fillId="0" borderId="0" xfId="0" applyFont="1" applyAlignment="1">
      <alignment horizontal="right"/>
    </xf>
    <xf numFmtId="165" fontId="732" fillId="0" borderId="0" xfId="0" applyNumberFormat="1" applyFont="1" applyAlignment="1">
      <alignment horizontal="right"/>
    </xf>
    <xf numFmtId="0" fontId="733" fillId="0" borderId="0" xfId="0" applyFont="1" applyAlignment="1">
      <alignment horizontal="right"/>
    </xf>
    <xf numFmtId="0" fontId="734" fillId="0" borderId="0" xfId="0" applyFont="1" applyAlignment="1">
      <alignment horizontal="right"/>
    </xf>
    <xf numFmtId="0" fontId="735" fillId="0" borderId="0" xfId="0" applyFont="1" applyAlignment="1">
      <alignment horizontal="right"/>
    </xf>
    <xf numFmtId="0" fontId="736" fillId="0" borderId="0" xfId="0" applyFont="1" applyAlignment="1">
      <alignment horizontal="right"/>
    </xf>
    <xf numFmtId="0" fontId="737" fillId="0" borderId="0" xfId="0" applyFont="1" applyAlignment="1">
      <alignment horizontal="right"/>
    </xf>
    <xf numFmtId="0" fontId="738" fillId="0" borderId="0" xfId="0" applyFont="1" applyAlignment="1">
      <alignment horizontal="right"/>
    </xf>
    <xf numFmtId="0" fontId="739" fillId="0" borderId="0" xfId="0" applyFont="1" applyAlignment="1">
      <alignment horizontal="right"/>
    </xf>
    <xf numFmtId="0" fontId="740" fillId="0" borderId="0" xfId="0" applyFont="1" applyAlignment="1">
      <alignment horizontal="right"/>
    </xf>
    <xf numFmtId="0" fontId="741" fillId="0" borderId="0" xfId="0" applyFont="1" applyAlignment="1">
      <alignment horizontal="right"/>
    </xf>
    <xf numFmtId="0" fontId="742" fillId="0" borderId="0" xfId="0" applyFont="1" applyAlignment="1">
      <alignment horizontal="right"/>
    </xf>
    <xf numFmtId="0" fontId="743" fillId="0" borderId="0" xfId="0" applyFont="1" applyAlignment="1">
      <alignment horizontal="right"/>
    </xf>
    <xf numFmtId="0" fontId="744" fillId="0" borderId="0" xfId="0" applyFont="1" applyAlignment="1">
      <alignment horizontal="right"/>
    </xf>
    <xf numFmtId="0" fontId="745" fillId="0" borderId="0" xfId="0" applyFont="1" applyAlignment="1">
      <alignment horizontal="right"/>
    </xf>
    <xf numFmtId="164" fontId="746" fillId="0" borderId="0" xfId="0" applyNumberFormat="1" applyFont="1" applyAlignment="1">
      <alignment horizontal="right"/>
    </xf>
    <xf numFmtId="0" fontId="747" fillId="0" borderId="0" xfId="0" applyFont="1" applyAlignment="1">
      <alignment horizontal="right"/>
    </xf>
    <xf numFmtId="0" fontId="748" fillId="0" borderId="0" xfId="0" applyFont="1" applyAlignment="1">
      <alignment horizontal="right"/>
    </xf>
    <xf numFmtId="0" fontId="749" fillId="0" borderId="0" xfId="0" applyFont="1" applyAlignment="1">
      <alignment horizontal="right"/>
    </xf>
    <xf numFmtId="0" fontId="750" fillId="0" borderId="0" xfId="0" applyFont="1" applyAlignment="1">
      <alignment horizontal="right"/>
    </xf>
    <xf numFmtId="0" fontId="751" fillId="0" borderId="0" xfId="0" applyFont="1" applyAlignment="1">
      <alignment horizontal="right"/>
    </xf>
    <xf numFmtId="0" fontId="752" fillId="0" borderId="0" xfId="0" applyFont="1" applyAlignment="1">
      <alignment horizontal="right"/>
    </xf>
    <xf numFmtId="0" fontId="753" fillId="0" borderId="0" xfId="0" applyFont="1" applyAlignment="1">
      <alignment horizontal="right"/>
    </xf>
    <xf numFmtId="0" fontId="754" fillId="0" borderId="0" xfId="0" applyFont="1" applyAlignment="1">
      <alignment horizontal="right"/>
    </xf>
    <xf numFmtId="0" fontId="755" fillId="0" borderId="0" xfId="0" applyFont="1" applyAlignment="1">
      <alignment horizontal="right"/>
    </xf>
    <xf numFmtId="0" fontId="756" fillId="0" borderId="0" xfId="0" applyFont="1" applyAlignment="1">
      <alignment horizontal="right"/>
    </xf>
    <xf numFmtId="0" fontId="757" fillId="0" borderId="0" xfId="0" applyFont="1" applyAlignment="1">
      <alignment horizontal="right"/>
    </xf>
    <xf numFmtId="0" fontId="758" fillId="0" borderId="0" xfId="0" applyFont="1" applyAlignment="1">
      <alignment horizontal="right"/>
    </xf>
    <xf numFmtId="0" fontId="759" fillId="2" borderId="1" xfId="0" applyFont="1" applyFill="1" applyBorder="1" applyAlignment="1">
      <alignment horizontal="center"/>
    </xf>
    <xf numFmtId="0" fontId="760" fillId="2" borderId="1" xfId="0" applyFont="1" applyFill="1" applyBorder="1" applyAlignment="1">
      <alignment horizontal="center"/>
    </xf>
    <xf numFmtId="0" fontId="761" fillId="2" borderId="1" xfId="0" applyFont="1" applyFill="1" applyBorder="1" applyAlignment="1">
      <alignment horizontal="center"/>
    </xf>
    <xf numFmtId="0" fontId="762" fillId="2" borderId="1" xfId="0" applyFont="1" applyFill="1" applyBorder="1" applyAlignment="1">
      <alignment horizontal="center"/>
    </xf>
    <xf numFmtId="0" fontId="763" fillId="2" borderId="1" xfId="0" applyFont="1" applyFill="1" applyBorder="1" applyAlignment="1">
      <alignment horizontal="center"/>
    </xf>
    <xf numFmtId="0" fontId="764" fillId="2" borderId="1" xfId="0" applyFont="1" applyFill="1" applyBorder="1" applyAlignment="1">
      <alignment horizontal="center"/>
    </xf>
    <xf numFmtId="0" fontId="765" fillId="2" borderId="1" xfId="0" applyFont="1" applyFill="1" applyBorder="1" applyAlignment="1">
      <alignment horizontal="center"/>
    </xf>
    <xf numFmtId="0" fontId="766" fillId="2" borderId="1" xfId="0" applyFont="1" applyFill="1" applyBorder="1" applyAlignment="1">
      <alignment horizontal="center"/>
    </xf>
    <xf numFmtId="0" fontId="767" fillId="2" borderId="1" xfId="0" applyFont="1" applyFill="1" applyBorder="1" applyAlignment="1">
      <alignment horizontal="center"/>
    </xf>
    <xf numFmtId="0" fontId="768" fillId="2" borderId="1" xfId="0" applyFont="1" applyFill="1" applyBorder="1" applyAlignment="1">
      <alignment horizontal="center"/>
    </xf>
    <xf numFmtId="0" fontId="769" fillId="2" borderId="1" xfId="0" applyFont="1" applyFill="1" applyBorder="1" applyAlignment="1">
      <alignment horizontal="center"/>
    </xf>
    <xf numFmtId="0" fontId="770" fillId="2" borderId="1" xfId="0" applyFont="1" applyFill="1" applyBorder="1" applyAlignment="1">
      <alignment horizontal="center"/>
    </xf>
    <xf numFmtId="0" fontId="771" fillId="2" borderId="1" xfId="0" applyFont="1" applyFill="1" applyBorder="1" applyAlignment="1">
      <alignment horizontal="center"/>
    </xf>
    <xf numFmtId="0" fontId="772" fillId="2" borderId="1" xfId="0" applyFont="1" applyFill="1" applyBorder="1" applyAlignment="1">
      <alignment horizontal="center"/>
    </xf>
    <xf numFmtId="0" fontId="773" fillId="2" borderId="1" xfId="0" applyFont="1" applyFill="1" applyBorder="1" applyAlignment="1">
      <alignment horizontal="center"/>
    </xf>
    <xf numFmtId="0" fontId="774" fillId="2" borderId="1" xfId="0" applyFont="1" applyFill="1" applyBorder="1" applyAlignment="1">
      <alignment horizontal="center"/>
    </xf>
    <xf numFmtId="0" fontId="775" fillId="2" borderId="1" xfId="0" applyFont="1" applyFill="1" applyBorder="1" applyAlignment="1">
      <alignment horizontal="center"/>
    </xf>
    <xf numFmtId="0" fontId="776" fillId="2" borderId="1" xfId="0" applyFont="1" applyFill="1" applyBorder="1" applyAlignment="1">
      <alignment horizontal="center"/>
    </xf>
    <xf numFmtId="0" fontId="777" fillId="2" borderId="1" xfId="0" applyFont="1" applyFill="1" applyBorder="1" applyAlignment="1">
      <alignment horizontal="center"/>
    </xf>
    <xf numFmtId="0" fontId="778" fillId="2" borderId="1" xfId="0" applyFont="1" applyFill="1" applyBorder="1" applyAlignment="1">
      <alignment horizontal="center"/>
    </xf>
    <xf numFmtId="0" fontId="779" fillId="2" borderId="1" xfId="0" applyFont="1" applyFill="1" applyBorder="1" applyAlignment="1">
      <alignment horizontal="center"/>
    </xf>
    <xf numFmtId="0" fontId="780" fillId="2" borderId="1" xfId="0" applyFont="1" applyFill="1" applyBorder="1" applyAlignment="1">
      <alignment horizontal="center"/>
    </xf>
    <xf numFmtId="0" fontId="781" fillId="2" borderId="1" xfId="0" applyFont="1" applyFill="1" applyBorder="1" applyAlignment="1">
      <alignment horizontal="center"/>
    </xf>
    <xf numFmtId="0" fontId="782" fillId="2" borderId="1" xfId="0" applyFont="1" applyFill="1" applyBorder="1" applyAlignment="1">
      <alignment horizontal="center"/>
    </xf>
    <xf numFmtId="0" fontId="783" fillId="2" borderId="1" xfId="0" applyFont="1" applyFill="1" applyBorder="1" applyAlignment="1">
      <alignment horizontal="center"/>
    </xf>
    <xf numFmtId="0" fontId="784" fillId="2" borderId="1" xfId="0" applyFont="1" applyFill="1" applyBorder="1" applyAlignment="1">
      <alignment horizontal="center"/>
    </xf>
    <xf numFmtId="0" fontId="785" fillId="2" borderId="1" xfId="0" applyFont="1" applyFill="1" applyBorder="1" applyAlignment="1">
      <alignment horizontal="center"/>
    </xf>
    <xf numFmtId="0" fontId="786" fillId="2" borderId="1" xfId="0" applyFont="1" applyFill="1" applyBorder="1" applyAlignment="1">
      <alignment horizontal="center"/>
    </xf>
    <xf numFmtId="0" fontId="787" fillId="2" borderId="1" xfId="0" applyFont="1" applyFill="1" applyBorder="1" applyAlignment="1">
      <alignment horizontal="center"/>
    </xf>
    <xf numFmtId="0" fontId="788" fillId="2" borderId="1" xfId="0" applyFont="1" applyFill="1" applyBorder="1" applyAlignment="1">
      <alignment horizontal="center"/>
    </xf>
    <xf numFmtId="0" fontId="789" fillId="2" borderId="1" xfId="0" applyFont="1" applyFill="1" applyBorder="1" applyAlignment="1">
      <alignment horizontal="center"/>
    </xf>
    <xf numFmtId="0" fontId="790" fillId="2" borderId="1" xfId="0" applyFont="1" applyFill="1" applyBorder="1" applyAlignment="1">
      <alignment horizontal="center"/>
    </xf>
    <xf numFmtId="0" fontId="791" fillId="2" borderId="1" xfId="0" applyFont="1" applyFill="1" applyBorder="1" applyAlignment="1">
      <alignment horizontal="center"/>
    </xf>
    <xf numFmtId="0" fontId="792" fillId="2" borderId="1" xfId="0" applyFont="1" applyFill="1" applyBorder="1" applyAlignment="1">
      <alignment horizontal="center"/>
    </xf>
    <xf numFmtId="0" fontId="793" fillId="2" borderId="1" xfId="0" applyFont="1" applyFill="1" applyBorder="1" applyAlignment="1">
      <alignment horizontal="center"/>
    </xf>
    <xf numFmtId="0" fontId="794" fillId="2" borderId="1" xfId="0" applyFont="1" applyFill="1" applyBorder="1" applyAlignment="1">
      <alignment horizontal="center"/>
    </xf>
    <xf numFmtId="0" fontId="795" fillId="2" borderId="1" xfId="0" applyFont="1" applyFill="1" applyBorder="1" applyAlignment="1">
      <alignment horizontal="center"/>
    </xf>
    <xf numFmtId="0" fontId="796" fillId="2" borderId="1" xfId="0" applyFont="1" applyFill="1" applyBorder="1" applyAlignment="1">
      <alignment horizontal="center"/>
    </xf>
    <xf numFmtId="0" fontId="797" fillId="2" borderId="1" xfId="0" applyFont="1" applyFill="1" applyBorder="1" applyAlignment="1">
      <alignment horizontal="center"/>
    </xf>
    <xf numFmtId="0" fontId="798" fillId="2" borderId="1" xfId="0" applyFont="1" applyFill="1" applyBorder="1" applyAlignment="1">
      <alignment horizontal="center"/>
    </xf>
    <xf numFmtId="0" fontId="799" fillId="2" borderId="1" xfId="0" applyFont="1" applyFill="1" applyBorder="1" applyAlignment="1">
      <alignment horizontal="center"/>
    </xf>
    <xf numFmtId="0" fontId="800" fillId="2" borderId="1" xfId="0" applyFont="1" applyFill="1" applyBorder="1" applyAlignment="1">
      <alignment horizontal="center"/>
    </xf>
    <xf numFmtId="0" fontId="801" fillId="2" borderId="1" xfId="0" applyFont="1" applyFill="1" applyBorder="1" applyAlignment="1">
      <alignment horizontal="center"/>
    </xf>
    <xf numFmtId="0" fontId="802" fillId="2" borderId="1" xfId="0" applyFont="1" applyFill="1" applyBorder="1" applyAlignment="1">
      <alignment horizontal="center"/>
    </xf>
    <xf numFmtId="0" fontId="803" fillId="2" borderId="1" xfId="0" applyFont="1" applyFill="1" applyBorder="1" applyAlignment="1">
      <alignment horizontal="center"/>
    </xf>
    <xf numFmtId="0" fontId="804" fillId="2" borderId="1" xfId="0" applyFont="1" applyFill="1" applyBorder="1" applyAlignment="1">
      <alignment horizontal="center"/>
    </xf>
    <xf numFmtId="0" fontId="805" fillId="2" borderId="1" xfId="0" applyFont="1" applyFill="1" applyBorder="1" applyAlignment="1">
      <alignment horizontal="center"/>
    </xf>
    <xf numFmtId="0" fontId="806" fillId="2" borderId="1" xfId="0" applyFont="1" applyFill="1" applyBorder="1" applyAlignment="1">
      <alignment horizontal="center"/>
    </xf>
    <xf numFmtId="0" fontId="807" fillId="2" borderId="1" xfId="0" applyFont="1" applyFill="1" applyBorder="1" applyAlignment="1">
      <alignment horizontal="center"/>
    </xf>
    <xf numFmtId="0" fontId="808" fillId="2" borderId="1" xfId="0" applyFont="1" applyFill="1" applyBorder="1" applyAlignment="1">
      <alignment horizontal="center"/>
    </xf>
    <xf numFmtId="0" fontId="809" fillId="2" borderId="1" xfId="0" applyFont="1" applyFill="1" applyBorder="1" applyAlignment="1">
      <alignment horizontal="center"/>
    </xf>
    <xf numFmtId="0" fontId="810" fillId="2" borderId="1" xfId="0" applyFont="1" applyFill="1" applyBorder="1" applyAlignment="1">
      <alignment horizontal="center"/>
    </xf>
    <xf numFmtId="165" fontId="811" fillId="0" borderId="0" xfId="0" applyNumberFormat="1" applyFont="1" applyAlignment="1">
      <alignment horizontal="right"/>
    </xf>
    <xf numFmtId="165" fontId="812" fillId="0" borderId="0" xfId="0" applyNumberFormat="1" applyFont="1" applyAlignment="1">
      <alignment horizontal="right"/>
    </xf>
    <xf numFmtId="0" fontId="813" fillId="0" borderId="0" xfId="0" applyFont="1" applyAlignment="1">
      <alignment horizontal="right"/>
    </xf>
    <xf numFmtId="165" fontId="814" fillId="0" borderId="0" xfId="0" applyNumberFormat="1" applyFont="1" applyAlignment="1">
      <alignment horizontal="right"/>
    </xf>
    <xf numFmtId="0" fontId="815" fillId="0" borderId="0" xfId="0" applyFont="1" applyAlignment="1">
      <alignment horizontal="right"/>
    </xf>
    <xf numFmtId="0" fontId="816" fillId="0" borderId="0" xfId="0" applyFont="1" applyAlignment="1">
      <alignment horizontal="right"/>
    </xf>
    <xf numFmtId="0" fontId="817" fillId="0" borderId="0" xfId="0" applyFont="1" applyAlignment="1">
      <alignment horizontal="right"/>
    </xf>
    <xf numFmtId="0" fontId="818" fillId="0" borderId="0" xfId="0" applyFont="1" applyAlignment="1">
      <alignment horizontal="right"/>
    </xf>
    <xf numFmtId="0" fontId="819" fillId="0" borderId="0" xfId="0" applyFont="1" applyAlignment="1">
      <alignment horizontal="right"/>
    </xf>
    <xf numFmtId="0" fontId="820" fillId="0" borderId="0" xfId="0" applyFont="1" applyAlignment="1">
      <alignment horizontal="right"/>
    </xf>
    <xf numFmtId="0" fontId="821" fillId="0" borderId="0" xfId="0" applyFont="1" applyAlignment="1">
      <alignment horizontal="right"/>
    </xf>
    <xf numFmtId="0" fontId="822" fillId="0" borderId="0" xfId="0" applyFont="1" applyAlignment="1">
      <alignment horizontal="right"/>
    </xf>
    <xf numFmtId="0" fontId="823" fillId="0" borderId="0" xfId="0" applyFont="1" applyAlignment="1">
      <alignment horizontal="right"/>
    </xf>
    <xf numFmtId="164" fontId="824" fillId="0" borderId="0" xfId="0" applyNumberFormat="1" applyFont="1" applyAlignment="1">
      <alignment horizontal="right"/>
    </xf>
    <xf numFmtId="0" fontId="825" fillId="0" borderId="0" xfId="0" applyFont="1" applyAlignment="1">
      <alignment horizontal="right"/>
    </xf>
    <xf numFmtId="0" fontId="826" fillId="0" borderId="0" xfId="0" applyFont="1" applyAlignment="1">
      <alignment horizontal="right"/>
    </xf>
    <xf numFmtId="164" fontId="827" fillId="0" borderId="0" xfId="0" applyNumberFormat="1" applyFont="1" applyAlignment="1">
      <alignment horizontal="right"/>
    </xf>
    <xf numFmtId="166" fontId="828" fillId="0" borderId="0" xfId="0" applyNumberFormat="1" applyFont="1" applyAlignment="1">
      <alignment horizontal="right"/>
    </xf>
    <xf numFmtId="164" fontId="829" fillId="0" borderId="0" xfId="0" applyNumberFormat="1" applyFont="1" applyAlignment="1">
      <alignment horizontal="right"/>
    </xf>
    <xf numFmtId="164" fontId="830" fillId="0" borderId="0" xfId="0" applyNumberFormat="1" applyFont="1" applyAlignment="1">
      <alignment horizontal="right"/>
    </xf>
    <xf numFmtId="0" fontId="831" fillId="0" borderId="0" xfId="0" applyFont="1" applyAlignment="1">
      <alignment horizontal="right"/>
    </xf>
    <xf numFmtId="0" fontId="833" fillId="2" borderId="1" xfId="0" applyFont="1" applyFill="1" applyBorder="1" applyAlignment="1">
      <alignment horizontal="center"/>
    </xf>
    <xf numFmtId="0" fontId="834" fillId="2" borderId="1" xfId="0" applyFont="1" applyFill="1" applyBorder="1" applyAlignment="1">
      <alignment horizontal="center"/>
    </xf>
    <xf numFmtId="0" fontId="835" fillId="2" borderId="1" xfId="0" applyFont="1" applyFill="1" applyBorder="1" applyAlignment="1">
      <alignment horizontal="center"/>
    </xf>
    <xf numFmtId="0" fontId="836" fillId="2" borderId="1" xfId="0" applyFont="1" applyFill="1" applyBorder="1" applyAlignment="1">
      <alignment horizontal="center"/>
    </xf>
    <xf numFmtId="0" fontId="837" fillId="2" borderId="1" xfId="0" applyFont="1" applyFill="1" applyBorder="1" applyAlignment="1">
      <alignment horizontal="center"/>
    </xf>
    <xf numFmtId="0" fontId="838" fillId="2" borderId="1" xfId="0" applyFont="1" applyFill="1" applyBorder="1" applyAlignment="1">
      <alignment horizontal="center"/>
    </xf>
    <xf numFmtId="0" fontId="839" fillId="2" borderId="1" xfId="0" applyFont="1" applyFill="1" applyBorder="1" applyAlignment="1">
      <alignment horizontal="center"/>
    </xf>
    <xf numFmtId="0" fontId="840" fillId="2" borderId="1" xfId="0" applyFont="1" applyFill="1" applyBorder="1" applyAlignment="1">
      <alignment horizontal="center"/>
    </xf>
    <xf numFmtId="0" fontId="841" fillId="2" borderId="1" xfId="0" applyFont="1" applyFill="1" applyBorder="1" applyAlignment="1">
      <alignment horizontal="center"/>
    </xf>
    <xf numFmtId="0" fontId="842" fillId="2" borderId="1" xfId="0" applyFont="1" applyFill="1" applyBorder="1" applyAlignment="1">
      <alignment horizontal="center"/>
    </xf>
    <xf numFmtId="0" fontId="843" fillId="2" borderId="1" xfId="0" applyFont="1" applyFill="1" applyBorder="1" applyAlignment="1">
      <alignment horizontal="center"/>
    </xf>
    <xf numFmtId="0" fontId="844" fillId="2" borderId="1" xfId="0" applyFont="1" applyFill="1" applyBorder="1" applyAlignment="1">
      <alignment horizontal="center"/>
    </xf>
    <xf numFmtId="0" fontId="845" fillId="2" borderId="1" xfId="0" applyFont="1" applyFill="1" applyBorder="1" applyAlignment="1">
      <alignment horizontal="center"/>
    </xf>
    <xf numFmtId="0" fontId="846" fillId="2" borderId="1" xfId="0" applyFont="1" applyFill="1" applyBorder="1" applyAlignment="1">
      <alignment horizontal="center"/>
    </xf>
    <xf numFmtId="0" fontId="847" fillId="2" borderId="1" xfId="0" applyFont="1" applyFill="1" applyBorder="1" applyAlignment="1">
      <alignment horizontal="center"/>
    </xf>
    <xf numFmtId="0" fontId="848" fillId="2" borderId="1" xfId="0" applyFont="1" applyFill="1" applyBorder="1" applyAlignment="1">
      <alignment horizontal="center"/>
    </xf>
    <xf numFmtId="0" fontId="849" fillId="2" borderId="1" xfId="0" applyFont="1" applyFill="1" applyBorder="1" applyAlignment="1">
      <alignment horizontal="center"/>
    </xf>
    <xf numFmtId="0" fontId="850" fillId="2" borderId="1" xfId="0" applyFont="1" applyFill="1" applyBorder="1" applyAlignment="1">
      <alignment horizontal="center"/>
    </xf>
    <xf numFmtId="0" fontId="851" fillId="2" borderId="1" xfId="0" applyFont="1" applyFill="1" applyBorder="1" applyAlignment="1">
      <alignment horizontal="center"/>
    </xf>
    <xf numFmtId="0" fontId="852" fillId="2" borderId="1" xfId="0" applyFont="1" applyFill="1" applyBorder="1" applyAlignment="1">
      <alignment horizontal="center"/>
    </xf>
    <xf numFmtId="0" fontId="853" fillId="2" borderId="1" xfId="0" applyFont="1" applyFill="1" applyBorder="1" applyAlignment="1">
      <alignment horizontal="center"/>
    </xf>
    <xf numFmtId="0" fontId="854" fillId="2" borderId="1" xfId="0" applyFont="1" applyFill="1" applyBorder="1" applyAlignment="1">
      <alignment horizontal="center"/>
    </xf>
    <xf numFmtId="0" fontId="855" fillId="2" borderId="1" xfId="0" applyFont="1" applyFill="1" applyBorder="1" applyAlignment="1">
      <alignment horizontal="center"/>
    </xf>
    <xf numFmtId="0" fontId="856" fillId="2" borderId="1" xfId="0" applyFont="1" applyFill="1" applyBorder="1" applyAlignment="1">
      <alignment horizontal="center"/>
    </xf>
    <xf numFmtId="0" fontId="857" fillId="2" borderId="1" xfId="0" applyFont="1" applyFill="1" applyBorder="1" applyAlignment="1">
      <alignment horizontal="center"/>
    </xf>
    <xf numFmtId="0" fontId="858" fillId="2" borderId="1" xfId="0" applyFont="1" applyFill="1" applyBorder="1" applyAlignment="1">
      <alignment horizontal="center"/>
    </xf>
    <xf numFmtId="0" fontId="859" fillId="2" borderId="1" xfId="0" applyFont="1" applyFill="1" applyBorder="1" applyAlignment="1">
      <alignment horizontal="center"/>
    </xf>
    <xf numFmtId="0" fontId="860" fillId="2" borderId="1" xfId="0" applyFont="1" applyFill="1" applyBorder="1" applyAlignment="1">
      <alignment horizontal="center"/>
    </xf>
    <xf numFmtId="0" fontId="861" fillId="2" borderId="1" xfId="0" applyFont="1" applyFill="1" applyBorder="1" applyAlignment="1">
      <alignment horizontal="center"/>
    </xf>
    <xf numFmtId="0" fontId="862" fillId="2" borderId="1" xfId="0" applyFont="1" applyFill="1" applyBorder="1" applyAlignment="1">
      <alignment horizontal="center"/>
    </xf>
    <xf numFmtId="0" fontId="863" fillId="2" borderId="1" xfId="0" applyFont="1" applyFill="1" applyBorder="1" applyAlignment="1">
      <alignment horizontal="center"/>
    </xf>
    <xf numFmtId="0" fontId="864" fillId="2" borderId="1" xfId="0" applyFont="1" applyFill="1" applyBorder="1" applyAlignment="1">
      <alignment horizontal="center"/>
    </xf>
    <xf numFmtId="0" fontId="865" fillId="2" borderId="1" xfId="0" applyFont="1" applyFill="1" applyBorder="1" applyAlignment="1">
      <alignment horizontal="center"/>
    </xf>
    <xf numFmtId="0" fontId="866" fillId="2" borderId="1" xfId="0" applyFont="1" applyFill="1" applyBorder="1" applyAlignment="1">
      <alignment horizontal="center"/>
    </xf>
    <xf numFmtId="0" fontId="867" fillId="2" borderId="1" xfId="0" applyFont="1" applyFill="1" applyBorder="1" applyAlignment="1">
      <alignment horizontal="center"/>
    </xf>
    <xf numFmtId="0" fontId="868" fillId="2" borderId="1" xfId="0" applyFont="1" applyFill="1" applyBorder="1" applyAlignment="1">
      <alignment horizontal="center"/>
    </xf>
    <xf numFmtId="0" fontId="869" fillId="2" borderId="1" xfId="0" applyFont="1" applyFill="1" applyBorder="1" applyAlignment="1">
      <alignment horizontal="center"/>
    </xf>
    <xf numFmtId="0" fontId="870" fillId="2" borderId="1" xfId="0" applyFont="1" applyFill="1" applyBorder="1" applyAlignment="1">
      <alignment horizontal="center"/>
    </xf>
    <xf numFmtId="0" fontId="871" fillId="2" borderId="1" xfId="0" applyFont="1" applyFill="1" applyBorder="1" applyAlignment="1">
      <alignment horizontal="center"/>
    </xf>
    <xf numFmtId="0" fontId="872" fillId="2" borderId="1" xfId="0" applyFont="1" applyFill="1" applyBorder="1" applyAlignment="1">
      <alignment horizontal="center"/>
    </xf>
    <xf numFmtId="0" fontId="873" fillId="2" borderId="1" xfId="0" applyFont="1" applyFill="1" applyBorder="1" applyAlignment="1">
      <alignment horizontal="center"/>
    </xf>
    <xf numFmtId="0" fontId="874" fillId="2" borderId="1" xfId="0" applyFont="1" applyFill="1" applyBorder="1" applyAlignment="1">
      <alignment horizontal="center"/>
    </xf>
    <xf numFmtId="0" fontId="875" fillId="2" borderId="1" xfId="0" applyFont="1" applyFill="1" applyBorder="1" applyAlignment="1">
      <alignment horizontal="center"/>
    </xf>
    <xf numFmtId="0" fontId="876" fillId="2" borderId="1" xfId="0" applyFont="1" applyFill="1" applyBorder="1" applyAlignment="1">
      <alignment horizontal="center"/>
    </xf>
    <xf numFmtId="0" fontId="877" fillId="2" borderId="1" xfId="0" applyFont="1" applyFill="1" applyBorder="1" applyAlignment="1">
      <alignment horizontal="center"/>
    </xf>
    <xf numFmtId="0" fontId="878" fillId="2" borderId="1" xfId="0" applyFont="1" applyFill="1" applyBorder="1" applyAlignment="1">
      <alignment horizontal="center"/>
    </xf>
    <xf numFmtId="0" fontId="879" fillId="2" borderId="1" xfId="0" applyFont="1" applyFill="1" applyBorder="1" applyAlignment="1">
      <alignment horizontal="center"/>
    </xf>
    <xf numFmtId="0" fontId="880" fillId="2" borderId="1" xfId="0" applyFont="1" applyFill="1" applyBorder="1" applyAlignment="1">
      <alignment horizontal="center"/>
    </xf>
    <xf numFmtId="0" fontId="881" fillId="2" borderId="1" xfId="0" applyFont="1" applyFill="1" applyBorder="1" applyAlignment="1">
      <alignment horizontal="center"/>
    </xf>
    <xf numFmtId="0" fontId="882" fillId="2" borderId="1" xfId="0" applyFont="1" applyFill="1" applyBorder="1" applyAlignment="1">
      <alignment horizontal="center"/>
    </xf>
    <xf numFmtId="0" fontId="883" fillId="2" borderId="1" xfId="0" applyFont="1" applyFill="1" applyBorder="1" applyAlignment="1">
      <alignment horizontal="center"/>
    </xf>
    <xf numFmtId="0" fontId="884" fillId="2" borderId="1" xfId="0" applyFont="1" applyFill="1" applyBorder="1" applyAlignment="1">
      <alignment horizontal="center"/>
    </xf>
    <xf numFmtId="0" fontId="885" fillId="2" borderId="1" xfId="0" applyFont="1" applyFill="1" applyBorder="1" applyAlignment="1">
      <alignment horizontal="center"/>
    </xf>
    <xf numFmtId="0" fontId="886" fillId="2" borderId="1" xfId="0" applyFont="1" applyFill="1" applyBorder="1" applyAlignment="1">
      <alignment horizontal="center"/>
    </xf>
    <xf numFmtId="0" fontId="887" fillId="2" borderId="1" xfId="0" applyFont="1" applyFill="1" applyBorder="1" applyAlignment="1">
      <alignment horizontal="center"/>
    </xf>
    <xf numFmtId="0" fontId="888" fillId="2" borderId="1" xfId="0" applyFont="1" applyFill="1" applyBorder="1" applyAlignment="1">
      <alignment horizontal="center"/>
    </xf>
    <xf numFmtId="0" fontId="889" fillId="2" borderId="1" xfId="0" applyFont="1" applyFill="1" applyBorder="1" applyAlignment="1">
      <alignment horizontal="center"/>
    </xf>
    <xf numFmtId="0" fontId="890" fillId="2" borderId="1" xfId="0" applyFont="1" applyFill="1" applyBorder="1" applyAlignment="1">
      <alignment horizontal="center"/>
    </xf>
    <xf numFmtId="0" fontId="891" fillId="2" borderId="1" xfId="0" applyFont="1" applyFill="1" applyBorder="1" applyAlignment="1">
      <alignment horizontal="center"/>
    </xf>
    <xf numFmtId="0" fontId="892" fillId="2" borderId="1" xfId="0" applyFont="1" applyFill="1" applyBorder="1" applyAlignment="1">
      <alignment horizontal="center"/>
    </xf>
    <xf numFmtId="0" fontId="893" fillId="2" borderId="1" xfId="0" applyFont="1" applyFill="1" applyBorder="1" applyAlignment="1">
      <alignment horizontal="center"/>
    </xf>
    <xf numFmtId="0" fontId="894" fillId="2" borderId="1" xfId="0" applyFont="1" applyFill="1" applyBorder="1" applyAlignment="1">
      <alignment horizontal="center"/>
    </xf>
    <xf numFmtId="0" fontId="895" fillId="2" borderId="1" xfId="0" applyFont="1" applyFill="1" applyBorder="1" applyAlignment="1">
      <alignment horizontal="center"/>
    </xf>
    <xf numFmtId="0" fontId="896" fillId="2" borderId="1" xfId="0" applyFont="1" applyFill="1" applyBorder="1" applyAlignment="1">
      <alignment horizontal="center"/>
    </xf>
    <xf numFmtId="0" fontId="897" fillId="2" borderId="1" xfId="0" applyFont="1" applyFill="1" applyBorder="1" applyAlignment="1">
      <alignment horizontal="center"/>
    </xf>
    <xf numFmtId="0" fontId="898" fillId="2" borderId="1" xfId="0" applyFont="1" applyFill="1" applyBorder="1" applyAlignment="1">
      <alignment horizontal="center"/>
    </xf>
    <xf numFmtId="0" fontId="899" fillId="2" borderId="1" xfId="0" applyFont="1" applyFill="1" applyBorder="1" applyAlignment="1">
      <alignment horizontal="center"/>
    </xf>
    <xf numFmtId="0" fontId="900" fillId="2" borderId="1" xfId="0" applyFont="1" applyFill="1" applyBorder="1" applyAlignment="1">
      <alignment horizontal="center"/>
    </xf>
    <xf numFmtId="0" fontId="901" fillId="2" borderId="1" xfId="0" applyFont="1" applyFill="1" applyBorder="1" applyAlignment="1">
      <alignment horizontal="center"/>
    </xf>
    <xf numFmtId="0" fontId="902" fillId="2" borderId="1" xfId="0" applyFont="1" applyFill="1" applyBorder="1" applyAlignment="1">
      <alignment horizontal="center"/>
    </xf>
    <xf numFmtId="0" fontId="903" fillId="2" borderId="1" xfId="0" applyFont="1" applyFill="1" applyBorder="1" applyAlignment="1">
      <alignment horizontal="center"/>
    </xf>
    <xf numFmtId="0" fontId="904" fillId="2" borderId="1" xfId="0" applyFont="1" applyFill="1" applyBorder="1" applyAlignment="1">
      <alignment horizontal="center"/>
    </xf>
    <xf numFmtId="0" fontId="905" fillId="2" borderId="1" xfId="0" applyFont="1" applyFill="1" applyBorder="1" applyAlignment="1">
      <alignment horizontal="center"/>
    </xf>
    <xf numFmtId="0" fontId="906" fillId="2" borderId="1" xfId="0" applyFont="1" applyFill="1" applyBorder="1" applyAlignment="1">
      <alignment horizontal="center"/>
    </xf>
    <xf numFmtId="0" fontId="907" fillId="2" borderId="1" xfId="0" applyFont="1" applyFill="1" applyBorder="1" applyAlignment="1">
      <alignment horizontal="center"/>
    </xf>
    <xf numFmtId="0" fontId="908" fillId="2" borderId="1" xfId="0" applyFont="1" applyFill="1" applyBorder="1" applyAlignment="1">
      <alignment horizontal="center"/>
    </xf>
    <xf numFmtId="0" fontId="909" fillId="2" borderId="1" xfId="0" applyFont="1" applyFill="1" applyBorder="1" applyAlignment="1">
      <alignment horizontal="center"/>
    </xf>
    <xf numFmtId="0" fontId="910" fillId="2" borderId="1" xfId="0" applyFont="1" applyFill="1" applyBorder="1" applyAlignment="1">
      <alignment horizontal="center"/>
    </xf>
    <xf numFmtId="0" fontId="911" fillId="2" borderId="1" xfId="0" applyFont="1" applyFill="1" applyBorder="1" applyAlignment="1">
      <alignment horizontal="center"/>
    </xf>
    <xf numFmtId="0" fontId="912" fillId="2" borderId="1" xfId="0" applyFont="1" applyFill="1" applyBorder="1" applyAlignment="1">
      <alignment horizontal="center"/>
    </xf>
    <xf numFmtId="0" fontId="913" fillId="2" borderId="1" xfId="0" applyFont="1" applyFill="1" applyBorder="1" applyAlignment="1">
      <alignment horizontal="center"/>
    </xf>
    <xf numFmtId="0" fontId="914" fillId="2" borderId="1" xfId="0" applyFont="1" applyFill="1" applyBorder="1" applyAlignment="1">
      <alignment horizontal="center"/>
    </xf>
    <xf numFmtId="0" fontId="915" fillId="2" borderId="1" xfId="0" applyFont="1" applyFill="1" applyBorder="1" applyAlignment="1">
      <alignment horizontal="center"/>
    </xf>
    <xf numFmtId="0" fontId="916" fillId="2" borderId="1" xfId="0" applyFont="1" applyFill="1" applyBorder="1" applyAlignment="1">
      <alignment horizontal="center"/>
    </xf>
    <xf numFmtId="0" fontId="917" fillId="2" borderId="1" xfId="0" applyFont="1" applyFill="1" applyBorder="1" applyAlignment="1">
      <alignment horizontal="center"/>
    </xf>
    <xf numFmtId="0" fontId="918" fillId="2" borderId="1" xfId="0" applyFont="1" applyFill="1" applyBorder="1" applyAlignment="1">
      <alignment horizontal="center"/>
    </xf>
    <xf numFmtId="0" fontId="919" fillId="2" borderId="1" xfId="0" applyFont="1" applyFill="1" applyBorder="1" applyAlignment="1">
      <alignment horizontal="center"/>
    </xf>
    <xf numFmtId="0" fontId="920" fillId="2" borderId="1" xfId="0" applyFont="1" applyFill="1" applyBorder="1" applyAlignment="1">
      <alignment horizontal="center"/>
    </xf>
    <xf numFmtId="0" fontId="921" fillId="2" borderId="1" xfId="0" applyFont="1" applyFill="1" applyBorder="1" applyAlignment="1">
      <alignment horizontal="center"/>
    </xf>
    <xf numFmtId="0" fontId="922" fillId="2" borderId="1" xfId="0" applyFont="1" applyFill="1" applyBorder="1" applyAlignment="1">
      <alignment horizontal="center"/>
    </xf>
    <xf numFmtId="0" fontId="923" fillId="2" borderId="1" xfId="0" applyFont="1" applyFill="1" applyBorder="1" applyAlignment="1">
      <alignment horizontal="center"/>
    </xf>
    <xf numFmtId="0" fontId="924" fillId="2" borderId="1" xfId="0" applyFont="1" applyFill="1" applyBorder="1" applyAlignment="1">
      <alignment horizontal="center"/>
    </xf>
    <xf numFmtId="0" fontId="925" fillId="2" borderId="1" xfId="0" applyFont="1" applyFill="1" applyBorder="1" applyAlignment="1">
      <alignment horizontal="center"/>
    </xf>
    <xf numFmtId="0" fontId="926" fillId="2" borderId="1" xfId="0" applyFont="1" applyFill="1" applyBorder="1" applyAlignment="1">
      <alignment horizontal="center"/>
    </xf>
    <xf numFmtId="0" fontId="927" fillId="2" borderId="1" xfId="0" applyFont="1" applyFill="1" applyBorder="1" applyAlignment="1">
      <alignment horizontal="center"/>
    </xf>
    <xf numFmtId="0" fontId="928" fillId="2" borderId="1" xfId="0" applyFont="1" applyFill="1" applyBorder="1" applyAlignment="1">
      <alignment horizontal="center"/>
    </xf>
    <xf numFmtId="0" fontId="929" fillId="2" borderId="1" xfId="0" applyFont="1" applyFill="1" applyBorder="1" applyAlignment="1">
      <alignment horizontal="center"/>
    </xf>
    <xf numFmtId="0" fontId="930" fillId="2" borderId="1" xfId="0" applyFont="1" applyFill="1" applyBorder="1" applyAlignment="1">
      <alignment horizontal="center"/>
    </xf>
    <xf numFmtId="0" fontId="931" fillId="2" borderId="1" xfId="0" applyFont="1" applyFill="1" applyBorder="1" applyAlignment="1">
      <alignment horizontal="center"/>
    </xf>
    <xf numFmtId="0" fontId="932" fillId="2" borderId="1" xfId="0" applyFont="1" applyFill="1" applyBorder="1" applyAlignment="1">
      <alignment horizontal="center"/>
    </xf>
    <xf numFmtId="0" fontId="933" fillId="2" borderId="1" xfId="0" applyFont="1" applyFill="1" applyBorder="1" applyAlignment="1">
      <alignment horizontal="center"/>
    </xf>
    <xf numFmtId="0" fontId="934" fillId="2" borderId="1" xfId="0" applyFont="1" applyFill="1" applyBorder="1" applyAlignment="1">
      <alignment horizontal="center"/>
    </xf>
    <xf numFmtId="10" fontId="18" fillId="0" borderId="0" xfId="1" applyNumberFormat="1" applyFont="1" applyAlignment="1">
      <alignment horizontal="right"/>
    </xf>
    <xf numFmtId="10" fontId="52" fillId="0" borderId="0" xfId="1" applyNumberFormat="1" applyFont="1" applyAlignment="1">
      <alignment horizontal="right"/>
    </xf>
    <xf numFmtId="10" fontId="222" fillId="0" borderId="0" xfId="1" applyNumberFormat="1" applyFont="1" applyAlignment="1">
      <alignment horizontal="right"/>
    </xf>
    <xf numFmtId="10" fontId="580" fillId="0" borderId="0" xfId="1" applyNumberFormat="1" applyFont="1" applyAlignment="1">
      <alignment horizontal="right"/>
    </xf>
    <xf numFmtId="10" fontId="832" fillId="0" borderId="0" xfId="0" applyNumberFormat="1" applyFont="1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10" fontId="5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rightToLeft="1" workbookViewId="0">
      <pane ySplit="1" topLeftCell="A2" activePane="bottomLeft" state="frozen"/>
      <selection pane="bottomLeft" activeCell="D31" sqref="D31"/>
    </sheetView>
  </sheetViews>
  <sheetFormatPr defaultRowHeight="15" x14ac:dyDescent="0.25"/>
  <cols>
    <col min="1" max="1" width="36" customWidth="1"/>
    <col min="2" max="2" width="45" customWidth="1"/>
    <col min="3" max="3" width="2" customWidth="1"/>
    <col min="4" max="4" width="23" customWidth="1"/>
  </cols>
  <sheetData>
    <row r="1" spans="1:4" ht="15" customHeight="1" x14ac:dyDescent="0.25">
      <c r="A1" s="1" t="s">
        <v>0</v>
      </c>
      <c r="B1" s="2" t="s">
        <v>1</v>
      </c>
      <c r="C1" s="3" t="s">
        <v>0</v>
      </c>
      <c r="D1" s="4" t="s">
        <v>0</v>
      </c>
    </row>
    <row r="2" spans="1:4" ht="12.95" customHeight="1" x14ac:dyDescent="0.25">
      <c r="A2" s="5" t="s">
        <v>2</v>
      </c>
      <c r="B2" s="6" t="s">
        <v>0</v>
      </c>
      <c r="C2" s="7" t="s">
        <v>0</v>
      </c>
      <c r="D2" s="8" t="s">
        <v>3</v>
      </c>
    </row>
    <row r="3" spans="1:4" ht="12.95" customHeight="1" x14ac:dyDescent="0.25">
      <c r="A3" s="5" t="s">
        <v>0</v>
      </c>
      <c r="B3" s="6" t="s">
        <v>0</v>
      </c>
      <c r="C3" s="7" t="s">
        <v>0</v>
      </c>
      <c r="D3" s="8" t="s">
        <v>0</v>
      </c>
    </row>
    <row r="4" spans="1:4" ht="12.95" customHeight="1" x14ac:dyDescent="0.25">
      <c r="A4" s="5" t="s">
        <v>4</v>
      </c>
      <c r="B4" s="6" t="s">
        <v>0</v>
      </c>
      <c r="C4" s="7" t="s">
        <v>0</v>
      </c>
      <c r="D4" s="8" t="s">
        <v>5</v>
      </c>
    </row>
    <row r="5" spans="1:4" ht="12.95" customHeight="1" x14ac:dyDescent="0.25">
      <c r="A5" s="5" t="s">
        <v>0</v>
      </c>
      <c r="B5" s="6" t="s">
        <v>0</v>
      </c>
      <c r="C5" s="7" t="s">
        <v>0</v>
      </c>
      <c r="D5" s="8" t="s">
        <v>0</v>
      </c>
    </row>
    <row r="6" spans="1:4" ht="12.95" customHeight="1" x14ac:dyDescent="0.25">
      <c r="A6" s="5" t="s">
        <v>6</v>
      </c>
      <c r="B6" s="6" t="s">
        <v>0</v>
      </c>
      <c r="C6" s="7" t="s">
        <v>0</v>
      </c>
      <c r="D6" s="8">
        <v>3</v>
      </c>
    </row>
    <row r="7" spans="1:4" ht="12.95" customHeight="1" x14ac:dyDescent="0.25">
      <c r="A7" s="5" t="s">
        <v>0</v>
      </c>
      <c r="B7" s="6" t="s">
        <v>0</v>
      </c>
      <c r="C7" s="7" t="s">
        <v>0</v>
      </c>
      <c r="D7" s="8" t="s">
        <v>0</v>
      </c>
    </row>
    <row r="8" spans="1:4" ht="12.95" customHeight="1" x14ac:dyDescent="0.25">
      <c r="A8" s="5" t="s">
        <v>7</v>
      </c>
      <c r="B8" s="6" t="s">
        <v>0</v>
      </c>
      <c r="C8" s="7" t="s">
        <v>0</v>
      </c>
      <c r="D8" s="8">
        <v>2024</v>
      </c>
    </row>
    <row r="9" spans="1:4" ht="12.95" customHeight="1" x14ac:dyDescent="0.25">
      <c r="A9" s="5" t="s">
        <v>0</v>
      </c>
      <c r="B9" s="6" t="s">
        <v>0</v>
      </c>
      <c r="C9" s="7" t="s">
        <v>0</v>
      </c>
      <c r="D9" s="8" t="s">
        <v>0</v>
      </c>
    </row>
    <row r="10" spans="1:4" ht="12.95" customHeight="1" x14ac:dyDescent="0.25">
      <c r="A10" s="5" t="s">
        <v>8</v>
      </c>
      <c r="B10" s="6" t="s">
        <v>0</v>
      </c>
      <c r="C10" s="7" t="s">
        <v>0</v>
      </c>
      <c r="D10" s="8" t="s">
        <v>9</v>
      </c>
    </row>
    <row r="11" spans="1:4" ht="12.95" customHeight="1" x14ac:dyDescent="0.25">
      <c r="A11" s="5" t="s">
        <v>0</v>
      </c>
      <c r="B11" s="6" t="s">
        <v>0</v>
      </c>
      <c r="C11" s="7" t="s">
        <v>0</v>
      </c>
      <c r="D11" s="8" t="s">
        <v>0</v>
      </c>
    </row>
    <row r="12" spans="1:4" ht="12.95" customHeight="1" x14ac:dyDescent="0.25">
      <c r="A12" s="5" t="s">
        <v>10</v>
      </c>
      <c r="B12" s="6" t="s">
        <v>0</v>
      </c>
      <c r="C12" s="7" t="s">
        <v>0</v>
      </c>
      <c r="D12" s="8">
        <v>520028812</v>
      </c>
    </row>
    <row r="13" spans="1:4" ht="12.95" customHeight="1" x14ac:dyDescent="0.25">
      <c r="A13" s="5" t="s">
        <v>0</v>
      </c>
      <c r="B13" s="6" t="s">
        <v>0</v>
      </c>
      <c r="C13" s="7" t="s">
        <v>0</v>
      </c>
      <c r="D13" s="8" t="s">
        <v>0</v>
      </c>
    </row>
    <row r="14" spans="1:4" ht="12.95" customHeight="1" x14ac:dyDescent="0.25">
      <c r="A14" s="5" t="s">
        <v>11</v>
      </c>
      <c r="B14" s="6" t="s">
        <v>0</v>
      </c>
      <c r="C14" s="7" t="s">
        <v>0</v>
      </c>
      <c r="D14" s="8" t="s">
        <v>12</v>
      </c>
    </row>
    <row r="15" spans="1:4" ht="12.95" customHeight="1" x14ac:dyDescent="0.25">
      <c r="A15" s="5" t="s">
        <v>0</v>
      </c>
      <c r="B15" s="6" t="s">
        <v>0</v>
      </c>
      <c r="C15" s="7" t="s">
        <v>0</v>
      </c>
      <c r="D15" s="8" t="s">
        <v>0</v>
      </c>
    </row>
    <row r="16" spans="1:4" ht="12.95" customHeight="1" x14ac:dyDescent="0.25">
      <c r="A16" s="5" t="s">
        <v>13</v>
      </c>
      <c r="B16" s="6" t="s">
        <v>14</v>
      </c>
      <c r="C16" s="7" t="s">
        <v>0</v>
      </c>
      <c r="D16" s="8" t="s">
        <v>768</v>
      </c>
    </row>
    <row r="17" spans="1:4" ht="12.95" customHeight="1" x14ac:dyDescent="0.25">
      <c r="A17" s="5" t="s">
        <v>0</v>
      </c>
      <c r="B17" s="6" t="s">
        <v>0</v>
      </c>
      <c r="C17" s="7" t="s">
        <v>0</v>
      </c>
      <c r="D17" s="8" t="s">
        <v>0</v>
      </c>
    </row>
    <row r="18" spans="1:4" ht="12.95" customHeight="1" x14ac:dyDescent="0.25">
      <c r="A18" s="5" t="s">
        <v>0</v>
      </c>
      <c r="B18" s="6" t="s">
        <v>15</v>
      </c>
      <c r="C18" s="7" t="s">
        <v>0</v>
      </c>
      <c r="D18" s="8" t="s">
        <v>769</v>
      </c>
    </row>
    <row r="19" spans="1:4" ht="12.95" customHeight="1" x14ac:dyDescent="0.25">
      <c r="A19" s="5" t="s">
        <v>0</v>
      </c>
      <c r="B19" s="6" t="s">
        <v>0</v>
      </c>
      <c r="C19" s="7" t="s">
        <v>0</v>
      </c>
      <c r="D19" s="8" t="s">
        <v>0</v>
      </c>
    </row>
    <row r="20" spans="1:4" ht="12.95" customHeight="1" x14ac:dyDescent="0.25">
      <c r="A20" s="5" t="s">
        <v>0</v>
      </c>
      <c r="B20" s="6" t="s">
        <v>16</v>
      </c>
      <c r="C20" s="7" t="s">
        <v>0</v>
      </c>
      <c r="D20" s="8" t="s">
        <v>770</v>
      </c>
    </row>
    <row r="21" spans="1:4" ht="12.95" customHeight="1" x14ac:dyDescent="0.25">
      <c r="A21" s="5" t="s">
        <v>0</v>
      </c>
      <c r="B21" s="6" t="s">
        <v>0</v>
      </c>
      <c r="C21" s="7" t="s">
        <v>0</v>
      </c>
      <c r="D21" s="8" t="s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workbookViewId="0">
      <pane ySplit="1" topLeftCell="A2" activePane="bottomLeft" state="frozen"/>
      <selection pane="bottomLeft" activeCell="E25" sqref="E25"/>
    </sheetView>
  </sheetViews>
  <sheetFormatPr defaultRowHeight="15" x14ac:dyDescent="0.25"/>
  <cols>
    <col min="1" max="1" width="44" customWidth="1"/>
    <col min="2" max="2" width="23" customWidth="1"/>
    <col min="3" max="3" width="13" customWidth="1"/>
    <col min="4" max="4" width="25" customWidth="1"/>
    <col min="5" max="5" width="21" customWidth="1"/>
  </cols>
  <sheetData>
    <row r="1" spans="1:5" ht="15" customHeight="1" x14ac:dyDescent="0.25">
      <c r="A1" s="9" t="s">
        <v>0</v>
      </c>
      <c r="B1" s="10" t="s">
        <v>17</v>
      </c>
      <c r="C1" s="11" t="s">
        <v>18</v>
      </c>
      <c r="D1" s="12" t="s">
        <v>19</v>
      </c>
      <c r="E1" s="13" t="s">
        <v>20</v>
      </c>
    </row>
    <row r="2" spans="1:5" ht="12.95" customHeight="1" x14ac:dyDescent="0.25">
      <c r="A2" s="14" t="s">
        <v>21</v>
      </c>
      <c r="B2" s="15">
        <v>339563.93790000002</v>
      </c>
      <c r="C2" s="16" t="s">
        <v>0</v>
      </c>
      <c r="D2" s="17" t="s">
        <v>22</v>
      </c>
      <c r="E2" s="930">
        <f>B2/$B$29</f>
        <v>0.17876771153248952</v>
      </c>
    </row>
    <row r="3" spans="1:5" ht="12.95" customHeight="1" x14ac:dyDescent="0.25">
      <c r="A3" s="14" t="s">
        <v>23</v>
      </c>
      <c r="B3" s="15">
        <v>0</v>
      </c>
      <c r="C3" s="16" t="s">
        <v>0</v>
      </c>
      <c r="D3" s="17" t="s">
        <v>0</v>
      </c>
      <c r="E3" s="930">
        <f t="shared" ref="E3:E31" si="0">B3/$B$29</f>
        <v>0</v>
      </c>
    </row>
    <row r="4" spans="1:5" ht="12.95" customHeight="1" x14ac:dyDescent="0.25">
      <c r="A4" s="14" t="s">
        <v>24</v>
      </c>
      <c r="B4" s="15">
        <v>0</v>
      </c>
      <c r="C4" s="16" t="s">
        <v>0</v>
      </c>
      <c r="D4" s="17" t="s">
        <v>0</v>
      </c>
      <c r="E4" s="930">
        <f t="shared" si="0"/>
        <v>0</v>
      </c>
    </row>
    <row r="5" spans="1:5" ht="12.95" customHeight="1" x14ac:dyDescent="0.25">
      <c r="A5" s="14" t="s">
        <v>25</v>
      </c>
      <c r="B5" s="15">
        <v>531666.59900000005</v>
      </c>
      <c r="C5" s="16" t="s">
        <v>0</v>
      </c>
      <c r="D5" s="17" t="s">
        <v>22</v>
      </c>
      <c r="E5" s="930">
        <f t="shared" si="0"/>
        <v>0.27990257678505909</v>
      </c>
    </row>
    <row r="6" spans="1:5" ht="12.95" customHeight="1" x14ac:dyDescent="0.25">
      <c r="A6" s="14" t="s">
        <v>26</v>
      </c>
      <c r="B6" s="15">
        <v>39107.175000000003</v>
      </c>
      <c r="C6" s="16" t="s">
        <v>0</v>
      </c>
      <c r="D6" s="17" t="s">
        <v>22</v>
      </c>
      <c r="E6" s="930">
        <f t="shared" si="0"/>
        <v>2.0588464789536728E-2</v>
      </c>
    </row>
    <row r="7" spans="1:5" ht="12.95" customHeight="1" x14ac:dyDescent="0.25">
      <c r="A7" s="14" t="s">
        <v>28</v>
      </c>
      <c r="B7" s="15">
        <v>0</v>
      </c>
      <c r="C7" s="16" t="s">
        <v>0</v>
      </c>
      <c r="D7" s="17" t="s">
        <v>0</v>
      </c>
      <c r="E7" s="930">
        <f t="shared" si="0"/>
        <v>0</v>
      </c>
    </row>
    <row r="8" spans="1:5" ht="12.95" customHeight="1" x14ac:dyDescent="0.25">
      <c r="A8" s="14" t="s">
        <v>29</v>
      </c>
      <c r="B8" s="15">
        <v>0</v>
      </c>
      <c r="C8" s="16" t="s">
        <v>0</v>
      </c>
      <c r="D8" s="17" t="s">
        <v>0</v>
      </c>
      <c r="E8" s="930">
        <f t="shared" si="0"/>
        <v>0</v>
      </c>
    </row>
    <row r="9" spans="1:5" ht="12.95" customHeight="1" x14ac:dyDescent="0.25">
      <c r="A9" s="14" t="s">
        <v>30</v>
      </c>
      <c r="B9" s="15">
        <v>0</v>
      </c>
      <c r="C9" s="16" t="s">
        <v>0</v>
      </c>
      <c r="D9" s="17" t="s">
        <v>0</v>
      </c>
      <c r="E9" s="930">
        <f t="shared" si="0"/>
        <v>0</v>
      </c>
    </row>
    <row r="10" spans="1:5" ht="12.95" customHeight="1" x14ac:dyDescent="0.25">
      <c r="A10" s="14" t="s">
        <v>31</v>
      </c>
      <c r="B10" s="15">
        <v>0</v>
      </c>
      <c r="C10" s="16" t="s">
        <v>0</v>
      </c>
      <c r="D10" s="17" t="s">
        <v>0</v>
      </c>
      <c r="E10" s="930">
        <f t="shared" si="0"/>
        <v>0</v>
      </c>
    </row>
    <row r="11" spans="1:5" ht="12.95" customHeight="1" x14ac:dyDescent="0.25">
      <c r="A11" s="14" t="s">
        <v>32</v>
      </c>
      <c r="B11" s="15">
        <v>0</v>
      </c>
      <c r="C11" s="16" t="s">
        <v>0</v>
      </c>
      <c r="D11" s="17" t="s">
        <v>0</v>
      </c>
      <c r="E11" s="930">
        <f t="shared" si="0"/>
        <v>0</v>
      </c>
    </row>
    <row r="12" spans="1:5" ht="12.95" customHeight="1" x14ac:dyDescent="0.25">
      <c r="A12" s="14" t="s">
        <v>33</v>
      </c>
      <c r="B12" s="15">
        <v>0</v>
      </c>
      <c r="C12" s="16" t="s">
        <v>0</v>
      </c>
      <c r="D12" s="17" t="s">
        <v>0</v>
      </c>
      <c r="E12" s="930">
        <f t="shared" si="0"/>
        <v>0</v>
      </c>
    </row>
    <row r="13" spans="1:5" ht="12.95" customHeight="1" x14ac:dyDescent="0.25">
      <c r="A13" s="14" t="s">
        <v>34</v>
      </c>
      <c r="B13" s="15">
        <v>0</v>
      </c>
      <c r="C13" s="16" t="s">
        <v>0</v>
      </c>
      <c r="D13" s="17" t="s">
        <v>0</v>
      </c>
      <c r="E13" s="930">
        <f t="shared" si="0"/>
        <v>0</v>
      </c>
    </row>
    <row r="14" spans="1:5" ht="12.95" customHeight="1" x14ac:dyDescent="0.25">
      <c r="A14" s="14" t="s">
        <v>35</v>
      </c>
      <c r="B14" s="15">
        <v>704360.39099999995</v>
      </c>
      <c r="C14" s="16" t="s">
        <v>0</v>
      </c>
      <c r="D14" s="17" t="s">
        <v>22</v>
      </c>
      <c r="E14" s="930">
        <f t="shared" si="0"/>
        <v>0.37081939846710532</v>
      </c>
    </row>
    <row r="15" spans="1:5" ht="12.95" customHeight="1" x14ac:dyDescent="0.25">
      <c r="A15" s="14" t="s">
        <v>36</v>
      </c>
      <c r="B15" s="15">
        <v>0</v>
      </c>
      <c r="C15" s="16" t="s">
        <v>0</v>
      </c>
      <c r="D15" s="17" t="s">
        <v>0</v>
      </c>
      <c r="E15" s="930">
        <f t="shared" si="0"/>
        <v>0</v>
      </c>
    </row>
    <row r="16" spans="1:5" ht="12.95" customHeight="1" x14ac:dyDescent="0.25">
      <c r="A16" s="14" t="s">
        <v>37</v>
      </c>
      <c r="B16" s="15">
        <v>0</v>
      </c>
      <c r="C16" s="16" t="s">
        <v>0</v>
      </c>
      <c r="D16" s="17" t="s">
        <v>0</v>
      </c>
      <c r="E16" s="930">
        <f t="shared" si="0"/>
        <v>0</v>
      </c>
    </row>
    <row r="17" spans="1:5" ht="12.95" customHeight="1" x14ac:dyDescent="0.25">
      <c r="A17" s="14" t="s">
        <v>38</v>
      </c>
      <c r="B17" s="15">
        <v>39246.688000000002</v>
      </c>
      <c r="C17" s="16" t="s">
        <v>0</v>
      </c>
      <c r="D17" s="17" t="s">
        <v>22</v>
      </c>
      <c r="E17" s="930">
        <f t="shared" si="0"/>
        <v>2.0661913165395701E-2</v>
      </c>
    </row>
    <row r="18" spans="1:5" ht="12.95" customHeight="1" x14ac:dyDescent="0.25">
      <c r="A18" s="14" t="s">
        <v>40</v>
      </c>
      <c r="B18" s="15">
        <v>73953.63</v>
      </c>
      <c r="C18" s="16" t="s">
        <v>0</v>
      </c>
      <c r="D18" s="17" t="s">
        <v>22</v>
      </c>
      <c r="E18" s="930">
        <f t="shared" si="0"/>
        <v>3.8933819876107827E-2</v>
      </c>
    </row>
    <row r="19" spans="1:5" ht="12.95" customHeight="1" x14ac:dyDescent="0.25">
      <c r="A19" s="14" t="s">
        <v>41</v>
      </c>
      <c r="B19" s="15">
        <v>0</v>
      </c>
      <c r="C19" s="16" t="s">
        <v>0</v>
      </c>
      <c r="D19" s="17" t="s">
        <v>0</v>
      </c>
      <c r="E19" s="930">
        <f t="shared" si="0"/>
        <v>0</v>
      </c>
    </row>
    <row r="20" spans="1:5" ht="12.95" customHeight="1" x14ac:dyDescent="0.25">
      <c r="A20" s="14" t="s">
        <v>42</v>
      </c>
      <c r="B20" s="15">
        <v>0</v>
      </c>
      <c r="C20" s="16" t="s">
        <v>0</v>
      </c>
      <c r="D20" s="17" t="s">
        <v>0</v>
      </c>
      <c r="E20" s="930">
        <f t="shared" si="0"/>
        <v>0</v>
      </c>
    </row>
    <row r="21" spans="1:5" ht="12.95" customHeight="1" x14ac:dyDescent="0.25">
      <c r="A21" s="14" t="s">
        <v>43</v>
      </c>
      <c r="B21" s="15">
        <v>0</v>
      </c>
      <c r="C21" s="16" t="s">
        <v>0</v>
      </c>
      <c r="D21" s="17" t="s">
        <v>0</v>
      </c>
      <c r="E21" s="930">
        <f t="shared" si="0"/>
        <v>0</v>
      </c>
    </row>
    <row r="22" spans="1:5" ht="12.95" customHeight="1" x14ac:dyDescent="0.25">
      <c r="A22" s="14" t="s">
        <v>44</v>
      </c>
      <c r="B22" s="15">
        <v>0</v>
      </c>
      <c r="C22" s="16" t="s">
        <v>0</v>
      </c>
      <c r="D22" s="17" t="s">
        <v>0</v>
      </c>
      <c r="E22" s="930">
        <f t="shared" si="0"/>
        <v>0</v>
      </c>
    </row>
    <row r="23" spans="1:5" ht="12.95" customHeight="1" x14ac:dyDescent="0.25">
      <c r="A23" s="14" t="s">
        <v>45</v>
      </c>
      <c r="B23" s="15">
        <v>13772.998</v>
      </c>
      <c r="C23" s="16" t="s">
        <v>0</v>
      </c>
      <c r="D23" s="17" t="s">
        <v>22</v>
      </c>
      <c r="E23" s="930">
        <f t="shared" si="0"/>
        <v>7.2509682524846079E-3</v>
      </c>
    </row>
    <row r="24" spans="1:5" ht="12.95" customHeight="1" x14ac:dyDescent="0.25">
      <c r="A24" s="14" t="s">
        <v>46</v>
      </c>
      <c r="B24" s="15">
        <v>0</v>
      </c>
      <c r="C24" s="16" t="s">
        <v>0</v>
      </c>
      <c r="D24" s="17" t="s">
        <v>0</v>
      </c>
      <c r="E24" s="930">
        <f t="shared" si="0"/>
        <v>0</v>
      </c>
    </row>
    <row r="25" spans="1:5" ht="12.95" customHeight="1" x14ac:dyDescent="0.25">
      <c r="A25" s="14" t="s">
        <v>47</v>
      </c>
      <c r="B25" s="15">
        <v>157798.76500000001</v>
      </c>
      <c r="C25" s="16" t="s">
        <v>0</v>
      </c>
      <c r="D25" s="17" t="s">
        <v>22</v>
      </c>
      <c r="E25" s="930">
        <f t="shared" si="0"/>
        <v>8.3075147131821223E-2</v>
      </c>
    </row>
    <row r="26" spans="1:5" ht="12.95" customHeight="1" x14ac:dyDescent="0.25">
      <c r="A26" s="14" t="s">
        <v>48</v>
      </c>
      <c r="B26" s="15">
        <v>0</v>
      </c>
      <c r="C26" s="16" t="s">
        <v>0</v>
      </c>
      <c r="D26" s="17" t="s">
        <v>0</v>
      </c>
      <c r="E26" s="930">
        <f t="shared" si="0"/>
        <v>0</v>
      </c>
    </row>
    <row r="27" spans="1:5" ht="12.95" customHeight="1" x14ac:dyDescent="0.25">
      <c r="A27" s="14" t="s">
        <v>49</v>
      </c>
      <c r="B27" s="15">
        <v>0</v>
      </c>
      <c r="C27" s="16" t="s">
        <v>0</v>
      </c>
      <c r="D27" s="17" t="s">
        <v>0</v>
      </c>
      <c r="E27" s="930">
        <f t="shared" si="0"/>
        <v>0</v>
      </c>
    </row>
    <row r="28" spans="1:5" ht="12.95" customHeight="1" x14ac:dyDescent="0.25">
      <c r="A28" s="14" t="s">
        <v>50</v>
      </c>
      <c r="B28" s="15">
        <v>0</v>
      </c>
      <c r="C28" s="16" t="s">
        <v>0</v>
      </c>
      <c r="D28" s="17" t="s">
        <v>0</v>
      </c>
      <c r="E28" s="930">
        <f t="shared" si="0"/>
        <v>0</v>
      </c>
    </row>
    <row r="29" spans="1:5" ht="12.95" customHeight="1" x14ac:dyDescent="0.25">
      <c r="A29" s="14" t="s">
        <v>51</v>
      </c>
      <c r="B29" s="15">
        <f>SUM(B2:B28)</f>
        <v>1899470.1839000001</v>
      </c>
      <c r="C29" s="16" t="s">
        <v>0</v>
      </c>
      <c r="D29" s="17" t="s">
        <v>22</v>
      </c>
      <c r="E29" s="930">
        <f>B29/$B$29</f>
        <v>1</v>
      </c>
    </row>
    <row r="30" spans="1:5" ht="12.95" customHeight="1" x14ac:dyDescent="0.25">
      <c r="A30" s="14" t="s">
        <v>53</v>
      </c>
      <c r="B30" s="15">
        <v>0</v>
      </c>
      <c r="C30" s="16" t="s">
        <v>0</v>
      </c>
      <c r="D30" s="17" t="s">
        <v>0</v>
      </c>
      <c r="E30" s="930"/>
    </row>
    <row r="31" spans="1:5" ht="12.95" customHeight="1" x14ac:dyDescent="0.25">
      <c r="A31" s="14" t="s">
        <v>54</v>
      </c>
      <c r="B31" s="15">
        <v>0</v>
      </c>
      <c r="C31" s="16" t="s">
        <v>0</v>
      </c>
      <c r="D31" s="17" t="s">
        <v>0</v>
      </c>
      <c r="E31" s="930"/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rightToLeft="1"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1" width="36" customWidth="1"/>
    <col min="2" max="2" width="12" customWidth="1"/>
    <col min="3" max="3" width="25" customWidth="1"/>
    <col min="4" max="4" width="15" customWidth="1"/>
    <col min="5" max="5" width="19" customWidth="1"/>
    <col min="6" max="6" width="14" customWidth="1"/>
    <col min="7" max="7" width="12" customWidth="1"/>
    <col min="8" max="8" width="19" customWidth="1"/>
    <col min="9" max="9" width="12" customWidth="1"/>
    <col min="10" max="10" width="9" customWidth="1"/>
    <col min="11" max="11" width="13" customWidth="1"/>
    <col min="12" max="12" width="17" customWidth="1"/>
    <col min="13" max="13" width="12" customWidth="1"/>
    <col min="14" max="14" width="13" customWidth="1"/>
    <col min="15" max="15" width="23" customWidth="1"/>
    <col min="16" max="16" width="25" customWidth="1"/>
    <col min="17" max="17" width="23" customWidth="1"/>
  </cols>
  <sheetData>
    <row r="1" spans="1:17" ht="15" customHeight="1" x14ac:dyDescent="0.25">
      <c r="A1" s="18" t="s">
        <v>55</v>
      </c>
      <c r="B1" s="19" t="s">
        <v>56</v>
      </c>
      <c r="C1" s="20" t="s">
        <v>57</v>
      </c>
      <c r="D1" s="21" t="s">
        <v>58</v>
      </c>
      <c r="E1" s="22" t="s">
        <v>59</v>
      </c>
      <c r="F1" s="23" t="s">
        <v>60</v>
      </c>
      <c r="G1" s="24" t="s">
        <v>61</v>
      </c>
      <c r="H1" s="25" t="s">
        <v>62</v>
      </c>
      <c r="I1" s="26" t="s">
        <v>63</v>
      </c>
      <c r="J1" s="27" t="s">
        <v>64</v>
      </c>
      <c r="K1" s="28" t="s">
        <v>65</v>
      </c>
      <c r="L1" s="29" t="s">
        <v>66</v>
      </c>
      <c r="M1" s="30" t="s">
        <v>67</v>
      </c>
      <c r="N1" s="31" t="s">
        <v>68</v>
      </c>
      <c r="O1" s="32" t="s">
        <v>17</v>
      </c>
      <c r="P1" s="33" t="s">
        <v>69</v>
      </c>
      <c r="Q1" s="34" t="s">
        <v>70</v>
      </c>
    </row>
    <row r="2" spans="1:17" ht="12.95" customHeight="1" x14ac:dyDescent="0.25">
      <c r="A2" s="35">
        <v>269</v>
      </c>
      <c r="B2" s="36">
        <v>999999</v>
      </c>
      <c r="C2" s="37" t="s">
        <v>71</v>
      </c>
      <c r="D2" s="38">
        <v>111111050</v>
      </c>
      <c r="E2" s="39" t="s">
        <v>72</v>
      </c>
      <c r="F2" s="40" t="s">
        <v>73</v>
      </c>
      <c r="G2" s="41" t="s">
        <v>74</v>
      </c>
      <c r="H2" s="42" t="s">
        <v>75</v>
      </c>
      <c r="I2" s="43" t="s">
        <v>76</v>
      </c>
      <c r="J2" s="44" t="s">
        <v>77</v>
      </c>
      <c r="K2" s="45" t="s">
        <v>78</v>
      </c>
      <c r="L2" s="46">
        <v>339563.93790000002</v>
      </c>
      <c r="M2" s="47">
        <v>1</v>
      </c>
      <c r="N2" s="48" t="s">
        <v>79</v>
      </c>
      <c r="O2" s="49">
        <v>339563.93790000002</v>
      </c>
      <c r="P2" s="50" t="s">
        <v>52</v>
      </c>
      <c r="Q2" s="931">
        <v>0.17876771153248952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4" customWidth="1"/>
    <col min="7" max="7" width="12" customWidth="1"/>
    <col min="8" max="8" width="24" customWidth="1"/>
    <col min="9" max="9" width="11" customWidth="1"/>
    <col min="10" max="10" width="7" customWidth="1"/>
    <col min="11" max="11" width="9" customWidth="1"/>
    <col min="12" max="12" width="13" customWidth="1"/>
    <col min="13" max="13" width="6" customWidth="1"/>
    <col min="14" max="14" width="12" customWidth="1"/>
    <col min="15" max="15" width="13" customWidth="1"/>
    <col min="16" max="16" width="14" customWidth="1"/>
    <col min="17" max="17" width="27" customWidth="1"/>
    <col min="18" max="18" width="19" customWidth="1"/>
    <col min="19" max="19" width="12" customWidth="1"/>
    <col min="20" max="20" width="15" customWidth="1"/>
    <col min="21" max="21" width="23" customWidth="1"/>
    <col min="22" max="22" width="20" customWidth="1"/>
    <col min="23" max="23" width="25" customWidth="1"/>
    <col min="24" max="24" width="23" customWidth="1"/>
    <col min="25" max="25" width="25" customWidth="1"/>
    <col min="26" max="26" width="23" customWidth="1"/>
  </cols>
  <sheetData>
    <row r="1" spans="1:26" ht="15" customHeight="1" x14ac:dyDescent="0.25">
      <c r="A1" s="51" t="s">
        <v>55</v>
      </c>
      <c r="B1" s="52" t="s">
        <v>56</v>
      </c>
      <c r="C1" s="53" t="s">
        <v>80</v>
      </c>
      <c r="D1" s="54" t="s">
        <v>81</v>
      </c>
      <c r="E1" s="55" t="s">
        <v>82</v>
      </c>
      <c r="F1" s="56" t="s">
        <v>60</v>
      </c>
      <c r="G1" s="57" t="s">
        <v>61</v>
      </c>
      <c r="H1" s="58" t="s">
        <v>83</v>
      </c>
      <c r="I1" s="59" t="s">
        <v>84</v>
      </c>
      <c r="J1" s="60" t="s">
        <v>85</v>
      </c>
      <c r="K1" s="61" t="s">
        <v>64</v>
      </c>
      <c r="L1" s="62" t="s">
        <v>65</v>
      </c>
      <c r="M1" s="63" t="s">
        <v>86</v>
      </c>
      <c r="N1" s="64" t="s">
        <v>87</v>
      </c>
      <c r="O1" s="65" t="s">
        <v>68</v>
      </c>
      <c r="P1" s="66" t="s">
        <v>88</v>
      </c>
      <c r="Q1" s="67" t="s">
        <v>89</v>
      </c>
      <c r="R1" s="68" t="s">
        <v>90</v>
      </c>
      <c r="S1" s="69" t="s">
        <v>67</v>
      </c>
      <c r="T1" s="70" t="s">
        <v>91</v>
      </c>
      <c r="U1" s="71" t="s">
        <v>17</v>
      </c>
      <c r="V1" s="72" t="s">
        <v>92</v>
      </c>
      <c r="W1" s="73" t="s">
        <v>19</v>
      </c>
      <c r="X1" s="74" t="s">
        <v>93</v>
      </c>
      <c r="Y1" s="75" t="s">
        <v>69</v>
      </c>
      <c r="Z1" s="76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0" customWidth="1"/>
    <col min="14" max="14" width="19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3" customWidth="1"/>
    <col min="31" max="31" width="20" customWidth="1"/>
    <col min="32" max="32" width="29" customWidth="1"/>
  </cols>
  <sheetData>
    <row r="1" spans="1:32" ht="15" customHeight="1" x14ac:dyDescent="0.25">
      <c r="A1" s="77" t="s">
        <v>55</v>
      </c>
      <c r="B1" s="78" t="s">
        <v>56</v>
      </c>
      <c r="C1" s="79" t="s">
        <v>80</v>
      </c>
      <c r="D1" s="80" t="s">
        <v>94</v>
      </c>
      <c r="E1" s="81" t="s">
        <v>95</v>
      </c>
      <c r="F1" s="82" t="s">
        <v>81</v>
      </c>
      <c r="G1" s="83" t="s">
        <v>82</v>
      </c>
      <c r="H1" s="84" t="s">
        <v>96</v>
      </c>
      <c r="I1" s="85" t="s">
        <v>60</v>
      </c>
      <c r="J1" s="86" t="s">
        <v>61</v>
      </c>
      <c r="K1" s="87" t="s">
        <v>83</v>
      </c>
      <c r="L1" s="88" t="s">
        <v>84</v>
      </c>
      <c r="M1" s="89" t="s">
        <v>97</v>
      </c>
      <c r="N1" s="90" t="s">
        <v>62</v>
      </c>
      <c r="O1" s="91" t="s">
        <v>85</v>
      </c>
      <c r="P1" s="92" t="s">
        <v>64</v>
      </c>
      <c r="Q1" s="93" t="s">
        <v>98</v>
      </c>
      <c r="R1" s="94" t="s">
        <v>65</v>
      </c>
      <c r="S1" s="95" t="s">
        <v>86</v>
      </c>
      <c r="T1" s="96" t="s">
        <v>99</v>
      </c>
      <c r="U1" s="97" t="s">
        <v>87</v>
      </c>
      <c r="V1" s="98" t="s">
        <v>68</v>
      </c>
      <c r="W1" s="99" t="s">
        <v>88</v>
      </c>
      <c r="X1" s="100" t="s">
        <v>100</v>
      </c>
      <c r="Y1" s="101" t="s">
        <v>101</v>
      </c>
      <c r="Z1" s="102" t="s">
        <v>90</v>
      </c>
      <c r="AA1" s="103" t="s">
        <v>67</v>
      </c>
      <c r="AB1" s="104" t="s">
        <v>91</v>
      </c>
      <c r="AC1" s="105" t="s">
        <v>89</v>
      </c>
      <c r="AD1" s="106" t="s">
        <v>17</v>
      </c>
      <c r="AE1" s="107" t="s">
        <v>92</v>
      </c>
      <c r="AF1" s="108" t="s">
        <v>102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rightToLeft="1"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6" customWidth="1"/>
    <col min="2" max="2" width="12" customWidth="1"/>
    <col min="3" max="3" width="36" customWidth="1"/>
    <col min="4" max="4" width="12" customWidth="1"/>
    <col min="5" max="5" width="21" customWidth="1"/>
    <col min="6" max="6" width="37" customWidth="1"/>
    <col min="7" max="7" width="15" customWidth="1"/>
    <col min="8" max="8" width="19" customWidth="1"/>
    <col min="9" max="9" width="25" customWidth="1"/>
    <col min="10" max="10" width="12" customWidth="1"/>
    <col min="11" max="11" width="24" customWidth="1"/>
    <col min="12" max="12" width="15" customWidth="1"/>
    <col min="13" max="13" width="11" customWidth="1"/>
    <col min="14" max="14" width="21" customWidth="1"/>
    <col min="15" max="15" width="19" customWidth="1"/>
    <col min="16" max="16" width="8" customWidth="1"/>
    <col min="17" max="17" width="15" customWidth="1"/>
    <col min="18" max="18" width="24" customWidth="1"/>
    <col min="19" max="19" width="13" customWidth="1"/>
    <col min="20" max="20" width="8" customWidth="1"/>
    <col min="21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3" customWidth="1"/>
    <col min="31" max="31" width="20" customWidth="1"/>
    <col min="32" max="32" width="29" customWidth="1"/>
  </cols>
  <sheetData>
    <row r="1" spans="1:32" ht="15" customHeight="1" x14ac:dyDescent="0.25">
      <c r="A1" s="109" t="s">
        <v>55</v>
      </c>
      <c r="B1" s="110" t="s">
        <v>56</v>
      </c>
      <c r="C1" s="111" t="s">
        <v>80</v>
      </c>
      <c r="D1" s="112" t="s">
        <v>94</v>
      </c>
      <c r="E1" s="113" t="s">
        <v>95</v>
      </c>
      <c r="F1" s="114" t="s">
        <v>81</v>
      </c>
      <c r="G1" s="115" t="s">
        <v>82</v>
      </c>
      <c r="H1" s="116" t="s">
        <v>96</v>
      </c>
      <c r="I1" s="117" t="s">
        <v>60</v>
      </c>
      <c r="J1" s="118" t="s">
        <v>61</v>
      </c>
      <c r="K1" s="119" t="s">
        <v>83</v>
      </c>
      <c r="L1" s="120" t="s">
        <v>103</v>
      </c>
      <c r="M1" s="121" t="s">
        <v>84</v>
      </c>
      <c r="N1" s="122" t="s">
        <v>97</v>
      </c>
      <c r="O1" s="123" t="s">
        <v>62</v>
      </c>
      <c r="P1" s="124" t="s">
        <v>85</v>
      </c>
      <c r="Q1" s="125" t="s">
        <v>64</v>
      </c>
      <c r="R1" s="126" t="s">
        <v>98</v>
      </c>
      <c r="S1" s="127" t="s">
        <v>65</v>
      </c>
      <c r="T1" s="128" t="s">
        <v>86</v>
      </c>
      <c r="U1" s="129" t="s">
        <v>87</v>
      </c>
      <c r="V1" s="130" t="s">
        <v>68</v>
      </c>
      <c r="W1" s="131" t="s">
        <v>88</v>
      </c>
      <c r="X1" s="132" t="s">
        <v>100</v>
      </c>
      <c r="Y1" s="133" t="s">
        <v>101</v>
      </c>
      <c r="Z1" s="134" t="s">
        <v>90</v>
      </c>
      <c r="AA1" s="135" t="s">
        <v>67</v>
      </c>
      <c r="AB1" s="136" t="s">
        <v>91</v>
      </c>
      <c r="AC1" s="137" t="s">
        <v>89</v>
      </c>
      <c r="AD1" s="138" t="s">
        <v>17</v>
      </c>
      <c r="AE1" s="139" t="s">
        <v>92</v>
      </c>
      <c r="AF1" s="140" t="s">
        <v>102</v>
      </c>
    </row>
    <row r="2" spans="1:32" ht="12.95" customHeight="1" x14ac:dyDescent="0.25">
      <c r="A2" s="141">
        <v>269</v>
      </c>
      <c r="B2" s="142">
        <v>999999</v>
      </c>
      <c r="C2" s="143" t="s">
        <v>104</v>
      </c>
      <c r="D2" s="144">
        <v>1063</v>
      </c>
      <c r="E2" s="145" t="s">
        <v>94</v>
      </c>
      <c r="F2" s="146" t="s">
        <v>105</v>
      </c>
      <c r="G2" s="147" t="s">
        <v>106</v>
      </c>
      <c r="H2" s="148" t="s">
        <v>107</v>
      </c>
      <c r="I2" s="149" t="s">
        <v>108</v>
      </c>
      <c r="J2" s="150" t="s">
        <v>74</v>
      </c>
      <c r="K2" s="151" t="s">
        <v>74</v>
      </c>
      <c r="L2" s="152" t="s">
        <v>109</v>
      </c>
      <c r="M2" s="153" t="s">
        <v>110</v>
      </c>
      <c r="N2" s="154" t="s">
        <v>111</v>
      </c>
      <c r="O2" s="155" t="s">
        <v>75</v>
      </c>
      <c r="P2" s="156" t="s">
        <v>112</v>
      </c>
      <c r="Q2" s="157" t="s">
        <v>113</v>
      </c>
      <c r="R2" s="158" t="s">
        <v>114</v>
      </c>
      <c r="S2" s="159" t="s">
        <v>78</v>
      </c>
      <c r="T2" s="160">
        <v>5.0199999999999996</v>
      </c>
      <c r="U2" s="161" t="s">
        <v>115</v>
      </c>
      <c r="V2" s="162" t="s">
        <v>116</v>
      </c>
      <c r="W2" s="163" t="s">
        <v>116</v>
      </c>
      <c r="X2" s="164" t="s">
        <v>117</v>
      </c>
      <c r="Y2" s="165" t="s">
        <v>75</v>
      </c>
      <c r="Z2" s="166">
        <v>1322135.6499999999</v>
      </c>
      <c r="AA2" s="167">
        <v>1</v>
      </c>
      <c r="AB2" s="168">
        <v>141.9</v>
      </c>
      <c r="AC2" s="169" t="s">
        <v>0</v>
      </c>
      <c r="AD2" s="170">
        <v>1876.11</v>
      </c>
      <c r="AE2" s="171">
        <v>0</v>
      </c>
      <c r="AF2" s="172">
        <v>0</v>
      </c>
    </row>
    <row r="3" spans="1:32" ht="12.95" customHeight="1" x14ac:dyDescent="0.25">
      <c r="A3" s="141">
        <v>269</v>
      </c>
      <c r="B3" s="142">
        <v>999999</v>
      </c>
      <c r="C3" s="143" t="s">
        <v>118</v>
      </c>
      <c r="D3" s="144">
        <v>1689</v>
      </c>
      <c r="E3" s="145" t="s">
        <v>94</v>
      </c>
      <c r="F3" s="146" t="s">
        <v>119</v>
      </c>
      <c r="G3" s="147" t="s">
        <v>120</v>
      </c>
      <c r="H3" s="148" t="s">
        <v>107</v>
      </c>
      <c r="I3" s="149" t="s">
        <v>121</v>
      </c>
      <c r="J3" s="150" t="s">
        <v>74</v>
      </c>
      <c r="K3" s="151" t="s">
        <v>74</v>
      </c>
      <c r="L3" s="152" t="s">
        <v>109</v>
      </c>
      <c r="M3" s="153" t="s">
        <v>110</v>
      </c>
      <c r="N3" s="154" t="s">
        <v>122</v>
      </c>
      <c r="O3" s="155" t="s">
        <v>75</v>
      </c>
      <c r="P3" s="156" t="s">
        <v>123</v>
      </c>
      <c r="Q3" s="157" t="s">
        <v>124</v>
      </c>
      <c r="R3" s="158" t="s">
        <v>114</v>
      </c>
      <c r="S3" s="159" t="s">
        <v>78</v>
      </c>
      <c r="T3" s="160">
        <v>2.97</v>
      </c>
      <c r="U3" s="161" t="s">
        <v>125</v>
      </c>
      <c r="V3" s="162" t="s">
        <v>126</v>
      </c>
      <c r="W3" s="163" t="s">
        <v>127</v>
      </c>
      <c r="X3" s="164" t="s">
        <v>117</v>
      </c>
      <c r="Y3" s="165" t="s">
        <v>75</v>
      </c>
      <c r="Z3" s="166">
        <v>83841000.180000007</v>
      </c>
      <c r="AA3" s="167">
        <v>3.71</v>
      </c>
      <c r="AB3" s="168">
        <v>97.95</v>
      </c>
      <c r="AC3" s="169" t="s">
        <v>0</v>
      </c>
      <c r="AD3" s="170">
        <v>82122.259999999995</v>
      </c>
      <c r="AE3" s="171">
        <v>0</v>
      </c>
      <c r="AF3" s="172">
        <v>0</v>
      </c>
    </row>
    <row r="4" spans="1:32" ht="12.95" customHeight="1" x14ac:dyDescent="0.25">
      <c r="A4" s="141">
        <v>269</v>
      </c>
      <c r="B4" s="142">
        <v>999999</v>
      </c>
      <c r="C4" s="143" t="s">
        <v>128</v>
      </c>
      <c r="D4" s="144">
        <v>1146</v>
      </c>
      <c r="E4" s="145" t="s">
        <v>94</v>
      </c>
      <c r="F4" s="146" t="s">
        <v>129</v>
      </c>
      <c r="G4" s="147" t="s">
        <v>130</v>
      </c>
      <c r="H4" s="148" t="s">
        <v>107</v>
      </c>
      <c r="I4" s="149" t="s">
        <v>121</v>
      </c>
      <c r="J4" s="150" t="s">
        <v>74</v>
      </c>
      <c r="K4" s="151" t="s">
        <v>131</v>
      </c>
      <c r="L4" s="152" t="s">
        <v>109</v>
      </c>
      <c r="M4" s="153" t="s">
        <v>110</v>
      </c>
      <c r="N4" s="154" t="s">
        <v>132</v>
      </c>
      <c r="O4" s="155" t="s">
        <v>75</v>
      </c>
      <c r="P4" s="156" t="s">
        <v>112</v>
      </c>
      <c r="Q4" s="157" t="s">
        <v>113</v>
      </c>
      <c r="R4" s="158" t="s">
        <v>114</v>
      </c>
      <c r="S4" s="159" t="s">
        <v>78</v>
      </c>
      <c r="T4" s="160">
        <v>0.73</v>
      </c>
      <c r="U4" s="161" t="s">
        <v>133</v>
      </c>
      <c r="V4" s="162" t="s">
        <v>134</v>
      </c>
      <c r="W4" s="163" t="s">
        <v>135</v>
      </c>
      <c r="X4" s="164" t="s">
        <v>117</v>
      </c>
      <c r="Y4" s="165" t="s">
        <v>75</v>
      </c>
      <c r="Z4" s="166">
        <v>414510.5</v>
      </c>
      <c r="AA4" s="167">
        <v>3.71</v>
      </c>
      <c r="AB4" s="168">
        <v>103.4</v>
      </c>
      <c r="AC4" s="169" t="s">
        <v>0</v>
      </c>
      <c r="AD4" s="170">
        <v>428.60399999999998</v>
      </c>
      <c r="AE4" s="171">
        <v>0</v>
      </c>
      <c r="AF4" s="172">
        <v>0</v>
      </c>
    </row>
    <row r="5" spans="1:32" ht="12.95" customHeight="1" x14ac:dyDescent="0.25">
      <c r="A5" s="141">
        <v>269</v>
      </c>
      <c r="B5" s="142">
        <v>999999</v>
      </c>
      <c r="C5" s="143" t="s">
        <v>118</v>
      </c>
      <c r="D5" s="144">
        <v>1689</v>
      </c>
      <c r="E5" s="145" t="s">
        <v>94</v>
      </c>
      <c r="F5" s="146" t="s">
        <v>136</v>
      </c>
      <c r="G5" s="147" t="s">
        <v>137</v>
      </c>
      <c r="H5" s="148" t="s">
        <v>107</v>
      </c>
      <c r="I5" s="149" t="s">
        <v>121</v>
      </c>
      <c r="J5" s="150" t="s">
        <v>74</v>
      </c>
      <c r="K5" s="151" t="s">
        <v>74</v>
      </c>
      <c r="L5" s="152" t="s">
        <v>109</v>
      </c>
      <c r="M5" s="153" t="s">
        <v>110</v>
      </c>
      <c r="N5" s="154" t="s">
        <v>122</v>
      </c>
      <c r="O5" s="155" t="s">
        <v>75</v>
      </c>
      <c r="P5" s="156" t="s">
        <v>123</v>
      </c>
      <c r="Q5" s="157" t="s">
        <v>124</v>
      </c>
      <c r="R5" s="158" t="s">
        <v>114</v>
      </c>
      <c r="S5" s="159" t="s">
        <v>78</v>
      </c>
      <c r="T5" s="160">
        <v>3.13</v>
      </c>
      <c r="U5" s="161" t="s">
        <v>125</v>
      </c>
      <c r="V5" s="162" t="s">
        <v>126</v>
      </c>
      <c r="W5" s="163" t="s">
        <v>138</v>
      </c>
      <c r="X5" s="164" t="s">
        <v>117</v>
      </c>
      <c r="Y5" s="165" t="s">
        <v>75</v>
      </c>
      <c r="Z5" s="166">
        <v>60864114.770000003</v>
      </c>
      <c r="AA5" s="167">
        <v>3.71</v>
      </c>
      <c r="AB5" s="168">
        <v>99.56</v>
      </c>
      <c r="AC5" s="169" t="s">
        <v>0</v>
      </c>
      <c r="AD5" s="170">
        <v>60596.313000000002</v>
      </c>
      <c r="AE5" s="171">
        <v>0</v>
      </c>
      <c r="AF5" s="172">
        <v>0</v>
      </c>
    </row>
    <row r="6" spans="1:32" ht="12.95" customHeight="1" x14ac:dyDescent="0.25">
      <c r="A6" s="141">
        <v>269</v>
      </c>
      <c r="B6" s="142">
        <v>999999</v>
      </c>
      <c r="C6" s="143" t="s">
        <v>139</v>
      </c>
      <c r="D6" s="144">
        <v>1609</v>
      </c>
      <c r="E6" s="145" t="s">
        <v>94</v>
      </c>
      <c r="F6" s="146" t="s">
        <v>140</v>
      </c>
      <c r="G6" s="147" t="s">
        <v>141</v>
      </c>
      <c r="H6" s="148" t="s">
        <v>107</v>
      </c>
      <c r="I6" s="149" t="s">
        <v>121</v>
      </c>
      <c r="J6" s="150" t="s">
        <v>74</v>
      </c>
      <c r="K6" s="151" t="s">
        <v>74</v>
      </c>
      <c r="L6" s="152" t="s">
        <v>109</v>
      </c>
      <c r="M6" s="153" t="s">
        <v>110</v>
      </c>
      <c r="N6" s="154" t="s">
        <v>122</v>
      </c>
      <c r="O6" s="155" t="s">
        <v>75</v>
      </c>
      <c r="P6" s="156" t="s">
        <v>142</v>
      </c>
      <c r="Q6" s="157" t="s">
        <v>124</v>
      </c>
      <c r="R6" s="158" t="s">
        <v>114</v>
      </c>
      <c r="S6" s="159" t="s">
        <v>78</v>
      </c>
      <c r="T6" s="160">
        <v>2.74</v>
      </c>
      <c r="U6" s="161" t="s">
        <v>125</v>
      </c>
      <c r="V6" s="162" t="s">
        <v>143</v>
      </c>
      <c r="W6" s="163" t="s">
        <v>144</v>
      </c>
      <c r="X6" s="164" t="s">
        <v>117</v>
      </c>
      <c r="Y6" s="165" t="s">
        <v>75</v>
      </c>
      <c r="Z6" s="166">
        <v>7168240.7999999998</v>
      </c>
      <c r="AA6" s="167">
        <v>3.71</v>
      </c>
      <c r="AB6" s="168">
        <v>101.15</v>
      </c>
      <c r="AC6" s="169" t="s">
        <v>0</v>
      </c>
      <c r="AD6" s="170">
        <v>7250.6760000000004</v>
      </c>
      <c r="AE6" s="171">
        <v>0</v>
      </c>
      <c r="AF6" s="172">
        <v>0</v>
      </c>
    </row>
    <row r="7" spans="1:32" ht="12.95" customHeight="1" x14ac:dyDescent="0.25">
      <c r="A7" s="141">
        <v>269</v>
      </c>
      <c r="B7" s="142">
        <v>999999</v>
      </c>
      <c r="C7" s="143" t="s">
        <v>145</v>
      </c>
      <c r="D7" s="144">
        <v>1150</v>
      </c>
      <c r="E7" s="145" t="s">
        <v>94</v>
      </c>
      <c r="F7" s="146" t="s">
        <v>146</v>
      </c>
      <c r="G7" s="147" t="s">
        <v>147</v>
      </c>
      <c r="H7" s="148" t="s">
        <v>107</v>
      </c>
      <c r="I7" s="149" t="s">
        <v>108</v>
      </c>
      <c r="J7" s="150" t="s">
        <v>74</v>
      </c>
      <c r="K7" s="151" t="s">
        <v>74</v>
      </c>
      <c r="L7" s="152" t="s">
        <v>109</v>
      </c>
      <c r="M7" s="153" t="s">
        <v>110</v>
      </c>
      <c r="N7" s="154" t="s">
        <v>148</v>
      </c>
      <c r="O7" s="155" t="s">
        <v>75</v>
      </c>
      <c r="P7" s="156" t="s">
        <v>76</v>
      </c>
      <c r="Q7" s="157" t="s">
        <v>113</v>
      </c>
      <c r="R7" s="158" t="s">
        <v>114</v>
      </c>
      <c r="S7" s="159" t="s">
        <v>78</v>
      </c>
      <c r="T7" s="160">
        <v>11.44</v>
      </c>
      <c r="U7" s="161" t="s">
        <v>149</v>
      </c>
      <c r="V7" s="162" t="s">
        <v>150</v>
      </c>
      <c r="W7" s="163" t="s">
        <v>151</v>
      </c>
      <c r="X7" s="164" t="s">
        <v>117</v>
      </c>
      <c r="Y7" s="165" t="s">
        <v>75</v>
      </c>
      <c r="Z7" s="166">
        <v>128867433.52</v>
      </c>
      <c r="AA7" s="167">
        <v>1</v>
      </c>
      <c r="AB7" s="168">
        <v>99.37</v>
      </c>
      <c r="AC7" s="169" t="s">
        <v>0</v>
      </c>
      <c r="AD7" s="170">
        <v>128055.569</v>
      </c>
      <c r="AE7" s="171">
        <v>0</v>
      </c>
      <c r="AF7" s="172">
        <v>0</v>
      </c>
    </row>
    <row r="8" spans="1:32" ht="12.95" customHeight="1" x14ac:dyDescent="0.25">
      <c r="A8" s="141">
        <v>269</v>
      </c>
      <c r="B8" s="142">
        <v>999999</v>
      </c>
      <c r="C8" s="143" t="s">
        <v>152</v>
      </c>
      <c r="D8" s="144">
        <v>1357</v>
      </c>
      <c r="E8" s="145" t="s">
        <v>94</v>
      </c>
      <c r="F8" s="146" t="s">
        <v>153</v>
      </c>
      <c r="G8" s="147" t="s">
        <v>154</v>
      </c>
      <c r="H8" s="148" t="s">
        <v>107</v>
      </c>
      <c r="I8" s="149" t="s">
        <v>108</v>
      </c>
      <c r="J8" s="150" t="s">
        <v>74</v>
      </c>
      <c r="K8" s="151" t="s">
        <v>74</v>
      </c>
      <c r="L8" s="152" t="s">
        <v>109</v>
      </c>
      <c r="M8" s="153" t="s">
        <v>110</v>
      </c>
      <c r="N8" s="154" t="s">
        <v>155</v>
      </c>
      <c r="O8" s="155" t="s">
        <v>75</v>
      </c>
      <c r="P8" s="156" t="s">
        <v>156</v>
      </c>
      <c r="Q8" s="157" t="s">
        <v>113</v>
      </c>
      <c r="R8" s="158" t="s">
        <v>114</v>
      </c>
      <c r="S8" s="159" t="s">
        <v>78</v>
      </c>
      <c r="T8" s="160">
        <v>6.65</v>
      </c>
      <c r="U8" s="161" t="s">
        <v>157</v>
      </c>
      <c r="V8" s="162" t="s">
        <v>158</v>
      </c>
      <c r="W8" s="163" t="s">
        <v>159</v>
      </c>
      <c r="X8" s="164" t="s">
        <v>117</v>
      </c>
      <c r="Y8" s="165" t="s">
        <v>75</v>
      </c>
      <c r="Z8" s="166">
        <v>2131036.85</v>
      </c>
      <c r="AA8" s="167">
        <v>1</v>
      </c>
      <c r="AB8" s="168">
        <v>109.06</v>
      </c>
      <c r="AC8" s="169" t="s">
        <v>0</v>
      </c>
      <c r="AD8" s="170">
        <v>2324.1089999999999</v>
      </c>
      <c r="AE8" s="171">
        <v>0</v>
      </c>
      <c r="AF8" s="172">
        <v>0</v>
      </c>
    </row>
    <row r="9" spans="1:32" ht="12.95" customHeight="1" x14ac:dyDescent="0.25">
      <c r="A9" s="141">
        <v>269</v>
      </c>
      <c r="B9" s="142">
        <v>999999</v>
      </c>
      <c r="C9" s="143" t="s">
        <v>160</v>
      </c>
      <c r="D9" s="144">
        <v>1420</v>
      </c>
      <c r="E9" s="145" t="s">
        <v>94</v>
      </c>
      <c r="F9" s="146" t="s">
        <v>161</v>
      </c>
      <c r="G9" s="147" t="s">
        <v>162</v>
      </c>
      <c r="H9" s="148" t="s">
        <v>107</v>
      </c>
      <c r="I9" s="149" t="s">
        <v>108</v>
      </c>
      <c r="J9" s="150" t="s">
        <v>74</v>
      </c>
      <c r="K9" s="151" t="s">
        <v>74</v>
      </c>
      <c r="L9" s="152" t="s">
        <v>109</v>
      </c>
      <c r="M9" s="153" t="s">
        <v>110</v>
      </c>
      <c r="N9" s="154" t="s">
        <v>155</v>
      </c>
      <c r="O9" s="155" t="s">
        <v>75</v>
      </c>
      <c r="P9" s="156" t="s">
        <v>163</v>
      </c>
      <c r="Q9" s="157" t="s">
        <v>113</v>
      </c>
      <c r="R9" s="158" t="s">
        <v>114</v>
      </c>
      <c r="S9" s="159" t="s">
        <v>78</v>
      </c>
      <c r="T9" s="160">
        <v>10.34</v>
      </c>
      <c r="U9" s="161" t="s">
        <v>164</v>
      </c>
      <c r="V9" s="162" t="s">
        <v>165</v>
      </c>
      <c r="W9" s="163" t="s">
        <v>166</v>
      </c>
      <c r="X9" s="164" t="s">
        <v>117</v>
      </c>
      <c r="Y9" s="165" t="s">
        <v>75</v>
      </c>
      <c r="Z9" s="166">
        <v>25279831</v>
      </c>
      <c r="AA9" s="167">
        <v>1</v>
      </c>
      <c r="AB9" s="168">
        <v>93.61</v>
      </c>
      <c r="AC9" s="169" t="s">
        <v>0</v>
      </c>
      <c r="AD9" s="170">
        <v>23664.45</v>
      </c>
      <c r="AE9" s="171">
        <v>0</v>
      </c>
      <c r="AF9" s="172">
        <v>0</v>
      </c>
    </row>
    <row r="10" spans="1:32" ht="12.95" customHeight="1" x14ac:dyDescent="0.25">
      <c r="A10" s="141">
        <v>269</v>
      </c>
      <c r="B10" s="142">
        <v>999999</v>
      </c>
      <c r="C10" s="143" t="s">
        <v>167</v>
      </c>
      <c r="D10" s="144">
        <v>1618</v>
      </c>
      <c r="E10" s="145" t="s">
        <v>94</v>
      </c>
      <c r="F10" s="146" t="s">
        <v>168</v>
      </c>
      <c r="G10" s="147" t="s">
        <v>169</v>
      </c>
      <c r="H10" s="148" t="s">
        <v>107</v>
      </c>
      <c r="I10" s="149" t="s">
        <v>108</v>
      </c>
      <c r="J10" s="150" t="s">
        <v>74</v>
      </c>
      <c r="K10" s="151" t="s">
        <v>74</v>
      </c>
      <c r="L10" s="152" t="s">
        <v>109</v>
      </c>
      <c r="M10" s="153" t="s">
        <v>110</v>
      </c>
      <c r="N10" s="154" t="s">
        <v>170</v>
      </c>
      <c r="O10" s="155" t="s">
        <v>75</v>
      </c>
      <c r="P10" s="156" t="s">
        <v>171</v>
      </c>
      <c r="Q10" s="157" t="s">
        <v>113</v>
      </c>
      <c r="R10" s="158" t="s">
        <v>114</v>
      </c>
      <c r="S10" s="159" t="s">
        <v>78</v>
      </c>
      <c r="T10" s="160">
        <v>3.26</v>
      </c>
      <c r="U10" s="161" t="s">
        <v>172</v>
      </c>
      <c r="V10" s="162" t="s">
        <v>173</v>
      </c>
      <c r="W10" s="163" t="s">
        <v>174</v>
      </c>
      <c r="X10" s="164" t="s">
        <v>117</v>
      </c>
      <c r="Y10" s="165" t="s">
        <v>75</v>
      </c>
      <c r="Z10" s="166">
        <v>5431106</v>
      </c>
      <c r="AA10" s="167">
        <v>1</v>
      </c>
      <c r="AB10" s="168">
        <v>103.23</v>
      </c>
      <c r="AC10" s="169" t="s">
        <v>0</v>
      </c>
      <c r="AD10" s="170">
        <v>5606.5309999999999</v>
      </c>
      <c r="AE10" s="171">
        <v>0</v>
      </c>
      <c r="AF10" s="172">
        <v>0</v>
      </c>
    </row>
    <row r="11" spans="1:32" ht="12.95" customHeight="1" x14ac:dyDescent="0.25">
      <c r="A11" s="141">
        <v>269</v>
      </c>
      <c r="B11" s="142">
        <v>999999</v>
      </c>
      <c r="C11" s="143" t="s">
        <v>175</v>
      </c>
      <c r="D11" s="144">
        <v>600</v>
      </c>
      <c r="E11" s="145" t="s">
        <v>94</v>
      </c>
      <c r="F11" s="146" t="s">
        <v>176</v>
      </c>
      <c r="G11" s="147" t="s">
        <v>177</v>
      </c>
      <c r="H11" s="148" t="s">
        <v>107</v>
      </c>
      <c r="I11" s="149" t="s">
        <v>108</v>
      </c>
      <c r="J11" s="150" t="s">
        <v>74</v>
      </c>
      <c r="K11" s="151" t="s">
        <v>74</v>
      </c>
      <c r="L11" s="152" t="s">
        <v>109</v>
      </c>
      <c r="M11" s="153" t="s">
        <v>110</v>
      </c>
      <c r="N11" s="154" t="s">
        <v>178</v>
      </c>
      <c r="O11" s="155" t="s">
        <v>75</v>
      </c>
      <c r="P11" s="156" t="s">
        <v>179</v>
      </c>
      <c r="Q11" s="157" t="s">
        <v>124</v>
      </c>
      <c r="R11" s="158" t="s">
        <v>114</v>
      </c>
      <c r="S11" s="159" t="s">
        <v>78</v>
      </c>
      <c r="T11" s="160">
        <v>10.4</v>
      </c>
      <c r="U11" s="161" t="s">
        <v>180</v>
      </c>
      <c r="V11" s="162" t="s">
        <v>181</v>
      </c>
      <c r="W11" s="163" t="s">
        <v>182</v>
      </c>
      <c r="X11" s="164" t="s">
        <v>117</v>
      </c>
      <c r="Y11" s="165" t="s">
        <v>75</v>
      </c>
      <c r="Z11" s="166">
        <v>4009871</v>
      </c>
      <c r="AA11" s="167">
        <v>1</v>
      </c>
      <c r="AB11" s="168">
        <v>102.97</v>
      </c>
      <c r="AC11" s="169" t="s">
        <v>0</v>
      </c>
      <c r="AD11" s="170">
        <v>4128.9639999999999</v>
      </c>
      <c r="AE11" s="171">
        <v>0</v>
      </c>
      <c r="AF11" s="172">
        <v>0</v>
      </c>
    </row>
    <row r="12" spans="1:32" ht="12.95" customHeight="1" x14ac:dyDescent="0.25">
      <c r="A12" s="141">
        <v>269</v>
      </c>
      <c r="B12" s="142">
        <v>999999</v>
      </c>
      <c r="C12" s="143" t="s">
        <v>183</v>
      </c>
      <c r="D12" s="144">
        <v>230</v>
      </c>
      <c r="E12" s="145" t="s">
        <v>94</v>
      </c>
      <c r="F12" s="146" t="s">
        <v>184</v>
      </c>
      <c r="G12" s="147" t="s">
        <v>185</v>
      </c>
      <c r="H12" s="148" t="s">
        <v>107</v>
      </c>
      <c r="I12" s="149" t="s">
        <v>108</v>
      </c>
      <c r="J12" s="150" t="s">
        <v>74</v>
      </c>
      <c r="K12" s="151" t="s">
        <v>74</v>
      </c>
      <c r="L12" s="152" t="s">
        <v>109</v>
      </c>
      <c r="M12" s="153" t="s">
        <v>110</v>
      </c>
      <c r="N12" s="154" t="s">
        <v>186</v>
      </c>
      <c r="O12" s="155" t="s">
        <v>75</v>
      </c>
      <c r="P12" s="156" t="s">
        <v>156</v>
      </c>
      <c r="Q12" s="157" t="s">
        <v>113</v>
      </c>
      <c r="R12" s="158" t="s">
        <v>114</v>
      </c>
      <c r="S12" s="159" t="s">
        <v>78</v>
      </c>
      <c r="T12" s="160">
        <v>8.3699999999999992</v>
      </c>
      <c r="U12" s="161" t="s">
        <v>187</v>
      </c>
      <c r="V12" s="162" t="s">
        <v>188</v>
      </c>
      <c r="W12" s="163" t="s">
        <v>189</v>
      </c>
      <c r="X12" s="164" t="s">
        <v>117</v>
      </c>
      <c r="Y12" s="165" t="s">
        <v>75</v>
      </c>
      <c r="Z12" s="166">
        <v>499328</v>
      </c>
      <c r="AA12" s="167">
        <v>1</v>
      </c>
      <c r="AB12" s="168">
        <v>91.2</v>
      </c>
      <c r="AC12" s="169" t="s">
        <v>0</v>
      </c>
      <c r="AD12" s="170">
        <v>455.387</v>
      </c>
      <c r="AE12" s="171">
        <v>0</v>
      </c>
      <c r="AF12" s="172">
        <v>0</v>
      </c>
    </row>
    <row r="13" spans="1:32" ht="12.95" customHeight="1" x14ac:dyDescent="0.25">
      <c r="A13" s="141">
        <v>269</v>
      </c>
      <c r="B13" s="142">
        <v>999999</v>
      </c>
      <c r="C13" s="143" t="s">
        <v>190</v>
      </c>
      <c r="D13" s="144">
        <v>251</v>
      </c>
      <c r="E13" s="145" t="s">
        <v>94</v>
      </c>
      <c r="F13" s="146" t="s">
        <v>191</v>
      </c>
      <c r="G13" s="147" t="s">
        <v>192</v>
      </c>
      <c r="H13" s="148" t="s">
        <v>107</v>
      </c>
      <c r="I13" s="149" t="s">
        <v>108</v>
      </c>
      <c r="J13" s="150" t="s">
        <v>74</v>
      </c>
      <c r="K13" s="151" t="s">
        <v>74</v>
      </c>
      <c r="L13" s="152" t="s">
        <v>109</v>
      </c>
      <c r="M13" s="153" t="s">
        <v>110</v>
      </c>
      <c r="N13" s="154" t="s">
        <v>155</v>
      </c>
      <c r="O13" s="155" t="s">
        <v>75</v>
      </c>
      <c r="P13" s="156" t="s">
        <v>171</v>
      </c>
      <c r="Q13" s="157" t="s">
        <v>113</v>
      </c>
      <c r="R13" s="158" t="s">
        <v>114</v>
      </c>
      <c r="S13" s="159" t="s">
        <v>78</v>
      </c>
      <c r="T13" s="160">
        <v>4.55</v>
      </c>
      <c r="U13" s="161" t="s">
        <v>193</v>
      </c>
      <c r="V13" s="162" t="s">
        <v>194</v>
      </c>
      <c r="W13" s="163" t="s">
        <v>195</v>
      </c>
      <c r="X13" s="164" t="s">
        <v>117</v>
      </c>
      <c r="Y13" s="165" t="s">
        <v>75</v>
      </c>
      <c r="Z13" s="166">
        <v>5569475</v>
      </c>
      <c r="AA13" s="167">
        <v>1</v>
      </c>
      <c r="AB13" s="168">
        <v>100.35</v>
      </c>
      <c r="AC13" s="169" t="s">
        <v>0</v>
      </c>
      <c r="AD13" s="170">
        <v>5588.9679999999998</v>
      </c>
      <c r="AE13" s="171">
        <v>0</v>
      </c>
      <c r="AF13" s="172">
        <v>0</v>
      </c>
    </row>
    <row r="14" spans="1:32" ht="12.95" customHeight="1" x14ac:dyDescent="0.25">
      <c r="A14" s="141">
        <v>269</v>
      </c>
      <c r="B14" s="142">
        <v>999999</v>
      </c>
      <c r="C14" s="143" t="s">
        <v>196</v>
      </c>
      <c r="D14" s="144">
        <v>576</v>
      </c>
      <c r="E14" s="145" t="s">
        <v>94</v>
      </c>
      <c r="F14" s="146" t="s">
        <v>197</v>
      </c>
      <c r="G14" s="147" t="s">
        <v>198</v>
      </c>
      <c r="H14" s="148" t="s">
        <v>107</v>
      </c>
      <c r="I14" s="149" t="s">
        <v>121</v>
      </c>
      <c r="J14" s="150" t="s">
        <v>74</v>
      </c>
      <c r="K14" s="151" t="s">
        <v>74</v>
      </c>
      <c r="L14" s="152" t="s">
        <v>109</v>
      </c>
      <c r="M14" s="153" t="s">
        <v>110</v>
      </c>
      <c r="N14" s="154" t="s">
        <v>199</v>
      </c>
      <c r="O14" s="155" t="s">
        <v>75</v>
      </c>
      <c r="P14" s="156" t="s">
        <v>200</v>
      </c>
      <c r="Q14" s="157" t="s">
        <v>113</v>
      </c>
      <c r="R14" s="158" t="s">
        <v>114</v>
      </c>
      <c r="S14" s="159" t="s">
        <v>78</v>
      </c>
      <c r="T14" s="160">
        <v>1.48</v>
      </c>
      <c r="U14" s="161" t="s">
        <v>201</v>
      </c>
      <c r="V14" s="162" t="s">
        <v>202</v>
      </c>
      <c r="W14" s="163" t="s">
        <v>203</v>
      </c>
      <c r="X14" s="164" t="s">
        <v>117</v>
      </c>
      <c r="Y14" s="165" t="s">
        <v>75</v>
      </c>
      <c r="Z14" s="166">
        <v>7390776.7599999998</v>
      </c>
      <c r="AA14" s="167">
        <v>3.71</v>
      </c>
      <c r="AB14" s="168">
        <v>105.21</v>
      </c>
      <c r="AC14" s="169" t="s">
        <v>0</v>
      </c>
      <c r="AD14" s="170">
        <v>7775.8360000000002</v>
      </c>
      <c r="AE14" s="171">
        <v>0</v>
      </c>
      <c r="AF14" s="172">
        <v>0</v>
      </c>
    </row>
    <row r="15" spans="1:32" ht="12.95" customHeight="1" x14ac:dyDescent="0.25">
      <c r="A15" s="141">
        <v>269</v>
      </c>
      <c r="B15" s="142">
        <v>999999</v>
      </c>
      <c r="C15" s="143" t="s">
        <v>175</v>
      </c>
      <c r="D15" s="144">
        <v>600</v>
      </c>
      <c r="E15" s="145" t="s">
        <v>94</v>
      </c>
      <c r="F15" s="146" t="s">
        <v>204</v>
      </c>
      <c r="G15" s="147" t="s">
        <v>205</v>
      </c>
      <c r="H15" s="148" t="s">
        <v>107</v>
      </c>
      <c r="I15" s="149" t="s">
        <v>108</v>
      </c>
      <c r="J15" s="150" t="s">
        <v>74</v>
      </c>
      <c r="K15" s="151" t="s">
        <v>74</v>
      </c>
      <c r="L15" s="152" t="s">
        <v>109</v>
      </c>
      <c r="M15" s="153" t="s">
        <v>110</v>
      </c>
      <c r="N15" s="154" t="s">
        <v>178</v>
      </c>
      <c r="O15" s="155" t="s">
        <v>75</v>
      </c>
      <c r="P15" s="156" t="s">
        <v>179</v>
      </c>
      <c r="Q15" s="157" t="s">
        <v>124</v>
      </c>
      <c r="R15" s="158" t="s">
        <v>114</v>
      </c>
      <c r="S15" s="159" t="s">
        <v>78</v>
      </c>
      <c r="T15" s="160">
        <v>10.76</v>
      </c>
      <c r="U15" s="161" t="s">
        <v>206</v>
      </c>
      <c r="V15" s="162" t="s">
        <v>207</v>
      </c>
      <c r="W15" s="163" t="s">
        <v>208</v>
      </c>
      <c r="X15" s="164" t="s">
        <v>117</v>
      </c>
      <c r="Y15" s="165" t="s">
        <v>75</v>
      </c>
      <c r="Z15" s="166">
        <v>224214247</v>
      </c>
      <c r="AA15" s="167">
        <v>1</v>
      </c>
      <c r="AB15" s="168">
        <v>90</v>
      </c>
      <c r="AC15" s="169" t="s">
        <v>0</v>
      </c>
      <c r="AD15" s="170">
        <v>201792.82199999999</v>
      </c>
      <c r="AE15" s="171">
        <v>0</v>
      </c>
      <c r="AF15" s="172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rightToLeft="1" topLeftCell="L1" workbookViewId="0">
      <pane ySplit="1" topLeftCell="A2" activePane="bottomLeft" state="frozen"/>
      <selection pane="bottomLeft" activeCell="X2" sqref="X2:X16"/>
    </sheetView>
  </sheetViews>
  <sheetFormatPr defaultRowHeight="15" x14ac:dyDescent="0.25"/>
  <cols>
    <col min="1" max="1" width="36" customWidth="1"/>
    <col min="2" max="2" width="12" customWidth="1"/>
    <col min="3" max="3" width="41" customWidth="1"/>
    <col min="4" max="4" width="12" customWidth="1"/>
    <col min="5" max="6" width="21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21" customWidth="1"/>
    <col min="15" max="15" width="19" customWidth="1"/>
    <col min="16" max="16" width="13" customWidth="1"/>
    <col min="17" max="17" width="19" customWidth="1"/>
    <col min="18" max="18" width="12" customWidth="1"/>
    <col min="19" max="19" width="15" customWidth="1"/>
    <col min="20" max="20" width="27" customWidth="1"/>
    <col min="21" max="22" width="23" customWidth="1"/>
    <col min="23" max="23" width="25" customWidth="1"/>
    <col min="24" max="24" width="23" customWidth="1"/>
  </cols>
  <sheetData>
    <row r="1" spans="1:24" ht="15" customHeight="1" x14ac:dyDescent="0.25">
      <c r="A1" s="173" t="s">
        <v>55</v>
      </c>
      <c r="B1" s="174" t="s">
        <v>56</v>
      </c>
      <c r="C1" s="175" t="s">
        <v>80</v>
      </c>
      <c r="D1" s="176" t="s">
        <v>94</v>
      </c>
      <c r="E1" s="177" t="s">
        <v>95</v>
      </c>
      <c r="F1" s="178" t="s">
        <v>81</v>
      </c>
      <c r="G1" s="179" t="s">
        <v>82</v>
      </c>
      <c r="H1" s="180" t="s">
        <v>96</v>
      </c>
      <c r="I1" s="181" t="s">
        <v>60</v>
      </c>
      <c r="J1" s="182" t="s">
        <v>61</v>
      </c>
      <c r="K1" s="183" t="s">
        <v>83</v>
      </c>
      <c r="L1" s="184" t="s">
        <v>103</v>
      </c>
      <c r="M1" s="185" t="s">
        <v>84</v>
      </c>
      <c r="N1" s="186" t="s">
        <v>97</v>
      </c>
      <c r="O1" s="187" t="s">
        <v>62</v>
      </c>
      <c r="P1" s="188" t="s">
        <v>65</v>
      </c>
      <c r="Q1" s="189" t="s">
        <v>90</v>
      </c>
      <c r="R1" s="190" t="s">
        <v>67</v>
      </c>
      <c r="S1" s="191" t="s">
        <v>91</v>
      </c>
      <c r="T1" s="192" t="s">
        <v>89</v>
      </c>
      <c r="U1" s="193" t="s">
        <v>17</v>
      </c>
      <c r="V1" s="194" t="s">
        <v>93</v>
      </c>
      <c r="W1" s="195" t="s">
        <v>69</v>
      </c>
      <c r="X1" s="196" t="s">
        <v>70</v>
      </c>
    </row>
    <row r="2" spans="1:24" ht="12.95" customHeight="1" x14ac:dyDescent="0.25">
      <c r="A2" s="197">
        <v>269</v>
      </c>
      <c r="B2" s="198">
        <v>999999</v>
      </c>
      <c r="C2" s="199" t="s">
        <v>209</v>
      </c>
      <c r="D2" s="200">
        <v>224</v>
      </c>
      <c r="E2" s="201" t="s">
        <v>94</v>
      </c>
      <c r="F2" s="202" t="s">
        <v>210</v>
      </c>
      <c r="G2" s="203" t="s">
        <v>211</v>
      </c>
      <c r="H2" s="204" t="s">
        <v>107</v>
      </c>
      <c r="I2" s="205" t="s">
        <v>212</v>
      </c>
      <c r="J2" s="206" t="s">
        <v>74</v>
      </c>
      <c r="K2" s="207" t="s">
        <v>74</v>
      </c>
      <c r="L2" s="208" t="s">
        <v>109</v>
      </c>
      <c r="M2" s="209" t="s">
        <v>110</v>
      </c>
      <c r="N2" s="210" t="s">
        <v>213</v>
      </c>
      <c r="O2" s="211" t="s">
        <v>75</v>
      </c>
      <c r="P2" s="212" t="s">
        <v>78</v>
      </c>
      <c r="Q2" s="213">
        <v>58710</v>
      </c>
      <c r="R2" s="214">
        <v>1</v>
      </c>
      <c r="S2" s="215">
        <v>6329</v>
      </c>
      <c r="T2" s="216" t="s">
        <v>0</v>
      </c>
      <c r="U2" s="217">
        <v>3715.7559999999999</v>
      </c>
      <c r="V2" s="218" t="s">
        <v>214</v>
      </c>
      <c r="W2" s="219" t="s">
        <v>215</v>
      </c>
      <c r="X2" s="932">
        <v>2E-3</v>
      </c>
    </row>
    <row r="3" spans="1:24" ht="12.95" customHeight="1" x14ac:dyDescent="0.25">
      <c r="A3" s="197">
        <v>269</v>
      </c>
      <c r="B3" s="198">
        <v>999999</v>
      </c>
      <c r="C3" s="199" t="s">
        <v>216</v>
      </c>
      <c r="D3" s="200">
        <v>273</v>
      </c>
      <c r="E3" s="201" t="s">
        <v>94</v>
      </c>
      <c r="F3" s="202" t="s">
        <v>217</v>
      </c>
      <c r="G3" s="203" t="s">
        <v>218</v>
      </c>
      <c r="H3" s="204" t="s">
        <v>107</v>
      </c>
      <c r="I3" s="205" t="s">
        <v>212</v>
      </c>
      <c r="J3" s="206" t="s">
        <v>74</v>
      </c>
      <c r="K3" s="207" t="s">
        <v>74</v>
      </c>
      <c r="L3" s="208" t="s">
        <v>109</v>
      </c>
      <c r="M3" s="209" t="s">
        <v>110</v>
      </c>
      <c r="N3" s="210" t="s">
        <v>132</v>
      </c>
      <c r="O3" s="211" t="s">
        <v>75</v>
      </c>
      <c r="P3" s="212" t="s">
        <v>78</v>
      </c>
      <c r="Q3" s="213">
        <v>5110</v>
      </c>
      <c r="R3" s="214">
        <v>1</v>
      </c>
      <c r="S3" s="215">
        <v>64880</v>
      </c>
      <c r="T3" s="216" t="s">
        <v>0</v>
      </c>
      <c r="U3" s="217">
        <v>3315.3679999999999</v>
      </c>
      <c r="V3" s="218" t="s">
        <v>219</v>
      </c>
      <c r="W3" s="219" t="s">
        <v>220</v>
      </c>
      <c r="X3" s="932">
        <v>1.6999999999999999E-3</v>
      </c>
    </row>
    <row r="4" spans="1:24" ht="12.95" customHeight="1" x14ac:dyDescent="0.25">
      <c r="A4" s="197">
        <v>269</v>
      </c>
      <c r="B4" s="198">
        <v>999999</v>
      </c>
      <c r="C4" s="199" t="s">
        <v>222</v>
      </c>
      <c r="D4" s="200">
        <v>281</v>
      </c>
      <c r="E4" s="201" t="s">
        <v>94</v>
      </c>
      <c r="F4" s="202" t="s">
        <v>223</v>
      </c>
      <c r="G4" s="203" t="s">
        <v>224</v>
      </c>
      <c r="H4" s="204" t="s">
        <v>107</v>
      </c>
      <c r="I4" s="205" t="s">
        <v>212</v>
      </c>
      <c r="J4" s="206" t="s">
        <v>74</v>
      </c>
      <c r="K4" s="207" t="s">
        <v>74</v>
      </c>
      <c r="L4" s="208" t="s">
        <v>109</v>
      </c>
      <c r="M4" s="209" t="s">
        <v>110</v>
      </c>
      <c r="N4" s="210" t="s">
        <v>111</v>
      </c>
      <c r="O4" s="211" t="s">
        <v>75</v>
      </c>
      <c r="P4" s="212" t="s">
        <v>78</v>
      </c>
      <c r="Q4" s="213">
        <v>332636</v>
      </c>
      <c r="R4" s="214">
        <v>1</v>
      </c>
      <c r="S4" s="215">
        <v>1588</v>
      </c>
      <c r="T4" s="216" t="s">
        <v>0</v>
      </c>
      <c r="U4" s="217">
        <v>5282.26</v>
      </c>
      <c r="V4" s="218" t="s">
        <v>225</v>
      </c>
      <c r="W4" s="219" t="s">
        <v>226</v>
      </c>
      <c r="X4" s="932">
        <v>2.8E-3</v>
      </c>
    </row>
    <row r="5" spans="1:24" ht="12.95" customHeight="1" x14ac:dyDescent="0.25">
      <c r="A5" s="197">
        <v>269</v>
      </c>
      <c r="B5" s="198">
        <v>999999</v>
      </c>
      <c r="C5" s="199" t="s">
        <v>227</v>
      </c>
      <c r="D5" s="200">
        <v>390</v>
      </c>
      <c r="E5" s="201" t="s">
        <v>94</v>
      </c>
      <c r="F5" s="202" t="s">
        <v>228</v>
      </c>
      <c r="G5" s="203" t="s">
        <v>229</v>
      </c>
      <c r="H5" s="204" t="s">
        <v>107</v>
      </c>
      <c r="I5" s="205" t="s">
        <v>212</v>
      </c>
      <c r="J5" s="206" t="s">
        <v>74</v>
      </c>
      <c r="K5" s="207" t="s">
        <v>74</v>
      </c>
      <c r="L5" s="208" t="s">
        <v>109</v>
      </c>
      <c r="M5" s="209" t="s">
        <v>110</v>
      </c>
      <c r="N5" s="210" t="s">
        <v>155</v>
      </c>
      <c r="O5" s="211" t="s">
        <v>75</v>
      </c>
      <c r="P5" s="212" t="s">
        <v>78</v>
      </c>
      <c r="Q5" s="213">
        <v>71000</v>
      </c>
      <c r="R5" s="214">
        <v>1</v>
      </c>
      <c r="S5" s="215">
        <v>2855</v>
      </c>
      <c r="T5" s="216" t="s">
        <v>0</v>
      </c>
      <c r="U5" s="217">
        <v>2027.05</v>
      </c>
      <c r="V5" s="218" t="s">
        <v>230</v>
      </c>
      <c r="W5" s="219" t="s">
        <v>231</v>
      </c>
      <c r="X5" s="932">
        <v>1.1000000000000001E-3</v>
      </c>
    </row>
    <row r="6" spans="1:24" ht="12.95" customHeight="1" x14ac:dyDescent="0.25">
      <c r="A6" s="197">
        <v>269</v>
      </c>
      <c r="B6" s="198">
        <v>999999</v>
      </c>
      <c r="C6" s="199" t="s">
        <v>233</v>
      </c>
      <c r="D6" s="200">
        <v>566</v>
      </c>
      <c r="E6" s="201" t="s">
        <v>94</v>
      </c>
      <c r="F6" s="202" t="s">
        <v>234</v>
      </c>
      <c r="G6" s="203" t="s">
        <v>235</v>
      </c>
      <c r="H6" s="204" t="s">
        <v>107</v>
      </c>
      <c r="I6" s="205" t="s">
        <v>212</v>
      </c>
      <c r="J6" s="206" t="s">
        <v>74</v>
      </c>
      <c r="K6" s="207" t="s">
        <v>74</v>
      </c>
      <c r="L6" s="208" t="s">
        <v>109</v>
      </c>
      <c r="M6" s="209" t="s">
        <v>110</v>
      </c>
      <c r="N6" s="210" t="s">
        <v>213</v>
      </c>
      <c r="O6" s="211" t="s">
        <v>75</v>
      </c>
      <c r="P6" s="212" t="s">
        <v>78</v>
      </c>
      <c r="Q6" s="213">
        <v>35320</v>
      </c>
      <c r="R6" s="214">
        <v>1</v>
      </c>
      <c r="S6" s="215">
        <v>10880</v>
      </c>
      <c r="T6" s="216" t="s">
        <v>0</v>
      </c>
      <c r="U6" s="217">
        <v>3842.8159999999998</v>
      </c>
      <c r="V6" s="218" t="s">
        <v>236</v>
      </c>
      <c r="W6" s="219" t="s">
        <v>237</v>
      </c>
      <c r="X6" s="932">
        <v>2E-3</v>
      </c>
    </row>
    <row r="7" spans="1:24" ht="12.95" customHeight="1" x14ac:dyDescent="0.25">
      <c r="A7" s="197">
        <v>269</v>
      </c>
      <c r="B7" s="198">
        <v>999999</v>
      </c>
      <c r="C7" s="199" t="s">
        <v>238</v>
      </c>
      <c r="D7" s="200">
        <v>585</v>
      </c>
      <c r="E7" s="201" t="s">
        <v>94</v>
      </c>
      <c r="F7" s="202" t="s">
        <v>239</v>
      </c>
      <c r="G7" s="203" t="s">
        <v>240</v>
      </c>
      <c r="H7" s="204" t="s">
        <v>107</v>
      </c>
      <c r="I7" s="205" t="s">
        <v>212</v>
      </c>
      <c r="J7" s="206" t="s">
        <v>74</v>
      </c>
      <c r="K7" s="207" t="s">
        <v>74</v>
      </c>
      <c r="L7" s="208" t="s">
        <v>109</v>
      </c>
      <c r="M7" s="209" t="s">
        <v>110</v>
      </c>
      <c r="N7" s="210" t="s">
        <v>213</v>
      </c>
      <c r="O7" s="211" t="s">
        <v>75</v>
      </c>
      <c r="P7" s="212" t="s">
        <v>78</v>
      </c>
      <c r="Q7" s="213">
        <v>204213</v>
      </c>
      <c r="R7" s="214">
        <v>1</v>
      </c>
      <c r="S7" s="215">
        <v>3619</v>
      </c>
      <c r="T7" s="216" t="s">
        <v>0</v>
      </c>
      <c r="U7" s="217">
        <v>7390.4679999999998</v>
      </c>
      <c r="V7" s="218" t="s">
        <v>241</v>
      </c>
      <c r="W7" s="219" t="s">
        <v>242</v>
      </c>
      <c r="X7" s="932">
        <v>3.8999999999999998E-3</v>
      </c>
    </row>
    <row r="8" spans="1:24" ht="12.95" customHeight="1" x14ac:dyDescent="0.25">
      <c r="A8" s="197">
        <v>269</v>
      </c>
      <c r="B8" s="198">
        <v>999999</v>
      </c>
      <c r="C8" s="199" t="s">
        <v>244</v>
      </c>
      <c r="D8" s="200">
        <v>759</v>
      </c>
      <c r="E8" s="201" t="s">
        <v>94</v>
      </c>
      <c r="F8" s="202" t="s">
        <v>245</v>
      </c>
      <c r="G8" s="203" t="s">
        <v>246</v>
      </c>
      <c r="H8" s="204" t="s">
        <v>107</v>
      </c>
      <c r="I8" s="205" t="s">
        <v>212</v>
      </c>
      <c r="J8" s="206" t="s">
        <v>74</v>
      </c>
      <c r="K8" s="207" t="s">
        <v>74</v>
      </c>
      <c r="L8" s="208" t="s">
        <v>109</v>
      </c>
      <c r="M8" s="209" t="s">
        <v>110</v>
      </c>
      <c r="N8" s="210" t="s">
        <v>155</v>
      </c>
      <c r="O8" s="211" t="s">
        <v>75</v>
      </c>
      <c r="P8" s="212" t="s">
        <v>78</v>
      </c>
      <c r="Q8" s="213">
        <v>64928.7</v>
      </c>
      <c r="R8" s="214">
        <v>1</v>
      </c>
      <c r="S8" s="215">
        <v>3085</v>
      </c>
      <c r="T8" s="216" t="s">
        <v>0</v>
      </c>
      <c r="U8" s="217">
        <v>2003.05</v>
      </c>
      <c r="V8" s="218" t="s">
        <v>225</v>
      </c>
      <c r="W8" s="219" t="s">
        <v>247</v>
      </c>
      <c r="X8" s="932">
        <v>1.1000000000000001E-3</v>
      </c>
    </row>
    <row r="9" spans="1:24" ht="12.95" customHeight="1" x14ac:dyDescent="0.25">
      <c r="A9" s="197">
        <v>269</v>
      </c>
      <c r="B9" s="198">
        <v>999999</v>
      </c>
      <c r="C9" s="199" t="s">
        <v>248</v>
      </c>
      <c r="D9" s="200">
        <v>1041</v>
      </c>
      <c r="E9" s="201" t="s">
        <v>94</v>
      </c>
      <c r="F9" s="202" t="s">
        <v>249</v>
      </c>
      <c r="G9" s="203" t="s">
        <v>250</v>
      </c>
      <c r="H9" s="204" t="s">
        <v>107</v>
      </c>
      <c r="I9" s="205" t="s">
        <v>212</v>
      </c>
      <c r="J9" s="206" t="s">
        <v>74</v>
      </c>
      <c r="K9" s="207" t="s">
        <v>74</v>
      </c>
      <c r="L9" s="208" t="s">
        <v>109</v>
      </c>
      <c r="M9" s="209" t="s">
        <v>110</v>
      </c>
      <c r="N9" s="210" t="s">
        <v>213</v>
      </c>
      <c r="O9" s="211" t="s">
        <v>75</v>
      </c>
      <c r="P9" s="212" t="s">
        <v>78</v>
      </c>
      <c r="Q9" s="213">
        <v>424000</v>
      </c>
      <c r="R9" s="214">
        <v>1</v>
      </c>
      <c r="S9" s="215">
        <v>508.2</v>
      </c>
      <c r="T9" s="216" t="s">
        <v>0</v>
      </c>
      <c r="U9" s="217">
        <v>2154.768</v>
      </c>
      <c r="V9" s="218" t="s">
        <v>230</v>
      </c>
      <c r="W9" s="219" t="s">
        <v>251</v>
      </c>
      <c r="X9" s="932">
        <v>1.1000000000000001E-3</v>
      </c>
    </row>
    <row r="10" spans="1:24" ht="12.95" customHeight="1" x14ac:dyDescent="0.25">
      <c r="A10" s="197">
        <v>269</v>
      </c>
      <c r="B10" s="198">
        <v>999999</v>
      </c>
      <c r="C10" s="199" t="s">
        <v>252</v>
      </c>
      <c r="D10" s="200">
        <v>1068</v>
      </c>
      <c r="E10" s="201" t="s">
        <v>94</v>
      </c>
      <c r="F10" s="202" t="s">
        <v>253</v>
      </c>
      <c r="G10" s="203" t="s">
        <v>254</v>
      </c>
      <c r="H10" s="204" t="s">
        <v>107</v>
      </c>
      <c r="I10" s="205" t="s">
        <v>212</v>
      </c>
      <c r="J10" s="206" t="s">
        <v>74</v>
      </c>
      <c r="K10" s="207" t="s">
        <v>74</v>
      </c>
      <c r="L10" s="208" t="s">
        <v>109</v>
      </c>
      <c r="M10" s="209" t="s">
        <v>110</v>
      </c>
      <c r="N10" s="210" t="s">
        <v>170</v>
      </c>
      <c r="O10" s="211" t="s">
        <v>75</v>
      </c>
      <c r="P10" s="212" t="s">
        <v>78</v>
      </c>
      <c r="Q10" s="213">
        <v>143293</v>
      </c>
      <c r="R10" s="214">
        <v>1</v>
      </c>
      <c r="S10" s="215">
        <v>898.1</v>
      </c>
      <c r="T10" s="216" t="s">
        <v>0</v>
      </c>
      <c r="U10" s="217">
        <v>1286.914</v>
      </c>
      <c r="V10" s="218" t="s">
        <v>225</v>
      </c>
      <c r="W10" s="219" t="s">
        <v>151</v>
      </c>
      <c r="X10" s="932">
        <v>6.9999999999999999E-4</v>
      </c>
    </row>
    <row r="11" spans="1:24" ht="12.95" customHeight="1" x14ac:dyDescent="0.25">
      <c r="A11" s="197">
        <v>269</v>
      </c>
      <c r="B11" s="198">
        <v>999999</v>
      </c>
      <c r="C11" s="199" t="s">
        <v>255</v>
      </c>
      <c r="D11" s="200">
        <v>1363</v>
      </c>
      <c r="E11" s="201" t="s">
        <v>94</v>
      </c>
      <c r="F11" s="202" t="s">
        <v>256</v>
      </c>
      <c r="G11" s="203" t="s">
        <v>257</v>
      </c>
      <c r="H11" s="204" t="s">
        <v>107</v>
      </c>
      <c r="I11" s="205" t="s">
        <v>212</v>
      </c>
      <c r="J11" s="206" t="s">
        <v>74</v>
      </c>
      <c r="K11" s="207" t="s">
        <v>74</v>
      </c>
      <c r="L11" s="208" t="s">
        <v>109</v>
      </c>
      <c r="M11" s="209" t="s">
        <v>110</v>
      </c>
      <c r="N11" s="210" t="s">
        <v>178</v>
      </c>
      <c r="O11" s="211" t="s">
        <v>75</v>
      </c>
      <c r="P11" s="212" t="s">
        <v>78</v>
      </c>
      <c r="Q11" s="213">
        <v>6855</v>
      </c>
      <c r="R11" s="214">
        <v>1</v>
      </c>
      <c r="S11" s="215">
        <v>39190</v>
      </c>
      <c r="T11" s="216">
        <v>150.84800000000001</v>
      </c>
      <c r="U11" s="217">
        <v>2837.3220000000001</v>
      </c>
      <c r="V11" s="218" t="s">
        <v>236</v>
      </c>
      <c r="W11" s="219" t="s">
        <v>258</v>
      </c>
      <c r="X11" s="932">
        <v>1.5E-3</v>
      </c>
    </row>
    <row r="12" spans="1:24" ht="12.95" customHeight="1" x14ac:dyDescent="0.25">
      <c r="A12" s="197">
        <v>269</v>
      </c>
      <c r="B12" s="198">
        <v>999999</v>
      </c>
      <c r="C12" s="199" t="s">
        <v>167</v>
      </c>
      <c r="D12" s="200">
        <v>1618</v>
      </c>
      <c r="E12" s="201" t="s">
        <v>94</v>
      </c>
      <c r="F12" s="202" t="s">
        <v>260</v>
      </c>
      <c r="G12" s="203" t="s">
        <v>261</v>
      </c>
      <c r="H12" s="204" t="s">
        <v>107</v>
      </c>
      <c r="I12" s="205" t="s">
        <v>212</v>
      </c>
      <c r="J12" s="206" t="s">
        <v>74</v>
      </c>
      <c r="K12" s="207" t="s">
        <v>74</v>
      </c>
      <c r="L12" s="208" t="s">
        <v>109</v>
      </c>
      <c r="M12" s="209" t="s">
        <v>110</v>
      </c>
      <c r="N12" s="210" t="s">
        <v>170</v>
      </c>
      <c r="O12" s="211" t="s">
        <v>75</v>
      </c>
      <c r="P12" s="212" t="s">
        <v>78</v>
      </c>
      <c r="Q12" s="213">
        <v>11500</v>
      </c>
      <c r="R12" s="214">
        <v>1</v>
      </c>
      <c r="S12" s="215">
        <v>5176</v>
      </c>
      <c r="T12" s="216" t="s">
        <v>0</v>
      </c>
      <c r="U12" s="217">
        <v>595.24</v>
      </c>
      <c r="V12" s="218" t="s">
        <v>219</v>
      </c>
      <c r="W12" s="219" t="s">
        <v>262</v>
      </c>
      <c r="X12" s="932">
        <v>2.9999999999999997E-4</v>
      </c>
    </row>
    <row r="13" spans="1:24" ht="12.95" customHeight="1" x14ac:dyDescent="0.25">
      <c r="A13" s="197">
        <v>269</v>
      </c>
      <c r="B13" s="198">
        <v>999999</v>
      </c>
      <c r="C13" s="199" t="s">
        <v>263</v>
      </c>
      <c r="D13" s="200">
        <v>1773</v>
      </c>
      <c r="E13" s="201" t="s">
        <v>94</v>
      </c>
      <c r="F13" s="202" t="s">
        <v>264</v>
      </c>
      <c r="G13" s="203" t="s">
        <v>265</v>
      </c>
      <c r="H13" s="204" t="s">
        <v>107</v>
      </c>
      <c r="I13" s="205" t="s">
        <v>212</v>
      </c>
      <c r="J13" s="206" t="s">
        <v>74</v>
      </c>
      <c r="K13" s="207" t="s">
        <v>74</v>
      </c>
      <c r="L13" s="208" t="s">
        <v>109</v>
      </c>
      <c r="M13" s="209" t="s">
        <v>110</v>
      </c>
      <c r="N13" s="210" t="s">
        <v>266</v>
      </c>
      <c r="O13" s="211" t="s">
        <v>75</v>
      </c>
      <c r="P13" s="212" t="s">
        <v>78</v>
      </c>
      <c r="Q13" s="213">
        <v>233736.9</v>
      </c>
      <c r="R13" s="214">
        <v>1</v>
      </c>
      <c r="S13" s="215">
        <v>1373</v>
      </c>
      <c r="T13" s="216" t="s">
        <v>0</v>
      </c>
      <c r="U13" s="217">
        <v>3209.2080000000001</v>
      </c>
      <c r="V13" s="218" t="s">
        <v>267</v>
      </c>
      <c r="W13" s="219" t="s">
        <v>268</v>
      </c>
      <c r="X13" s="932">
        <v>1.6999999999999999E-3</v>
      </c>
    </row>
    <row r="14" spans="1:24" ht="12.95" customHeight="1" x14ac:dyDescent="0.25">
      <c r="A14" s="197">
        <v>269</v>
      </c>
      <c r="B14" s="198">
        <v>999999</v>
      </c>
      <c r="C14" s="199" t="s">
        <v>269</v>
      </c>
      <c r="D14" s="200">
        <v>1982</v>
      </c>
      <c r="E14" s="201" t="s">
        <v>94</v>
      </c>
      <c r="F14" s="202" t="s">
        <v>270</v>
      </c>
      <c r="G14" s="203" t="s">
        <v>271</v>
      </c>
      <c r="H14" s="204" t="s">
        <v>107</v>
      </c>
      <c r="I14" s="205" t="s">
        <v>212</v>
      </c>
      <c r="J14" s="206" t="s">
        <v>74</v>
      </c>
      <c r="K14" s="207" t="s">
        <v>74</v>
      </c>
      <c r="L14" s="208" t="s">
        <v>109</v>
      </c>
      <c r="M14" s="209" t="s">
        <v>110</v>
      </c>
      <c r="N14" s="210" t="s">
        <v>272</v>
      </c>
      <c r="O14" s="211" t="s">
        <v>75</v>
      </c>
      <c r="P14" s="212" t="s">
        <v>78</v>
      </c>
      <c r="Q14" s="213">
        <v>35320</v>
      </c>
      <c r="R14" s="214">
        <v>1</v>
      </c>
      <c r="S14" s="215">
        <v>648.79999999999995</v>
      </c>
      <c r="T14" s="216" t="s">
        <v>0</v>
      </c>
      <c r="U14" s="217">
        <v>229.15600000000001</v>
      </c>
      <c r="V14" s="218" t="s">
        <v>273</v>
      </c>
      <c r="W14" s="219" t="s">
        <v>274</v>
      </c>
      <c r="X14" s="932">
        <v>1E-4</v>
      </c>
    </row>
    <row r="15" spans="1:24" ht="12.95" customHeight="1" x14ac:dyDescent="0.25">
      <c r="A15" s="197">
        <v>269</v>
      </c>
      <c r="B15" s="198">
        <v>999999</v>
      </c>
      <c r="C15" s="199" t="s">
        <v>275</v>
      </c>
      <c r="D15" s="200">
        <v>1361</v>
      </c>
      <c r="E15" s="201" t="s">
        <v>94</v>
      </c>
      <c r="F15" s="202" t="s">
        <v>276</v>
      </c>
      <c r="G15" s="203" t="s">
        <v>277</v>
      </c>
      <c r="H15" s="204" t="s">
        <v>107</v>
      </c>
      <c r="I15" s="205" t="s">
        <v>212</v>
      </c>
      <c r="J15" s="206" t="s">
        <v>74</v>
      </c>
      <c r="K15" s="207" t="s">
        <v>74</v>
      </c>
      <c r="L15" s="208" t="s">
        <v>109</v>
      </c>
      <c r="M15" s="209" t="s">
        <v>110</v>
      </c>
      <c r="N15" s="210" t="s">
        <v>178</v>
      </c>
      <c r="O15" s="211" t="s">
        <v>75</v>
      </c>
      <c r="P15" s="212" t="s">
        <v>78</v>
      </c>
      <c r="Q15" s="213">
        <v>13710</v>
      </c>
      <c r="R15" s="214">
        <v>1</v>
      </c>
      <c r="S15" s="215">
        <v>5597</v>
      </c>
      <c r="T15" s="216" t="s">
        <v>0</v>
      </c>
      <c r="U15" s="217">
        <v>767.34900000000005</v>
      </c>
      <c r="V15" s="218" t="s">
        <v>232</v>
      </c>
      <c r="W15" s="219" t="s">
        <v>278</v>
      </c>
      <c r="X15" s="932">
        <v>4.0000000000000002E-4</v>
      </c>
    </row>
    <row r="16" spans="1:24" ht="12.95" customHeight="1" x14ac:dyDescent="0.25">
      <c r="A16" s="197">
        <v>269</v>
      </c>
      <c r="B16" s="198">
        <v>999999</v>
      </c>
      <c r="C16" s="199" t="s">
        <v>279</v>
      </c>
      <c r="D16" s="200">
        <v>182</v>
      </c>
      <c r="E16" s="201" t="s">
        <v>94</v>
      </c>
      <c r="F16" s="202" t="s">
        <v>280</v>
      </c>
      <c r="G16" s="203" t="s">
        <v>281</v>
      </c>
      <c r="H16" s="204" t="s">
        <v>107</v>
      </c>
      <c r="I16" s="205" t="s">
        <v>212</v>
      </c>
      <c r="J16" s="206" t="s">
        <v>74</v>
      </c>
      <c r="K16" s="207" t="s">
        <v>74</v>
      </c>
      <c r="L16" s="208" t="s">
        <v>109</v>
      </c>
      <c r="M16" s="209" t="s">
        <v>110</v>
      </c>
      <c r="N16" s="210" t="s">
        <v>282</v>
      </c>
      <c r="O16" s="211" t="s">
        <v>75</v>
      </c>
      <c r="P16" s="212" t="s">
        <v>78</v>
      </c>
      <c r="Q16" s="213">
        <v>99000</v>
      </c>
      <c r="R16" s="214">
        <v>1</v>
      </c>
      <c r="S16" s="215">
        <v>455</v>
      </c>
      <c r="T16" s="216" t="s">
        <v>0</v>
      </c>
      <c r="U16" s="217">
        <v>450.45</v>
      </c>
      <c r="V16" s="218" t="s">
        <v>236</v>
      </c>
      <c r="W16" s="219" t="s">
        <v>283</v>
      </c>
      <c r="X16" s="932">
        <v>2.0000000000000001E-4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7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2" customWidth="1"/>
    <col min="14" max="14" width="19" customWidth="1"/>
    <col min="15" max="15" width="13" customWidth="1"/>
    <col min="16" max="16" width="19" customWidth="1"/>
    <col min="17" max="17" width="12" customWidth="1"/>
    <col min="18" max="18" width="15" customWidth="1"/>
    <col min="19" max="20" width="23" customWidth="1"/>
    <col min="21" max="21" width="25" customWidth="1"/>
    <col min="22" max="22" width="23" customWidth="1"/>
  </cols>
  <sheetData>
    <row r="1" spans="1:22" ht="15" customHeight="1" x14ac:dyDescent="0.25">
      <c r="A1" s="220" t="s">
        <v>55</v>
      </c>
      <c r="B1" s="221" t="s">
        <v>56</v>
      </c>
      <c r="C1" s="222" t="s">
        <v>80</v>
      </c>
      <c r="D1" s="223" t="s">
        <v>284</v>
      </c>
      <c r="E1" s="224" t="s">
        <v>95</v>
      </c>
      <c r="F1" s="225" t="s">
        <v>81</v>
      </c>
      <c r="G1" s="226" t="s">
        <v>82</v>
      </c>
      <c r="H1" s="227" t="s">
        <v>96</v>
      </c>
      <c r="I1" s="228" t="s">
        <v>60</v>
      </c>
      <c r="J1" s="229" t="s">
        <v>61</v>
      </c>
      <c r="K1" s="230" t="s">
        <v>83</v>
      </c>
      <c r="L1" s="231" t="s">
        <v>84</v>
      </c>
      <c r="M1" s="232" t="s">
        <v>285</v>
      </c>
      <c r="N1" s="233" t="s">
        <v>62</v>
      </c>
      <c r="O1" s="234" t="s">
        <v>65</v>
      </c>
      <c r="P1" s="235" t="s">
        <v>286</v>
      </c>
      <c r="Q1" s="236" t="s">
        <v>67</v>
      </c>
      <c r="R1" s="237" t="s">
        <v>91</v>
      </c>
      <c r="S1" s="238" t="s">
        <v>17</v>
      </c>
      <c r="T1" s="239" t="s">
        <v>93</v>
      </c>
      <c r="U1" s="240" t="s">
        <v>69</v>
      </c>
      <c r="V1" s="241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12" customWidth="1"/>
    <col min="15" max="15" width="19" customWidth="1"/>
    <col min="16" max="16" width="13" customWidth="1"/>
    <col min="17" max="17" width="19" customWidth="1"/>
    <col min="18" max="18" width="12" customWidth="1"/>
    <col min="19" max="19" width="15" customWidth="1"/>
    <col min="20" max="21" width="23" customWidth="1"/>
    <col min="22" max="22" width="25" customWidth="1"/>
    <col min="23" max="23" width="23" customWidth="1"/>
  </cols>
  <sheetData>
    <row r="1" spans="1:23" ht="15" customHeight="1" x14ac:dyDescent="0.25">
      <c r="A1" s="242" t="s">
        <v>55</v>
      </c>
      <c r="B1" s="243" t="s">
        <v>56</v>
      </c>
      <c r="C1" s="244" t="s">
        <v>80</v>
      </c>
      <c r="D1" s="245" t="s">
        <v>94</v>
      </c>
      <c r="E1" s="246" t="s">
        <v>95</v>
      </c>
      <c r="F1" s="247" t="s">
        <v>81</v>
      </c>
      <c r="G1" s="248" t="s">
        <v>82</v>
      </c>
      <c r="H1" s="249" t="s">
        <v>96</v>
      </c>
      <c r="I1" s="250" t="s">
        <v>60</v>
      </c>
      <c r="J1" s="251" t="s">
        <v>61</v>
      </c>
      <c r="K1" s="252" t="s">
        <v>83</v>
      </c>
      <c r="L1" s="253" t="s">
        <v>103</v>
      </c>
      <c r="M1" s="254" t="s">
        <v>84</v>
      </c>
      <c r="N1" s="255" t="s">
        <v>285</v>
      </c>
      <c r="O1" s="256" t="s">
        <v>62</v>
      </c>
      <c r="P1" s="257" t="s">
        <v>65</v>
      </c>
      <c r="Q1" s="258" t="s">
        <v>286</v>
      </c>
      <c r="R1" s="259" t="s">
        <v>67</v>
      </c>
      <c r="S1" s="260" t="s">
        <v>91</v>
      </c>
      <c r="T1" s="261" t="s">
        <v>17</v>
      </c>
      <c r="U1" s="262" t="s">
        <v>93</v>
      </c>
      <c r="V1" s="263" t="s">
        <v>69</v>
      </c>
      <c r="W1" s="264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11" customWidth="1"/>
    <col min="13" max="13" width="23" customWidth="1"/>
    <col min="14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0" customWidth="1"/>
    <col min="20" max="20" width="19" customWidth="1"/>
    <col min="21" max="21" width="12" customWidth="1"/>
    <col min="22" max="22" width="15" customWidth="1"/>
    <col min="23" max="23" width="23" customWidth="1"/>
    <col min="24" max="24" width="25" customWidth="1"/>
    <col min="25" max="25" width="23" customWidth="1"/>
  </cols>
  <sheetData>
    <row r="1" spans="1:25" ht="15" customHeight="1" x14ac:dyDescent="0.25">
      <c r="A1" s="265" t="s">
        <v>55</v>
      </c>
      <c r="B1" s="266" t="s">
        <v>56</v>
      </c>
      <c r="C1" s="267" t="s">
        <v>80</v>
      </c>
      <c r="D1" s="268" t="s">
        <v>94</v>
      </c>
      <c r="E1" s="269" t="s">
        <v>95</v>
      </c>
      <c r="F1" s="270" t="s">
        <v>81</v>
      </c>
      <c r="G1" s="271" t="s">
        <v>82</v>
      </c>
      <c r="H1" s="272" t="s">
        <v>96</v>
      </c>
      <c r="I1" s="273" t="s">
        <v>61</v>
      </c>
      <c r="J1" s="274" t="s">
        <v>83</v>
      </c>
      <c r="K1" s="275" t="s">
        <v>103</v>
      </c>
      <c r="L1" s="276" t="s">
        <v>84</v>
      </c>
      <c r="M1" s="277" t="s">
        <v>287</v>
      </c>
      <c r="N1" s="278" t="s">
        <v>97</v>
      </c>
      <c r="O1" s="279" t="s">
        <v>288</v>
      </c>
      <c r="P1" s="280" t="s">
        <v>62</v>
      </c>
      <c r="Q1" s="281" t="s">
        <v>65</v>
      </c>
      <c r="R1" s="282" t="s">
        <v>289</v>
      </c>
      <c r="S1" s="283" t="s">
        <v>290</v>
      </c>
      <c r="T1" s="284" t="s">
        <v>286</v>
      </c>
      <c r="U1" s="285" t="s">
        <v>67</v>
      </c>
      <c r="V1" s="286" t="s">
        <v>91</v>
      </c>
      <c r="W1" s="287" t="s">
        <v>17</v>
      </c>
      <c r="X1" s="288" t="s">
        <v>69</v>
      </c>
      <c r="Y1" s="289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9" customWidth="1"/>
    <col min="20" max="20" width="12" customWidth="1"/>
    <col min="21" max="21" width="15" customWidth="1"/>
    <col min="22" max="22" width="23" customWidth="1"/>
    <col min="23" max="23" width="25" customWidth="1"/>
    <col min="24" max="24" width="23" customWidth="1"/>
  </cols>
  <sheetData>
    <row r="1" spans="1:24" ht="15" customHeight="1" x14ac:dyDescent="0.25">
      <c r="A1" s="290" t="s">
        <v>55</v>
      </c>
      <c r="B1" s="291" t="s">
        <v>56</v>
      </c>
      <c r="C1" s="292" t="s">
        <v>80</v>
      </c>
      <c r="D1" s="293" t="s">
        <v>94</v>
      </c>
      <c r="E1" s="294" t="s">
        <v>95</v>
      </c>
      <c r="F1" s="295" t="s">
        <v>81</v>
      </c>
      <c r="G1" s="296" t="s">
        <v>82</v>
      </c>
      <c r="H1" s="297" t="s">
        <v>96</v>
      </c>
      <c r="I1" s="298" t="s">
        <v>60</v>
      </c>
      <c r="J1" s="299" t="s">
        <v>61</v>
      </c>
      <c r="K1" s="300" t="s">
        <v>83</v>
      </c>
      <c r="L1" s="301" t="s">
        <v>84</v>
      </c>
      <c r="M1" s="302" t="s">
        <v>97</v>
      </c>
      <c r="N1" s="303" t="s">
        <v>291</v>
      </c>
      <c r="O1" s="304" t="s">
        <v>288</v>
      </c>
      <c r="P1" s="305" t="s">
        <v>62</v>
      </c>
      <c r="Q1" s="306" t="s">
        <v>65</v>
      </c>
      <c r="R1" s="307" t="s">
        <v>289</v>
      </c>
      <c r="S1" s="308" t="s">
        <v>286</v>
      </c>
      <c r="T1" s="309" t="s">
        <v>67</v>
      </c>
      <c r="U1" s="310" t="s">
        <v>91</v>
      </c>
      <c r="V1" s="311" t="s">
        <v>17</v>
      </c>
      <c r="W1" s="312" t="s">
        <v>69</v>
      </c>
      <c r="X1" s="313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1" customWidth="1"/>
    <col min="12" max="12" width="10" customWidth="1"/>
    <col min="13" max="13" width="19" customWidth="1"/>
    <col min="14" max="14" width="13" customWidth="1"/>
    <col min="15" max="15" width="19" customWidth="1"/>
    <col min="16" max="16" width="12" customWidth="1"/>
    <col min="17" max="17" width="15" customWidth="1"/>
    <col min="18" max="18" width="23" customWidth="1"/>
    <col min="19" max="19" width="25" customWidth="1"/>
    <col min="20" max="20" width="23" customWidth="1"/>
  </cols>
  <sheetData>
    <row r="1" spans="1:20" ht="15" customHeight="1" x14ac:dyDescent="0.25">
      <c r="A1" s="314" t="s">
        <v>55</v>
      </c>
      <c r="B1" s="315" t="s">
        <v>56</v>
      </c>
      <c r="C1" s="316" t="s">
        <v>80</v>
      </c>
      <c r="D1" s="317" t="s">
        <v>94</v>
      </c>
      <c r="E1" s="318" t="s">
        <v>95</v>
      </c>
      <c r="F1" s="319" t="s">
        <v>81</v>
      </c>
      <c r="G1" s="320" t="s">
        <v>82</v>
      </c>
      <c r="H1" s="321" t="s">
        <v>96</v>
      </c>
      <c r="I1" s="322" t="s">
        <v>61</v>
      </c>
      <c r="J1" s="323" t="s">
        <v>83</v>
      </c>
      <c r="K1" s="324" t="s">
        <v>84</v>
      </c>
      <c r="L1" s="325" t="s">
        <v>291</v>
      </c>
      <c r="M1" s="326" t="s">
        <v>62</v>
      </c>
      <c r="N1" s="327" t="s">
        <v>65</v>
      </c>
      <c r="O1" s="328" t="s">
        <v>286</v>
      </c>
      <c r="P1" s="329" t="s">
        <v>67</v>
      </c>
      <c r="Q1" s="330" t="s">
        <v>91</v>
      </c>
      <c r="R1" s="331" t="s">
        <v>17</v>
      </c>
      <c r="S1" s="332" t="s">
        <v>69</v>
      </c>
      <c r="T1" s="333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10" customWidth="1"/>
    <col min="15" max="15" width="19" customWidth="1"/>
    <col min="16" max="16" width="6" customWidth="1"/>
    <col min="17" max="17" width="13" customWidth="1"/>
    <col min="18" max="18" width="14" customWidth="1"/>
    <col min="19" max="19" width="7" customWidth="1"/>
    <col min="20" max="20" width="9" customWidth="1"/>
    <col min="21" max="21" width="24" customWidth="1"/>
    <col min="22" max="22" width="13" customWidth="1"/>
    <col min="23" max="23" width="19" customWidth="1"/>
    <col min="24" max="24" width="12" customWidth="1"/>
    <col min="25" max="25" width="15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334" t="s">
        <v>55</v>
      </c>
      <c r="B1" s="335" t="s">
        <v>56</v>
      </c>
      <c r="C1" s="336" t="s">
        <v>80</v>
      </c>
      <c r="D1" s="337" t="s">
        <v>94</v>
      </c>
      <c r="E1" s="338" t="s">
        <v>95</v>
      </c>
      <c r="F1" s="339" t="s">
        <v>81</v>
      </c>
      <c r="G1" s="340" t="s">
        <v>82</v>
      </c>
      <c r="H1" s="341" t="s">
        <v>96</v>
      </c>
      <c r="I1" s="342" t="s">
        <v>60</v>
      </c>
      <c r="J1" s="343" t="s">
        <v>61</v>
      </c>
      <c r="K1" s="344" t="s">
        <v>83</v>
      </c>
      <c r="L1" s="345" t="s">
        <v>103</v>
      </c>
      <c r="M1" s="346" t="s">
        <v>84</v>
      </c>
      <c r="N1" s="347" t="s">
        <v>291</v>
      </c>
      <c r="O1" s="348" t="s">
        <v>62</v>
      </c>
      <c r="P1" s="349" t="s">
        <v>86</v>
      </c>
      <c r="Q1" s="350" t="s">
        <v>68</v>
      </c>
      <c r="R1" s="351" t="s">
        <v>88</v>
      </c>
      <c r="S1" s="352" t="s">
        <v>85</v>
      </c>
      <c r="T1" s="353" t="s">
        <v>64</v>
      </c>
      <c r="U1" s="354" t="s">
        <v>98</v>
      </c>
      <c r="V1" s="355" t="s">
        <v>65</v>
      </c>
      <c r="W1" s="356" t="s">
        <v>286</v>
      </c>
      <c r="X1" s="357" t="s">
        <v>67</v>
      </c>
      <c r="Y1" s="358" t="s">
        <v>91</v>
      </c>
      <c r="Z1" s="359" t="s">
        <v>17</v>
      </c>
      <c r="AA1" s="360" t="s">
        <v>69</v>
      </c>
      <c r="AB1" s="361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9" customWidth="1"/>
    <col min="7" max="7" width="14" customWidth="1"/>
    <col min="8" max="8" width="12" customWidth="1"/>
    <col min="9" max="9" width="24" customWidth="1"/>
    <col min="10" max="10" width="13" customWidth="1"/>
    <col min="11" max="11" width="7" customWidth="1"/>
    <col min="12" max="12" width="9" customWidth="1"/>
    <col min="13" max="13" width="13" customWidth="1"/>
    <col min="14" max="14" width="6" customWidth="1"/>
    <col min="15" max="15" width="12" customWidth="1"/>
    <col min="16" max="16" width="13" customWidth="1"/>
    <col min="17" max="17" width="14" customWidth="1"/>
    <col min="18" max="18" width="19" customWidth="1"/>
    <col min="19" max="19" width="12" customWidth="1"/>
    <col min="20" max="20" width="15" customWidth="1"/>
    <col min="21" max="21" width="23" customWidth="1"/>
    <col min="22" max="22" width="20" customWidth="1"/>
    <col min="23" max="24" width="25" customWidth="1"/>
    <col min="25" max="25" width="23" customWidth="1"/>
  </cols>
  <sheetData>
    <row r="1" spans="1:25" ht="15" customHeight="1" x14ac:dyDescent="0.25">
      <c r="A1" s="362" t="s">
        <v>55</v>
      </c>
      <c r="B1" s="363" t="s">
        <v>56</v>
      </c>
      <c r="C1" s="364" t="s">
        <v>80</v>
      </c>
      <c r="D1" s="365" t="s">
        <v>81</v>
      </c>
      <c r="E1" s="366" t="s">
        <v>82</v>
      </c>
      <c r="F1" s="367" t="s">
        <v>96</v>
      </c>
      <c r="G1" s="368" t="s">
        <v>60</v>
      </c>
      <c r="H1" s="369" t="s">
        <v>61</v>
      </c>
      <c r="I1" s="370" t="s">
        <v>83</v>
      </c>
      <c r="J1" s="371" t="s">
        <v>292</v>
      </c>
      <c r="K1" s="372" t="s">
        <v>85</v>
      </c>
      <c r="L1" s="373" t="s">
        <v>64</v>
      </c>
      <c r="M1" s="374" t="s">
        <v>65</v>
      </c>
      <c r="N1" s="375" t="s">
        <v>86</v>
      </c>
      <c r="O1" s="376" t="s">
        <v>87</v>
      </c>
      <c r="P1" s="377" t="s">
        <v>68</v>
      </c>
      <c r="Q1" s="378" t="s">
        <v>88</v>
      </c>
      <c r="R1" s="379" t="s">
        <v>286</v>
      </c>
      <c r="S1" s="380" t="s">
        <v>67</v>
      </c>
      <c r="T1" s="381" t="s">
        <v>91</v>
      </c>
      <c r="U1" s="382" t="s">
        <v>17</v>
      </c>
      <c r="V1" s="383" t="s">
        <v>92</v>
      </c>
      <c r="W1" s="384" t="s">
        <v>19</v>
      </c>
      <c r="X1" s="385" t="s">
        <v>69</v>
      </c>
      <c r="Y1" s="386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rightToLeft="1" topLeftCell="E1" workbookViewId="0">
      <pane ySplit="1" topLeftCell="A2" activePane="bottomLeft" state="frozen"/>
      <selection pane="bottomLeft" activeCell="R2" sqref="R2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33" customWidth="1"/>
    <col min="5" max="5" width="15" customWidth="1"/>
    <col min="6" max="6" width="13" customWidth="1"/>
    <col min="7" max="7" width="7" customWidth="1"/>
    <col min="8" max="8" width="25" customWidth="1"/>
    <col min="9" max="9" width="12" customWidth="1"/>
    <col min="10" max="10" width="13" customWidth="1"/>
    <col min="11" max="11" width="14" customWidth="1"/>
    <col min="12" max="12" width="19" customWidth="1"/>
    <col min="13" max="13" width="15" customWidth="1"/>
    <col min="14" max="14" width="23" customWidth="1"/>
    <col min="15" max="15" width="20" customWidth="1"/>
    <col min="16" max="17" width="25" customWidth="1"/>
    <col min="18" max="18" width="23" customWidth="1"/>
  </cols>
  <sheetData>
    <row r="1" spans="1:18" ht="15" customHeight="1" x14ac:dyDescent="0.25">
      <c r="A1" s="387" t="s">
        <v>55</v>
      </c>
      <c r="B1" s="388" t="s">
        <v>56</v>
      </c>
      <c r="C1" s="389" t="s">
        <v>60</v>
      </c>
      <c r="D1" s="390" t="s">
        <v>81</v>
      </c>
      <c r="E1" s="391" t="s">
        <v>82</v>
      </c>
      <c r="F1" s="392" t="s">
        <v>292</v>
      </c>
      <c r="G1" s="393" t="s">
        <v>86</v>
      </c>
      <c r="H1" s="394" t="s">
        <v>293</v>
      </c>
      <c r="I1" s="395" t="s">
        <v>87</v>
      </c>
      <c r="J1" s="396" t="s">
        <v>68</v>
      </c>
      <c r="K1" s="397" t="s">
        <v>88</v>
      </c>
      <c r="L1" s="398" t="s">
        <v>286</v>
      </c>
      <c r="M1" s="399" t="s">
        <v>91</v>
      </c>
      <c r="N1" s="400" t="s">
        <v>17</v>
      </c>
      <c r="O1" s="401" t="s">
        <v>92</v>
      </c>
      <c r="P1" s="402" t="s">
        <v>19</v>
      </c>
      <c r="Q1" s="403" t="s">
        <v>69</v>
      </c>
      <c r="R1" s="404" t="s">
        <v>70</v>
      </c>
    </row>
    <row r="2" spans="1:18" ht="12.95" customHeight="1" x14ac:dyDescent="0.25">
      <c r="A2" s="405">
        <v>269</v>
      </c>
      <c r="B2" s="406">
        <v>999999</v>
      </c>
      <c r="C2" s="407" t="s">
        <v>0</v>
      </c>
      <c r="D2" s="408" t="s">
        <v>294</v>
      </c>
      <c r="E2" s="409">
        <v>8287997</v>
      </c>
      <c r="F2" s="410" t="s">
        <v>295</v>
      </c>
      <c r="G2" s="411">
        <v>3.12</v>
      </c>
      <c r="H2" s="412" t="s">
        <v>108</v>
      </c>
      <c r="I2" s="413" t="s">
        <v>296</v>
      </c>
      <c r="J2" s="414" t="s">
        <v>297</v>
      </c>
      <c r="K2" s="415" t="s">
        <v>298</v>
      </c>
      <c r="L2" s="416">
        <v>10500000</v>
      </c>
      <c r="M2" s="417">
        <v>129.94</v>
      </c>
      <c r="N2" s="418">
        <v>13643.784</v>
      </c>
      <c r="O2" s="419">
        <v>0</v>
      </c>
      <c r="P2" s="420" t="s">
        <v>22</v>
      </c>
      <c r="Q2" s="421" t="s">
        <v>299</v>
      </c>
      <c r="R2" s="422" t="s">
        <v>0</v>
      </c>
    </row>
    <row r="3" spans="1:18" ht="12.95" customHeight="1" x14ac:dyDescent="0.25">
      <c r="A3" s="405">
        <v>269</v>
      </c>
      <c r="B3" s="406">
        <v>999999</v>
      </c>
      <c r="C3" s="407" t="s">
        <v>0</v>
      </c>
      <c r="D3" s="408" t="s">
        <v>300</v>
      </c>
      <c r="E3" s="409">
        <v>8288003</v>
      </c>
      <c r="F3" s="410" t="s">
        <v>301</v>
      </c>
      <c r="G3" s="411">
        <v>3.2</v>
      </c>
      <c r="H3" s="412" t="s">
        <v>108</v>
      </c>
      <c r="I3" s="413" t="s">
        <v>302</v>
      </c>
      <c r="J3" s="414" t="s">
        <v>297</v>
      </c>
      <c r="K3" s="415" t="s">
        <v>303</v>
      </c>
      <c r="L3" s="416">
        <v>7200000</v>
      </c>
      <c r="M3" s="417">
        <v>129.88999999999999</v>
      </c>
      <c r="N3" s="418">
        <v>9352.1880000000001</v>
      </c>
      <c r="O3" s="419">
        <v>0</v>
      </c>
      <c r="P3" s="420" t="s">
        <v>22</v>
      </c>
      <c r="Q3" s="421" t="s">
        <v>304</v>
      </c>
      <c r="R3" s="422" t="s">
        <v>0</v>
      </c>
    </row>
    <row r="4" spans="1:18" ht="12.95" customHeight="1" x14ac:dyDescent="0.25">
      <c r="A4" s="405">
        <v>269</v>
      </c>
      <c r="B4" s="406">
        <v>999999</v>
      </c>
      <c r="C4" s="407" t="s">
        <v>0</v>
      </c>
      <c r="D4" s="408" t="s">
        <v>305</v>
      </c>
      <c r="E4" s="409">
        <v>8288011</v>
      </c>
      <c r="F4" s="410" t="s">
        <v>306</v>
      </c>
      <c r="G4" s="411">
        <v>3.21</v>
      </c>
      <c r="H4" s="412" t="s">
        <v>108</v>
      </c>
      <c r="I4" s="413" t="s">
        <v>307</v>
      </c>
      <c r="J4" s="414" t="s">
        <v>297</v>
      </c>
      <c r="K4" s="415" t="s">
        <v>303</v>
      </c>
      <c r="L4" s="416">
        <v>2300000</v>
      </c>
      <c r="M4" s="417">
        <v>132.52000000000001</v>
      </c>
      <c r="N4" s="418">
        <v>3047.9229999999998</v>
      </c>
      <c r="O4" s="419">
        <v>0</v>
      </c>
      <c r="P4" s="420" t="s">
        <v>22</v>
      </c>
      <c r="Q4" s="421" t="s">
        <v>308</v>
      </c>
      <c r="R4" s="422" t="s">
        <v>0</v>
      </c>
    </row>
    <row r="5" spans="1:18" ht="12.95" customHeight="1" x14ac:dyDescent="0.25">
      <c r="A5" s="405">
        <v>269</v>
      </c>
      <c r="B5" s="406">
        <v>999999</v>
      </c>
      <c r="C5" s="407" t="s">
        <v>0</v>
      </c>
      <c r="D5" s="408" t="s">
        <v>309</v>
      </c>
      <c r="E5" s="409">
        <v>8288029</v>
      </c>
      <c r="F5" s="410" t="s">
        <v>310</v>
      </c>
      <c r="G5" s="411">
        <v>3.29</v>
      </c>
      <c r="H5" s="412" t="s">
        <v>108</v>
      </c>
      <c r="I5" s="413" t="s">
        <v>311</v>
      </c>
      <c r="J5" s="414" t="s">
        <v>297</v>
      </c>
      <c r="K5" s="415" t="s">
        <v>312</v>
      </c>
      <c r="L5" s="416">
        <v>55730000</v>
      </c>
      <c r="M5" s="417">
        <v>132.08000000000001</v>
      </c>
      <c r="N5" s="418">
        <v>73608.294999999998</v>
      </c>
      <c r="O5" s="419">
        <v>0</v>
      </c>
      <c r="P5" s="420" t="s">
        <v>22</v>
      </c>
      <c r="Q5" s="421" t="s">
        <v>313</v>
      </c>
      <c r="R5" s="422" t="s">
        <v>0</v>
      </c>
    </row>
    <row r="6" spans="1:18" ht="12.95" customHeight="1" x14ac:dyDescent="0.25">
      <c r="A6" s="405">
        <v>269</v>
      </c>
      <c r="B6" s="406">
        <v>999999</v>
      </c>
      <c r="C6" s="407" t="s">
        <v>0</v>
      </c>
      <c r="D6" s="408" t="s">
        <v>314</v>
      </c>
      <c r="E6" s="409">
        <v>8288037</v>
      </c>
      <c r="F6" s="410" t="s">
        <v>315</v>
      </c>
      <c r="G6" s="411">
        <v>3.38</v>
      </c>
      <c r="H6" s="412" t="s">
        <v>108</v>
      </c>
      <c r="I6" s="413" t="s">
        <v>316</v>
      </c>
      <c r="J6" s="414" t="s">
        <v>297</v>
      </c>
      <c r="K6" s="415" t="s">
        <v>317</v>
      </c>
      <c r="L6" s="416">
        <v>14050000</v>
      </c>
      <c r="M6" s="417">
        <v>131.26</v>
      </c>
      <c r="N6" s="418">
        <v>18441.524000000001</v>
      </c>
      <c r="O6" s="419">
        <v>0</v>
      </c>
      <c r="P6" s="420" t="s">
        <v>22</v>
      </c>
      <c r="Q6" s="421" t="s">
        <v>318</v>
      </c>
      <c r="R6" s="422" t="s">
        <v>0</v>
      </c>
    </row>
    <row r="7" spans="1:18" ht="12.95" customHeight="1" x14ac:dyDescent="0.25">
      <c r="A7" s="405">
        <v>269</v>
      </c>
      <c r="B7" s="406">
        <v>999999</v>
      </c>
      <c r="C7" s="407" t="s">
        <v>0</v>
      </c>
      <c r="D7" s="408" t="s">
        <v>319</v>
      </c>
      <c r="E7" s="409">
        <v>8288045</v>
      </c>
      <c r="F7" s="410" t="s">
        <v>320</v>
      </c>
      <c r="G7" s="411">
        <v>3.46</v>
      </c>
      <c r="H7" s="412" t="s">
        <v>108</v>
      </c>
      <c r="I7" s="413" t="s">
        <v>321</v>
      </c>
      <c r="J7" s="414" t="s">
        <v>297</v>
      </c>
      <c r="K7" s="415" t="s">
        <v>317</v>
      </c>
      <c r="L7" s="416">
        <v>6760000</v>
      </c>
      <c r="M7" s="417">
        <v>130.94999999999999</v>
      </c>
      <c r="N7" s="418">
        <v>8851.8889999999992</v>
      </c>
      <c r="O7" s="419">
        <v>0</v>
      </c>
      <c r="P7" s="420" t="s">
        <v>22</v>
      </c>
      <c r="Q7" s="421" t="s">
        <v>322</v>
      </c>
      <c r="R7" s="422" t="s">
        <v>0</v>
      </c>
    </row>
    <row r="8" spans="1:18" ht="12.95" customHeight="1" x14ac:dyDescent="0.25">
      <c r="A8" s="405">
        <v>269</v>
      </c>
      <c r="B8" s="406">
        <v>999999</v>
      </c>
      <c r="C8" s="407" t="s">
        <v>0</v>
      </c>
      <c r="D8" s="408" t="s">
        <v>323</v>
      </c>
      <c r="E8" s="409">
        <v>8288052</v>
      </c>
      <c r="F8" s="410" t="s">
        <v>324</v>
      </c>
      <c r="G8" s="411">
        <v>3.55</v>
      </c>
      <c r="H8" s="412" t="s">
        <v>108</v>
      </c>
      <c r="I8" s="413" t="s">
        <v>325</v>
      </c>
      <c r="J8" s="414" t="s">
        <v>297</v>
      </c>
      <c r="K8" s="415" t="s">
        <v>317</v>
      </c>
      <c r="L8" s="416">
        <v>3020000</v>
      </c>
      <c r="M8" s="417">
        <v>129.72999999999999</v>
      </c>
      <c r="N8" s="418">
        <v>3917.8429999999998</v>
      </c>
      <c r="O8" s="419">
        <v>0</v>
      </c>
      <c r="P8" s="420" t="s">
        <v>22</v>
      </c>
      <c r="Q8" s="421" t="s">
        <v>326</v>
      </c>
      <c r="R8" s="422" t="s">
        <v>0</v>
      </c>
    </row>
    <row r="9" spans="1:18" ht="12.95" customHeight="1" x14ac:dyDescent="0.25">
      <c r="A9" s="405">
        <v>269</v>
      </c>
      <c r="B9" s="406">
        <v>999999</v>
      </c>
      <c r="C9" s="407" t="s">
        <v>0</v>
      </c>
      <c r="D9" s="408" t="s">
        <v>327</v>
      </c>
      <c r="E9" s="409">
        <v>8288060</v>
      </c>
      <c r="F9" s="410" t="s">
        <v>328</v>
      </c>
      <c r="G9" s="411">
        <v>3.63</v>
      </c>
      <c r="H9" s="412" t="s">
        <v>108</v>
      </c>
      <c r="I9" s="413" t="s">
        <v>329</v>
      </c>
      <c r="J9" s="414" t="s">
        <v>297</v>
      </c>
      <c r="K9" s="415" t="s">
        <v>330</v>
      </c>
      <c r="L9" s="416">
        <v>4410000</v>
      </c>
      <c r="M9" s="417">
        <v>129.06</v>
      </c>
      <c r="N9" s="418">
        <v>5691.5020000000004</v>
      </c>
      <c r="O9" s="419">
        <v>0</v>
      </c>
      <c r="P9" s="420" t="s">
        <v>22</v>
      </c>
      <c r="Q9" s="421" t="s">
        <v>331</v>
      </c>
      <c r="R9" s="422" t="s">
        <v>0</v>
      </c>
    </row>
    <row r="10" spans="1:18" ht="12.95" customHeight="1" x14ac:dyDescent="0.25">
      <c r="A10" s="405">
        <v>269</v>
      </c>
      <c r="B10" s="406">
        <v>999999</v>
      </c>
      <c r="C10" s="407" t="s">
        <v>0</v>
      </c>
      <c r="D10" s="408" t="s">
        <v>332</v>
      </c>
      <c r="E10" s="409">
        <v>8288078</v>
      </c>
      <c r="F10" s="410" t="s">
        <v>333</v>
      </c>
      <c r="G10" s="411">
        <v>3.63</v>
      </c>
      <c r="H10" s="412" t="s">
        <v>108</v>
      </c>
      <c r="I10" s="413" t="s">
        <v>334</v>
      </c>
      <c r="J10" s="414" t="s">
        <v>297</v>
      </c>
      <c r="K10" s="415" t="s">
        <v>330</v>
      </c>
      <c r="L10" s="416">
        <v>1020000</v>
      </c>
      <c r="M10" s="417">
        <v>131.38999999999999</v>
      </c>
      <c r="N10" s="418">
        <v>1340.154</v>
      </c>
      <c r="O10" s="419">
        <v>0</v>
      </c>
      <c r="P10" s="420" t="s">
        <v>22</v>
      </c>
      <c r="Q10" s="421" t="s">
        <v>335</v>
      </c>
      <c r="R10" s="422" t="s">
        <v>0</v>
      </c>
    </row>
    <row r="11" spans="1:18" ht="12.95" customHeight="1" x14ac:dyDescent="0.25">
      <c r="A11" s="405">
        <v>269</v>
      </c>
      <c r="B11" s="406">
        <v>999999</v>
      </c>
      <c r="C11" s="407" t="s">
        <v>0</v>
      </c>
      <c r="D11" s="408" t="s">
        <v>336</v>
      </c>
      <c r="E11" s="409">
        <v>8288086</v>
      </c>
      <c r="F11" s="410" t="s">
        <v>337</v>
      </c>
      <c r="G11" s="411">
        <v>3.72</v>
      </c>
      <c r="H11" s="412" t="s">
        <v>108</v>
      </c>
      <c r="I11" s="413" t="s">
        <v>338</v>
      </c>
      <c r="J11" s="414" t="s">
        <v>297</v>
      </c>
      <c r="K11" s="415" t="s">
        <v>330</v>
      </c>
      <c r="L11" s="416">
        <v>7080000</v>
      </c>
      <c r="M11" s="417">
        <v>131.19999999999999</v>
      </c>
      <c r="N11" s="418">
        <v>9288.8330000000005</v>
      </c>
      <c r="O11" s="419">
        <v>0</v>
      </c>
      <c r="P11" s="420" t="s">
        <v>22</v>
      </c>
      <c r="Q11" s="421" t="s">
        <v>339</v>
      </c>
      <c r="R11" s="422" t="s">
        <v>0</v>
      </c>
    </row>
    <row r="12" spans="1:18" ht="12.95" customHeight="1" x14ac:dyDescent="0.25">
      <c r="A12" s="405">
        <v>269</v>
      </c>
      <c r="B12" s="406">
        <v>999999</v>
      </c>
      <c r="C12" s="407" t="s">
        <v>0</v>
      </c>
      <c r="D12" s="408" t="s">
        <v>340</v>
      </c>
      <c r="E12" s="409">
        <v>8288094</v>
      </c>
      <c r="F12" s="410" t="s">
        <v>341</v>
      </c>
      <c r="G12" s="411">
        <v>3.8</v>
      </c>
      <c r="H12" s="412" t="s">
        <v>108</v>
      </c>
      <c r="I12" s="413" t="s">
        <v>342</v>
      </c>
      <c r="J12" s="414" t="s">
        <v>297</v>
      </c>
      <c r="K12" s="415" t="s">
        <v>343</v>
      </c>
      <c r="L12" s="416">
        <v>24670000</v>
      </c>
      <c r="M12" s="417">
        <v>130.52000000000001</v>
      </c>
      <c r="N12" s="418">
        <v>32198.617999999999</v>
      </c>
      <c r="O12" s="419">
        <v>0</v>
      </c>
      <c r="P12" s="420" t="s">
        <v>22</v>
      </c>
      <c r="Q12" s="421" t="s">
        <v>344</v>
      </c>
      <c r="R12" s="422" t="s">
        <v>0</v>
      </c>
    </row>
    <row r="13" spans="1:18" ht="12.95" customHeight="1" x14ac:dyDescent="0.25">
      <c r="A13" s="405">
        <v>269</v>
      </c>
      <c r="B13" s="406">
        <v>999999</v>
      </c>
      <c r="C13" s="407" t="s">
        <v>0</v>
      </c>
      <c r="D13" s="408" t="s">
        <v>345</v>
      </c>
      <c r="E13" s="409">
        <v>8288110</v>
      </c>
      <c r="F13" s="410" t="s">
        <v>346</v>
      </c>
      <c r="G13" s="411">
        <v>3.97</v>
      </c>
      <c r="H13" s="412" t="s">
        <v>108</v>
      </c>
      <c r="I13" s="413" t="s">
        <v>347</v>
      </c>
      <c r="J13" s="414" t="s">
        <v>297</v>
      </c>
      <c r="K13" s="415" t="s">
        <v>343</v>
      </c>
      <c r="L13" s="416">
        <v>8850000</v>
      </c>
      <c r="M13" s="417">
        <v>130.51</v>
      </c>
      <c r="N13" s="418">
        <v>11550.241</v>
      </c>
      <c r="O13" s="419">
        <v>0</v>
      </c>
      <c r="P13" s="420" t="s">
        <v>22</v>
      </c>
      <c r="Q13" s="421" t="s">
        <v>348</v>
      </c>
      <c r="R13" s="422" t="s">
        <v>0</v>
      </c>
    </row>
    <row r="14" spans="1:18" ht="12.95" customHeight="1" x14ac:dyDescent="0.25">
      <c r="A14" s="405">
        <v>269</v>
      </c>
      <c r="B14" s="406">
        <v>999999</v>
      </c>
      <c r="C14" s="407" t="s">
        <v>0</v>
      </c>
      <c r="D14" s="408" t="s">
        <v>349</v>
      </c>
      <c r="E14" s="409">
        <v>8288128</v>
      </c>
      <c r="F14" s="410" t="s">
        <v>350</v>
      </c>
      <c r="G14" s="411">
        <v>4.05</v>
      </c>
      <c r="H14" s="412" t="s">
        <v>108</v>
      </c>
      <c r="I14" s="413" t="s">
        <v>351</v>
      </c>
      <c r="J14" s="414" t="s">
        <v>297</v>
      </c>
      <c r="K14" s="415" t="s">
        <v>352</v>
      </c>
      <c r="L14" s="416">
        <v>10320000</v>
      </c>
      <c r="M14" s="417">
        <v>130.99</v>
      </c>
      <c r="N14" s="418">
        <v>13517.91</v>
      </c>
      <c r="O14" s="419">
        <v>0</v>
      </c>
      <c r="P14" s="420" t="s">
        <v>22</v>
      </c>
      <c r="Q14" s="421" t="s">
        <v>353</v>
      </c>
      <c r="R14" s="422" t="s">
        <v>0</v>
      </c>
    </row>
    <row r="15" spans="1:18" ht="12.95" customHeight="1" x14ac:dyDescent="0.25">
      <c r="A15" s="405">
        <v>269</v>
      </c>
      <c r="B15" s="406">
        <v>999999</v>
      </c>
      <c r="C15" s="407" t="s">
        <v>0</v>
      </c>
      <c r="D15" s="408" t="s">
        <v>354</v>
      </c>
      <c r="E15" s="409">
        <v>8288136</v>
      </c>
      <c r="F15" s="410" t="s">
        <v>355</v>
      </c>
      <c r="G15" s="411">
        <v>4.05</v>
      </c>
      <c r="H15" s="412" t="s">
        <v>108</v>
      </c>
      <c r="I15" s="413" t="s">
        <v>356</v>
      </c>
      <c r="J15" s="414" t="s">
        <v>297</v>
      </c>
      <c r="K15" s="415" t="s">
        <v>352</v>
      </c>
      <c r="L15" s="416">
        <v>6900000</v>
      </c>
      <c r="M15" s="417">
        <v>133.84</v>
      </c>
      <c r="N15" s="418">
        <v>9235.0499999999993</v>
      </c>
      <c r="O15" s="419">
        <v>0</v>
      </c>
      <c r="P15" s="420" t="s">
        <v>22</v>
      </c>
      <c r="Q15" s="421" t="s">
        <v>357</v>
      </c>
      <c r="R15" s="422" t="s">
        <v>0</v>
      </c>
    </row>
    <row r="16" spans="1:18" ht="12.95" customHeight="1" x14ac:dyDescent="0.25">
      <c r="A16" s="405">
        <v>269</v>
      </c>
      <c r="B16" s="406">
        <v>999999</v>
      </c>
      <c r="C16" s="407" t="s">
        <v>0</v>
      </c>
      <c r="D16" s="408" t="s">
        <v>358</v>
      </c>
      <c r="E16" s="409">
        <v>8288144</v>
      </c>
      <c r="F16" s="410" t="s">
        <v>359</v>
      </c>
      <c r="G16" s="411">
        <v>4.13</v>
      </c>
      <c r="H16" s="412" t="s">
        <v>108</v>
      </c>
      <c r="I16" s="413" t="s">
        <v>360</v>
      </c>
      <c r="J16" s="414" t="s">
        <v>297</v>
      </c>
      <c r="K16" s="415" t="s">
        <v>352</v>
      </c>
      <c r="L16" s="416">
        <v>940000</v>
      </c>
      <c r="M16" s="417">
        <v>133.26</v>
      </c>
      <c r="N16" s="418">
        <v>1252.606</v>
      </c>
      <c r="O16" s="419">
        <v>0</v>
      </c>
      <c r="P16" s="420" t="s">
        <v>22</v>
      </c>
      <c r="Q16" s="421" t="s">
        <v>361</v>
      </c>
      <c r="R16" s="422" t="s">
        <v>0</v>
      </c>
    </row>
    <row r="17" spans="1:18" ht="12.95" customHeight="1" x14ac:dyDescent="0.25">
      <c r="A17" s="405">
        <v>269</v>
      </c>
      <c r="B17" s="406">
        <v>999999</v>
      </c>
      <c r="C17" s="407" t="s">
        <v>0</v>
      </c>
      <c r="D17" s="408" t="s">
        <v>362</v>
      </c>
      <c r="E17" s="409">
        <v>8288151</v>
      </c>
      <c r="F17" s="410" t="s">
        <v>363</v>
      </c>
      <c r="G17" s="411">
        <v>4.21</v>
      </c>
      <c r="H17" s="412" t="s">
        <v>108</v>
      </c>
      <c r="I17" s="413" t="s">
        <v>364</v>
      </c>
      <c r="J17" s="414" t="s">
        <v>297</v>
      </c>
      <c r="K17" s="415" t="s">
        <v>365</v>
      </c>
      <c r="L17" s="416">
        <v>23760000</v>
      </c>
      <c r="M17" s="417">
        <v>132.81</v>
      </c>
      <c r="N17" s="418">
        <v>31554.942999999999</v>
      </c>
      <c r="O17" s="419">
        <v>0</v>
      </c>
      <c r="P17" s="420" t="s">
        <v>22</v>
      </c>
      <c r="Q17" s="421" t="s">
        <v>366</v>
      </c>
      <c r="R17" s="422" t="s">
        <v>0</v>
      </c>
    </row>
    <row r="18" spans="1:18" ht="12.95" customHeight="1" x14ac:dyDescent="0.25">
      <c r="A18" s="405">
        <v>269</v>
      </c>
      <c r="B18" s="406">
        <v>999999</v>
      </c>
      <c r="C18" s="407" t="s">
        <v>0</v>
      </c>
      <c r="D18" s="408" t="s">
        <v>367</v>
      </c>
      <c r="E18" s="409">
        <v>8288177</v>
      </c>
      <c r="F18" s="410" t="s">
        <v>368</v>
      </c>
      <c r="G18" s="411">
        <v>4.38</v>
      </c>
      <c r="H18" s="412" t="s">
        <v>108</v>
      </c>
      <c r="I18" s="413" t="s">
        <v>369</v>
      </c>
      <c r="J18" s="414" t="s">
        <v>297</v>
      </c>
      <c r="K18" s="415" t="s">
        <v>365</v>
      </c>
      <c r="L18" s="416">
        <v>4120000</v>
      </c>
      <c r="M18" s="417">
        <v>131.9</v>
      </c>
      <c r="N18" s="418">
        <v>5434.2020000000002</v>
      </c>
      <c r="O18" s="419">
        <v>0</v>
      </c>
      <c r="P18" s="420" t="s">
        <v>22</v>
      </c>
      <c r="Q18" s="421" t="s">
        <v>370</v>
      </c>
      <c r="R18" s="422" t="s">
        <v>0</v>
      </c>
    </row>
    <row r="19" spans="1:18" ht="12.95" customHeight="1" x14ac:dyDescent="0.25">
      <c r="A19" s="405">
        <v>269</v>
      </c>
      <c r="B19" s="406">
        <v>999999</v>
      </c>
      <c r="C19" s="407" t="s">
        <v>0</v>
      </c>
      <c r="D19" s="408" t="s">
        <v>371</v>
      </c>
      <c r="E19" s="409">
        <v>8288193</v>
      </c>
      <c r="F19" s="410" t="s">
        <v>372</v>
      </c>
      <c r="G19" s="411">
        <v>4.45</v>
      </c>
      <c r="H19" s="412" t="s">
        <v>108</v>
      </c>
      <c r="I19" s="413" t="s">
        <v>373</v>
      </c>
      <c r="J19" s="414" t="s">
        <v>297</v>
      </c>
      <c r="K19" s="415" t="s">
        <v>374</v>
      </c>
      <c r="L19" s="416">
        <v>1140000</v>
      </c>
      <c r="M19" s="417">
        <v>134.13999999999999</v>
      </c>
      <c r="N19" s="418">
        <v>1529.1990000000001</v>
      </c>
      <c r="O19" s="419">
        <v>0</v>
      </c>
      <c r="P19" s="420" t="s">
        <v>22</v>
      </c>
      <c r="Q19" s="421" t="s">
        <v>375</v>
      </c>
      <c r="R19" s="422" t="s">
        <v>0</v>
      </c>
    </row>
    <row r="20" spans="1:18" ht="12.95" customHeight="1" x14ac:dyDescent="0.25">
      <c r="A20" s="405">
        <v>269</v>
      </c>
      <c r="B20" s="406">
        <v>999999</v>
      </c>
      <c r="C20" s="407" t="s">
        <v>0</v>
      </c>
      <c r="D20" s="408" t="s">
        <v>376</v>
      </c>
      <c r="E20" s="409">
        <v>8288201</v>
      </c>
      <c r="F20" s="410" t="s">
        <v>377</v>
      </c>
      <c r="G20" s="411">
        <v>4.54</v>
      </c>
      <c r="H20" s="412" t="s">
        <v>108</v>
      </c>
      <c r="I20" s="413" t="s">
        <v>378</v>
      </c>
      <c r="J20" s="414" t="s">
        <v>297</v>
      </c>
      <c r="K20" s="415" t="s">
        <v>374</v>
      </c>
      <c r="L20" s="416">
        <v>1310000</v>
      </c>
      <c r="M20" s="417">
        <v>134.33000000000001</v>
      </c>
      <c r="N20" s="418">
        <v>1759.749</v>
      </c>
      <c r="O20" s="419">
        <v>0</v>
      </c>
      <c r="P20" s="420" t="s">
        <v>22</v>
      </c>
      <c r="Q20" s="421" t="s">
        <v>379</v>
      </c>
      <c r="R20" s="422" t="s">
        <v>0</v>
      </c>
    </row>
    <row r="21" spans="1:18" ht="12.95" customHeight="1" x14ac:dyDescent="0.25">
      <c r="A21" s="405">
        <v>269</v>
      </c>
      <c r="B21" s="406">
        <v>999999</v>
      </c>
      <c r="C21" s="407" t="s">
        <v>0</v>
      </c>
      <c r="D21" s="408" t="s">
        <v>380</v>
      </c>
      <c r="E21" s="409">
        <v>8288219</v>
      </c>
      <c r="F21" s="410" t="s">
        <v>381</v>
      </c>
      <c r="G21" s="411">
        <v>4.62</v>
      </c>
      <c r="H21" s="412" t="s">
        <v>108</v>
      </c>
      <c r="I21" s="413" t="s">
        <v>382</v>
      </c>
      <c r="J21" s="414" t="s">
        <v>297</v>
      </c>
      <c r="K21" s="415" t="s">
        <v>383</v>
      </c>
      <c r="L21" s="416">
        <v>12130000</v>
      </c>
      <c r="M21" s="417">
        <v>133.62</v>
      </c>
      <c r="N21" s="418">
        <v>16207.633</v>
      </c>
      <c r="O21" s="419">
        <v>0</v>
      </c>
      <c r="P21" s="420" t="s">
        <v>22</v>
      </c>
      <c r="Q21" s="421" t="s">
        <v>384</v>
      </c>
      <c r="R21" s="422" t="s">
        <v>0</v>
      </c>
    </row>
    <row r="22" spans="1:18" ht="12.95" customHeight="1" x14ac:dyDescent="0.25">
      <c r="A22" s="405">
        <v>269</v>
      </c>
      <c r="B22" s="406">
        <v>999999</v>
      </c>
      <c r="C22" s="407" t="s">
        <v>0</v>
      </c>
      <c r="D22" s="408" t="s">
        <v>385</v>
      </c>
      <c r="E22" s="409">
        <v>8288235</v>
      </c>
      <c r="F22" s="410" t="s">
        <v>386</v>
      </c>
      <c r="G22" s="411">
        <v>4.79</v>
      </c>
      <c r="H22" s="412" t="s">
        <v>108</v>
      </c>
      <c r="I22" s="413" t="s">
        <v>387</v>
      </c>
      <c r="J22" s="414" t="s">
        <v>297</v>
      </c>
      <c r="K22" s="415" t="s">
        <v>383</v>
      </c>
      <c r="L22" s="416">
        <v>12200000</v>
      </c>
      <c r="M22" s="417">
        <v>133.47999999999999</v>
      </c>
      <c r="N22" s="418">
        <v>16284.133</v>
      </c>
      <c r="O22" s="419">
        <v>0</v>
      </c>
      <c r="P22" s="420" t="s">
        <v>22</v>
      </c>
      <c r="Q22" s="421" t="s">
        <v>388</v>
      </c>
      <c r="R22" s="422" t="s">
        <v>0</v>
      </c>
    </row>
    <row r="23" spans="1:18" ht="12.95" customHeight="1" x14ac:dyDescent="0.25">
      <c r="A23" s="405">
        <v>269</v>
      </c>
      <c r="B23" s="406">
        <v>999999</v>
      </c>
      <c r="C23" s="407" t="s">
        <v>0</v>
      </c>
      <c r="D23" s="408" t="s">
        <v>389</v>
      </c>
      <c r="E23" s="409">
        <v>8288243</v>
      </c>
      <c r="F23" s="410" t="s">
        <v>390</v>
      </c>
      <c r="G23" s="411">
        <v>4.8600000000000003</v>
      </c>
      <c r="H23" s="412" t="s">
        <v>108</v>
      </c>
      <c r="I23" s="413" t="s">
        <v>391</v>
      </c>
      <c r="J23" s="414" t="s">
        <v>297</v>
      </c>
      <c r="K23" s="415" t="s">
        <v>392</v>
      </c>
      <c r="L23" s="416">
        <v>15440000</v>
      </c>
      <c r="M23" s="417">
        <v>134.37</v>
      </c>
      <c r="N23" s="418">
        <v>20746.558000000001</v>
      </c>
      <c r="O23" s="419">
        <v>0</v>
      </c>
      <c r="P23" s="420" t="s">
        <v>22</v>
      </c>
      <c r="Q23" s="421" t="s">
        <v>393</v>
      </c>
      <c r="R23" s="422" t="s">
        <v>0</v>
      </c>
    </row>
    <row r="24" spans="1:18" ht="12.95" customHeight="1" x14ac:dyDescent="0.25">
      <c r="A24" s="405">
        <v>269</v>
      </c>
      <c r="B24" s="406">
        <v>999999</v>
      </c>
      <c r="C24" s="407" t="s">
        <v>0</v>
      </c>
      <c r="D24" s="408" t="s">
        <v>394</v>
      </c>
      <c r="E24" s="409">
        <v>8288268</v>
      </c>
      <c r="F24" s="410" t="s">
        <v>395</v>
      </c>
      <c r="G24" s="411">
        <v>4.93</v>
      </c>
      <c r="H24" s="412" t="s">
        <v>108</v>
      </c>
      <c r="I24" s="413" t="s">
        <v>396</v>
      </c>
      <c r="J24" s="414" t="s">
        <v>297</v>
      </c>
      <c r="K24" s="415" t="s">
        <v>392</v>
      </c>
      <c r="L24" s="416">
        <v>9590000</v>
      </c>
      <c r="M24" s="417">
        <v>137.31</v>
      </c>
      <c r="N24" s="418">
        <v>13167.588</v>
      </c>
      <c r="O24" s="419">
        <v>0</v>
      </c>
      <c r="P24" s="420" t="s">
        <v>22</v>
      </c>
      <c r="Q24" s="421" t="s">
        <v>392</v>
      </c>
      <c r="R24" s="422" t="s">
        <v>0</v>
      </c>
    </row>
    <row r="25" spans="1:18" ht="12.95" customHeight="1" x14ac:dyDescent="0.25">
      <c r="A25" s="405">
        <v>269</v>
      </c>
      <c r="B25" s="406">
        <v>999999</v>
      </c>
      <c r="C25" s="407" t="s">
        <v>0</v>
      </c>
      <c r="D25" s="408" t="s">
        <v>397</v>
      </c>
      <c r="E25" s="409">
        <v>8288292</v>
      </c>
      <c r="F25" s="410" t="s">
        <v>398</v>
      </c>
      <c r="G25" s="411">
        <v>5.18</v>
      </c>
      <c r="H25" s="412" t="s">
        <v>108</v>
      </c>
      <c r="I25" s="413" t="s">
        <v>399</v>
      </c>
      <c r="J25" s="414" t="s">
        <v>297</v>
      </c>
      <c r="K25" s="415" t="s">
        <v>400</v>
      </c>
      <c r="L25" s="416">
        <v>1750000</v>
      </c>
      <c r="M25" s="417">
        <v>135.04</v>
      </c>
      <c r="N25" s="418">
        <v>2363.183</v>
      </c>
      <c r="O25" s="419">
        <v>0</v>
      </c>
      <c r="P25" s="420" t="s">
        <v>22</v>
      </c>
      <c r="Q25" s="421" t="s">
        <v>401</v>
      </c>
      <c r="R25" s="422" t="s">
        <v>0</v>
      </c>
    </row>
    <row r="26" spans="1:18" ht="12.95" customHeight="1" x14ac:dyDescent="0.25">
      <c r="A26" s="405">
        <v>269</v>
      </c>
      <c r="B26" s="406">
        <v>999999</v>
      </c>
      <c r="C26" s="407" t="s">
        <v>0</v>
      </c>
      <c r="D26" s="408" t="s">
        <v>402</v>
      </c>
      <c r="E26" s="409">
        <v>8288326</v>
      </c>
      <c r="F26" s="410" t="s">
        <v>403</v>
      </c>
      <c r="G26" s="411">
        <v>5.32</v>
      </c>
      <c r="H26" s="412" t="s">
        <v>108</v>
      </c>
      <c r="I26" s="413" t="s">
        <v>404</v>
      </c>
      <c r="J26" s="414" t="s">
        <v>297</v>
      </c>
      <c r="K26" s="415" t="s">
        <v>405</v>
      </c>
      <c r="L26" s="416">
        <v>4970000</v>
      </c>
      <c r="M26" s="417">
        <v>137.62</v>
      </c>
      <c r="N26" s="418">
        <v>6839.59</v>
      </c>
      <c r="O26" s="419">
        <v>0</v>
      </c>
      <c r="P26" s="420" t="s">
        <v>22</v>
      </c>
      <c r="Q26" s="421" t="s">
        <v>406</v>
      </c>
      <c r="R26" s="422" t="s">
        <v>0</v>
      </c>
    </row>
    <row r="27" spans="1:18" ht="12.95" customHeight="1" x14ac:dyDescent="0.25">
      <c r="A27" s="405">
        <v>269</v>
      </c>
      <c r="B27" s="406">
        <v>999999</v>
      </c>
      <c r="C27" s="407" t="s">
        <v>0</v>
      </c>
      <c r="D27" s="408" t="s">
        <v>407</v>
      </c>
      <c r="E27" s="409">
        <v>8288334</v>
      </c>
      <c r="F27" s="410" t="s">
        <v>408</v>
      </c>
      <c r="G27" s="411">
        <v>5.41</v>
      </c>
      <c r="H27" s="412" t="s">
        <v>108</v>
      </c>
      <c r="I27" s="413" t="s">
        <v>409</v>
      </c>
      <c r="J27" s="414" t="s">
        <v>297</v>
      </c>
      <c r="K27" s="415" t="s">
        <v>353</v>
      </c>
      <c r="L27" s="416">
        <v>2010000</v>
      </c>
      <c r="M27" s="417">
        <v>137.13999999999999</v>
      </c>
      <c r="N27" s="418">
        <v>2756.5639999999999</v>
      </c>
      <c r="O27" s="419">
        <v>0</v>
      </c>
      <c r="P27" s="420" t="s">
        <v>22</v>
      </c>
      <c r="Q27" s="421" t="s">
        <v>243</v>
      </c>
      <c r="R27" s="422" t="s">
        <v>0</v>
      </c>
    </row>
    <row r="28" spans="1:18" ht="12.95" customHeight="1" x14ac:dyDescent="0.25">
      <c r="A28" s="405">
        <v>269</v>
      </c>
      <c r="B28" s="406">
        <v>999999</v>
      </c>
      <c r="C28" s="407" t="s">
        <v>0</v>
      </c>
      <c r="D28" s="408" t="s">
        <v>410</v>
      </c>
      <c r="E28" s="409">
        <v>8288342</v>
      </c>
      <c r="F28" s="410" t="s">
        <v>411</v>
      </c>
      <c r="G28" s="411">
        <v>5.49</v>
      </c>
      <c r="H28" s="412" t="s">
        <v>108</v>
      </c>
      <c r="I28" s="413" t="s">
        <v>412</v>
      </c>
      <c r="J28" s="414" t="s">
        <v>297</v>
      </c>
      <c r="K28" s="415" t="s">
        <v>353</v>
      </c>
      <c r="L28" s="416">
        <v>7330000</v>
      </c>
      <c r="M28" s="417">
        <v>137.47999999999999</v>
      </c>
      <c r="N28" s="418">
        <v>10077.306</v>
      </c>
      <c r="O28" s="419">
        <v>0</v>
      </c>
      <c r="P28" s="420" t="s">
        <v>22</v>
      </c>
      <c r="Q28" s="421" t="s">
        <v>413</v>
      </c>
      <c r="R28" s="422" t="s">
        <v>0</v>
      </c>
    </row>
    <row r="29" spans="1:18" ht="12.95" customHeight="1" x14ac:dyDescent="0.25">
      <c r="A29" s="405">
        <v>269</v>
      </c>
      <c r="B29" s="406">
        <v>999999</v>
      </c>
      <c r="C29" s="407" t="s">
        <v>0</v>
      </c>
      <c r="D29" s="408" t="s">
        <v>414</v>
      </c>
      <c r="E29" s="409">
        <v>8288367</v>
      </c>
      <c r="F29" s="410" t="s">
        <v>415</v>
      </c>
      <c r="G29" s="411">
        <v>5.65</v>
      </c>
      <c r="H29" s="412" t="s">
        <v>108</v>
      </c>
      <c r="I29" s="413" t="s">
        <v>416</v>
      </c>
      <c r="J29" s="414" t="s">
        <v>297</v>
      </c>
      <c r="K29" s="415" t="s">
        <v>417</v>
      </c>
      <c r="L29" s="416">
        <v>2540000</v>
      </c>
      <c r="M29" s="417">
        <v>137.77000000000001</v>
      </c>
      <c r="N29" s="418">
        <v>3499.2359999999999</v>
      </c>
      <c r="O29" s="419">
        <v>0</v>
      </c>
      <c r="P29" s="420" t="s">
        <v>22</v>
      </c>
      <c r="Q29" s="421" t="s">
        <v>418</v>
      </c>
      <c r="R29" s="422" t="s">
        <v>0</v>
      </c>
    </row>
    <row r="30" spans="1:18" ht="12.95" customHeight="1" x14ac:dyDescent="0.25">
      <c r="A30" s="405">
        <v>269</v>
      </c>
      <c r="B30" s="406">
        <v>999999</v>
      </c>
      <c r="C30" s="407" t="s">
        <v>0</v>
      </c>
      <c r="D30" s="408" t="s">
        <v>419</v>
      </c>
      <c r="E30" s="409">
        <v>8288375</v>
      </c>
      <c r="F30" s="410" t="s">
        <v>420</v>
      </c>
      <c r="G30" s="411">
        <v>5.62</v>
      </c>
      <c r="H30" s="412" t="s">
        <v>108</v>
      </c>
      <c r="I30" s="413" t="s">
        <v>421</v>
      </c>
      <c r="J30" s="414" t="s">
        <v>297</v>
      </c>
      <c r="K30" s="415" t="s">
        <v>417</v>
      </c>
      <c r="L30" s="416">
        <v>10720000</v>
      </c>
      <c r="M30" s="417">
        <v>140.79</v>
      </c>
      <c r="N30" s="418">
        <v>15092.86</v>
      </c>
      <c r="O30" s="419">
        <v>0</v>
      </c>
      <c r="P30" s="420" t="s">
        <v>22</v>
      </c>
      <c r="Q30" s="421" t="s">
        <v>422</v>
      </c>
      <c r="R30" s="422" t="s">
        <v>0</v>
      </c>
    </row>
    <row r="31" spans="1:18" ht="12.95" customHeight="1" x14ac:dyDescent="0.25">
      <c r="A31" s="405">
        <v>269</v>
      </c>
      <c r="B31" s="406">
        <v>999999</v>
      </c>
      <c r="C31" s="407" t="s">
        <v>0</v>
      </c>
      <c r="D31" s="408" t="s">
        <v>423</v>
      </c>
      <c r="E31" s="409">
        <v>8288391</v>
      </c>
      <c r="F31" s="410" t="s">
        <v>424</v>
      </c>
      <c r="G31" s="411">
        <v>5.79</v>
      </c>
      <c r="H31" s="412" t="s">
        <v>108</v>
      </c>
      <c r="I31" s="413" t="s">
        <v>425</v>
      </c>
      <c r="J31" s="414" t="s">
        <v>297</v>
      </c>
      <c r="K31" s="415" t="s">
        <v>426</v>
      </c>
      <c r="L31" s="416">
        <v>3010000</v>
      </c>
      <c r="M31" s="417">
        <v>139.94</v>
      </c>
      <c r="N31" s="418">
        <v>4212.1670000000004</v>
      </c>
      <c r="O31" s="419">
        <v>0</v>
      </c>
      <c r="P31" s="420" t="s">
        <v>22</v>
      </c>
      <c r="Q31" s="421" t="s">
        <v>427</v>
      </c>
      <c r="R31" s="422" t="s">
        <v>0</v>
      </c>
    </row>
    <row r="32" spans="1:18" ht="12.95" customHeight="1" x14ac:dyDescent="0.25">
      <c r="A32" s="405">
        <v>269</v>
      </c>
      <c r="B32" s="406">
        <v>999999</v>
      </c>
      <c r="C32" s="407" t="s">
        <v>0</v>
      </c>
      <c r="D32" s="408" t="s">
        <v>428</v>
      </c>
      <c r="E32" s="409">
        <v>8288409</v>
      </c>
      <c r="F32" s="410" t="s">
        <v>429</v>
      </c>
      <c r="G32" s="411">
        <v>5.87</v>
      </c>
      <c r="H32" s="412" t="s">
        <v>108</v>
      </c>
      <c r="I32" s="413" t="s">
        <v>430</v>
      </c>
      <c r="J32" s="414" t="s">
        <v>297</v>
      </c>
      <c r="K32" s="415" t="s">
        <v>426</v>
      </c>
      <c r="L32" s="416">
        <v>15380000</v>
      </c>
      <c r="M32" s="417">
        <v>139.30000000000001</v>
      </c>
      <c r="N32" s="418">
        <v>21424.154999999999</v>
      </c>
      <c r="O32" s="419">
        <v>0</v>
      </c>
      <c r="P32" s="420" t="s">
        <v>22</v>
      </c>
      <c r="Q32" s="421" t="s">
        <v>431</v>
      </c>
      <c r="R32" s="422" t="s">
        <v>0</v>
      </c>
    </row>
    <row r="33" spans="1:18" ht="12.95" customHeight="1" x14ac:dyDescent="0.25">
      <c r="A33" s="405">
        <v>269</v>
      </c>
      <c r="B33" s="406">
        <v>999999</v>
      </c>
      <c r="C33" s="407" t="s">
        <v>0</v>
      </c>
      <c r="D33" s="408" t="s">
        <v>432</v>
      </c>
      <c r="E33" s="409">
        <v>8288433</v>
      </c>
      <c r="F33" s="410" t="s">
        <v>433</v>
      </c>
      <c r="G33" s="411">
        <v>6</v>
      </c>
      <c r="H33" s="412" t="s">
        <v>108</v>
      </c>
      <c r="I33" s="413" t="s">
        <v>434</v>
      </c>
      <c r="J33" s="414" t="s">
        <v>297</v>
      </c>
      <c r="K33" s="415" t="s">
        <v>278</v>
      </c>
      <c r="L33" s="416">
        <v>1980000</v>
      </c>
      <c r="M33" s="417">
        <v>140.72999999999999</v>
      </c>
      <c r="N33" s="418">
        <v>2786.47</v>
      </c>
      <c r="O33" s="419">
        <v>0</v>
      </c>
      <c r="P33" s="420" t="s">
        <v>22</v>
      </c>
      <c r="Q33" s="421" t="s">
        <v>435</v>
      </c>
      <c r="R33" s="422" t="s">
        <v>0</v>
      </c>
    </row>
    <row r="34" spans="1:18" ht="12.95" customHeight="1" x14ac:dyDescent="0.25">
      <c r="A34" s="405">
        <v>269</v>
      </c>
      <c r="B34" s="406">
        <v>999999</v>
      </c>
      <c r="C34" s="407" t="s">
        <v>0</v>
      </c>
      <c r="D34" s="408" t="s">
        <v>436</v>
      </c>
      <c r="E34" s="409">
        <v>8288458</v>
      </c>
      <c r="F34" s="410" t="s">
        <v>437</v>
      </c>
      <c r="G34" s="411">
        <v>6.17</v>
      </c>
      <c r="H34" s="412" t="s">
        <v>108</v>
      </c>
      <c r="I34" s="413" t="s">
        <v>438</v>
      </c>
      <c r="J34" s="414" t="s">
        <v>297</v>
      </c>
      <c r="K34" s="415" t="s">
        <v>439</v>
      </c>
      <c r="L34" s="416">
        <v>4090000</v>
      </c>
      <c r="M34" s="417">
        <v>140.03</v>
      </c>
      <c r="N34" s="418">
        <v>5727.17</v>
      </c>
      <c r="O34" s="419">
        <v>0</v>
      </c>
      <c r="P34" s="420" t="s">
        <v>22</v>
      </c>
      <c r="Q34" s="421" t="s">
        <v>331</v>
      </c>
      <c r="R34" s="422" t="s">
        <v>0</v>
      </c>
    </row>
    <row r="35" spans="1:18" ht="12.95" customHeight="1" x14ac:dyDescent="0.25">
      <c r="A35" s="405">
        <v>269</v>
      </c>
      <c r="B35" s="406">
        <v>999999</v>
      </c>
      <c r="C35" s="407" t="s">
        <v>0</v>
      </c>
      <c r="D35" s="408" t="s">
        <v>440</v>
      </c>
      <c r="E35" s="409">
        <v>8288466</v>
      </c>
      <c r="F35" s="410" t="s">
        <v>441</v>
      </c>
      <c r="G35" s="411">
        <v>6.25</v>
      </c>
      <c r="H35" s="412" t="s">
        <v>108</v>
      </c>
      <c r="I35" s="413" t="s">
        <v>442</v>
      </c>
      <c r="J35" s="414" t="s">
        <v>297</v>
      </c>
      <c r="K35" s="415" t="s">
        <v>439</v>
      </c>
      <c r="L35" s="416">
        <v>8440000</v>
      </c>
      <c r="M35" s="417">
        <v>140.37</v>
      </c>
      <c r="N35" s="418">
        <v>11847.203</v>
      </c>
      <c r="O35" s="419">
        <v>0</v>
      </c>
      <c r="P35" s="420" t="s">
        <v>22</v>
      </c>
      <c r="Q35" s="421" t="s">
        <v>298</v>
      </c>
      <c r="R35" s="422" t="s">
        <v>0</v>
      </c>
    </row>
    <row r="36" spans="1:18" ht="12.95" customHeight="1" x14ac:dyDescent="0.25">
      <c r="A36" s="405">
        <v>269</v>
      </c>
      <c r="B36" s="406">
        <v>999999</v>
      </c>
      <c r="C36" s="407" t="s">
        <v>0</v>
      </c>
      <c r="D36" s="408" t="s">
        <v>443</v>
      </c>
      <c r="E36" s="409">
        <v>8288474</v>
      </c>
      <c r="F36" s="410" t="s">
        <v>444</v>
      </c>
      <c r="G36" s="411">
        <v>6.34</v>
      </c>
      <c r="H36" s="412" t="s">
        <v>108</v>
      </c>
      <c r="I36" s="413" t="s">
        <v>445</v>
      </c>
      <c r="J36" s="414" t="s">
        <v>297</v>
      </c>
      <c r="K36" s="415" t="s">
        <v>439</v>
      </c>
      <c r="L36" s="416">
        <v>2890000</v>
      </c>
      <c r="M36" s="417">
        <v>140.13999999999999</v>
      </c>
      <c r="N36" s="418">
        <v>4050.1619999999998</v>
      </c>
      <c r="O36" s="419">
        <v>0</v>
      </c>
      <c r="P36" s="420" t="s">
        <v>22</v>
      </c>
      <c r="Q36" s="421" t="s">
        <v>188</v>
      </c>
      <c r="R36" s="422" t="s">
        <v>0</v>
      </c>
    </row>
    <row r="37" spans="1:18" ht="12.95" customHeight="1" x14ac:dyDescent="0.25">
      <c r="A37" s="405">
        <v>269</v>
      </c>
      <c r="B37" s="406">
        <v>999999</v>
      </c>
      <c r="C37" s="407" t="s">
        <v>0</v>
      </c>
      <c r="D37" s="408" t="s">
        <v>446</v>
      </c>
      <c r="E37" s="409">
        <v>8288482</v>
      </c>
      <c r="F37" s="410" t="s">
        <v>447</v>
      </c>
      <c r="G37" s="411">
        <v>6.41</v>
      </c>
      <c r="H37" s="412" t="s">
        <v>108</v>
      </c>
      <c r="I37" s="413" t="s">
        <v>448</v>
      </c>
      <c r="J37" s="414" t="s">
        <v>297</v>
      </c>
      <c r="K37" s="415" t="s">
        <v>449</v>
      </c>
      <c r="L37" s="416">
        <v>2960000</v>
      </c>
      <c r="M37" s="417">
        <v>140.08000000000001</v>
      </c>
      <c r="N37" s="418">
        <v>4146.3180000000002</v>
      </c>
      <c r="O37" s="419">
        <v>0</v>
      </c>
      <c r="P37" s="420" t="s">
        <v>22</v>
      </c>
      <c r="Q37" s="421" t="s">
        <v>274</v>
      </c>
      <c r="R37" s="422" t="s">
        <v>0</v>
      </c>
    </row>
    <row r="38" spans="1:18" ht="12.95" customHeight="1" x14ac:dyDescent="0.25">
      <c r="A38" s="405">
        <v>269</v>
      </c>
      <c r="B38" s="406">
        <v>999999</v>
      </c>
      <c r="C38" s="407" t="s">
        <v>0</v>
      </c>
      <c r="D38" s="408" t="s">
        <v>450</v>
      </c>
      <c r="E38" s="409">
        <v>8288490</v>
      </c>
      <c r="F38" s="410" t="s">
        <v>451</v>
      </c>
      <c r="G38" s="411">
        <v>6.38</v>
      </c>
      <c r="H38" s="412" t="s">
        <v>108</v>
      </c>
      <c r="I38" s="413" t="s">
        <v>452</v>
      </c>
      <c r="J38" s="414" t="s">
        <v>297</v>
      </c>
      <c r="K38" s="415" t="s">
        <v>449</v>
      </c>
      <c r="L38" s="416">
        <v>830000</v>
      </c>
      <c r="M38" s="417">
        <v>142.63999999999999</v>
      </c>
      <c r="N38" s="418">
        <v>1183.9100000000001</v>
      </c>
      <c r="O38" s="419">
        <v>0</v>
      </c>
      <c r="P38" s="420" t="s">
        <v>22</v>
      </c>
      <c r="Q38" s="421" t="s">
        <v>221</v>
      </c>
      <c r="R38" s="422" t="s">
        <v>0</v>
      </c>
    </row>
    <row r="39" spans="1:18" ht="12.95" customHeight="1" x14ac:dyDescent="0.25">
      <c r="A39" s="405">
        <v>269</v>
      </c>
      <c r="B39" s="406">
        <v>999999</v>
      </c>
      <c r="C39" s="407" t="s">
        <v>0</v>
      </c>
      <c r="D39" s="408" t="s">
        <v>453</v>
      </c>
      <c r="E39" s="409">
        <v>8288508</v>
      </c>
      <c r="F39" s="410" t="s">
        <v>454</v>
      </c>
      <c r="G39" s="411">
        <v>6.45</v>
      </c>
      <c r="H39" s="412" t="s">
        <v>108</v>
      </c>
      <c r="I39" s="413" t="s">
        <v>455</v>
      </c>
      <c r="J39" s="414" t="s">
        <v>297</v>
      </c>
      <c r="K39" s="415" t="s">
        <v>449</v>
      </c>
      <c r="L39" s="416">
        <v>9300000</v>
      </c>
      <c r="M39" s="417">
        <v>142</v>
      </c>
      <c r="N39" s="418">
        <v>13206.298000000001</v>
      </c>
      <c r="O39" s="419">
        <v>0</v>
      </c>
      <c r="P39" s="420" t="s">
        <v>22</v>
      </c>
      <c r="Q39" s="421" t="s">
        <v>392</v>
      </c>
      <c r="R39" s="422" t="s">
        <v>0</v>
      </c>
    </row>
    <row r="40" spans="1:18" ht="12.95" customHeight="1" x14ac:dyDescent="0.25">
      <c r="A40" s="405">
        <v>269</v>
      </c>
      <c r="B40" s="406">
        <v>999999</v>
      </c>
      <c r="C40" s="407" t="s">
        <v>0</v>
      </c>
      <c r="D40" s="408" t="s">
        <v>456</v>
      </c>
      <c r="E40" s="409">
        <v>8288516</v>
      </c>
      <c r="F40" s="410" t="s">
        <v>457</v>
      </c>
      <c r="G40" s="411">
        <v>6.54</v>
      </c>
      <c r="H40" s="412" t="s">
        <v>108</v>
      </c>
      <c r="I40" s="413" t="s">
        <v>458</v>
      </c>
      <c r="J40" s="414" t="s">
        <v>297</v>
      </c>
      <c r="K40" s="415" t="s">
        <v>459</v>
      </c>
      <c r="L40" s="416">
        <v>4580000</v>
      </c>
      <c r="M40" s="417">
        <v>141.36000000000001</v>
      </c>
      <c r="N40" s="418">
        <v>6474.4160000000002</v>
      </c>
      <c r="O40" s="419">
        <v>0</v>
      </c>
      <c r="P40" s="420" t="s">
        <v>22</v>
      </c>
      <c r="Q40" s="421" t="s">
        <v>460</v>
      </c>
      <c r="R40" s="422" t="s">
        <v>0</v>
      </c>
    </row>
    <row r="41" spans="1:18" ht="12.95" customHeight="1" x14ac:dyDescent="0.25">
      <c r="A41" s="405">
        <v>269</v>
      </c>
      <c r="B41" s="406">
        <v>999999</v>
      </c>
      <c r="C41" s="407" t="s">
        <v>0</v>
      </c>
      <c r="D41" s="408" t="s">
        <v>461</v>
      </c>
      <c r="E41" s="409">
        <v>8288524</v>
      </c>
      <c r="F41" s="410" t="s">
        <v>462</v>
      </c>
      <c r="G41" s="411">
        <v>6.62</v>
      </c>
      <c r="H41" s="412" t="s">
        <v>108</v>
      </c>
      <c r="I41" s="413" t="s">
        <v>463</v>
      </c>
      <c r="J41" s="414" t="s">
        <v>297</v>
      </c>
      <c r="K41" s="415" t="s">
        <v>459</v>
      </c>
      <c r="L41" s="416">
        <v>4950000</v>
      </c>
      <c r="M41" s="417">
        <v>140.57</v>
      </c>
      <c r="N41" s="418">
        <v>6958.2939999999999</v>
      </c>
      <c r="O41" s="419">
        <v>0</v>
      </c>
      <c r="P41" s="420" t="s">
        <v>22</v>
      </c>
      <c r="Q41" s="421" t="s">
        <v>464</v>
      </c>
      <c r="R41" s="422" t="s">
        <v>0</v>
      </c>
    </row>
    <row r="42" spans="1:18" ht="12.95" customHeight="1" x14ac:dyDescent="0.25">
      <c r="A42" s="405">
        <v>269</v>
      </c>
      <c r="B42" s="406">
        <v>999999</v>
      </c>
      <c r="C42" s="407" t="s">
        <v>0</v>
      </c>
      <c r="D42" s="408" t="s">
        <v>465</v>
      </c>
      <c r="E42" s="409">
        <v>8288532</v>
      </c>
      <c r="F42" s="410" t="s">
        <v>466</v>
      </c>
      <c r="G42" s="411">
        <v>6.71</v>
      </c>
      <c r="H42" s="412" t="s">
        <v>108</v>
      </c>
      <c r="I42" s="413" t="s">
        <v>467</v>
      </c>
      <c r="J42" s="414" t="s">
        <v>297</v>
      </c>
      <c r="K42" s="415" t="s">
        <v>459</v>
      </c>
      <c r="L42" s="416">
        <v>4470000</v>
      </c>
      <c r="M42" s="417">
        <v>141.33000000000001</v>
      </c>
      <c r="N42" s="418">
        <v>6317.2449999999999</v>
      </c>
      <c r="O42" s="419">
        <v>0</v>
      </c>
      <c r="P42" s="420" t="s">
        <v>22</v>
      </c>
      <c r="Q42" s="421" t="s">
        <v>194</v>
      </c>
      <c r="R42" s="422" t="s">
        <v>0</v>
      </c>
    </row>
    <row r="43" spans="1:18" ht="12.95" customHeight="1" x14ac:dyDescent="0.25">
      <c r="A43" s="405">
        <v>269</v>
      </c>
      <c r="B43" s="406">
        <v>999999</v>
      </c>
      <c r="C43" s="407" t="s">
        <v>0</v>
      </c>
      <c r="D43" s="408" t="s">
        <v>468</v>
      </c>
      <c r="E43" s="409">
        <v>8288540</v>
      </c>
      <c r="F43" s="410" t="s">
        <v>469</v>
      </c>
      <c r="G43" s="411">
        <v>6.79</v>
      </c>
      <c r="H43" s="412" t="s">
        <v>108</v>
      </c>
      <c r="I43" s="413" t="s">
        <v>470</v>
      </c>
      <c r="J43" s="414" t="s">
        <v>297</v>
      </c>
      <c r="K43" s="415" t="s">
        <v>471</v>
      </c>
      <c r="L43" s="416">
        <v>8210000</v>
      </c>
      <c r="M43" s="417">
        <v>141.11000000000001</v>
      </c>
      <c r="N43" s="418">
        <v>11585.065000000001</v>
      </c>
      <c r="O43" s="419">
        <v>0</v>
      </c>
      <c r="P43" s="420" t="s">
        <v>22</v>
      </c>
      <c r="Q43" s="421" t="s">
        <v>348</v>
      </c>
      <c r="R43" s="422" t="s">
        <v>0</v>
      </c>
    </row>
    <row r="44" spans="1:18" ht="12.95" customHeight="1" x14ac:dyDescent="0.25">
      <c r="A44" s="405">
        <v>269</v>
      </c>
      <c r="B44" s="406">
        <v>999999</v>
      </c>
      <c r="C44" s="407" t="s">
        <v>0</v>
      </c>
      <c r="D44" s="408" t="s">
        <v>472</v>
      </c>
      <c r="E44" s="409">
        <v>8288573</v>
      </c>
      <c r="F44" s="410" t="s">
        <v>473</v>
      </c>
      <c r="G44" s="411">
        <v>6.9</v>
      </c>
      <c r="H44" s="412" t="s">
        <v>108</v>
      </c>
      <c r="I44" s="413" t="s">
        <v>474</v>
      </c>
      <c r="J44" s="414" t="s">
        <v>297</v>
      </c>
      <c r="K44" s="415" t="s">
        <v>475</v>
      </c>
      <c r="L44" s="416">
        <v>12730000</v>
      </c>
      <c r="M44" s="417">
        <v>142.1</v>
      </c>
      <c r="N44" s="418">
        <v>18088.732</v>
      </c>
      <c r="O44" s="419">
        <v>0</v>
      </c>
      <c r="P44" s="420" t="s">
        <v>22</v>
      </c>
      <c r="Q44" s="421" t="s">
        <v>476</v>
      </c>
      <c r="R44" s="422" t="s">
        <v>0</v>
      </c>
    </row>
    <row r="45" spans="1:18" ht="12.95" customHeight="1" x14ac:dyDescent="0.25">
      <c r="A45" s="405">
        <v>269</v>
      </c>
      <c r="B45" s="406">
        <v>999999</v>
      </c>
      <c r="C45" s="407" t="s">
        <v>0</v>
      </c>
      <c r="D45" s="408" t="s">
        <v>477</v>
      </c>
      <c r="E45" s="409">
        <v>8288581</v>
      </c>
      <c r="F45" s="410" t="s">
        <v>478</v>
      </c>
      <c r="G45" s="411">
        <v>6.99</v>
      </c>
      <c r="H45" s="412" t="s">
        <v>108</v>
      </c>
      <c r="I45" s="413" t="s">
        <v>479</v>
      </c>
      <c r="J45" s="414" t="s">
        <v>297</v>
      </c>
      <c r="K45" s="415" t="s">
        <v>475</v>
      </c>
      <c r="L45" s="416">
        <v>3050000</v>
      </c>
      <c r="M45" s="417">
        <v>142.28</v>
      </c>
      <c r="N45" s="418">
        <v>4339.5889999999999</v>
      </c>
      <c r="O45" s="419">
        <v>0</v>
      </c>
      <c r="P45" s="420" t="s">
        <v>22</v>
      </c>
      <c r="Q45" s="421" t="s">
        <v>480</v>
      </c>
      <c r="R45" s="422" t="s">
        <v>0</v>
      </c>
    </row>
    <row r="46" spans="1:18" ht="12.95" customHeight="1" x14ac:dyDescent="0.25">
      <c r="A46" s="405">
        <v>269</v>
      </c>
      <c r="B46" s="406">
        <v>999999</v>
      </c>
      <c r="C46" s="407" t="s">
        <v>0</v>
      </c>
      <c r="D46" s="408" t="s">
        <v>481</v>
      </c>
      <c r="E46" s="409">
        <v>8288599</v>
      </c>
      <c r="F46" s="410" t="s">
        <v>482</v>
      </c>
      <c r="G46" s="411">
        <v>7.07</v>
      </c>
      <c r="H46" s="412" t="s">
        <v>108</v>
      </c>
      <c r="I46" s="413" t="s">
        <v>483</v>
      </c>
      <c r="J46" s="414" t="s">
        <v>297</v>
      </c>
      <c r="K46" s="415" t="s">
        <v>475</v>
      </c>
      <c r="L46" s="416">
        <v>3400000</v>
      </c>
      <c r="M46" s="417">
        <v>141.91</v>
      </c>
      <c r="N46" s="418">
        <v>4825.0150000000003</v>
      </c>
      <c r="O46" s="419">
        <v>0</v>
      </c>
      <c r="P46" s="420" t="s">
        <v>22</v>
      </c>
      <c r="Q46" s="421" t="s">
        <v>484</v>
      </c>
      <c r="R46" s="422" t="s">
        <v>0</v>
      </c>
    </row>
    <row r="47" spans="1:18" ht="12.95" customHeight="1" x14ac:dyDescent="0.25">
      <c r="A47" s="405">
        <v>269</v>
      </c>
      <c r="B47" s="406">
        <v>999999</v>
      </c>
      <c r="C47" s="407" t="s">
        <v>0</v>
      </c>
      <c r="D47" s="408" t="s">
        <v>485</v>
      </c>
      <c r="E47" s="409">
        <v>8288607</v>
      </c>
      <c r="F47" s="410" t="s">
        <v>486</v>
      </c>
      <c r="G47" s="411">
        <v>7.15</v>
      </c>
      <c r="H47" s="412" t="s">
        <v>108</v>
      </c>
      <c r="I47" s="413" t="s">
        <v>487</v>
      </c>
      <c r="J47" s="414" t="s">
        <v>297</v>
      </c>
      <c r="K47" s="415" t="s">
        <v>488</v>
      </c>
      <c r="L47" s="416">
        <v>3260000</v>
      </c>
      <c r="M47" s="417">
        <v>142.26</v>
      </c>
      <c r="N47" s="418">
        <v>4637.6859999999997</v>
      </c>
      <c r="O47" s="419">
        <v>0</v>
      </c>
      <c r="P47" s="420" t="s">
        <v>22</v>
      </c>
      <c r="Q47" s="421" t="s">
        <v>489</v>
      </c>
      <c r="R47" s="422" t="s">
        <v>0</v>
      </c>
    </row>
    <row r="48" spans="1:18" ht="12.95" customHeight="1" x14ac:dyDescent="0.25">
      <c r="A48" s="405">
        <v>269</v>
      </c>
      <c r="B48" s="406">
        <v>999999</v>
      </c>
      <c r="C48" s="407" t="s">
        <v>0</v>
      </c>
      <c r="D48" s="408" t="s">
        <v>490</v>
      </c>
      <c r="E48" s="409">
        <v>8288631</v>
      </c>
      <c r="F48" s="410" t="s">
        <v>491</v>
      </c>
      <c r="G48" s="411">
        <v>7.26</v>
      </c>
      <c r="H48" s="412" t="s">
        <v>108</v>
      </c>
      <c r="I48" s="413" t="s">
        <v>492</v>
      </c>
      <c r="J48" s="414" t="s">
        <v>297</v>
      </c>
      <c r="K48" s="415" t="s">
        <v>493</v>
      </c>
      <c r="L48" s="416">
        <v>7250000</v>
      </c>
      <c r="M48" s="417">
        <v>143.08000000000001</v>
      </c>
      <c r="N48" s="418">
        <v>10373.451999999999</v>
      </c>
      <c r="O48" s="419">
        <v>0</v>
      </c>
      <c r="P48" s="420" t="s">
        <v>22</v>
      </c>
      <c r="Q48" s="421" t="s">
        <v>494</v>
      </c>
      <c r="R48" s="422" t="s">
        <v>0</v>
      </c>
    </row>
    <row r="49" spans="1:18" ht="12.95" customHeight="1" x14ac:dyDescent="0.25">
      <c r="A49" s="405">
        <v>269</v>
      </c>
      <c r="B49" s="406">
        <v>999999</v>
      </c>
      <c r="C49" s="407" t="s">
        <v>0</v>
      </c>
      <c r="D49" s="408" t="s">
        <v>495</v>
      </c>
      <c r="E49" s="409">
        <v>8288664</v>
      </c>
      <c r="F49" s="410" t="s">
        <v>496</v>
      </c>
      <c r="G49" s="411">
        <v>7.51</v>
      </c>
      <c r="H49" s="412" t="s">
        <v>108</v>
      </c>
      <c r="I49" s="413" t="s">
        <v>497</v>
      </c>
      <c r="J49" s="414" t="s">
        <v>297</v>
      </c>
      <c r="K49" s="415" t="s">
        <v>27</v>
      </c>
      <c r="L49" s="416">
        <v>3180000</v>
      </c>
      <c r="M49" s="417">
        <v>141.38999999999999</v>
      </c>
      <c r="N49" s="418">
        <v>4496.2049999999999</v>
      </c>
      <c r="O49" s="419">
        <v>0</v>
      </c>
      <c r="P49" s="420" t="s">
        <v>22</v>
      </c>
      <c r="Q49" s="421" t="s">
        <v>498</v>
      </c>
      <c r="R49" s="422" t="s">
        <v>0</v>
      </c>
    </row>
    <row r="50" spans="1:18" ht="12.95" customHeight="1" x14ac:dyDescent="0.25">
      <c r="A50" s="405">
        <v>269</v>
      </c>
      <c r="B50" s="406">
        <v>999999</v>
      </c>
      <c r="C50" s="407" t="s">
        <v>0</v>
      </c>
      <c r="D50" s="408" t="s">
        <v>499</v>
      </c>
      <c r="E50" s="409">
        <v>8288698</v>
      </c>
      <c r="F50" s="410" t="s">
        <v>500</v>
      </c>
      <c r="G50" s="411">
        <v>7.61</v>
      </c>
      <c r="H50" s="412" t="s">
        <v>108</v>
      </c>
      <c r="I50" s="413" t="s">
        <v>501</v>
      </c>
      <c r="J50" s="414" t="s">
        <v>297</v>
      </c>
      <c r="K50" s="415" t="s">
        <v>39</v>
      </c>
      <c r="L50" s="416">
        <v>3840000</v>
      </c>
      <c r="M50" s="417">
        <v>142.61000000000001</v>
      </c>
      <c r="N50" s="418">
        <v>5476.1970000000001</v>
      </c>
      <c r="O50" s="419">
        <v>0</v>
      </c>
      <c r="P50" s="420" t="s">
        <v>22</v>
      </c>
      <c r="Q50" s="421" t="s">
        <v>502</v>
      </c>
      <c r="R50" s="422" t="s">
        <v>0</v>
      </c>
    </row>
    <row r="51" spans="1:18" ht="12.95" customHeight="1" x14ac:dyDescent="0.25">
      <c r="A51" s="405">
        <v>269</v>
      </c>
      <c r="B51" s="406">
        <v>999999</v>
      </c>
      <c r="C51" s="407" t="s">
        <v>0</v>
      </c>
      <c r="D51" s="408" t="s">
        <v>503</v>
      </c>
      <c r="E51" s="409">
        <v>8288714</v>
      </c>
      <c r="F51" s="410" t="s">
        <v>504</v>
      </c>
      <c r="G51" s="411">
        <v>7.78</v>
      </c>
      <c r="H51" s="412" t="s">
        <v>108</v>
      </c>
      <c r="I51" s="413" t="s">
        <v>505</v>
      </c>
      <c r="J51" s="414" t="s">
        <v>297</v>
      </c>
      <c r="K51" s="415" t="s">
        <v>39</v>
      </c>
      <c r="L51" s="416">
        <v>9980000</v>
      </c>
      <c r="M51" s="417">
        <v>142.99</v>
      </c>
      <c r="N51" s="418">
        <v>14269.903</v>
      </c>
      <c r="O51" s="419">
        <v>0</v>
      </c>
      <c r="P51" s="420" t="s">
        <v>22</v>
      </c>
      <c r="Q51" s="421" t="s">
        <v>488</v>
      </c>
      <c r="R51" s="422" t="s">
        <v>0</v>
      </c>
    </row>
    <row r="52" spans="1:18" ht="12.95" customHeight="1" x14ac:dyDescent="0.25">
      <c r="A52" s="405">
        <v>269</v>
      </c>
      <c r="B52" s="406">
        <v>999999</v>
      </c>
      <c r="C52" s="407" t="s">
        <v>0</v>
      </c>
      <c r="D52" s="408" t="s">
        <v>506</v>
      </c>
      <c r="E52" s="409">
        <v>8288722</v>
      </c>
      <c r="F52" s="410" t="s">
        <v>507</v>
      </c>
      <c r="G52" s="411">
        <v>7.85</v>
      </c>
      <c r="H52" s="412" t="s">
        <v>108</v>
      </c>
      <c r="I52" s="413" t="s">
        <v>508</v>
      </c>
      <c r="J52" s="414" t="s">
        <v>297</v>
      </c>
      <c r="K52" s="415" t="s">
        <v>509</v>
      </c>
      <c r="L52" s="416">
        <v>730000</v>
      </c>
      <c r="M52" s="417">
        <v>142.76</v>
      </c>
      <c r="N52" s="418">
        <v>1042.1569999999999</v>
      </c>
      <c r="O52" s="419">
        <v>0</v>
      </c>
      <c r="P52" s="420" t="s">
        <v>22</v>
      </c>
      <c r="Q52" s="421" t="s">
        <v>259</v>
      </c>
      <c r="R52" s="422" t="s">
        <v>0</v>
      </c>
    </row>
    <row r="53" spans="1:18" ht="12.95" customHeight="1" x14ac:dyDescent="0.25">
      <c r="A53" s="405">
        <v>269</v>
      </c>
      <c r="B53" s="406">
        <v>999999</v>
      </c>
      <c r="C53" s="407" t="s">
        <v>0</v>
      </c>
      <c r="D53" s="408" t="s">
        <v>510</v>
      </c>
      <c r="E53" s="409">
        <v>8288755</v>
      </c>
      <c r="F53" s="410" t="s">
        <v>511</v>
      </c>
      <c r="G53" s="411">
        <v>7.95</v>
      </c>
      <c r="H53" s="412" t="s">
        <v>108</v>
      </c>
      <c r="I53" s="413" t="s">
        <v>512</v>
      </c>
      <c r="J53" s="414" t="s">
        <v>297</v>
      </c>
      <c r="K53" s="415" t="s">
        <v>513</v>
      </c>
      <c r="L53" s="416">
        <v>7010000</v>
      </c>
      <c r="M53" s="417">
        <v>143.38</v>
      </c>
      <c r="N53" s="418">
        <v>10050.924000000001</v>
      </c>
      <c r="O53" s="419">
        <v>0</v>
      </c>
      <c r="P53" s="420" t="s">
        <v>22</v>
      </c>
      <c r="Q53" s="421" t="s">
        <v>413</v>
      </c>
      <c r="R53" s="422" t="s">
        <v>0</v>
      </c>
    </row>
    <row r="54" spans="1:18" ht="12.95" customHeight="1" x14ac:dyDescent="0.25">
      <c r="A54" s="405">
        <v>269</v>
      </c>
      <c r="B54" s="406">
        <v>999999</v>
      </c>
      <c r="C54" s="407" t="s">
        <v>0</v>
      </c>
      <c r="D54" s="408" t="s">
        <v>514</v>
      </c>
      <c r="E54" s="409">
        <v>8288763</v>
      </c>
      <c r="F54" s="410" t="s">
        <v>515</v>
      </c>
      <c r="G54" s="411">
        <v>8.0399999999999991</v>
      </c>
      <c r="H54" s="412" t="s">
        <v>108</v>
      </c>
      <c r="I54" s="413" t="s">
        <v>516</v>
      </c>
      <c r="J54" s="414" t="s">
        <v>297</v>
      </c>
      <c r="K54" s="415" t="s">
        <v>513</v>
      </c>
      <c r="L54" s="416">
        <v>5570000</v>
      </c>
      <c r="M54" s="417">
        <v>142.15</v>
      </c>
      <c r="N54" s="418">
        <v>7917.9949999999999</v>
      </c>
      <c r="O54" s="419">
        <v>0</v>
      </c>
      <c r="P54" s="420" t="s">
        <v>22</v>
      </c>
      <c r="Q54" s="421" t="s">
        <v>517</v>
      </c>
      <c r="R54" s="422" t="s">
        <v>0</v>
      </c>
    </row>
    <row r="55" spans="1:18" ht="12.95" customHeight="1" x14ac:dyDescent="0.25">
      <c r="A55" s="405">
        <v>269</v>
      </c>
      <c r="B55" s="406">
        <v>999999</v>
      </c>
      <c r="C55" s="407" t="s">
        <v>0</v>
      </c>
      <c r="D55" s="408" t="s">
        <v>518</v>
      </c>
      <c r="E55" s="409">
        <v>8288771</v>
      </c>
      <c r="F55" s="410" t="s">
        <v>519</v>
      </c>
      <c r="G55" s="411">
        <v>8.1199999999999992</v>
      </c>
      <c r="H55" s="412" t="s">
        <v>108</v>
      </c>
      <c r="I55" s="413" t="s">
        <v>520</v>
      </c>
      <c r="J55" s="414" t="s">
        <v>297</v>
      </c>
      <c r="K55" s="415" t="s">
        <v>513</v>
      </c>
      <c r="L55" s="416">
        <v>2740000</v>
      </c>
      <c r="M55" s="417">
        <v>142.76</v>
      </c>
      <c r="N55" s="418">
        <v>3911.6930000000002</v>
      </c>
      <c r="O55" s="419">
        <v>0</v>
      </c>
      <c r="P55" s="420" t="s">
        <v>22</v>
      </c>
      <c r="Q55" s="421" t="s">
        <v>326</v>
      </c>
      <c r="R55" s="422" t="s">
        <v>0</v>
      </c>
    </row>
    <row r="56" spans="1:18" ht="12.95" customHeight="1" x14ac:dyDescent="0.25">
      <c r="A56" s="405">
        <v>269</v>
      </c>
      <c r="B56" s="406">
        <v>999999</v>
      </c>
      <c r="C56" s="407" t="s">
        <v>0</v>
      </c>
      <c r="D56" s="408" t="s">
        <v>521</v>
      </c>
      <c r="E56" s="409">
        <v>8288805</v>
      </c>
      <c r="F56" s="410" t="s">
        <v>522</v>
      </c>
      <c r="G56" s="411">
        <v>8.2100000000000009</v>
      </c>
      <c r="H56" s="412" t="s">
        <v>108</v>
      </c>
      <c r="I56" s="413" t="s">
        <v>523</v>
      </c>
      <c r="J56" s="414" t="s">
        <v>297</v>
      </c>
      <c r="K56" s="415" t="s">
        <v>524</v>
      </c>
      <c r="L56" s="416">
        <v>5920000</v>
      </c>
      <c r="M56" s="417">
        <v>145.07</v>
      </c>
      <c r="N56" s="418">
        <v>8588.4339999999993</v>
      </c>
      <c r="O56" s="419">
        <v>0</v>
      </c>
      <c r="P56" s="420" t="s">
        <v>22</v>
      </c>
      <c r="Q56" s="421" t="s">
        <v>525</v>
      </c>
      <c r="R56" s="422" t="s">
        <v>0</v>
      </c>
    </row>
    <row r="57" spans="1:18" ht="12.95" customHeight="1" x14ac:dyDescent="0.25">
      <c r="A57" s="405">
        <v>269</v>
      </c>
      <c r="B57" s="406">
        <v>999999</v>
      </c>
      <c r="C57" s="407" t="s">
        <v>0</v>
      </c>
      <c r="D57" s="408" t="s">
        <v>526</v>
      </c>
      <c r="E57" s="409">
        <v>8288813</v>
      </c>
      <c r="F57" s="410" t="s">
        <v>527</v>
      </c>
      <c r="G57" s="411">
        <v>8.2899999999999991</v>
      </c>
      <c r="H57" s="412" t="s">
        <v>108</v>
      </c>
      <c r="I57" s="413" t="s">
        <v>528</v>
      </c>
      <c r="J57" s="414" t="s">
        <v>297</v>
      </c>
      <c r="K57" s="415" t="s">
        <v>529</v>
      </c>
      <c r="L57" s="416">
        <v>9450000</v>
      </c>
      <c r="M57" s="417">
        <v>144.12</v>
      </c>
      <c r="N57" s="418">
        <v>13619.368</v>
      </c>
      <c r="O57" s="419">
        <v>0</v>
      </c>
      <c r="P57" s="420" t="s">
        <v>22</v>
      </c>
      <c r="Q57" s="421" t="s">
        <v>417</v>
      </c>
      <c r="R57" s="422" t="s">
        <v>0</v>
      </c>
    </row>
    <row r="58" spans="1:18" ht="12.95" customHeight="1" x14ac:dyDescent="0.25">
      <c r="A58" s="405">
        <v>269</v>
      </c>
      <c r="B58" s="406">
        <v>999999</v>
      </c>
      <c r="C58" s="407" t="s">
        <v>0</v>
      </c>
      <c r="D58" s="408" t="s">
        <v>530</v>
      </c>
      <c r="E58" s="409">
        <v>8288920</v>
      </c>
      <c r="F58" s="410" t="s">
        <v>531</v>
      </c>
      <c r="G58" s="411">
        <v>8.9600000000000009</v>
      </c>
      <c r="H58" s="412" t="s">
        <v>108</v>
      </c>
      <c r="I58" s="413" t="s">
        <v>532</v>
      </c>
      <c r="J58" s="414" t="s">
        <v>297</v>
      </c>
      <c r="K58" s="415" t="s">
        <v>422</v>
      </c>
      <c r="L58" s="416">
        <v>2850000</v>
      </c>
      <c r="M58" s="417">
        <v>147.33000000000001</v>
      </c>
      <c r="N58" s="418">
        <v>4198.7849999999999</v>
      </c>
      <c r="O58" s="419">
        <v>0</v>
      </c>
      <c r="P58" s="420" t="s">
        <v>22</v>
      </c>
      <c r="Q58" s="421" t="s">
        <v>427</v>
      </c>
      <c r="R58" s="422" t="s">
        <v>0</v>
      </c>
    </row>
    <row r="59" spans="1:18" ht="12.95" customHeight="1" x14ac:dyDescent="0.25">
      <c r="A59" s="405">
        <v>269</v>
      </c>
      <c r="B59" s="406">
        <v>999999</v>
      </c>
      <c r="C59" s="407" t="s">
        <v>0</v>
      </c>
      <c r="D59" s="408" t="s">
        <v>533</v>
      </c>
      <c r="E59" s="409">
        <v>8288946</v>
      </c>
      <c r="F59" s="410" t="s">
        <v>534</v>
      </c>
      <c r="G59" s="411">
        <v>9.1199999999999992</v>
      </c>
      <c r="H59" s="412" t="s">
        <v>108</v>
      </c>
      <c r="I59" s="413" t="s">
        <v>535</v>
      </c>
      <c r="J59" s="414" t="s">
        <v>297</v>
      </c>
      <c r="K59" s="415" t="s">
        <v>422</v>
      </c>
      <c r="L59" s="416">
        <v>10480000</v>
      </c>
      <c r="M59" s="417">
        <v>147.27000000000001</v>
      </c>
      <c r="N59" s="418">
        <v>15433.592000000001</v>
      </c>
      <c r="O59" s="419">
        <v>0</v>
      </c>
      <c r="P59" s="420" t="s">
        <v>22</v>
      </c>
      <c r="Q59" s="421" t="s">
        <v>536</v>
      </c>
      <c r="R59" s="422" t="s">
        <v>0</v>
      </c>
    </row>
    <row r="60" spans="1:18" ht="12.95" customHeight="1" x14ac:dyDescent="0.25">
      <c r="A60" s="405">
        <v>269</v>
      </c>
      <c r="B60" s="406">
        <v>999999</v>
      </c>
      <c r="C60" s="407" t="s">
        <v>0</v>
      </c>
      <c r="D60" s="408" t="s">
        <v>537</v>
      </c>
      <c r="E60" s="409">
        <v>8288953</v>
      </c>
      <c r="F60" s="410" t="s">
        <v>538</v>
      </c>
      <c r="G60" s="411">
        <v>9.1999999999999993</v>
      </c>
      <c r="H60" s="412" t="s">
        <v>108</v>
      </c>
      <c r="I60" s="413" t="s">
        <v>539</v>
      </c>
      <c r="J60" s="414" t="s">
        <v>297</v>
      </c>
      <c r="K60" s="415" t="s">
        <v>540</v>
      </c>
      <c r="L60" s="416">
        <v>5220000</v>
      </c>
      <c r="M60" s="417">
        <v>147.05000000000001</v>
      </c>
      <c r="N60" s="418">
        <v>7675.9889999999996</v>
      </c>
      <c r="O60" s="419">
        <v>0</v>
      </c>
      <c r="P60" s="420" t="s">
        <v>22</v>
      </c>
      <c r="Q60" s="421" t="s">
        <v>541</v>
      </c>
      <c r="R60" s="422" t="s">
        <v>0</v>
      </c>
    </row>
    <row r="61" spans="1:18" ht="12.95" customHeight="1" x14ac:dyDescent="0.25">
      <c r="A61" s="405">
        <v>269</v>
      </c>
      <c r="B61" s="406">
        <v>999999</v>
      </c>
      <c r="C61" s="407" t="s">
        <v>0</v>
      </c>
      <c r="D61" s="408" t="s">
        <v>542</v>
      </c>
      <c r="E61" s="409">
        <v>8288961</v>
      </c>
      <c r="F61" s="410" t="s">
        <v>543</v>
      </c>
      <c r="G61" s="411">
        <v>9.11</v>
      </c>
      <c r="H61" s="412" t="s">
        <v>108</v>
      </c>
      <c r="I61" s="413" t="s">
        <v>544</v>
      </c>
      <c r="J61" s="414" t="s">
        <v>297</v>
      </c>
      <c r="K61" s="415" t="s">
        <v>540</v>
      </c>
      <c r="L61" s="416">
        <v>8490000</v>
      </c>
      <c r="M61" s="417">
        <v>149.13</v>
      </c>
      <c r="N61" s="418">
        <v>12660.874</v>
      </c>
      <c r="O61" s="419">
        <v>0</v>
      </c>
      <c r="P61" s="420" t="s">
        <v>22</v>
      </c>
      <c r="Q61" s="421" t="s">
        <v>545</v>
      </c>
      <c r="R61" s="422" t="s">
        <v>0</v>
      </c>
    </row>
    <row r="62" spans="1:18" ht="12.95" customHeight="1" x14ac:dyDescent="0.25">
      <c r="A62" s="405">
        <v>269</v>
      </c>
      <c r="B62" s="406">
        <v>999999</v>
      </c>
      <c r="C62" s="407" t="s">
        <v>0</v>
      </c>
      <c r="D62" s="408" t="s">
        <v>546</v>
      </c>
      <c r="E62" s="409">
        <v>8288979</v>
      </c>
      <c r="F62" s="410" t="s">
        <v>547</v>
      </c>
      <c r="G62" s="411">
        <v>9.1999999999999993</v>
      </c>
      <c r="H62" s="412" t="s">
        <v>108</v>
      </c>
      <c r="I62" s="413" t="s">
        <v>548</v>
      </c>
      <c r="J62" s="414" t="s">
        <v>297</v>
      </c>
      <c r="K62" s="415" t="s">
        <v>540</v>
      </c>
      <c r="L62" s="416">
        <v>13990000</v>
      </c>
      <c r="M62" s="417">
        <v>147.97999999999999</v>
      </c>
      <c r="N62" s="418">
        <v>20702.835999999999</v>
      </c>
      <c r="O62" s="419">
        <v>0</v>
      </c>
      <c r="P62" s="420" t="s">
        <v>22</v>
      </c>
      <c r="Q62" s="421" t="s">
        <v>549</v>
      </c>
      <c r="R62" s="422" t="s">
        <v>0</v>
      </c>
    </row>
    <row r="63" spans="1:18" ht="12.95" customHeight="1" x14ac:dyDescent="0.25">
      <c r="A63" s="405">
        <v>269</v>
      </c>
      <c r="B63" s="406">
        <v>999999</v>
      </c>
      <c r="C63" s="407" t="s">
        <v>0</v>
      </c>
      <c r="D63" s="408" t="s">
        <v>550</v>
      </c>
      <c r="E63" s="409">
        <v>8288987</v>
      </c>
      <c r="F63" s="410" t="s">
        <v>551</v>
      </c>
      <c r="G63" s="411">
        <v>9.2799999999999994</v>
      </c>
      <c r="H63" s="412" t="s">
        <v>108</v>
      </c>
      <c r="I63" s="413" t="s">
        <v>552</v>
      </c>
      <c r="J63" s="414" t="s">
        <v>297</v>
      </c>
      <c r="K63" s="415" t="s">
        <v>540</v>
      </c>
      <c r="L63" s="416">
        <v>2250000</v>
      </c>
      <c r="M63" s="417">
        <v>147.18</v>
      </c>
      <c r="N63" s="418">
        <v>3311.489</v>
      </c>
      <c r="O63" s="419">
        <v>0</v>
      </c>
      <c r="P63" s="420" t="s">
        <v>22</v>
      </c>
      <c r="Q63" s="421" t="s">
        <v>553</v>
      </c>
      <c r="R63" s="422" t="s">
        <v>0</v>
      </c>
    </row>
    <row r="64" spans="1:18" ht="12.95" customHeight="1" x14ac:dyDescent="0.25">
      <c r="A64" s="405">
        <v>269</v>
      </c>
      <c r="B64" s="406">
        <v>999999</v>
      </c>
      <c r="C64" s="407" t="s">
        <v>0</v>
      </c>
      <c r="D64" s="408" t="s">
        <v>554</v>
      </c>
      <c r="E64" s="409">
        <v>8288995</v>
      </c>
      <c r="F64" s="410" t="s">
        <v>555</v>
      </c>
      <c r="G64" s="411">
        <v>9.36</v>
      </c>
      <c r="H64" s="412" t="s">
        <v>108</v>
      </c>
      <c r="I64" s="413" t="s">
        <v>556</v>
      </c>
      <c r="J64" s="414" t="s">
        <v>297</v>
      </c>
      <c r="K64" s="415" t="s">
        <v>540</v>
      </c>
      <c r="L64" s="416">
        <v>3110000</v>
      </c>
      <c r="M64" s="417">
        <v>146.35</v>
      </c>
      <c r="N64" s="418">
        <v>4551.4129999999996</v>
      </c>
      <c r="O64" s="419">
        <v>0</v>
      </c>
      <c r="P64" s="420" t="s">
        <v>22</v>
      </c>
      <c r="Q64" s="421" t="s">
        <v>557</v>
      </c>
      <c r="R64" s="422" t="s">
        <v>0</v>
      </c>
    </row>
    <row r="65" spans="1:18" ht="12.95" customHeight="1" x14ac:dyDescent="0.25">
      <c r="A65" s="405">
        <v>269</v>
      </c>
      <c r="B65" s="406">
        <v>999999</v>
      </c>
      <c r="C65" s="407" t="s">
        <v>0</v>
      </c>
      <c r="D65" s="408" t="s">
        <v>558</v>
      </c>
      <c r="E65" s="409">
        <v>8289019</v>
      </c>
      <c r="F65" s="410" t="s">
        <v>559</v>
      </c>
      <c r="G65" s="411">
        <v>9.5299999999999994</v>
      </c>
      <c r="H65" s="412" t="s">
        <v>108</v>
      </c>
      <c r="I65" s="413" t="s">
        <v>560</v>
      </c>
      <c r="J65" s="414" t="s">
        <v>297</v>
      </c>
      <c r="K65" s="415" t="s">
        <v>561</v>
      </c>
      <c r="L65" s="416">
        <v>11100000</v>
      </c>
      <c r="M65" s="417">
        <v>145.03</v>
      </c>
      <c r="N65" s="418">
        <v>16098.075000000001</v>
      </c>
      <c r="O65" s="419">
        <v>0</v>
      </c>
      <c r="P65" s="420" t="s">
        <v>22</v>
      </c>
      <c r="Q65" s="421" t="s">
        <v>562</v>
      </c>
      <c r="R65" s="422" t="s">
        <v>0</v>
      </c>
    </row>
    <row r="66" spans="1:18" ht="12.95" customHeight="1" x14ac:dyDescent="0.25">
      <c r="A66" s="405">
        <v>269</v>
      </c>
      <c r="B66" s="406">
        <v>999999</v>
      </c>
      <c r="C66" s="407" t="s">
        <v>0</v>
      </c>
      <c r="D66" s="408" t="s">
        <v>563</v>
      </c>
      <c r="E66" s="409">
        <v>8289035</v>
      </c>
      <c r="F66" s="410" t="s">
        <v>564</v>
      </c>
      <c r="G66" s="411">
        <v>9.52</v>
      </c>
      <c r="H66" s="412" t="s">
        <v>108</v>
      </c>
      <c r="I66" s="413" t="s">
        <v>565</v>
      </c>
      <c r="J66" s="414" t="s">
        <v>297</v>
      </c>
      <c r="K66" s="415" t="s">
        <v>561</v>
      </c>
      <c r="L66" s="416">
        <v>9000000</v>
      </c>
      <c r="M66" s="417">
        <v>146.52000000000001</v>
      </c>
      <c r="N66" s="418">
        <v>13186.962</v>
      </c>
      <c r="O66" s="419">
        <v>0</v>
      </c>
      <c r="P66" s="420" t="s">
        <v>22</v>
      </c>
      <c r="Q66" s="421" t="s">
        <v>392</v>
      </c>
      <c r="R66" s="422" t="s">
        <v>0</v>
      </c>
    </row>
    <row r="67" spans="1:18" ht="12.95" customHeight="1" x14ac:dyDescent="0.25">
      <c r="A67" s="405">
        <v>269</v>
      </c>
      <c r="B67" s="406">
        <v>999999</v>
      </c>
      <c r="C67" s="407" t="s">
        <v>0</v>
      </c>
      <c r="D67" s="408" t="s">
        <v>566</v>
      </c>
      <c r="E67" s="409">
        <v>8289043</v>
      </c>
      <c r="F67" s="410" t="s">
        <v>567</v>
      </c>
      <c r="G67" s="411">
        <v>9.6</v>
      </c>
      <c r="H67" s="412" t="s">
        <v>108</v>
      </c>
      <c r="I67" s="413" t="s">
        <v>568</v>
      </c>
      <c r="J67" s="414" t="s">
        <v>297</v>
      </c>
      <c r="K67" s="415" t="s">
        <v>561</v>
      </c>
      <c r="L67" s="416">
        <v>18770000</v>
      </c>
      <c r="M67" s="417">
        <v>146.03</v>
      </c>
      <c r="N67" s="418">
        <v>27410.243999999999</v>
      </c>
      <c r="O67" s="419">
        <v>0</v>
      </c>
      <c r="P67" s="420" t="s">
        <v>22</v>
      </c>
      <c r="Q67" s="421" t="s">
        <v>569</v>
      </c>
      <c r="R67" s="422" t="s">
        <v>0</v>
      </c>
    </row>
    <row r="68" spans="1:18" ht="12.95" customHeight="1" x14ac:dyDescent="0.25">
      <c r="A68" s="405">
        <v>269</v>
      </c>
      <c r="B68" s="406">
        <v>999999</v>
      </c>
      <c r="C68" s="407" t="s">
        <v>0</v>
      </c>
      <c r="D68" s="408" t="s">
        <v>570</v>
      </c>
      <c r="E68" s="409">
        <v>8289050</v>
      </c>
      <c r="F68" s="410" t="s">
        <v>571</v>
      </c>
      <c r="G68" s="411">
        <v>9.68</v>
      </c>
      <c r="H68" s="412" t="s">
        <v>108</v>
      </c>
      <c r="I68" s="413" t="s">
        <v>572</v>
      </c>
      <c r="J68" s="414" t="s">
        <v>297</v>
      </c>
      <c r="K68" s="415" t="s">
        <v>561</v>
      </c>
      <c r="L68" s="416">
        <v>1010000</v>
      </c>
      <c r="M68" s="417">
        <v>145.91999999999999</v>
      </c>
      <c r="N68" s="418">
        <v>1473.826</v>
      </c>
      <c r="O68" s="419">
        <v>0</v>
      </c>
      <c r="P68" s="420" t="s">
        <v>22</v>
      </c>
      <c r="Q68" s="421" t="s">
        <v>573</v>
      </c>
      <c r="R68" s="422" t="s">
        <v>0</v>
      </c>
    </row>
    <row r="69" spans="1:18" ht="12.95" customHeight="1" x14ac:dyDescent="0.25">
      <c r="A69" s="405">
        <v>269</v>
      </c>
      <c r="B69" s="406">
        <v>999999</v>
      </c>
      <c r="C69" s="407" t="s">
        <v>0</v>
      </c>
      <c r="D69" s="408" t="s">
        <v>574</v>
      </c>
      <c r="E69" s="409">
        <v>8289068</v>
      </c>
      <c r="F69" s="410" t="s">
        <v>575</v>
      </c>
      <c r="G69" s="411">
        <v>9.77</v>
      </c>
      <c r="H69" s="412" t="s">
        <v>108</v>
      </c>
      <c r="I69" s="413" t="s">
        <v>576</v>
      </c>
      <c r="J69" s="414" t="s">
        <v>297</v>
      </c>
      <c r="K69" s="415" t="s">
        <v>561</v>
      </c>
      <c r="L69" s="416">
        <v>2650000</v>
      </c>
      <c r="M69" s="417">
        <v>145.24</v>
      </c>
      <c r="N69" s="418">
        <v>3848.9789999999998</v>
      </c>
      <c r="O69" s="419">
        <v>0</v>
      </c>
      <c r="P69" s="420" t="s">
        <v>22</v>
      </c>
      <c r="Q69" s="421" t="s">
        <v>577</v>
      </c>
      <c r="R69" s="422" t="s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4" customWidth="1"/>
    <col min="4" max="4" width="17" customWidth="1"/>
    <col min="5" max="5" width="13" customWidth="1"/>
    <col min="6" max="6" width="19" customWidth="1"/>
    <col min="7" max="7" width="23" customWidth="1"/>
  </cols>
  <sheetData>
    <row r="1" spans="1:7" ht="15" customHeight="1" x14ac:dyDescent="0.25">
      <c r="A1" s="423" t="s">
        <v>578</v>
      </c>
      <c r="B1" s="424" t="s">
        <v>56</v>
      </c>
      <c r="C1" s="425" t="s">
        <v>60</v>
      </c>
      <c r="D1" s="426" t="s">
        <v>579</v>
      </c>
      <c r="E1" s="427" t="s">
        <v>580</v>
      </c>
      <c r="F1" s="428" t="s">
        <v>581</v>
      </c>
      <c r="G1" s="429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1" customWidth="1"/>
    <col min="21" max="22" width="12" customWidth="1"/>
    <col min="23" max="23" width="13" customWidth="1"/>
    <col min="24" max="25" width="14" customWidth="1"/>
    <col min="26" max="26" width="22" customWidth="1"/>
    <col min="27" max="27" width="16" customWidth="1"/>
    <col min="28" max="28" width="21" customWidth="1"/>
    <col min="29" max="29" width="15" customWidth="1"/>
    <col min="30" max="30" width="19" customWidth="1"/>
    <col min="31" max="31" width="38" customWidth="1"/>
    <col min="32" max="32" width="19" customWidth="1"/>
  </cols>
  <sheetData>
    <row r="1" spans="1:32" ht="15" customHeight="1" x14ac:dyDescent="0.25">
      <c r="A1" s="430" t="s">
        <v>55</v>
      </c>
      <c r="B1" s="431" t="s">
        <v>56</v>
      </c>
      <c r="C1" s="432" t="s">
        <v>80</v>
      </c>
      <c r="D1" s="433" t="s">
        <v>94</v>
      </c>
      <c r="E1" s="434" t="s">
        <v>95</v>
      </c>
      <c r="F1" s="435" t="s">
        <v>81</v>
      </c>
      <c r="G1" s="436" t="s">
        <v>82</v>
      </c>
      <c r="H1" s="437" t="s">
        <v>96</v>
      </c>
      <c r="I1" s="438" t="s">
        <v>60</v>
      </c>
      <c r="J1" s="439" t="s">
        <v>61</v>
      </c>
      <c r="K1" s="440" t="s">
        <v>83</v>
      </c>
      <c r="L1" s="441" t="s">
        <v>97</v>
      </c>
      <c r="M1" s="442" t="s">
        <v>62</v>
      </c>
      <c r="N1" s="443" t="s">
        <v>292</v>
      </c>
      <c r="O1" s="444" t="s">
        <v>85</v>
      </c>
      <c r="P1" s="445" t="s">
        <v>64</v>
      </c>
      <c r="Q1" s="446" t="s">
        <v>98</v>
      </c>
      <c r="R1" s="447" t="s">
        <v>65</v>
      </c>
      <c r="S1" s="448" t="s">
        <v>86</v>
      </c>
      <c r="T1" s="449" t="s">
        <v>293</v>
      </c>
      <c r="U1" s="450" t="s">
        <v>99</v>
      </c>
      <c r="V1" s="451" t="s">
        <v>87</v>
      </c>
      <c r="W1" s="452" t="s">
        <v>68</v>
      </c>
      <c r="X1" s="453" t="s">
        <v>88</v>
      </c>
      <c r="Y1" s="454" t="s">
        <v>100</v>
      </c>
      <c r="Z1" s="455" t="s">
        <v>101</v>
      </c>
      <c r="AA1" s="456" t="s">
        <v>582</v>
      </c>
      <c r="AB1" s="457" t="s">
        <v>583</v>
      </c>
      <c r="AC1" s="458" t="s">
        <v>584</v>
      </c>
      <c r="AD1" s="459" t="s">
        <v>585</v>
      </c>
      <c r="AE1" s="460" t="s">
        <v>586</v>
      </c>
      <c r="AF1" s="461" t="s">
        <v>286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rightToLeft="1" topLeftCell="S1" workbookViewId="0">
      <pane ySplit="1" topLeftCell="A2" activePane="bottomLeft" state="frozen"/>
      <selection pane="bottomLeft" activeCell="AF2" sqref="AF2"/>
    </sheetView>
  </sheetViews>
  <sheetFormatPr defaultRowHeight="15" x14ac:dyDescent="0.25"/>
  <cols>
    <col min="1" max="1" width="36" customWidth="1"/>
    <col min="2" max="2" width="12" customWidth="1"/>
    <col min="3" max="3" width="29" customWidth="1"/>
    <col min="4" max="4" width="12" customWidth="1"/>
    <col min="5" max="5" width="21" customWidth="1"/>
    <col min="6" max="6" width="37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3" width="15" customWidth="1"/>
    <col min="14" max="14" width="19" customWidth="1"/>
    <col min="15" max="15" width="13" customWidth="1"/>
    <col min="16" max="16" width="8" customWidth="1"/>
    <col min="17" max="17" width="15" customWidth="1"/>
    <col min="18" max="18" width="24" customWidth="1"/>
    <col min="19" max="19" width="13" customWidth="1"/>
    <col min="20" max="20" width="7" customWidth="1"/>
    <col min="21" max="21" width="12" customWidth="1"/>
    <col min="22" max="22" width="14" customWidth="1"/>
    <col min="23" max="23" width="13" customWidth="1"/>
    <col min="24" max="24" width="14" customWidth="1"/>
    <col min="25" max="25" width="22" customWidth="1"/>
    <col min="26" max="26" width="16" customWidth="1"/>
    <col min="27" max="27" width="21" customWidth="1"/>
    <col min="28" max="28" width="19" customWidth="1"/>
    <col min="29" max="29" width="38" customWidth="1"/>
    <col min="30" max="30" width="19" customWidth="1"/>
    <col min="31" max="31" width="12" customWidth="1"/>
    <col min="32" max="32" width="15" customWidth="1"/>
  </cols>
  <sheetData>
    <row r="1" spans="1:32" ht="15" customHeight="1" x14ac:dyDescent="0.25">
      <c r="A1" s="462" t="s">
        <v>55</v>
      </c>
      <c r="B1" s="463" t="s">
        <v>56</v>
      </c>
      <c r="C1" s="464" t="s">
        <v>80</v>
      </c>
      <c r="D1" s="465" t="s">
        <v>94</v>
      </c>
      <c r="E1" s="466" t="s">
        <v>95</v>
      </c>
      <c r="F1" s="467" t="s">
        <v>81</v>
      </c>
      <c r="G1" s="468" t="s">
        <v>82</v>
      </c>
      <c r="H1" s="469" t="s">
        <v>96</v>
      </c>
      <c r="I1" s="470" t="s">
        <v>60</v>
      </c>
      <c r="J1" s="471" t="s">
        <v>61</v>
      </c>
      <c r="K1" s="472" t="s">
        <v>83</v>
      </c>
      <c r="L1" s="473" t="s">
        <v>103</v>
      </c>
      <c r="M1" s="474" t="s">
        <v>97</v>
      </c>
      <c r="N1" s="475" t="s">
        <v>62</v>
      </c>
      <c r="O1" s="476" t="s">
        <v>292</v>
      </c>
      <c r="P1" s="477" t="s">
        <v>85</v>
      </c>
      <c r="Q1" s="478" t="s">
        <v>64</v>
      </c>
      <c r="R1" s="479" t="s">
        <v>98</v>
      </c>
      <c r="S1" s="480" t="s">
        <v>65</v>
      </c>
      <c r="T1" s="481" t="s">
        <v>86</v>
      </c>
      <c r="U1" s="482" t="s">
        <v>87</v>
      </c>
      <c r="V1" s="483" t="s">
        <v>88</v>
      </c>
      <c r="W1" s="484" t="s">
        <v>68</v>
      </c>
      <c r="X1" s="485" t="s">
        <v>100</v>
      </c>
      <c r="Y1" s="486" t="s">
        <v>101</v>
      </c>
      <c r="Z1" s="487" t="s">
        <v>582</v>
      </c>
      <c r="AA1" s="488" t="s">
        <v>583</v>
      </c>
      <c r="AB1" s="489" t="s">
        <v>585</v>
      </c>
      <c r="AC1" s="490" t="s">
        <v>586</v>
      </c>
      <c r="AD1" s="491" t="s">
        <v>286</v>
      </c>
      <c r="AE1" s="492" t="s">
        <v>67</v>
      </c>
      <c r="AF1" s="493" t="s">
        <v>91</v>
      </c>
    </row>
    <row r="2" spans="1:32" ht="12.95" customHeight="1" x14ac:dyDescent="0.25">
      <c r="A2" s="494">
        <v>269</v>
      </c>
      <c r="B2" s="495">
        <v>999999</v>
      </c>
      <c r="C2" s="496" t="s">
        <v>145</v>
      </c>
      <c r="D2" s="497">
        <v>1150</v>
      </c>
      <c r="E2" s="498" t="s">
        <v>94</v>
      </c>
      <c r="F2" s="499" t="s">
        <v>587</v>
      </c>
      <c r="G2" s="500" t="s">
        <v>588</v>
      </c>
      <c r="H2" s="501" t="s">
        <v>107</v>
      </c>
      <c r="I2" s="502" t="s">
        <v>589</v>
      </c>
      <c r="J2" s="503" t="s">
        <v>74</v>
      </c>
      <c r="K2" s="504" t="s">
        <v>74</v>
      </c>
      <c r="L2" s="505" t="s">
        <v>590</v>
      </c>
      <c r="M2" s="506" t="s">
        <v>148</v>
      </c>
      <c r="N2" s="507" t="s">
        <v>75</v>
      </c>
      <c r="O2" s="508" t="s">
        <v>591</v>
      </c>
      <c r="P2" s="509" t="s">
        <v>76</v>
      </c>
      <c r="Q2" s="510" t="s">
        <v>113</v>
      </c>
      <c r="R2" s="511" t="s">
        <v>114</v>
      </c>
      <c r="S2" s="512" t="s">
        <v>78</v>
      </c>
      <c r="T2" s="513">
        <v>5.32</v>
      </c>
      <c r="U2" s="514" t="s">
        <v>592</v>
      </c>
      <c r="V2" s="515" t="s">
        <v>593</v>
      </c>
      <c r="W2" s="516" t="s">
        <v>594</v>
      </c>
      <c r="X2" s="517" t="s">
        <v>117</v>
      </c>
      <c r="Y2" s="518" t="s">
        <v>75</v>
      </c>
      <c r="Z2" s="519" t="s">
        <v>595</v>
      </c>
      <c r="AA2" s="520" t="s">
        <v>596</v>
      </c>
      <c r="AB2" s="521" t="s">
        <v>597</v>
      </c>
      <c r="AC2" s="522" t="s">
        <v>0</v>
      </c>
      <c r="AD2" s="523">
        <v>12788951.529999999</v>
      </c>
      <c r="AE2" s="524">
        <v>1</v>
      </c>
      <c r="AF2" s="525">
        <v>158.33000000000001</v>
      </c>
    </row>
    <row r="3" spans="1:32" ht="12.95" customHeight="1" x14ac:dyDescent="0.25">
      <c r="A3" s="494">
        <v>269</v>
      </c>
      <c r="B3" s="495">
        <v>999999</v>
      </c>
      <c r="C3" s="496" t="s">
        <v>598</v>
      </c>
      <c r="D3" s="497">
        <v>2202</v>
      </c>
      <c r="E3" s="498" t="s">
        <v>94</v>
      </c>
      <c r="F3" s="499" t="s">
        <v>599</v>
      </c>
      <c r="G3" s="500" t="s">
        <v>600</v>
      </c>
      <c r="H3" s="501" t="s">
        <v>107</v>
      </c>
      <c r="I3" s="502" t="s">
        <v>589</v>
      </c>
      <c r="J3" s="503" t="s">
        <v>74</v>
      </c>
      <c r="K3" s="504" t="s">
        <v>74</v>
      </c>
      <c r="L3" s="505" t="s">
        <v>590</v>
      </c>
      <c r="M3" s="506" t="s">
        <v>199</v>
      </c>
      <c r="N3" s="507" t="s">
        <v>75</v>
      </c>
      <c r="O3" s="508" t="s">
        <v>601</v>
      </c>
      <c r="P3" s="509" t="s">
        <v>602</v>
      </c>
      <c r="Q3" s="510" t="s">
        <v>0</v>
      </c>
      <c r="R3" s="511" t="s">
        <v>114</v>
      </c>
      <c r="S3" s="512" t="s">
        <v>78</v>
      </c>
      <c r="T3" s="513">
        <v>0.75</v>
      </c>
      <c r="U3" s="514" t="s">
        <v>603</v>
      </c>
      <c r="V3" s="515" t="s">
        <v>604</v>
      </c>
      <c r="W3" s="516" t="s">
        <v>605</v>
      </c>
      <c r="X3" s="517" t="s">
        <v>117</v>
      </c>
      <c r="Y3" s="518" t="s">
        <v>75</v>
      </c>
      <c r="Z3" s="519" t="s">
        <v>590</v>
      </c>
      <c r="AA3" s="520" t="s">
        <v>596</v>
      </c>
      <c r="AB3" s="521" t="s">
        <v>597</v>
      </c>
      <c r="AC3" s="522" t="s">
        <v>0</v>
      </c>
      <c r="AD3" s="523">
        <v>1462567.04</v>
      </c>
      <c r="AE3" s="524">
        <v>1</v>
      </c>
      <c r="AF3" s="525">
        <v>139.74</v>
      </c>
    </row>
    <row r="4" spans="1:32" ht="12.95" customHeight="1" x14ac:dyDescent="0.25">
      <c r="A4" s="494">
        <v>269</v>
      </c>
      <c r="B4" s="495">
        <v>999999</v>
      </c>
      <c r="C4" s="496" t="s">
        <v>606</v>
      </c>
      <c r="D4" s="497">
        <v>1418</v>
      </c>
      <c r="E4" s="498" t="s">
        <v>94</v>
      </c>
      <c r="F4" s="499" t="s">
        <v>607</v>
      </c>
      <c r="G4" s="500" t="s">
        <v>608</v>
      </c>
      <c r="H4" s="501" t="s">
        <v>107</v>
      </c>
      <c r="I4" s="502" t="s">
        <v>589</v>
      </c>
      <c r="J4" s="503" t="s">
        <v>74</v>
      </c>
      <c r="K4" s="504" t="s">
        <v>74</v>
      </c>
      <c r="L4" s="505" t="s">
        <v>590</v>
      </c>
      <c r="M4" s="506" t="s">
        <v>148</v>
      </c>
      <c r="N4" s="507" t="s">
        <v>75</v>
      </c>
      <c r="O4" s="508" t="s">
        <v>609</v>
      </c>
      <c r="P4" s="509" t="s">
        <v>179</v>
      </c>
      <c r="Q4" s="510" t="s">
        <v>124</v>
      </c>
      <c r="R4" s="511" t="s">
        <v>114</v>
      </c>
      <c r="S4" s="512" t="s">
        <v>78</v>
      </c>
      <c r="T4" s="513">
        <v>1.1200000000000001</v>
      </c>
      <c r="U4" s="514" t="s">
        <v>610</v>
      </c>
      <c r="V4" s="515" t="s">
        <v>611</v>
      </c>
      <c r="W4" s="516" t="s">
        <v>605</v>
      </c>
      <c r="X4" s="517" t="s">
        <v>117</v>
      </c>
      <c r="Y4" s="518" t="s">
        <v>75</v>
      </c>
      <c r="Z4" s="519" t="s">
        <v>595</v>
      </c>
      <c r="AA4" s="520" t="s">
        <v>596</v>
      </c>
      <c r="AB4" s="521" t="s">
        <v>597</v>
      </c>
      <c r="AC4" s="522" t="s">
        <v>0</v>
      </c>
      <c r="AD4" s="523">
        <v>4647072.7300000004</v>
      </c>
      <c r="AE4" s="524">
        <v>1</v>
      </c>
      <c r="AF4" s="525">
        <v>146.25</v>
      </c>
    </row>
    <row r="5" spans="1:32" ht="12.95" customHeight="1" x14ac:dyDescent="0.25">
      <c r="A5" s="494">
        <v>269</v>
      </c>
      <c r="B5" s="495">
        <v>999999</v>
      </c>
      <c r="C5" s="496" t="s">
        <v>606</v>
      </c>
      <c r="D5" s="497">
        <v>1418</v>
      </c>
      <c r="E5" s="498" t="s">
        <v>94</v>
      </c>
      <c r="F5" s="499" t="s">
        <v>612</v>
      </c>
      <c r="G5" s="500" t="s">
        <v>613</v>
      </c>
      <c r="H5" s="501" t="s">
        <v>107</v>
      </c>
      <c r="I5" s="502" t="s">
        <v>589</v>
      </c>
      <c r="J5" s="503" t="s">
        <v>74</v>
      </c>
      <c r="K5" s="504" t="s">
        <v>74</v>
      </c>
      <c r="L5" s="505" t="s">
        <v>590</v>
      </c>
      <c r="M5" s="506" t="s">
        <v>148</v>
      </c>
      <c r="N5" s="507" t="s">
        <v>75</v>
      </c>
      <c r="O5" s="508" t="s">
        <v>614</v>
      </c>
      <c r="P5" s="509" t="s">
        <v>179</v>
      </c>
      <c r="Q5" s="510" t="s">
        <v>124</v>
      </c>
      <c r="R5" s="511" t="s">
        <v>114</v>
      </c>
      <c r="S5" s="512" t="s">
        <v>78</v>
      </c>
      <c r="T5" s="513">
        <v>3.74</v>
      </c>
      <c r="U5" s="514" t="s">
        <v>615</v>
      </c>
      <c r="V5" s="515" t="s">
        <v>616</v>
      </c>
      <c r="W5" s="516" t="s">
        <v>297</v>
      </c>
      <c r="X5" s="517" t="s">
        <v>117</v>
      </c>
      <c r="Y5" s="518" t="s">
        <v>75</v>
      </c>
      <c r="Z5" s="519" t="s">
        <v>595</v>
      </c>
      <c r="AA5" s="520" t="s">
        <v>596</v>
      </c>
      <c r="AB5" s="521" t="s">
        <v>597</v>
      </c>
      <c r="AC5" s="522" t="s">
        <v>0</v>
      </c>
      <c r="AD5" s="523">
        <v>7829959.0300000003</v>
      </c>
      <c r="AE5" s="524">
        <v>1</v>
      </c>
      <c r="AF5" s="525">
        <v>129.72999999999999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topLeftCell="O1" workbookViewId="0">
      <pane ySplit="1" topLeftCell="A2" activePane="bottomLeft" state="frozen"/>
      <selection pane="bottomLeft" activeCell="Z2" sqref="Z2"/>
    </sheetView>
  </sheetViews>
  <sheetFormatPr defaultRowHeight="15" x14ac:dyDescent="0.25"/>
  <cols>
    <col min="1" max="1" width="36" customWidth="1"/>
    <col min="2" max="2" width="12" customWidth="1"/>
    <col min="3" max="3" width="18" customWidth="1"/>
    <col min="4" max="4" width="12" customWidth="1"/>
    <col min="5" max="5" width="21" customWidth="1"/>
    <col min="6" max="6" width="14" customWidth="1"/>
    <col min="7" max="7" width="15" customWidth="1"/>
    <col min="8" max="8" width="19" customWidth="1"/>
    <col min="9" max="9" width="17" customWidth="1"/>
    <col min="10" max="10" width="12" customWidth="1"/>
    <col min="11" max="11" width="24" customWidth="1"/>
    <col min="12" max="12" width="15" customWidth="1"/>
    <col min="13" max="13" width="11" customWidth="1"/>
    <col min="14" max="14" width="19" customWidth="1"/>
    <col min="15" max="15" width="13" customWidth="1"/>
    <col min="16" max="16" width="14" customWidth="1"/>
    <col min="17" max="17" width="17" customWidth="1"/>
    <col min="18" max="18" width="21" customWidth="1"/>
    <col min="19" max="19" width="19" customWidth="1"/>
    <col min="20" max="20" width="38" customWidth="1"/>
    <col min="21" max="21" width="19" customWidth="1"/>
    <col min="22" max="22" width="12" customWidth="1"/>
    <col min="23" max="23" width="15" customWidth="1"/>
    <col min="24" max="24" width="23" customWidth="1"/>
    <col min="25" max="25" width="25" customWidth="1"/>
    <col min="26" max="26" width="23" customWidth="1"/>
  </cols>
  <sheetData>
    <row r="1" spans="1:26" ht="15" customHeight="1" x14ac:dyDescent="0.25">
      <c r="A1" s="526" t="s">
        <v>55</v>
      </c>
      <c r="B1" s="527" t="s">
        <v>56</v>
      </c>
      <c r="C1" s="528" t="s">
        <v>80</v>
      </c>
      <c r="D1" s="529" t="s">
        <v>94</v>
      </c>
      <c r="E1" s="530" t="s">
        <v>95</v>
      </c>
      <c r="F1" s="531" t="s">
        <v>81</v>
      </c>
      <c r="G1" s="532" t="s">
        <v>82</v>
      </c>
      <c r="H1" s="533" t="s">
        <v>96</v>
      </c>
      <c r="I1" s="534" t="s">
        <v>60</v>
      </c>
      <c r="J1" s="535" t="s">
        <v>61</v>
      </c>
      <c r="K1" s="536" t="s">
        <v>83</v>
      </c>
      <c r="L1" s="537" t="s">
        <v>103</v>
      </c>
      <c r="M1" s="538" t="s">
        <v>97</v>
      </c>
      <c r="N1" s="539" t="s">
        <v>62</v>
      </c>
      <c r="O1" s="540" t="s">
        <v>292</v>
      </c>
      <c r="P1" s="541" t="s">
        <v>65</v>
      </c>
      <c r="Q1" s="542" t="s">
        <v>582</v>
      </c>
      <c r="R1" s="543" t="s">
        <v>583</v>
      </c>
      <c r="S1" s="544" t="s">
        <v>585</v>
      </c>
      <c r="T1" s="545" t="s">
        <v>586</v>
      </c>
      <c r="U1" s="546" t="s">
        <v>286</v>
      </c>
      <c r="V1" s="547" t="s">
        <v>67</v>
      </c>
      <c r="W1" s="548" t="s">
        <v>91</v>
      </c>
      <c r="X1" s="549" t="s">
        <v>17</v>
      </c>
      <c r="Y1" s="550" t="s">
        <v>69</v>
      </c>
      <c r="Z1" s="551" t="s">
        <v>70</v>
      </c>
    </row>
    <row r="2" spans="1:26" ht="12.95" customHeight="1" x14ac:dyDescent="0.25">
      <c r="A2" s="552">
        <v>269</v>
      </c>
      <c r="B2" s="553">
        <v>999999</v>
      </c>
      <c r="C2" s="554" t="s">
        <v>617</v>
      </c>
      <c r="D2" s="555">
        <v>514947498</v>
      </c>
      <c r="E2" s="556" t="s">
        <v>618</v>
      </c>
      <c r="F2" s="557" t="s">
        <v>619</v>
      </c>
      <c r="G2" s="558">
        <v>50006907</v>
      </c>
      <c r="H2" s="559" t="s">
        <v>620</v>
      </c>
      <c r="I2" s="560" t="s">
        <v>621</v>
      </c>
      <c r="J2" s="561" t="s">
        <v>74</v>
      </c>
      <c r="K2" s="562" t="s">
        <v>74</v>
      </c>
      <c r="L2" s="563" t="s">
        <v>590</v>
      </c>
      <c r="M2" s="564" t="s">
        <v>622</v>
      </c>
      <c r="N2" s="565" t="s">
        <v>75</v>
      </c>
      <c r="O2" s="566" t="s">
        <v>623</v>
      </c>
      <c r="P2" s="567" t="s">
        <v>624</v>
      </c>
      <c r="Q2" s="568" t="s">
        <v>625</v>
      </c>
      <c r="R2" s="569" t="s">
        <v>596</v>
      </c>
      <c r="S2" s="570" t="s">
        <v>597</v>
      </c>
      <c r="T2" s="571" t="s">
        <v>0</v>
      </c>
      <c r="U2" s="572">
        <v>19933593</v>
      </c>
      <c r="V2" s="573">
        <v>3.71</v>
      </c>
      <c r="W2" s="574">
        <v>100</v>
      </c>
      <c r="X2" s="575">
        <v>73953.63</v>
      </c>
      <c r="Y2" s="576" t="s">
        <v>52</v>
      </c>
      <c r="Z2" s="933">
        <v>3.8933819876107827E-2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25" customWidth="1"/>
    <col min="4" max="4" width="32" customWidth="1"/>
    <col min="5" max="5" width="36" customWidth="1"/>
    <col min="6" max="6" width="14" customWidth="1"/>
    <col min="7" max="7" width="21" customWidth="1"/>
    <col min="8" max="8" width="26" customWidth="1"/>
    <col min="9" max="9" width="14" customWidth="1"/>
    <col min="10" max="10" width="22" customWidth="1"/>
    <col min="11" max="11" width="12" customWidth="1"/>
    <col min="12" max="12" width="25" customWidth="1"/>
    <col min="13" max="14" width="24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2" customWidth="1"/>
    <col min="22" max="22" width="34" customWidth="1"/>
    <col min="23" max="23" width="23" customWidth="1"/>
    <col min="24" max="24" width="24" customWidth="1"/>
    <col min="25" max="25" width="25" customWidth="1"/>
    <col min="26" max="26" width="23" customWidth="1"/>
  </cols>
  <sheetData>
    <row r="1" spans="1:26" ht="15" customHeight="1" x14ac:dyDescent="0.25">
      <c r="A1" s="577" t="s">
        <v>55</v>
      </c>
      <c r="B1" s="578" t="s">
        <v>56</v>
      </c>
      <c r="C1" s="579" t="s">
        <v>626</v>
      </c>
      <c r="D1" s="580" t="s">
        <v>627</v>
      </c>
      <c r="E1" s="581" t="s">
        <v>628</v>
      </c>
      <c r="F1" s="582" t="s">
        <v>629</v>
      </c>
      <c r="G1" s="583" t="s">
        <v>630</v>
      </c>
      <c r="H1" s="584" t="s">
        <v>631</v>
      </c>
      <c r="I1" s="585" t="s">
        <v>60</v>
      </c>
      <c r="J1" s="586" t="s">
        <v>632</v>
      </c>
      <c r="K1" s="587" t="s">
        <v>61</v>
      </c>
      <c r="L1" s="588" t="s">
        <v>633</v>
      </c>
      <c r="M1" s="589" t="s">
        <v>634</v>
      </c>
      <c r="N1" s="590" t="s">
        <v>83</v>
      </c>
      <c r="O1" s="591" t="s">
        <v>62</v>
      </c>
      <c r="P1" s="592" t="s">
        <v>292</v>
      </c>
      <c r="Q1" s="593" t="s">
        <v>65</v>
      </c>
      <c r="R1" s="594" t="s">
        <v>582</v>
      </c>
      <c r="S1" s="595" t="s">
        <v>583</v>
      </c>
      <c r="T1" s="596" t="s">
        <v>585</v>
      </c>
      <c r="U1" s="597" t="s">
        <v>67</v>
      </c>
      <c r="V1" s="598" t="s">
        <v>635</v>
      </c>
      <c r="W1" s="599" t="s">
        <v>17</v>
      </c>
      <c r="X1" s="600" t="s">
        <v>636</v>
      </c>
      <c r="Y1" s="601" t="s">
        <v>69</v>
      </c>
      <c r="Z1" s="602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23" customWidth="1"/>
    <col min="13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603" t="s">
        <v>55</v>
      </c>
      <c r="B1" s="604" t="s">
        <v>56</v>
      </c>
      <c r="C1" s="605" t="s">
        <v>80</v>
      </c>
      <c r="D1" s="606" t="s">
        <v>94</v>
      </c>
      <c r="E1" s="607" t="s">
        <v>95</v>
      </c>
      <c r="F1" s="608" t="s">
        <v>81</v>
      </c>
      <c r="G1" s="609" t="s">
        <v>82</v>
      </c>
      <c r="H1" s="610" t="s">
        <v>96</v>
      </c>
      <c r="I1" s="611" t="s">
        <v>61</v>
      </c>
      <c r="J1" s="612" t="s">
        <v>83</v>
      </c>
      <c r="K1" s="613" t="s">
        <v>103</v>
      </c>
      <c r="L1" s="614" t="s">
        <v>287</v>
      </c>
      <c r="M1" s="615" t="s">
        <v>97</v>
      </c>
      <c r="N1" s="616" t="s">
        <v>288</v>
      </c>
      <c r="O1" s="617" t="s">
        <v>62</v>
      </c>
      <c r="P1" s="618" t="s">
        <v>292</v>
      </c>
      <c r="Q1" s="619" t="s">
        <v>65</v>
      </c>
      <c r="R1" s="620" t="s">
        <v>582</v>
      </c>
      <c r="S1" s="621" t="s">
        <v>583</v>
      </c>
      <c r="T1" s="622" t="s">
        <v>585</v>
      </c>
      <c r="U1" s="623" t="s">
        <v>289</v>
      </c>
      <c r="V1" s="624" t="s">
        <v>290</v>
      </c>
      <c r="W1" s="625" t="s">
        <v>286</v>
      </c>
      <c r="X1" s="626" t="s">
        <v>91</v>
      </c>
      <c r="Y1" s="627" t="s">
        <v>67</v>
      </c>
      <c r="Z1" s="628" t="s">
        <v>17</v>
      </c>
      <c r="AA1" s="629" t="s">
        <v>69</v>
      </c>
      <c r="AB1" s="630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631" t="s">
        <v>55</v>
      </c>
      <c r="B1" s="632" t="s">
        <v>56</v>
      </c>
      <c r="C1" s="633" t="s">
        <v>80</v>
      </c>
      <c r="D1" s="634" t="s">
        <v>94</v>
      </c>
      <c r="E1" s="635" t="s">
        <v>95</v>
      </c>
      <c r="F1" s="636" t="s">
        <v>81</v>
      </c>
      <c r="G1" s="637" t="s">
        <v>82</v>
      </c>
      <c r="H1" s="638" t="s">
        <v>96</v>
      </c>
      <c r="I1" s="639" t="s">
        <v>60</v>
      </c>
      <c r="J1" s="640" t="s">
        <v>61</v>
      </c>
      <c r="K1" s="641" t="s">
        <v>83</v>
      </c>
      <c r="L1" s="642" t="s">
        <v>97</v>
      </c>
      <c r="M1" s="643" t="s">
        <v>291</v>
      </c>
      <c r="N1" s="644" t="s">
        <v>288</v>
      </c>
      <c r="O1" s="645" t="s">
        <v>62</v>
      </c>
      <c r="P1" s="646" t="s">
        <v>292</v>
      </c>
      <c r="Q1" s="647" t="s">
        <v>65</v>
      </c>
      <c r="R1" s="648" t="s">
        <v>582</v>
      </c>
      <c r="S1" s="649" t="s">
        <v>583</v>
      </c>
      <c r="T1" s="650" t="s">
        <v>585</v>
      </c>
      <c r="U1" s="651" t="s">
        <v>289</v>
      </c>
      <c r="V1" s="652" t="s">
        <v>290</v>
      </c>
      <c r="W1" s="653" t="s">
        <v>286</v>
      </c>
      <c r="X1" s="654" t="s">
        <v>91</v>
      </c>
      <c r="Y1" s="655" t="s">
        <v>67</v>
      </c>
      <c r="Z1" s="656" t="s">
        <v>17</v>
      </c>
      <c r="AA1" s="657" t="s">
        <v>69</v>
      </c>
      <c r="AB1" s="658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19" customWidth="1"/>
    <col min="5" max="5" width="21" customWidth="1"/>
    <col min="6" max="6" width="12" customWidth="1"/>
    <col min="7" max="7" width="18" customWidth="1"/>
    <col min="8" max="8" width="31" customWidth="1"/>
    <col min="9" max="9" width="33" customWidth="1"/>
    <col min="10" max="10" width="31" customWidth="1"/>
    <col min="11" max="11" width="19" customWidth="1"/>
    <col min="12" max="12" width="21" customWidth="1"/>
    <col min="13" max="13" width="12" customWidth="1"/>
    <col min="14" max="14" width="18" customWidth="1"/>
    <col min="15" max="15" width="31" customWidth="1"/>
    <col min="16" max="16" width="33" customWidth="1"/>
    <col min="17" max="17" width="31" customWidth="1"/>
    <col min="18" max="18" width="23" customWidth="1"/>
    <col min="19" max="19" width="12" customWidth="1"/>
    <col min="20" max="20" width="24" customWidth="1"/>
    <col min="21" max="21" width="10" customWidth="1"/>
    <col min="22" max="22" width="13" customWidth="1"/>
    <col min="23" max="23" width="12" customWidth="1"/>
    <col min="24" max="24" width="6" customWidth="1"/>
    <col min="25" max="25" width="19" customWidth="1"/>
    <col min="26" max="26" width="21" customWidth="1"/>
    <col min="27" max="27" width="16" customWidth="1"/>
    <col min="28" max="28" width="14" customWidth="1"/>
    <col min="29" max="29" width="12" customWidth="1"/>
    <col min="30" max="30" width="29" customWidth="1"/>
    <col min="31" max="31" width="11" customWidth="1"/>
    <col min="32" max="32" width="12" customWidth="1"/>
  </cols>
  <sheetData>
    <row r="1" spans="1:32" ht="15" customHeight="1" x14ac:dyDescent="0.25">
      <c r="A1" s="659" t="s">
        <v>55</v>
      </c>
      <c r="B1" s="660" t="s">
        <v>56</v>
      </c>
      <c r="C1" s="661" t="s">
        <v>60</v>
      </c>
      <c r="D1" s="662" t="s">
        <v>637</v>
      </c>
      <c r="E1" s="663" t="s">
        <v>638</v>
      </c>
      <c r="F1" s="664" t="s">
        <v>67</v>
      </c>
      <c r="G1" s="665" t="s">
        <v>639</v>
      </c>
      <c r="H1" s="666" t="s">
        <v>640</v>
      </c>
      <c r="I1" s="667" t="s">
        <v>641</v>
      </c>
      <c r="J1" s="668" t="s">
        <v>642</v>
      </c>
      <c r="K1" s="669" t="s">
        <v>643</v>
      </c>
      <c r="L1" s="670" t="s">
        <v>644</v>
      </c>
      <c r="M1" s="671" t="s">
        <v>67</v>
      </c>
      <c r="N1" s="672" t="s">
        <v>645</v>
      </c>
      <c r="O1" s="673" t="s">
        <v>646</v>
      </c>
      <c r="P1" s="674" t="s">
        <v>647</v>
      </c>
      <c r="Q1" s="675" t="s">
        <v>648</v>
      </c>
      <c r="R1" s="676" t="s">
        <v>649</v>
      </c>
      <c r="S1" s="677" t="s">
        <v>61</v>
      </c>
      <c r="T1" s="678" t="s">
        <v>83</v>
      </c>
      <c r="U1" s="679" t="s">
        <v>650</v>
      </c>
      <c r="V1" s="680" t="s">
        <v>651</v>
      </c>
      <c r="W1" s="681" t="s">
        <v>652</v>
      </c>
      <c r="X1" s="682" t="s">
        <v>653</v>
      </c>
      <c r="Y1" s="683" t="s">
        <v>62</v>
      </c>
      <c r="Z1" s="684" t="s">
        <v>654</v>
      </c>
      <c r="AA1" s="685" t="s">
        <v>655</v>
      </c>
      <c r="AB1" s="686" t="s">
        <v>656</v>
      </c>
      <c r="AC1" s="687" t="s">
        <v>657</v>
      </c>
      <c r="AD1" s="688" t="s">
        <v>658</v>
      </c>
      <c r="AE1" s="689" t="s">
        <v>659</v>
      </c>
      <c r="AF1" s="690" t="s">
        <v>99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"/>
  <sheetViews>
    <sheetView rightToLeft="1" topLeftCell="S1" workbookViewId="0">
      <pane ySplit="1" topLeftCell="A2" activePane="bottomLeft" state="frozen"/>
      <selection pane="bottomLeft" activeCell="AE41" sqref="AE41"/>
    </sheetView>
  </sheetViews>
  <sheetFormatPr defaultRowHeight="15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36" customWidth="1"/>
    <col min="6" max="6" width="13" customWidth="1"/>
    <col min="7" max="7" width="14" customWidth="1"/>
    <col min="8" max="8" width="44" customWidth="1"/>
    <col min="9" max="9" width="12" customWidth="1"/>
    <col min="10" max="10" width="24" customWidth="1"/>
    <col min="11" max="11" width="13" customWidth="1"/>
    <col min="12" max="12" width="19" customWidth="1"/>
    <col min="13" max="13" width="23" customWidth="1"/>
    <col min="14" max="14" width="28" customWidth="1"/>
    <col min="15" max="15" width="20" customWidth="1"/>
    <col min="16" max="16" width="8" customWidth="1"/>
    <col min="17" max="17" width="15" customWidth="1"/>
    <col min="18" max="18" width="21" customWidth="1"/>
    <col min="19" max="19" width="13" customWidth="1"/>
    <col min="20" max="20" width="7" customWidth="1"/>
    <col min="21" max="21" width="12" customWidth="1"/>
    <col min="22" max="22" width="13" customWidth="1"/>
    <col min="23" max="23" width="25" customWidth="1"/>
    <col min="24" max="24" width="12" customWidth="1"/>
    <col min="25" max="25" width="32" customWidth="1"/>
    <col min="26" max="26" width="14" customWidth="1"/>
    <col min="27" max="27" width="12" customWidth="1"/>
    <col min="28" max="28" width="14" customWidth="1"/>
    <col min="29" max="29" width="11" customWidth="1"/>
    <col min="30" max="30" width="35" customWidth="1"/>
    <col min="31" max="31" width="21" customWidth="1"/>
    <col min="32" max="32" width="32" customWidth="1"/>
  </cols>
  <sheetData>
    <row r="1" spans="1:32" ht="15" customHeight="1" x14ac:dyDescent="0.25">
      <c r="A1" s="691" t="s">
        <v>55</v>
      </c>
      <c r="B1" s="692" t="s">
        <v>56</v>
      </c>
      <c r="C1" s="693" t="s">
        <v>660</v>
      </c>
      <c r="D1" s="694" t="s">
        <v>661</v>
      </c>
      <c r="E1" s="695" t="s">
        <v>662</v>
      </c>
      <c r="F1" s="696" t="s">
        <v>663</v>
      </c>
      <c r="G1" s="697" t="s">
        <v>60</v>
      </c>
      <c r="H1" s="698" t="s">
        <v>664</v>
      </c>
      <c r="I1" s="699" t="s">
        <v>61</v>
      </c>
      <c r="J1" s="700" t="s">
        <v>83</v>
      </c>
      <c r="K1" s="701" t="s">
        <v>97</v>
      </c>
      <c r="L1" s="702" t="s">
        <v>62</v>
      </c>
      <c r="M1" s="703" t="s">
        <v>665</v>
      </c>
      <c r="N1" s="704" t="s">
        <v>666</v>
      </c>
      <c r="O1" s="705" t="s">
        <v>667</v>
      </c>
      <c r="P1" s="706" t="s">
        <v>85</v>
      </c>
      <c r="Q1" s="707" t="s">
        <v>64</v>
      </c>
      <c r="R1" s="708" t="s">
        <v>668</v>
      </c>
      <c r="S1" s="709" t="s">
        <v>65</v>
      </c>
      <c r="T1" s="710" t="s">
        <v>86</v>
      </c>
      <c r="U1" s="711" t="s">
        <v>669</v>
      </c>
      <c r="V1" s="712" t="s">
        <v>68</v>
      </c>
      <c r="W1" s="713" t="s">
        <v>293</v>
      </c>
      <c r="X1" s="714" t="s">
        <v>99</v>
      </c>
      <c r="Y1" s="715" t="s">
        <v>670</v>
      </c>
      <c r="Z1" s="716" t="s">
        <v>88</v>
      </c>
      <c r="AA1" s="717" t="s">
        <v>87</v>
      </c>
      <c r="AB1" s="718" t="s">
        <v>100</v>
      </c>
      <c r="AC1" s="719" t="s">
        <v>671</v>
      </c>
      <c r="AD1" s="720" t="s">
        <v>672</v>
      </c>
      <c r="AE1" s="721" t="s">
        <v>673</v>
      </c>
      <c r="AF1" s="722" t="s">
        <v>674</v>
      </c>
    </row>
    <row r="2" spans="1:32" ht="12.95" customHeight="1" x14ac:dyDescent="0.25">
      <c r="A2" s="723">
        <v>269</v>
      </c>
      <c r="B2" s="724">
        <v>999999</v>
      </c>
      <c r="C2" s="725">
        <v>513927285</v>
      </c>
      <c r="D2" s="726" t="s">
        <v>618</v>
      </c>
      <c r="E2" s="727" t="s">
        <v>675</v>
      </c>
      <c r="F2" s="728">
        <v>100061894</v>
      </c>
      <c r="G2" s="729" t="s">
        <v>590</v>
      </c>
      <c r="H2" s="730" t="s">
        <v>0</v>
      </c>
      <c r="I2" s="731" t="s">
        <v>74</v>
      </c>
      <c r="J2" s="732" t="s">
        <v>74</v>
      </c>
      <c r="K2" s="733" t="s">
        <v>676</v>
      </c>
      <c r="L2" s="734" t="s">
        <v>75</v>
      </c>
      <c r="M2" s="735" t="s">
        <v>75</v>
      </c>
      <c r="N2" s="736" t="s">
        <v>0</v>
      </c>
      <c r="O2" s="737" t="s">
        <v>677</v>
      </c>
      <c r="P2" s="738" t="s">
        <v>678</v>
      </c>
      <c r="Q2" s="739" t="s">
        <v>124</v>
      </c>
      <c r="R2" s="740" t="s">
        <v>114</v>
      </c>
      <c r="S2" s="741" t="s">
        <v>78</v>
      </c>
      <c r="T2" s="742">
        <v>1.45</v>
      </c>
      <c r="U2" s="743" t="s">
        <v>590</v>
      </c>
      <c r="V2" s="744" t="s">
        <v>679</v>
      </c>
      <c r="W2" s="745" t="s">
        <v>108</v>
      </c>
      <c r="X2" s="746" t="s">
        <v>680</v>
      </c>
      <c r="Y2" s="747" t="s">
        <v>0</v>
      </c>
      <c r="Z2" s="748" t="s">
        <v>681</v>
      </c>
      <c r="AA2" s="749" t="s">
        <v>682</v>
      </c>
      <c r="AB2" s="750" t="s">
        <v>117</v>
      </c>
      <c r="AC2" s="751" t="s">
        <v>0</v>
      </c>
      <c r="AD2" s="752" t="s">
        <v>0</v>
      </c>
      <c r="AE2" s="753" t="s">
        <v>0</v>
      </c>
      <c r="AF2" s="754" t="s">
        <v>0</v>
      </c>
    </row>
    <row r="3" spans="1:32" ht="12.95" customHeight="1" x14ac:dyDescent="0.25">
      <c r="A3" s="723">
        <v>269</v>
      </c>
      <c r="B3" s="724">
        <v>999999</v>
      </c>
      <c r="C3" s="725">
        <v>512475203</v>
      </c>
      <c r="D3" s="726" t="s">
        <v>618</v>
      </c>
      <c r="E3" s="727" t="s">
        <v>683</v>
      </c>
      <c r="F3" s="728">
        <v>100072032</v>
      </c>
      <c r="G3" s="729" t="s">
        <v>590</v>
      </c>
      <c r="H3" s="730" t="s">
        <v>0</v>
      </c>
      <c r="I3" s="731" t="s">
        <v>74</v>
      </c>
      <c r="J3" s="732" t="s">
        <v>74</v>
      </c>
      <c r="K3" s="733" t="s">
        <v>676</v>
      </c>
      <c r="L3" s="734" t="s">
        <v>75</v>
      </c>
      <c r="M3" s="735" t="s">
        <v>75</v>
      </c>
      <c r="N3" s="736" t="s">
        <v>0</v>
      </c>
      <c r="O3" s="737" t="s">
        <v>684</v>
      </c>
      <c r="P3" s="738" t="s">
        <v>179</v>
      </c>
      <c r="Q3" s="739" t="s">
        <v>124</v>
      </c>
      <c r="R3" s="740" t="s">
        <v>114</v>
      </c>
      <c r="S3" s="741" t="s">
        <v>78</v>
      </c>
      <c r="T3" s="742">
        <v>1.46</v>
      </c>
      <c r="U3" s="743" t="s">
        <v>590</v>
      </c>
      <c r="V3" s="744" t="s">
        <v>685</v>
      </c>
      <c r="W3" s="745" t="s">
        <v>108</v>
      </c>
      <c r="X3" s="746" t="s">
        <v>680</v>
      </c>
      <c r="Y3" s="747" t="s">
        <v>0</v>
      </c>
      <c r="Z3" s="748" t="s">
        <v>529</v>
      </c>
      <c r="AA3" s="749" t="s">
        <v>682</v>
      </c>
      <c r="AB3" s="750" t="s">
        <v>117</v>
      </c>
      <c r="AC3" s="751" t="s">
        <v>0</v>
      </c>
      <c r="AD3" s="752" t="s">
        <v>0</v>
      </c>
      <c r="AE3" s="753" t="s">
        <v>0</v>
      </c>
      <c r="AF3" s="754" t="s">
        <v>0</v>
      </c>
    </row>
    <row r="4" spans="1:32" ht="12.95" customHeight="1" x14ac:dyDescent="0.25">
      <c r="A4" s="723">
        <v>269</v>
      </c>
      <c r="B4" s="724">
        <v>999999</v>
      </c>
      <c r="C4" s="725">
        <v>512475203</v>
      </c>
      <c r="D4" s="726" t="s">
        <v>618</v>
      </c>
      <c r="E4" s="727" t="s">
        <v>686</v>
      </c>
      <c r="F4" s="728">
        <v>100072115</v>
      </c>
      <c r="G4" s="729" t="s">
        <v>590</v>
      </c>
      <c r="H4" s="730" t="s">
        <v>0</v>
      </c>
      <c r="I4" s="731" t="s">
        <v>74</v>
      </c>
      <c r="J4" s="732" t="s">
        <v>74</v>
      </c>
      <c r="K4" s="733" t="s">
        <v>676</v>
      </c>
      <c r="L4" s="734" t="s">
        <v>75</v>
      </c>
      <c r="M4" s="735" t="s">
        <v>75</v>
      </c>
      <c r="N4" s="736" t="s">
        <v>0</v>
      </c>
      <c r="O4" s="737" t="s">
        <v>687</v>
      </c>
      <c r="P4" s="738" t="s">
        <v>179</v>
      </c>
      <c r="Q4" s="739" t="s">
        <v>124</v>
      </c>
      <c r="R4" s="740" t="s">
        <v>114</v>
      </c>
      <c r="S4" s="741" t="s">
        <v>78</v>
      </c>
      <c r="T4" s="742">
        <v>1.46</v>
      </c>
      <c r="U4" s="743" t="s">
        <v>590</v>
      </c>
      <c r="V4" s="744" t="s">
        <v>685</v>
      </c>
      <c r="W4" s="745" t="s">
        <v>108</v>
      </c>
      <c r="X4" s="746" t="s">
        <v>680</v>
      </c>
      <c r="Y4" s="747" t="s">
        <v>0</v>
      </c>
      <c r="Z4" s="748" t="s">
        <v>529</v>
      </c>
      <c r="AA4" s="749" t="s">
        <v>682</v>
      </c>
      <c r="AB4" s="750" t="s">
        <v>117</v>
      </c>
      <c r="AC4" s="751" t="s">
        <v>0</v>
      </c>
      <c r="AD4" s="752" t="s">
        <v>0</v>
      </c>
      <c r="AE4" s="753" t="s">
        <v>0</v>
      </c>
      <c r="AF4" s="754" t="s">
        <v>0</v>
      </c>
    </row>
    <row r="5" spans="1:32" ht="12.95" customHeight="1" x14ac:dyDescent="0.25">
      <c r="A5" s="723">
        <v>269</v>
      </c>
      <c r="B5" s="724">
        <v>999999</v>
      </c>
      <c r="C5" s="725">
        <v>512475203</v>
      </c>
      <c r="D5" s="726" t="s">
        <v>618</v>
      </c>
      <c r="E5" s="727" t="s">
        <v>688</v>
      </c>
      <c r="F5" s="728">
        <v>100072297</v>
      </c>
      <c r="G5" s="729" t="s">
        <v>590</v>
      </c>
      <c r="H5" s="730" t="s">
        <v>0</v>
      </c>
      <c r="I5" s="731" t="s">
        <v>74</v>
      </c>
      <c r="J5" s="732" t="s">
        <v>74</v>
      </c>
      <c r="K5" s="733" t="s">
        <v>676</v>
      </c>
      <c r="L5" s="734" t="s">
        <v>75</v>
      </c>
      <c r="M5" s="735" t="s">
        <v>75</v>
      </c>
      <c r="N5" s="736" t="s">
        <v>0</v>
      </c>
      <c r="O5" s="737" t="s">
        <v>689</v>
      </c>
      <c r="P5" s="738" t="s">
        <v>179</v>
      </c>
      <c r="Q5" s="739" t="s">
        <v>124</v>
      </c>
      <c r="R5" s="740" t="s">
        <v>114</v>
      </c>
      <c r="S5" s="741" t="s">
        <v>78</v>
      </c>
      <c r="T5" s="742">
        <v>1.46</v>
      </c>
      <c r="U5" s="743" t="s">
        <v>590</v>
      </c>
      <c r="V5" s="744" t="s">
        <v>685</v>
      </c>
      <c r="W5" s="745" t="s">
        <v>108</v>
      </c>
      <c r="X5" s="746" t="s">
        <v>680</v>
      </c>
      <c r="Y5" s="747" t="s">
        <v>0</v>
      </c>
      <c r="Z5" s="748" t="s">
        <v>529</v>
      </c>
      <c r="AA5" s="749" t="s">
        <v>682</v>
      </c>
      <c r="AB5" s="750" t="s">
        <v>117</v>
      </c>
      <c r="AC5" s="751" t="s">
        <v>0</v>
      </c>
      <c r="AD5" s="752" t="s">
        <v>0</v>
      </c>
      <c r="AE5" s="753" t="s">
        <v>0</v>
      </c>
      <c r="AF5" s="754" t="s">
        <v>0</v>
      </c>
    </row>
    <row r="6" spans="1:32" ht="12.95" customHeight="1" x14ac:dyDescent="0.25">
      <c r="A6" s="723">
        <v>269</v>
      </c>
      <c r="B6" s="724">
        <v>999999</v>
      </c>
      <c r="C6" s="725">
        <v>512475203</v>
      </c>
      <c r="D6" s="726" t="s">
        <v>618</v>
      </c>
      <c r="E6" s="727" t="s">
        <v>690</v>
      </c>
      <c r="F6" s="728">
        <v>100072370</v>
      </c>
      <c r="G6" s="729" t="s">
        <v>590</v>
      </c>
      <c r="H6" s="730" t="s">
        <v>0</v>
      </c>
      <c r="I6" s="731" t="s">
        <v>74</v>
      </c>
      <c r="J6" s="732" t="s">
        <v>74</v>
      </c>
      <c r="K6" s="733" t="s">
        <v>676</v>
      </c>
      <c r="L6" s="734" t="s">
        <v>75</v>
      </c>
      <c r="M6" s="735" t="s">
        <v>75</v>
      </c>
      <c r="N6" s="736" t="s">
        <v>0</v>
      </c>
      <c r="O6" s="737" t="s">
        <v>691</v>
      </c>
      <c r="P6" s="738" t="s">
        <v>179</v>
      </c>
      <c r="Q6" s="739" t="s">
        <v>124</v>
      </c>
      <c r="R6" s="740" t="s">
        <v>114</v>
      </c>
      <c r="S6" s="741" t="s">
        <v>78</v>
      </c>
      <c r="T6" s="742">
        <v>1.46</v>
      </c>
      <c r="U6" s="743" t="s">
        <v>590</v>
      </c>
      <c r="V6" s="744" t="s">
        <v>685</v>
      </c>
      <c r="W6" s="745" t="s">
        <v>108</v>
      </c>
      <c r="X6" s="746" t="s">
        <v>680</v>
      </c>
      <c r="Y6" s="747" t="s">
        <v>0</v>
      </c>
      <c r="Z6" s="748" t="s">
        <v>529</v>
      </c>
      <c r="AA6" s="749" t="s">
        <v>682</v>
      </c>
      <c r="AB6" s="750" t="s">
        <v>117</v>
      </c>
      <c r="AC6" s="751" t="s">
        <v>0</v>
      </c>
      <c r="AD6" s="752" t="s">
        <v>0</v>
      </c>
      <c r="AE6" s="753" t="s">
        <v>0</v>
      </c>
      <c r="AF6" s="754" t="s">
        <v>0</v>
      </c>
    </row>
    <row r="7" spans="1:32" ht="12.95" customHeight="1" x14ac:dyDescent="0.25">
      <c r="A7" s="723">
        <v>269</v>
      </c>
      <c r="B7" s="724">
        <v>999999</v>
      </c>
      <c r="C7" s="725">
        <v>512475203</v>
      </c>
      <c r="D7" s="726" t="s">
        <v>618</v>
      </c>
      <c r="E7" s="727" t="s">
        <v>692</v>
      </c>
      <c r="F7" s="728">
        <v>100072453</v>
      </c>
      <c r="G7" s="729" t="s">
        <v>590</v>
      </c>
      <c r="H7" s="730" t="s">
        <v>0</v>
      </c>
      <c r="I7" s="731" t="s">
        <v>74</v>
      </c>
      <c r="J7" s="732" t="s">
        <v>74</v>
      </c>
      <c r="K7" s="733" t="s">
        <v>676</v>
      </c>
      <c r="L7" s="734" t="s">
        <v>75</v>
      </c>
      <c r="M7" s="735" t="s">
        <v>75</v>
      </c>
      <c r="N7" s="736" t="s">
        <v>0</v>
      </c>
      <c r="O7" s="737" t="s">
        <v>693</v>
      </c>
      <c r="P7" s="738" t="s">
        <v>179</v>
      </c>
      <c r="Q7" s="739" t="s">
        <v>124</v>
      </c>
      <c r="R7" s="740" t="s">
        <v>114</v>
      </c>
      <c r="S7" s="741" t="s">
        <v>78</v>
      </c>
      <c r="T7" s="742">
        <v>1.46</v>
      </c>
      <c r="U7" s="743" t="s">
        <v>590</v>
      </c>
      <c r="V7" s="744" t="s">
        <v>685</v>
      </c>
      <c r="W7" s="745" t="s">
        <v>108</v>
      </c>
      <c r="X7" s="746" t="s">
        <v>680</v>
      </c>
      <c r="Y7" s="747" t="s">
        <v>0</v>
      </c>
      <c r="Z7" s="748" t="s">
        <v>529</v>
      </c>
      <c r="AA7" s="749" t="s">
        <v>682</v>
      </c>
      <c r="AB7" s="750" t="s">
        <v>117</v>
      </c>
      <c r="AC7" s="751" t="s">
        <v>0</v>
      </c>
      <c r="AD7" s="752" t="s">
        <v>0</v>
      </c>
      <c r="AE7" s="753" t="s">
        <v>0</v>
      </c>
      <c r="AF7" s="754" t="s">
        <v>0</v>
      </c>
    </row>
    <row r="8" spans="1:32" ht="12.95" customHeight="1" x14ac:dyDescent="0.25">
      <c r="A8" s="723">
        <v>269</v>
      </c>
      <c r="B8" s="724">
        <v>999999</v>
      </c>
      <c r="C8" s="725">
        <v>512475203</v>
      </c>
      <c r="D8" s="726" t="s">
        <v>618</v>
      </c>
      <c r="E8" s="727" t="s">
        <v>694</v>
      </c>
      <c r="F8" s="728">
        <v>100072529</v>
      </c>
      <c r="G8" s="729" t="s">
        <v>590</v>
      </c>
      <c r="H8" s="730" t="s">
        <v>0</v>
      </c>
      <c r="I8" s="731" t="s">
        <v>74</v>
      </c>
      <c r="J8" s="732" t="s">
        <v>74</v>
      </c>
      <c r="K8" s="733" t="s">
        <v>676</v>
      </c>
      <c r="L8" s="734" t="s">
        <v>75</v>
      </c>
      <c r="M8" s="735" t="s">
        <v>75</v>
      </c>
      <c r="N8" s="736" t="s">
        <v>0</v>
      </c>
      <c r="O8" s="737" t="s">
        <v>695</v>
      </c>
      <c r="P8" s="738" t="s">
        <v>179</v>
      </c>
      <c r="Q8" s="739" t="s">
        <v>124</v>
      </c>
      <c r="R8" s="740" t="s">
        <v>114</v>
      </c>
      <c r="S8" s="741" t="s">
        <v>78</v>
      </c>
      <c r="T8" s="742">
        <v>1.46</v>
      </c>
      <c r="U8" s="743" t="s">
        <v>590</v>
      </c>
      <c r="V8" s="744" t="s">
        <v>696</v>
      </c>
      <c r="W8" s="745" t="s">
        <v>108</v>
      </c>
      <c r="X8" s="746" t="s">
        <v>680</v>
      </c>
      <c r="Y8" s="747" t="s">
        <v>0</v>
      </c>
      <c r="Z8" s="748" t="s">
        <v>529</v>
      </c>
      <c r="AA8" s="749" t="s">
        <v>682</v>
      </c>
      <c r="AB8" s="750" t="s">
        <v>117</v>
      </c>
      <c r="AC8" s="751" t="s">
        <v>0</v>
      </c>
      <c r="AD8" s="752" t="s">
        <v>0</v>
      </c>
      <c r="AE8" s="753" t="s">
        <v>0</v>
      </c>
      <c r="AF8" s="754" t="s">
        <v>0</v>
      </c>
    </row>
    <row r="9" spans="1:32" ht="12.95" customHeight="1" x14ac:dyDescent="0.25">
      <c r="A9" s="723">
        <v>269</v>
      </c>
      <c r="B9" s="724">
        <v>999999</v>
      </c>
      <c r="C9" s="725">
        <v>512475203</v>
      </c>
      <c r="D9" s="726" t="s">
        <v>618</v>
      </c>
      <c r="E9" s="727" t="s">
        <v>697</v>
      </c>
      <c r="F9" s="728">
        <v>100072602</v>
      </c>
      <c r="G9" s="729" t="s">
        <v>590</v>
      </c>
      <c r="H9" s="730" t="s">
        <v>0</v>
      </c>
      <c r="I9" s="731" t="s">
        <v>74</v>
      </c>
      <c r="J9" s="732" t="s">
        <v>74</v>
      </c>
      <c r="K9" s="733" t="s">
        <v>676</v>
      </c>
      <c r="L9" s="734" t="s">
        <v>75</v>
      </c>
      <c r="M9" s="735" t="s">
        <v>75</v>
      </c>
      <c r="N9" s="736" t="s">
        <v>0</v>
      </c>
      <c r="O9" s="737" t="s">
        <v>698</v>
      </c>
      <c r="P9" s="738" t="s">
        <v>179</v>
      </c>
      <c r="Q9" s="739" t="s">
        <v>124</v>
      </c>
      <c r="R9" s="740" t="s">
        <v>114</v>
      </c>
      <c r="S9" s="741" t="s">
        <v>78</v>
      </c>
      <c r="T9" s="742">
        <v>1.46</v>
      </c>
      <c r="U9" s="743" t="s">
        <v>590</v>
      </c>
      <c r="V9" s="744" t="s">
        <v>685</v>
      </c>
      <c r="W9" s="745" t="s">
        <v>108</v>
      </c>
      <c r="X9" s="746" t="s">
        <v>680</v>
      </c>
      <c r="Y9" s="747" t="s">
        <v>0</v>
      </c>
      <c r="Z9" s="748" t="s">
        <v>529</v>
      </c>
      <c r="AA9" s="749" t="s">
        <v>682</v>
      </c>
      <c r="AB9" s="750" t="s">
        <v>117</v>
      </c>
      <c r="AC9" s="751" t="s">
        <v>0</v>
      </c>
      <c r="AD9" s="752" t="s">
        <v>0</v>
      </c>
      <c r="AE9" s="753" t="s">
        <v>0</v>
      </c>
      <c r="AF9" s="754" t="s">
        <v>0</v>
      </c>
    </row>
    <row r="10" spans="1:32" ht="12.95" customHeight="1" x14ac:dyDescent="0.25">
      <c r="A10" s="723">
        <v>269</v>
      </c>
      <c r="B10" s="724">
        <v>999999</v>
      </c>
      <c r="C10" s="725">
        <v>512475203</v>
      </c>
      <c r="D10" s="726" t="s">
        <v>618</v>
      </c>
      <c r="E10" s="727" t="s">
        <v>699</v>
      </c>
      <c r="F10" s="728">
        <v>100072784</v>
      </c>
      <c r="G10" s="729" t="s">
        <v>590</v>
      </c>
      <c r="H10" s="730" t="s">
        <v>0</v>
      </c>
      <c r="I10" s="731" t="s">
        <v>74</v>
      </c>
      <c r="J10" s="732" t="s">
        <v>74</v>
      </c>
      <c r="K10" s="733" t="s">
        <v>676</v>
      </c>
      <c r="L10" s="734" t="s">
        <v>75</v>
      </c>
      <c r="M10" s="735" t="s">
        <v>75</v>
      </c>
      <c r="N10" s="736" t="s">
        <v>0</v>
      </c>
      <c r="O10" s="737" t="s">
        <v>700</v>
      </c>
      <c r="P10" s="738" t="s">
        <v>179</v>
      </c>
      <c r="Q10" s="739" t="s">
        <v>124</v>
      </c>
      <c r="R10" s="740" t="s">
        <v>114</v>
      </c>
      <c r="S10" s="741" t="s">
        <v>78</v>
      </c>
      <c r="T10" s="742">
        <v>1.46</v>
      </c>
      <c r="U10" s="743" t="s">
        <v>590</v>
      </c>
      <c r="V10" s="744" t="s">
        <v>685</v>
      </c>
      <c r="W10" s="745" t="s">
        <v>108</v>
      </c>
      <c r="X10" s="746" t="s">
        <v>680</v>
      </c>
      <c r="Y10" s="747" t="s">
        <v>0</v>
      </c>
      <c r="Z10" s="748" t="s">
        <v>701</v>
      </c>
      <c r="AA10" s="749" t="s">
        <v>682</v>
      </c>
      <c r="AB10" s="750" t="s">
        <v>117</v>
      </c>
      <c r="AC10" s="751" t="s">
        <v>0</v>
      </c>
      <c r="AD10" s="752" t="s">
        <v>0</v>
      </c>
      <c r="AE10" s="753" t="s">
        <v>0</v>
      </c>
      <c r="AF10" s="754" t="s">
        <v>0</v>
      </c>
    </row>
    <row r="11" spans="1:32" ht="12.95" customHeight="1" x14ac:dyDescent="0.25">
      <c r="A11" s="723">
        <v>269</v>
      </c>
      <c r="B11" s="724">
        <v>999999</v>
      </c>
      <c r="C11" s="725">
        <v>512475203</v>
      </c>
      <c r="D11" s="726" t="s">
        <v>618</v>
      </c>
      <c r="E11" s="727" t="s">
        <v>702</v>
      </c>
      <c r="F11" s="728">
        <v>100072867</v>
      </c>
      <c r="G11" s="729" t="s">
        <v>590</v>
      </c>
      <c r="H11" s="730" t="s">
        <v>0</v>
      </c>
      <c r="I11" s="731" t="s">
        <v>74</v>
      </c>
      <c r="J11" s="732" t="s">
        <v>74</v>
      </c>
      <c r="K11" s="733" t="s">
        <v>703</v>
      </c>
      <c r="L11" s="734" t="s">
        <v>75</v>
      </c>
      <c r="M11" s="735" t="s">
        <v>75</v>
      </c>
      <c r="N11" s="736" t="s">
        <v>0</v>
      </c>
      <c r="O11" s="737" t="s">
        <v>704</v>
      </c>
      <c r="P11" s="738" t="s">
        <v>179</v>
      </c>
      <c r="Q11" s="739" t="s">
        <v>124</v>
      </c>
      <c r="R11" s="740" t="s">
        <v>114</v>
      </c>
      <c r="S11" s="741" t="s">
        <v>78</v>
      </c>
      <c r="T11" s="742">
        <v>1.46</v>
      </c>
      <c r="U11" s="743" t="s">
        <v>590</v>
      </c>
      <c r="V11" s="744" t="s">
        <v>685</v>
      </c>
      <c r="W11" s="745" t="s">
        <v>108</v>
      </c>
      <c r="X11" s="746" t="s">
        <v>680</v>
      </c>
      <c r="Y11" s="747" t="s">
        <v>0</v>
      </c>
      <c r="Z11" s="748" t="s">
        <v>529</v>
      </c>
      <c r="AA11" s="749" t="s">
        <v>682</v>
      </c>
      <c r="AB11" s="750" t="s">
        <v>117</v>
      </c>
      <c r="AC11" s="751" t="s">
        <v>0</v>
      </c>
      <c r="AD11" s="752" t="s">
        <v>0</v>
      </c>
      <c r="AE11" s="753" t="s">
        <v>0</v>
      </c>
      <c r="AF11" s="754" t="s">
        <v>0</v>
      </c>
    </row>
    <row r="12" spans="1:32" ht="12.95" customHeight="1" x14ac:dyDescent="0.25">
      <c r="A12" s="723">
        <v>269</v>
      </c>
      <c r="B12" s="724">
        <v>999999</v>
      </c>
      <c r="C12" s="725">
        <v>512475203</v>
      </c>
      <c r="D12" s="726" t="s">
        <v>618</v>
      </c>
      <c r="E12" s="727" t="s">
        <v>705</v>
      </c>
      <c r="F12" s="728">
        <v>100072941</v>
      </c>
      <c r="G12" s="729" t="s">
        <v>590</v>
      </c>
      <c r="H12" s="730" t="s">
        <v>0</v>
      </c>
      <c r="I12" s="731" t="s">
        <v>74</v>
      </c>
      <c r="J12" s="732" t="s">
        <v>74</v>
      </c>
      <c r="K12" s="733" t="s">
        <v>703</v>
      </c>
      <c r="L12" s="734" t="s">
        <v>75</v>
      </c>
      <c r="M12" s="735" t="s">
        <v>75</v>
      </c>
      <c r="N12" s="736" t="s">
        <v>0</v>
      </c>
      <c r="O12" s="737" t="s">
        <v>706</v>
      </c>
      <c r="P12" s="738" t="s">
        <v>179</v>
      </c>
      <c r="Q12" s="739" t="s">
        <v>124</v>
      </c>
      <c r="R12" s="740" t="s">
        <v>114</v>
      </c>
      <c r="S12" s="741" t="s">
        <v>78</v>
      </c>
      <c r="T12" s="742">
        <v>1.46</v>
      </c>
      <c r="U12" s="743" t="s">
        <v>590</v>
      </c>
      <c r="V12" s="744" t="s">
        <v>685</v>
      </c>
      <c r="W12" s="745" t="s">
        <v>108</v>
      </c>
      <c r="X12" s="746" t="s">
        <v>680</v>
      </c>
      <c r="Y12" s="747" t="s">
        <v>0</v>
      </c>
      <c r="Z12" s="748" t="s">
        <v>529</v>
      </c>
      <c r="AA12" s="749" t="s">
        <v>682</v>
      </c>
      <c r="AB12" s="750" t="s">
        <v>117</v>
      </c>
      <c r="AC12" s="751" t="s">
        <v>0</v>
      </c>
      <c r="AD12" s="752" t="s">
        <v>0</v>
      </c>
      <c r="AE12" s="753" t="s">
        <v>0</v>
      </c>
      <c r="AF12" s="754" t="s">
        <v>0</v>
      </c>
    </row>
    <row r="13" spans="1:32" ht="12.95" customHeight="1" x14ac:dyDescent="0.25">
      <c r="A13" s="723">
        <v>269</v>
      </c>
      <c r="B13" s="724">
        <v>999999</v>
      </c>
      <c r="C13" s="725">
        <v>512475203</v>
      </c>
      <c r="D13" s="726" t="s">
        <v>618</v>
      </c>
      <c r="E13" s="727" t="s">
        <v>707</v>
      </c>
      <c r="F13" s="728">
        <v>100073022</v>
      </c>
      <c r="G13" s="729" t="s">
        <v>590</v>
      </c>
      <c r="H13" s="730" t="s">
        <v>0</v>
      </c>
      <c r="I13" s="731" t="s">
        <v>74</v>
      </c>
      <c r="J13" s="732" t="s">
        <v>74</v>
      </c>
      <c r="K13" s="733" t="s">
        <v>703</v>
      </c>
      <c r="L13" s="734" t="s">
        <v>75</v>
      </c>
      <c r="M13" s="735" t="s">
        <v>75</v>
      </c>
      <c r="N13" s="736" t="s">
        <v>0</v>
      </c>
      <c r="O13" s="737" t="s">
        <v>708</v>
      </c>
      <c r="P13" s="738" t="s">
        <v>179</v>
      </c>
      <c r="Q13" s="739" t="s">
        <v>124</v>
      </c>
      <c r="R13" s="740" t="s">
        <v>114</v>
      </c>
      <c r="S13" s="741" t="s">
        <v>78</v>
      </c>
      <c r="T13" s="742">
        <v>1.46</v>
      </c>
      <c r="U13" s="743" t="s">
        <v>590</v>
      </c>
      <c r="V13" s="744" t="s">
        <v>685</v>
      </c>
      <c r="W13" s="745" t="s">
        <v>108</v>
      </c>
      <c r="X13" s="746" t="s">
        <v>680</v>
      </c>
      <c r="Y13" s="747" t="s">
        <v>0</v>
      </c>
      <c r="Z13" s="748" t="s">
        <v>529</v>
      </c>
      <c r="AA13" s="749" t="s">
        <v>682</v>
      </c>
      <c r="AB13" s="750" t="s">
        <v>117</v>
      </c>
      <c r="AC13" s="751" t="s">
        <v>0</v>
      </c>
      <c r="AD13" s="752" t="s">
        <v>0</v>
      </c>
      <c r="AE13" s="753" t="s">
        <v>0</v>
      </c>
      <c r="AF13" s="754" t="s">
        <v>0</v>
      </c>
    </row>
    <row r="14" spans="1:32" ht="12.95" customHeight="1" x14ac:dyDescent="0.25">
      <c r="A14" s="723">
        <v>269</v>
      </c>
      <c r="B14" s="724">
        <v>999999</v>
      </c>
      <c r="C14" s="725">
        <v>512475203</v>
      </c>
      <c r="D14" s="726" t="s">
        <v>618</v>
      </c>
      <c r="E14" s="727" t="s">
        <v>709</v>
      </c>
      <c r="F14" s="728">
        <v>100073105</v>
      </c>
      <c r="G14" s="729" t="s">
        <v>590</v>
      </c>
      <c r="H14" s="730" t="s">
        <v>0</v>
      </c>
      <c r="I14" s="731" t="s">
        <v>74</v>
      </c>
      <c r="J14" s="732" t="s">
        <v>74</v>
      </c>
      <c r="K14" s="733" t="s">
        <v>703</v>
      </c>
      <c r="L14" s="734" t="s">
        <v>75</v>
      </c>
      <c r="M14" s="735" t="s">
        <v>75</v>
      </c>
      <c r="N14" s="736" t="s">
        <v>0</v>
      </c>
      <c r="O14" s="737" t="s">
        <v>710</v>
      </c>
      <c r="P14" s="738" t="s">
        <v>179</v>
      </c>
      <c r="Q14" s="739" t="s">
        <v>124</v>
      </c>
      <c r="R14" s="740" t="s">
        <v>114</v>
      </c>
      <c r="S14" s="741" t="s">
        <v>78</v>
      </c>
      <c r="T14" s="742">
        <v>1.46</v>
      </c>
      <c r="U14" s="743" t="s">
        <v>590</v>
      </c>
      <c r="V14" s="744" t="s">
        <v>685</v>
      </c>
      <c r="W14" s="745" t="s">
        <v>108</v>
      </c>
      <c r="X14" s="746" t="s">
        <v>680</v>
      </c>
      <c r="Y14" s="747" t="s">
        <v>0</v>
      </c>
      <c r="Z14" s="748" t="s">
        <v>529</v>
      </c>
      <c r="AA14" s="749" t="s">
        <v>682</v>
      </c>
      <c r="AB14" s="750" t="s">
        <v>117</v>
      </c>
      <c r="AC14" s="751" t="s">
        <v>0</v>
      </c>
      <c r="AD14" s="752" t="s">
        <v>0</v>
      </c>
      <c r="AE14" s="753" t="s">
        <v>0</v>
      </c>
      <c r="AF14" s="754" t="s">
        <v>0</v>
      </c>
    </row>
    <row r="15" spans="1:32" ht="12.95" customHeight="1" x14ac:dyDescent="0.25">
      <c r="A15" s="723">
        <v>269</v>
      </c>
      <c r="B15" s="724">
        <v>999999</v>
      </c>
      <c r="C15" s="725">
        <v>512475203</v>
      </c>
      <c r="D15" s="726" t="s">
        <v>618</v>
      </c>
      <c r="E15" s="727" t="s">
        <v>711</v>
      </c>
      <c r="F15" s="728">
        <v>100073287</v>
      </c>
      <c r="G15" s="729" t="s">
        <v>590</v>
      </c>
      <c r="H15" s="730" t="s">
        <v>0</v>
      </c>
      <c r="I15" s="731" t="s">
        <v>74</v>
      </c>
      <c r="J15" s="732" t="s">
        <v>74</v>
      </c>
      <c r="K15" s="733" t="s">
        <v>703</v>
      </c>
      <c r="L15" s="734" t="s">
        <v>75</v>
      </c>
      <c r="M15" s="735" t="s">
        <v>75</v>
      </c>
      <c r="N15" s="736" t="s">
        <v>0</v>
      </c>
      <c r="O15" s="737" t="s">
        <v>712</v>
      </c>
      <c r="P15" s="738" t="s">
        <v>179</v>
      </c>
      <c r="Q15" s="739" t="s">
        <v>124</v>
      </c>
      <c r="R15" s="740" t="s">
        <v>114</v>
      </c>
      <c r="S15" s="741" t="s">
        <v>78</v>
      </c>
      <c r="T15" s="742">
        <v>1.46</v>
      </c>
      <c r="U15" s="743" t="s">
        <v>590</v>
      </c>
      <c r="V15" s="744" t="s">
        <v>685</v>
      </c>
      <c r="W15" s="745" t="s">
        <v>108</v>
      </c>
      <c r="X15" s="746" t="s">
        <v>680</v>
      </c>
      <c r="Y15" s="747" t="s">
        <v>0</v>
      </c>
      <c r="Z15" s="748" t="s">
        <v>529</v>
      </c>
      <c r="AA15" s="749" t="s">
        <v>682</v>
      </c>
      <c r="AB15" s="750" t="s">
        <v>117</v>
      </c>
      <c r="AC15" s="751" t="s">
        <v>0</v>
      </c>
      <c r="AD15" s="752" t="s">
        <v>0</v>
      </c>
      <c r="AE15" s="753" t="s">
        <v>0</v>
      </c>
      <c r="AF15" s="754" t="s">
        <v>0</v>
      </c>
    </row>
    <row r="16" spans="1:32" ht="12.95" customHeight="1" x14ac:dyDescent="0.25">
      <c r="A16" s="723">
        <v>269</v>
      </c>
      <c r="B16" s="724">
        <v>999999</v>
      </c>
      <c r="C16" s="725">
        <v>512475203</v>
      </c>
      <c r="D16" s="726" t="s">
        <v>618</v>
      </c>
      <c r="E16" s="727" t="s">
        <v>713</v>
      </c>
      <c r="F16" s="728">
        <v>100073360</v>
      </c>
      <c r="G16" s="729" t="s">
        <v>590</v>
      </c>
      <c r="H16" s="730" t="s">
        <v>0</v>
      </c>
      <c r="I16" s="731" t="s">
        <v>74</v>
      </c>
      <c r="J16" s="732" t="s">
        <v>74</v>
      </c>
      <c r="K16" s="733" t="s">
        <v>703</v>
      </c>
      <c r="L16" s="734" t="s">
        <v>75</v>
      </c>
      <c r="M16" s="735" t="s">
        <v>75</v>
      </c>
      <c r="N16" s="736" t="s">
        <v>0</v>
      </c>
      <c r="O16" s="737" t="s">
        <v>714</v>
      </c>
      <c r="P16" s="738" t="s">
        <v>179</v>
      </c>
      <c r="Q16" s="739" t="s">
        <v>124</v>
      </c>
      <c r="R16" s="740" t="s">
        <v>114</v>
      </c>
      <c r="S16" s="741" t="s">
        <v>78</v>
      </c>
      <c r="T16" s="742">
        <v>1.46</v>
      </c>
      <c r="U16" s="743" t="s">
        <v>590</v>
      </c>
      <c r="V16" s="744" t="s">
        <v>685</v>
      </c>
      <c r="W16" s="745" t="s">
        <v>108</v>
      </c>
      <c r="X16" s="746" t="s">
        <v>680</v>
      </c>
      <c r="Y16" s="747" t="s">
        <v>0</v>
      </c>
      <c r="Z16" s="748" t="s">
        <v>529</v>
      </c>
      <c r="AA16" s="749" t="s">
        <v>682</v>
      </c>
      <c r="AB16" s="750" t="s">
        <v>117</v>
      </c>
      <c r="AC16" s="751" t="s">
        <v>0</v>
      </c>
      <c r="AD16" s="752" t="s">
        <v>0</v>
      </c>
      <c r="AE16" s="753" t="s">
        <v>0</v>
      </c>
      <c r="AF16" s="754" t="s">
        <v>0</v>
      </c>
    </row>
    <row r="17" spans="1:32" ht="12.95" customHeight="1" x14ac:dyDescent="0.25">
      <c r="A17" s="723">
        <v>269</v>
      </c>
      <c r="B17" s="724">
        <v>999999</v>
      </c>
      <c r="C17" s="725">
        <v>512475203</v>
      </c>
      <c r="D17" s="726" t="s">
        <v>618</v>
      </c>
      <c r="E17" s="727" t="s">
        <v>715</v>
      </c>
      <c r="F17" s="728">
        <v>100073444</v>
      </c>
      <c r="G17" s="729" t="s">
        <v>590</v>
      </c>
      <c r="H17" s="730" t="s">
        <v>0</v>
      </c>
      <c r="I17" s="731" t="s">
        <v>74</v>
      </c>
      <c r="J17" s="732" t="s">
        <v>74</v>
      </c>
      <c r="K17" s="733" t="s">
        <v>703</v>
      </c>
      <c r="L17" s="734" t="s">
        <v>75</v>
      </c>
      <c r="M17" s="735" t="s">
        <v>75</v>
      </c>
      <c r="N17" s="736" t="s">
        <v>0</v>
      </c>
      <c r="O17" s="737" t="s">
        <v>716</v>
      </c>
      <c r="P17" s="738" t="s">
        <v>179</v>
      </c>
      <c r="Q17" s="739" t="s">
        <v>124</v>
      </c>
      <c r="R17" s="740" t="s">
        <v>114</v>
      </c>
      <c r="S17" s="741" t="s">
        <v>78</v>
      </c>
      <c r="T17" s="742">
        <v>1.46</v>
      </c>
      <c r="U17" s="743" t="s">
        <v>590</v>
      </c>
      <c r="V17" s="744" t="s">
        <v>685</v>
      </c>
      <c r="W17" s="745" t="s">
        <v>108</v>
      </c>
      <c r="X17" s="746" t="s">
        <v>680</v>
      </c>
      <c r="Y17" s="747" t="s">
        <v>0</v>
      </c>
      <c r="Z17" s="748" t="s">
        <v>701</v>
      </c>
      <c r="AA17" s="749" t="s">
        <v>682</v>
      </c>
      <c r="AB17" s="750" t="s">
        <v>117</v>
      </c>
      <c r="AC17" s="751" t="s">
        <v>0</v>
      </c>
      <c r="AD17" s="752" t="s">
        <v>0</v>
      </c>
      <c r="AE17" s="753" t="s">
        <v>0</v>
      </c>
      <c r="AF17" s="754" t="s">
        <v>0</v>
      </c>
    </row>
    <row r="18" spans="1:32" ht="12.95" customHeight="1" x14ac:dyDescent="0.25">
      <c r="A18" s="723">
        <v>269</v>
      </c>
      <c r="B18" s="724">
        <v>999999</v>
      </c>
      <c r="C18" s="725">
        <v>512475203</v>
      </c>
      <c r="D18" s="726" t="s">
        <v>618</v>
      </c>
      <c r="E18" s="727" t="s">
        <v>717</v>
      </c>
      <c r="F18" s="728">
        <v>100073519</v>
      </c>
      <c r="G18" s="729" t="s">
        <v>590</v>
      </c>
      <c r="H18" s="730" t="s">
        <v>0</v>
      </c>
      <c r="I18" s="731" t="s">
        <v>74</v>
      </c>
      <c r="J18" s="732" t="s">
        <v>74</v>
      </c>
      <c r="K18" s="733" t="s">
        <v>703</v>
      </c>
      <c r="L18" s="734" t="s">
        <v>75</v>
      </c>
      <c r="M18" s="735" t="s">
        <v>75</v>
      </c>
      <c r="N18" s="736" t="s">
        <v>0</v>
      </c>
      <c r="O18" s="737" t="s">
        <v>718</v>
      </c>
      <c r="P18" s="738" t="s">
        <v>179</v>
      </c>
      <c r="Q18" s="739" t="s">
        <v>124</v>
      </c>
      <c r="R18" s="740" t="s">
        <v>114</v>
      </c>
      <c r="S18" s="741" t="s">
        <v>78</v>
      </c>
      <c r="T18" s="742">
        <v>1.46</v>
      </c>
      <c r="U18" s="743" t="s">
        <v>590</v>
      </c>
      <c r="V18" s="744" t="s">
        <v>685</v>
      </c>
      <c r="W18" s="745" t="s">
        <v>108</v>
      </c>
      <c r="X18" s="746" t="s">
        <v>680</v>
      </c>
      <c r="Y18" s="747" t="s">
        <v>0</v>
      </c>
      <c r="Z18" s="748" t="s">
        <v>701</v>
      </c>
      <c r="AA18" s="749" t="s">
        <v>682</v>
      </c>
      <c r="AB18" s="750" t="s">
        <v>117</v>
      </c>
      <c r="AC18" s="751" t="s">
        <v>0</v>
      </c>
      <c r="AD18" s="752" t="s">
        <v>0</v>
      </c>
      <c r="AE18" s="753" t="s">
        <v>0</v>
      </c>
      <c r="AF18" s="754" t="s">
        <v>0</v>
      </c>
    </row>
    <row r="19" spans="1:32" ht="12.95" customHeight="1" x14ac:dyDescent="0.25">
      <c r="A19" s="723">
        <v>269</v>
      </c>
      <c r="B19" s="724">
        <v>999999</v>
      </c>
      <c r="C19" s="725">
        <v>512475203</v>
      </c>
      <c r="D19" s="726" t="s">
        <v>618</v>
      </c>
      <c r="E19" s="727" t="s">
        <v>719</v>
      </c>
      <c r="F19" s="728">
        <v>100073691</v>
      </c>
      <c r="G19" s="729" t="s">
        <v>590</v>
      </c>
      <c r="H19" s="730" t="s">
        <v>0</v>
      </c>
      <c r="I19" s="731" t="s">
        <v>74</v>
      </c>
      <c r="J19" s="732" t="s">
        <v>74</v>
      </c>
      <c r="K19" s="733" t="s">
        <v>703</v>
      </c>
      <c r="L19" s="734" t="s">
        <v>75</v>
      </c>
      <c r="M19" s="735" t="s">
        <v>75</v>
      </c>
      <c r="N19" s="736" t="s">
        <v>0</v>
      </c>
      <c r="O19" s="737" t="s">
        <v>720</v>
      </c>
      <c r="P19" s="738" t="s">
        <v>179</v>
      </c>
      <c r="Q19" s="739" t="s">
        <v>124</v>
      </c>
      <c r="R19" s="740" t="s">
        <v>114</v>
      </c>
      <c r="S19" s="741" t="s">
        <v>78</v>
      </c>
      <c r="T19" s="742">
        <v>1.46</v>
      </c>
      <c r="U19" s="743" t="s">
        <v>590</v>
      </c>
      <c r="V19" s="744" t="s">
        <v>685</v>
      </c>
      <c r="W19" s="745" t="s">
        <v>108</v>
      </c>
      <c r="X19" s="746" t="s">
        <v>680</v>
      </c>
      <c r="Y19" s="747" t="s">
        <v>0</v>
      </c>
      <c r="Z19" s="748" t="s">
        <v>529</v>
      </c>
      <c r="AA19" s="749" t="s">
        <v>682</v>
      </c>
      <c r="AB19" s="750" t="s">
        <v>117</v>
      </c>
      <c r="AC19" s="751" t="s">
        <v>0</v>
      </c>
      <c r="AD19" s="752" t="s">
        <v>0</v>
      </c>
      <c r="AE19" s="753" t="s">
        <v>0</v>
      </c>
      <c r="AF19" s="754" t="s">
        <v>0</v>
      </c>
    </row>
    <row r="20" spans="1:32" ht="12.95" customHeight="1" x14ac:dyDescent="0.25">
      <c r="A20" s="723">
        <v>269</v>
      </c>
      <c r="B20" s="724">
        <v>999999</v>
      </c>
      <c r="C20" s="725">
        <v>512475203</v>
      </c>
      <c r="D20" s="726" t="s">
        <v>618</v>
      </c>
      <c r="E20" s="727" t="s">
        <v>721</v>
      </c>
      <c r="F20" s="728">
        <v>100073774</v>
      </c>
      <c r="G20" s="729" t="s">
        <v>590</v>
      </c>
      <c r="H20" s="730" t="s">
        <v>0</v>
      </c>
      <c r="I20" s="731" t="s">
        <v>74</v>
      </c>
      <c r="J20" s="732" t="s">
        <v>74</v>
      </c>
      <c r="K20" s="733" t="s">
        <v>703</v>
      </c>
      <c r="L20" s="734" t="s">
        <v>75</v>
      </c>
      <c r="M20" s="735" t="s">
        <v>75</v>
      </c>
      <c r="N20" s="736" t="s">
        <v>0</v>
      </c>
      <c r="O20" s="737" t="s">
        <v>722</v>
      </c>
      <c r="P20" s="738" t="s">
        <v>179</v>
      </c>
      <c r="Q20" s="739" t="s">
        <v>124</v>
      </c>
      <c r="R20" s="740" t="s">
        <v>114</v>
      </c>
      <c r="S20" s="741" t="s">
        <v>78</v>
      </c>
      <c r="T20" s="742">
        <v>1.46</v>
      </c>
      <c r="U20" s="743" t="s">
        <v>590</v>
      </c>
      <c r="V20" s="744" t="s">
        <v>685</v>
      </c>
      <c r="W20" s="745" t="s">
        <v>108</v>
      </c>
      <c r="X20" s="746" t="s">
        <v>680</v>
      </c>
      <c r="Y20" s="747" t="s">
        <v>0</v>
      </c>
      <c r="Z20" s="748" t="s">
        <v>529</v>
      </c>
      <c r="AA20" s="749" t="s">
        <v>682</v>
      </c>
      <c r="AB20" s="750" t="s">
        <v>117</v>
      </c>
      <c r="AC20" s="751" t="s">
        <v>0</v>
      </c>
      <c r="AD20" s="752" t="s">
        <v>0</v>
      </c>
      <c r="AE20" s="753" t="s">
        <v>0</v>
      </c>
      <c r="AF20" s="754" t="s">
        <v>0</v>
      </c>
    </row>
    <row r="21" spans="1:32" ht="12.95" customHeight="1" x14ac:dyDescent="0.25">
      <c r="A21" s="723">
        <v>269</v>
      </c>
      <c r="B21" s="724">
        <v>999999</v>
      </c>
      <c r="C21" s="725">
        <v>512475203</v>
      </c>
      <c r="D21" s="726" t="s">
        <v>618</v>
      </c>
      <c r="E21" s="727" t="s">
        <v>723</v>
      </c>
      <c r="F21" s="728">
        <v>100073857</v>
      </c>
      <c r="G21" s="729" t="s">
        <v>590</v>
      </c>
      <c r="H21" s="730" t="s">
        <v>0</v>
      </c>
      <c r="I21" s="731" t="s">
        <v>74</v>
      </c>
      <c r="J21" s="732" t="s">
        <v>74</v>
      </c>
      <c r="K21" s="733" t="s">
        <v>703</v>
      </c>
      <c r="L21" s="734" t="s">
        <v>75</v>
      </c>
      <c r="M21" s="735" t="s">
        <v>75</v>
      </c>
      <c r="N21" s="736" t="s">
        <v>0</v>
      </c>
      <c r="O21" s="737" t="s">
        <v>724</v>
      </c>
      <c r="P21" s="738" t="s">
        <v>179</v>
      </c>
      <c r="Q21" s="739" t="s">
        <v>124</v>
      </c>
      <c r="R21" s="740" t="s">
        <v>114</v>
      </c>
      <c r="S21" s="741" t="s">
        <v>78</v>
      </c>
      <c r="T21" s="742">
        <v>1.46</v>
      </c>
      <c r="U21" s="743" t="s">
        <v>590</v>
      </c>
      <c r="V21" s="744" t="s">
        <v>685</v>
      </c>
      <c r="W21" s="745" t="s">
        <v>108</v>
      </c>
      <c r="X21" s="746" t="s">
        <v>680</v>
      </c>
      <c r="Y21" s="747" t="s">
        <v>0</v>
      </c>
      <c r="Z21" s="748" t="s">
        <v>529</v>
      </c>
      <c r="AA21" s="749" t="s">
        <v>682</v>
      </c>
      <c r="AB21" s="750" t="s">
        <v>117</v>
      </c>
      <c r="AC21" s="751" t="s">
        <v>0</v>
      </c>
      <c r="AD21" s="752" t="s">
        <v>0</v>
      </c>
      <c r="AE21" s="753" t="s">
        <v>0</v>
      </c>
      <c r="AF21" s="754" t="s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rightToLeft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9" customWidth="1"/>
    <col min="13" max="13" width="10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3" customWidth="1"/>
    <col min="21" max="21" width="14" customWidth="1"/>
    <col min="22" max="22" width="16" customWidth="1"/>
    <col min="23" max="23" width="21" customWidth="1"/>
    <col min="24" max="25" width="19" customWidth="1"/>
    <col min="26" max="26" width="12" customWidth="1"/>
    <col min="27" max="27" width="15" customWidth="1"/>
    <col min="28" max="28" width="23" customWidth="1"/>
    <col min="29" max="29" width="25" customWidth="1"/>
    <col min="30" max="30" width="23" customWidth="1"/>
  </cols>
  <sheetData>
    <row r="1" spans="1:30" ht="15" customHeight="1" x14ac:dyDescent="0.25">
      <c r="A1" s="755" t="s">
        <v>55</v>
      </c>
      <c r="B1" s="756" t="s">
        <v>56</v>
      </c>
      <c r="C1" s="757" t="s">
        <v>80</v>
      </c>
      <c r="D1" s="758" t="s">
        <v>94</v>
      </c>
      <c r="E1" s="759" t="s">
        <v>95</v>
      </c>
      <c r="F1" s="760" t="s">
        <v>81</v>
      </c>
      <c r="G1" s="761" t="s">
        <v>82</v>
      </c>
      <c r="H1" s="762" t="s">
        <v>96</v>
      </c>
      <c r="I1" s="763" t="s">
        <v>60</v>
      </c>
      <c r="J1" s="764" t="s">
        <v>61</v>
      </c>
      <c r="K1" s="765" t="s">
        <v>83</v>
      </c>
      <c r="L1" s="766" t="s">
        <v>62</v>
      </c>
      <c r="M1" s="767" t="s">
        <v>291</v>
      </c>
      <c r="N1" s="768" t="s">
        <v>292</v>
      </c>
      <c r="O1" s="769" t="s">
        <v>85</v>
      </c>
      <c r="P1" s="770" t="s">
        <v>64</v>
      </c>
      <c r="Q1" s="771" t="s">
        <v>98</v>
      </c>
      <c r="R1" s="772" t="s">
        <v>65</v>
      </c>
      <c r="S1" s="773" t="s">
        <v>86</v>
      </c>
      <c r="T1" s="774" t="s">
        <v>68</v>
      </c>
      <c r="U1" s="775" t="s">
        <v>88</v>
      </c>
      <c r="V1" s="776" t="s">
        <v>582</v>
      </c>
      <c r="W1" s="777" t="s">
        <v>583</v>
      </c>
      <c r="X1" s="778" t="s">
        <v>585</v>
      </c>
      <c r="Y1" s="779" t="s">
        <v>286</v>
      </c>
      <c r="Z1" s="780" t="s">
        <v>67</v>
      </c>
      <c r="AA1" s="781" t="s">
        <v>91</v>
      </c>
      <c r="AB1" s="782" t="s">
        <v>17</v>
      </c>
      <c r="AC1" s="783" t="s">
        <v>69</v>
      </c>
      <c r="AD1" s="784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rightToLeft="1" topLeftCell="J1" workbookViewId="0">
      <pane ySplit="1" topLeftCell="A2" activePane="bottomLeft" state="frozen"/>
      <selection pane="bottomLeft" activeCell="V8" sqref="V8:V13"/>
    </sheetView>
  </sheetViews>
  <sheetFormatPr defaultRowHeight="15" x14ac:dyDescent="0.25"/>
  <cols>
    <col min="1" max="1" width="36" customWidth="1"/>
    <col min="2" max="2" width="12" customWidth="1"/>
    <col min="3" max="3" width="52" customWidth="1"/>
    <col min="4" max="4" width="15" customWidth="1"/>
    <col min="5" max="5" width="19" customWidth="1"/>
    <col min="6" max="6" width="25" customWidth="1"/>
    <col min="7" max="7" width="20" customWidth="1"/>
    <col min="8" max="8" width="12" customWidth="1"/>
    <col min="9" max="9" width="24" customWidth="1"/>
    <col min="10" max="10" width="19" customWidth="1"/>
    <col min="11" max="11" width="12" customWidth="1"/>
    <col min="12" max="12" width="11" customWidth="1"/>
    <col min="13" max="13" width="13" customWidth="1"/>
    <col min="14" max="14" width="7" customWidth="1"/>
    <col min="15" max="15" width="13" customWidth="1"/>
    <col min="16" max="16" width="14" customWidth="1"/>
    <col min="17" max="19" width="12" customWidth="1"/>
    <col min="20" max="20" width="23" customWidth="1"/>
    <col min="21" max="21" width="25" customWidth="1"/>
    <col min="22" max="22" width="23" customWidth="1"/>
  </cols>
  <sheetData>
    <row r="1" spans="1:22" ht="15" customHeight="1" x14ac:dyDescent="0.25">
      <c r="A1" s="785" t="s">
        <v>55</v>
      </c>
      <c r="B1" s="786" t="s">
        <v>56</v>
      </c>
      <c r="C1" s="787" t="s">
        <v>57</v>
      </c>
      <c r="D1" s="788" t="s">
        <v>58</v>
      </c>
      <c r="E1" s="789" t="s">
        <v>59</v>
      </c>
      <c r="F1" s="790" t="s">
        <v>60</v>
      </c>
      <c r="G1" s="791" t="s">
        <v>725</v>
      </c>
      <c r="H1" s="792" t="s">
        <v>61</v>
      </c>
      <c r="I1" s="793" t="s">
        <v>83</v>
      </c>
      <c r="J1" s="794" t="s">
        <v>62</v>
      </c>
      <c r="K1" s="795" t="s">
        <v>63</v>
      </c>
      <c r="L1" s="796" t="s">
        <v>64</v>
      </c>
      <c r="M1" s="797" t="s">
        <v>65</v>
      </c>
      <c r="N1" s="798" t="s">
        <v>86</v>
      </c>
      <c r="O1" s="799" t="s">
        <v>68</v>
      </c>
      <c r="P1" s="800" t="s">
        <v>88</v>
      </c>
      <c r="Q1" s="801" t="s">
        <v>66</v>
      </c>
      <c r="R1" s="802" t="s">
        <v>67</v>
      </c>
      <c r="S1" s="803" t="s">
        <v>726</v>
      </c>
      <c r="T1" s="804" t="s">
        <v>17</v>
      </c>
      <c r="U1" s="805" t="s">
        <v>69</v>
      </c>
      <c r="V1" s="806" t="s">
        <v>70</v>
      </c>
    </row>
    <row r="2" spans="1:22" ht="12.95" customHeight="1" x14ac:dyDescent="0.25">
      <c r="A2" s="807">
        <v>269</v>
      </c>
      <c r="B2" s="808">
        <v>999999</v>
      </c>
      <c r="C2" s="809" t="s">
        <v>727</v>
      </c>
      <c r="D2" s="810">
        <v>6022065</v>
      </c>
      <c r="E2" s="811" t="s">
        <v>620</v>
      </c>
      <c r="F2" s="812" t="s">
        <v>108</v>
      </c>
      <c r="G2" s="813" t="s">
        <v>728</v>
      </c>
      <c r="H2" s="814" t="s">
        <v>74</v>
      </c>
      <c r="I2" s="815" t="s">
        <v>74</v>
      </c>
      <c r="J2" s="816" t="s">
        <v>75</v>
      </c>
      <c r="K2" s="817" t="s">
        <v>76</v>
      </c>
      <c r="L2" s="818" t="s">
        <v>113</v>
      </c>
      <c r="M2" s="819" t="s">
        <v>78</v>
      </c>
      <c r="N2" s="820">
        <v>0.5</v>
      </c>
      <c r="O2" s="821" t="s">
        <v>729</v>
      </c>
      <c r="P2" s="822" t="s">
        <v>730</v>
      </c>
      <c r="Q2" s="823">
        <v>2224.7649999999999</v>
      </c>
      <c r="R2" s="824">
        <v>1</v>
      </c>
      <c r="S2" s="825">
        <v>166.27</v>
      </c>
      <c r="T2" s="826">
        <v>2224.7649999999999</v>
      </c>
      <c r="U2" s="827" t="s">
        <v>731</v>
      </c>
      <c r="V2" s="934">
        <v>1.1999999999999999E-3</v>
      </c>
    </row>
    <row r="3" spans="1:22" ht="12.95" customHeight="1" x14ac:dyDescent="0.25">
      <c r="A3" s="807">
        <v>269</v>
      </c>
      <c r="B3" s="808">
        <v>999999</v>
      </c>
      <c r="C3" s="809" t="s">
        <v>732</v>
      </c>
      <c r="D3" s="810">
        <v>6404487</v>
      </c>
      <c r="E3" s="811" t="s">
        <v>620</v>
      </c>
      <c r="F3" s="812" t="s">
        <v>108</v>
      </c>
      <c r="G3" s="813" t="s">
        <v>733</v>
      </c>
      <c r="H3" s="814" t="s">
        <v>74</v>
      </c>
      <c r="I3" s="815" t="s">
        <v>74</v>
      </c>
      <c r="J3" s="816" t="s">
        <v>75</v>
      </c>
      <c r="K3" s="817" t="s">
        <v>76</v>
      </c>
      <c r="L3" s="818" t="s">
        <v>113</v>
      </c>
      <c r="M3" s="819" t="s">
        <v>78</v>
      </c>
      <c r="N3" s="820">
        <v>2.82</v>
      </c>
      <c r="O3" s="821" t="s">
        <v>734</v>
      </c>
      <c r="P3" s="822" t="s">
        <v>449</v>
      </c>
      <c r="Q3" s="823">
        <v>61435</v>
      </c>
      <c r="R3" s="824">
        <v>1</v>
      </c>
      <c r="S3" s="825">
        <v>122.87</v>
      </c>
      <c r="T3" s="826">
        <v>61435</v>
      </c>
      <c r="U3" s="827" t="s">
        <v>735</v>
      </c>
      <c r="V3" s="934">
        <v>3.2399999999999998E-2</v>
      </c>
    </row>
    <row r="4" spans="1:22" ht="12.95" customHeight="1" x14ac:dyDescent="0.25">
      <c r="A4" s="807">
        <v>269</v>
      </c>
      <c r="B4" s="808">
        <v>999999</v>
      </c>
      <c r="C4" s="809" t="s">
        <v>736</v>
      </c>
      <c r="D4" s="810">
        <v>6852453</v>
      </c>
      <c r="E4" s="811" t="s">
        <v>620</v>
      </c>
      <c r="F4" s="812" t="s">
        <v>108</v>
      </c>
      <c r="G4" s="813" t="s">
        <v>737</v>
      </c>
      <c r="H4" s="814" t="s">
        <v>74</v>
      </c>
      <c r="I4" s="815" t="s">
        <v>74</v>
      </c>
      <c r="J4" s="816" t="s">
        <v>75</v>
      </c>
      <c r="K4" s="817" t="s">
        <v>76</v>
      </c>
      <c r="L4" s="818" t="s">
        <v>113</v>
      </c>
      <c r="M4" s="819" t="s">
        <v>78</v>
      </c>
      <c r="N4" s="820">
        <v>3.3</v>
      </c>
      <c r="O4" s="821" t="s">
        <v>738</v>
      </c>
      <c r="P4" s="822" t="s">
        <v>739</v>
      </c>
      <c r="Q4" s="823">
        <v>39414</v>
      </c>
      <c r="R4" s="824">
        <v>1</v>
      </c>
      <c r="S4" s="825">
        <v>131.38</v>
      </c>
      <c r="T4" s="826">
        <v>39414</v>
      </c>
      <c r="U4" s="827" t="s">
        <v>740</v>
      </c>
      <c r="V4" s="934">
        <v>2.0799999999999999E-2</v>
      </c>
    </row>
    <row r="5" spans="1:22" ht="12.95" customHeight="1" x14ac:dyDescent="0.25">
      <c r="A5" s="807">
        <v>269</v>
      </c>
      <c r="B5" s="808">
        <v>999999</v>
      </c>
      <c r="C5" s="809" t="s">
        <v>741</v>
      </c>
      <c r="D5" s="810">
        <v>50007806</v>
      </c>
      <c r="E5" s="811" t="s">
        <v>620</v>
      </c>
      <c r="F5" s="812" t="s">
        <v>108</v>
      </c>
      <c r="G5" s="813" t="s">
        <v>742</v>
      </c>
      <c r="H5" s="814" t="s">
        <v>74</v>
      </c>
      <c r="I5" s="815" t="s">
        <v>74</v>
      </c>
      <c r="J5" s="816" t="s">
        <v>75</v>
      </c>
      <c r="K5" s="817" t="s">
        <v>76</v>
      </c>
      <c r="L5" s="818" t="s">
        <v>113</v>
      </c>
      <c r="M5" s="819" t="s">
        <v>78</v>
      </c>
      <c r="N5" s="820">
        <v>0.28000000000000003</v>
      </c>
      <c r="O5" s="821" t="s">
        <v>278</v>
      </c>
      <c r="P5" s="822" t="s">
        <v>536</v>
      </c>
      <c r="Q5" s="823">
        <v>54725</v>
      </c>
      <c r="R5" s="824">
        <v>1</v>
      </c>
      <c r="S5" s="825">
        <v>109.45</v>
      </c>
      <c r="T5" s="826">
        <v>54725</v>
      </c>
      <c r="U5" s="827" t="s">
        <v>743</v>
      </c>
      <c r="V5" s="937">
        <f>2.88%-0.01%</f>
        <v>2.87E-2</v>
      </c>
    </row>
    <row r="8" spans="1:22" x14ac:dyDescent="0.25">
      <c r="V8" s="935"/>
    </row>
    <row r="11" spans="1:22" x14ac:dyDescent="0.25">
      <c r="V11" s="936"/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9" customWidth="1"/>
    <col min="4" max="4" width="14" customWidth="1"/>
    <col min="5" max="6" width="19" customWidth="1"/>
    <col min="7" max="7" width="13" customWidth="1"/>
    <col min="8" max="8" width="18" customWidth="1"/>
    <col min="9" max="9" width="16" customWidth="1"/>
    <col min="10" max="10" width="12" customWidth="1"/>
    <col min="11" max="12" width="32" customWidth="1"/>
    <col min="13" max="13" width="16" customWidth="1"/>
    <col min="14" max="14" width="15" customWidth="1"/>
    <col min="15" max="15" width="21" customWidth="1"/>
    <col min="16" max="16" width="19" customWidth="1"/>
    <col min="17" max="17" width="13" customWidth="1"/>
    <col min="18" max="18" width="27" customWidth="1"/>
    <col min="19" max="19" width="23" customWidth="1"/>
    <col min="20" max="20" width="20" customWidth="1"/>
    <col min="21" max="21" width="29" customWidth="1"/>
    <col min="22" max="23" width="25" customWidth="1"/>
    <col min="24" max="24" width="23" customWidth="1"/>
  </cols>
  <sheetData>
    <row r="1" spans="1:24" ht="15" customHeight="1" x14ac:dyDescent="0.25">
      <c r="A1" s="828" t="s">
        <v>55</v>
      </c>
      <c r="B1" s="829" t="s">
        <v>56</v>
      </c>
      <c r="C1" s="830" t="s">
        <v>744</v>
      </c>
      <c r="D1" s="831" t="s">
        <v>60</v>
      </c>
      <c r="E1" s="832" t="s">
        <v>745</v>
      </c>
      <c r="F1" s="833" t="s">
        <v>62</v>
      </c>
      <c r="G1" s="834" t="s">
        <v>292</v>
      </c>
      <c r="H1" s="835" t="s">
        <v>746</v>
      </c>
      <c r="I1" s="836" t="s">
        <v>747</v>
      </c>
      <c r="J1" s="837" t="s">
        <v>748</v>
      </c>
      <c r="K1" s="838" t="s">
        <v>749</v>
      </c>
      <c r="L1" s="839" t="s">
        <v>750</v>
      </c>
      <c r="M1" s="840" t="s">
        <v>582</v>
      </c>
      <c r="N1" s="841" t="s">
        <v>584</v>
      </c>
      <c r="O1" s="842" t="s">
        <v>583</v>
      </c>
      <c r="P1" s="843" t="s">
        <v>585</v>
      </c>
      <c r="Q1" s="844" t="s">
        <v>65</v>
      </c>
      <c r="R1" s="845" t="s">
        <v>751</v>
      </c>
      <c r="S1" s="846" t="s">
        <v>17</v>
      </c>
      <c r="T1" s="847" t="s">
        <v>92</v>
      </c>
      <c r="U1" s="848" t="s">
        <v>102</v>
      </c>
      <c r="V1" s="849" t="s">
        <v>19</v>
      </c>
      <c r="W1" s="850" t="s">
        <v>69</v>
      </c>
      <c r="X1" s="851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16" customWidth="1"/>
    <col min="16" max="16" width="21" customWidth="1"/>
    <col min="17" max="17" width="19" customWidth="1"/>
    <col min="18" max="18" width="38" customWidth="1"/>
    <col min="19" max="19" width="26" customWidth="1"/>
    <col min="20" max="20" width="19" customWidth="1"/>
    <col min="21" max="21" width="23" customWidth="1"/>
    <col min="22" max="22" width="25" customWidth="1"/>
    <col min="23" max="23" width="23" customWidth="1"/>
  </cols>
  <sheetData>
    <row r="1" spans="1:23" ht="15" customHeight="1" x14ac:dyDescent="0.25">
      <c r="A1" s="852" t="s">
        <v>55</v>
      </c>
      <c r="B1" s="853" t="s">
        <v>56</v>
      </c>
      <c r="C1" s="854" t="s">
        <v>80</v>
      </c>
      <c r="D1" s="855" t="s">
        <v>94</v>
      </c>
      <c r="E1" s="856" t="s">
        <v>95</v>
      </c>
      <c r="F1" s="857" t="s">
        <v>81</v>
      </c>
      <c r="G1" s="858" t="s">
        <v>82</v>
      </c>
      <c r="H1" s="859" t="s">
        <v>96</v>
      </c>
      <c r="I1" s="860" t="s">
        <v>60</v>
      </c>
      <c r="J1" s="861" t="s">
        <v>61</v>
      </c>
      <c r="K1" s="862" t="s">
        <v>83</v>
      </c>
      <c r="L1" s="863" t="s">
        <v>97</v>
      </c>
      <c r="M1" s="864" t="s">
        <v>62</v>
      </c>
      <c r="N1" s="865" t="s">
        <v>65</v>
      </c>
      <c r="O1" s="866" t="s">
        <v>582</v>
      </c>
      <c r="P1" s="867" t="s">
        <v>583</v>
      </c>
      <c r="Q1" s="868" t="s">
        <v>585</v>
      </c>
      <c r="R1" s="869" t="s">
        <v>586</v>
      </c>
      <c r="S1" s="870" t="s">
        <v>752</v>
      </c>
      <c r="T1" s="871" t="s">
        <v>753</v>
      </c>
      <c r="U1" s="872" t="s">
        <v>17</v>
      </c>
      <c r="V1" s="873" t="s">
        <v>69</v>
      </c>
      <c r="W1" s="874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16" customWidth="1"/>
    <col min="5" max="5" width="14" customWidth="1"/>
    <col min="6" max="6" width="12" customWidth="1"/>
    <col min="7" max="7" width="24" customWidth="1"/>
    <col min="8" max="8" width="19" customWidth="1"/>
    <col min="9" max="9" width="12" customWidth="1"/>
    <col min="10" max="10" width="13" customWidth="1"/>
    <col min="11" max="11" width="19" customWidth="1"/>
    <col min="12" max="13" width="12" customWidth="1"/>
    <col min="14" max="14" width="23" customWidth="1"/>
    <col min="15" max="15" width="20" customWidth="1"/>
    <col min="16" max="17" width="25" customWidth="1"/>
    <col min="18" max="18" width="23" customWidth="1"/>
  </cols>
  <sheetData>
    <row r="1" spans="1:18" ht="15" customHeight="1" x14ac:dyDescent="0.25">
      <c r="A1" s="875" t="s">
        <v>55</v>
      </c>
      <c r="B1" s="876" t="s">
        <v>56</v>
      </c>
      <c r="C1" s="877" t="s">
        <v>754</v>
      </c>
      <c r="D1" s="878" t="s">
        <v>755</v>
      </c>
      <c r="E1" s="879" t="s">
        <v>60</v>
      </c>
      <c r="F1" s="880" t="s">
        <v>61</v>
      </c>
      <c r="G1" s="881" t="s">
        <v>83</v>
      </c>
      <c r="H1" s="882" t="s">
        <v>62</v>
      </c>
      <c r="I1" s="883" t="s">
        <v>756</v>
      </c>
      <c r="J1" s="884" t="s">
        <v>65</v>
      </c>
      <c r="K1" s="885" t="s">
        <v>585</v>
      </c>
      <c r="L1" s="886" t="s">
        <v>66</v>
      </c>
      <c r="M1" s="887" t="s">
        <v>67</v>
      </c>
      <c r="N1" s="888" t="s">
        <v>17</v>
      </c>
      <c r="O1" s="889" t="s">
        <v>92</v>
      </c>
      <c r="P1" s="890" t="s">
        <v>19</v>
      </c>
      <c r="Q1" s="891" t="s">
        <v>69</v>
      </c>
      <c r="R1" s="892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11" customWidth="1"/>
    <col min="6" max="6" width="13" customWidth="1"/>
    <col min="7" max="7" width="25" customWidth="1"/>
    <col min="8" max="8" width="12" customWidth="1"/>
    <col min="9" max="9" width="24" customWidth="1"/>
    <col min="10" max="10" width="19" customWidth="1"/>
    <col min="11" max="11" width="7" customWidth="1"/>
    <col min="12" max="12" width="9" customWidth="1"/>
    <col min="13" max="13" width="21" customWidth="1"/>
    <col min="14" max="14" width="13" customWidth="1"/>
    <col min="15" max="15" width="12" customWidth="1"/>
    <col min="16" max="16" width="13" customWidth="1"/>
    <col min="17" max="17" width="12" customWidth="1"/>
    <col min="18" max="18" width="43" customWidth="1"/>
    <col min="19" max="19" width="34" customWidth="1"/>
    <col min="20" max="20" width="24" customWidth="1"/>
  </cols>
  <sheetData>
    <row r="1" spans="1:20" ht="15" customHeight="1" x14ac:dyDescent="0.25">
      <c r="A1" s="893" t="s">
        <v>55</v>
      </c>
      <c r="B1" s="894" t="s">
        <v>56</v>
      </c>
      <c r="C1" s="895" t="s">
        <v>660</v>
      </c>
      <c r="D1" s="896" t="s">
        <v>661</v>
      </c>
      <c r="E1" s="897" t="s">
        <v>662</v>
      </c>
      <c r="F1" s="898" t="s">
        <v>663</v>
      </c>
      <c r="G1" s="899" t="s">
        <v>757</v>
      </c>
      <c r="H1" s="900" t="s">
        <v>61</v>
      </c>
      <c r="I1" s="901" t="s">
        <v>83</v>
      </c>
      <c r="J1" s="902" t="s">
        <v>62</v>
      </c>
      <c r="K1" s="903" t="s">
        <v>85</v>
      </c>
      <c r="L1" s="904" t="s">
        <v>64</v>
      </c>
      <c r="M1" s="905" t="s">
        <v>668</v>
      </c>
      <c r="N1" s="906" t="s">
        <v>65</v>
      </c>
      <c r="O1" s="907" t="s">
        <v>67</v>
      </c>
      <c r="P1" s="908" t="s">
        <v>68</v>
      </c>
      <c r="Q1" s="909" t="s">
        <v>669</v>
      </c>
      <c r="R1" s="910" t="s">
        <v>758</v>
      </c>
      <c r="S1" s="911" t="s">
        <v>759</v>
      </c>
      <c r="T1" s="912" t="s">
        <v>760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25" customWidth="1"/>
    <col min="5" max="5" width="32" customWidth="1"/>
    <col min="6" max="6" width="36" customWidth="1"/>
    <col min="7" max="7" width="14" customWidth="1"/>
    <col min="8" max="8" width="21" customWidth="1"/>
    <col min="9" max="9" width="26" customWidth="1"/>
    <col min="10" max="10" width="13" customWidth="1"/>
    <col min="11" max="11" width="33" customWidth="1"/>
    <col min="12" max="12" width="52" customWidth="1"/>
    <col min="13" max="13" width="30" customWidth="1"/>
    <col min="14" max="14" width="58" customWidth="1"/>
    <col min="15" max="15" width="36" customWidth="1"/>
    <col min="16" max="16" width="21" customWidth="1"/>
    <col min="17" max="17" width="28" customWidth="1"/>
  </cols>
  <sheetData>
    <row r="1" spans="1:17" ht="15" customHeight="1" x14ac:dyDescent="0.25">
      <c r="A1" s="913" t="s">
        <v>55</v>
      </c>
      <c r="B1" s="914" t="s">
        <v>56</v>
      </c>
      <c r="C1" s="915" t="s">
        <v>60</v>
      </c>
      <c r="D1" s="916" t="s">
        <v>626</v>
      </c>
      <c r="E1" s="917" t="s">
        <v>627</v>
      </c>
      <c r="F1" s="918" t="s">
        <v>628</v>
      </c>
      <c r="G1" s="919" t="s">
        <v>629</v>
      </c>
      <c r="H1" s="920" t="s">
        <v>630</v>
      </c>
      <c r="I1" s="921" t="s">
        <v>631</v>
      </c>
      <c r="J1" s="922" t="s">
        <v>65</v>
      </c>
      <c r="K1" s="923" t="s">
        <v>761</v>
      </c>
      <c r="L1" s="924" t="s">
        <v>762</v>
      </c>
      <c r="M1" s="925" t="s">
        <v>763</v>
      </c>
      <c r="N1" s="926" t="s">
        <v>764</v>
      </c>
      <c r="O1" s="927" t="s">
        <v>765</v>
      </c>
      <c r="P1" s="928" t="s">
        <v>766</v>
      </c>
      <c r="Q1" s="929" t="s">
        <v>767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מניות, מב"כ ויה"ש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מניות, מב"כ ויה"ש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התחייבויות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תהילה דרזנר</cp:lastModifiedBy>
  <dcterms:created xsi:type="dcterms:W3CDTF">2024-10-07T10:57:06Z</dcterms:created>
  <dcterms:modified xsi:type="dcterms:W3CDTF">2024-10-07T11:14:32Z</dcterms:modified>
</cp:coreProperties>
</file>