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30.09.24\דיווח\p\"/>
    </mc:Choice>
  </mc:AlternateContent>
  <bookViews>
    <workbookView xWindow="-120" yWindow="-120" windowWidth="29040" windowHeight="15840" tabRatio="840" firstSheet="26" activeTab="31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מקרא" sheetId="6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2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חודשים'!$X$2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<sst xmlns="http://schemas.openxmlformats.org/spreadsheetml/2006/main" count="48889" uniqueCount="3980">
  <si>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</si>
  <si>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</si>
  <si>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</si>
  <si>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</si>
  <si>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</si>
  <si>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</si>
  <si>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</si>
  <si>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</si>
  <si>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</si>
  <si>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</si>
  <si>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</si>
  <si>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</si>
  <si>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</si>
  <si>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</si>
  <si>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</si>
  <si>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</si>
  <si>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</si>
  <si>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</si>
  <si>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</si>
  <si>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</si>
  <si>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</si>
  <si>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</si>
  <si>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</si>
  <si>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</si>
  <si>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</si>
  <si>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</si>
  <si>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</si>
  <si>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</si>
  <si>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</si>
  <si>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</si>
  <si>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</si>
  <si>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</si>
  <si>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</si>
  <si>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</si>
  <si>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</si>
  <si>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</si>
  <si>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</si>
  <si>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</si>
  <si>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</si>
  <si>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</si>
  <si>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</si>
  <si>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</si>
  <si>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</si>
  <si>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</si>
  <si>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</si>
  <si>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</si>
  <si>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</si>
  <si>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</si>
  <si>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</si>
  <si>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</si>
  <si>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</si>
  <si>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</si>
  <si>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</si>
  <si>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</si>
  <si>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</si>
  <si>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</si>
  <si>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</si>
  <si>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</si>
  <si>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</si>
  <si>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</si>
  <si>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</si>
  <si>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</si>
  <si>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</si>
  <si>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</si>
  <si>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</si>
  <si>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</si>
  <si>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</si>
  <si>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</si>
  <si>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</si>
  <si>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</si>
  <si>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</si>
  <si>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</si>
  <si>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</si>
  <si>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</si>
  <si>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</si>
  <si>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</si>
  <si>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</si>
  <si>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</si>
  <si>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</si>
  <si>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</si>
  <si>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</si>
  <si>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</si>
  <si>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</si>
  <si>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</si>
  <si>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</si>
  <si>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</si>
  <si>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</si>
  <si>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</si>
  <si>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</si>
  <si>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</si>
  <si>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</si>
  <si>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</si>
  <si>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</si>
  <si>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</si>
  <si>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</si>
  <si>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</si>
  <si>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</si>
  <si>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</si>
  <si>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</si>
  <si>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</si>
  <si>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</si>
  <si>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</si>
  <si>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</si>
  <si>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</si>
  <si>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</si>
  <si>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</si>
  <si>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</si>
  <si>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</si>
  <si>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</si>
  <si>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</si>
  <si>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</si>
  <si>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</si>
  <si>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</si>
  <si>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</si>
  <si>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</si>
  <si>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</si>
  <si>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</si>
  <si>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</si>
  <si>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</si>
  <si>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</si>
  <si>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</si>
  <si>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</si>
  <si>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</si>
  <si>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</si>
  <si>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</si>
  <si>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</si>
  <si>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</si>
  <si>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</si>
  <si>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</si>
  <si>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</si>
  <si>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</si>
  <si>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</si>
  <si>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</si>
  <si>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</si>
  <si>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</si>
  <si>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</si>
  <si>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</si>
  <si>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</si>
  <si>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</si>
  <si>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</si>
  <si>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</si>
  <si>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</si>
  <si>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</si>
  <si>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</si>
  <si>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</si>
  <si>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</si>
  <si>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</si>
  <si>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</si>
  <si>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</si>
  <si>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</si>
  <si>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</si>
  <si>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</si>
  <si>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</si>
  <si>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</si>
  <si>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</si>
  <si>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</si>
  <si>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</si>
  <si>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</si>
  <si>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</si>
  <si>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</si>
  <si>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</si>
  <si>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</si>
  <si>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</si>
  <si>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</si>
  <si>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</si>
  <si>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</si>
  <si>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</si>
  <si>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</si>
  <si>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</si>
  <si>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</si>
  <si>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</si>
  <si>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</si>
  <si>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</si>
  <si>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</si>
  <si>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</si>
  <si>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</si>
  <si>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</si>
  <si>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</si>
  <si>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</si>
  <si>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</si>
  <si>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</si>
  <si>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</si>
  <si>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</si>
  <si>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</si>
  <si>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</si>
  <si>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</si>
  <si>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</si>
  <si>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</si>
  <si>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</si>
  <si>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</si>
  <si>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</si>
  <si>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</si>
  <si>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</si>
  <si>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</si>
  <si>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</si>
  <si>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</si>
  <si>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</si>
  <si>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</si>
  <si>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</si>
  <si>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</si>
  <si>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</si>
  <si>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</si>
  <si>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</si>
  <si>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</si>
  <si>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</si>
  <si>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</si>
  <si>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</si>
  <si>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</si>
  <si>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</si>
  <si>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</si>
  <si>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</si>
  <si>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</si>
  <si>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</si>
  <si>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</si>
  <si>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</si>
  <si>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</si>
  <si>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</si>
  <si>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</si>
  <si>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</si>
  <si>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</si>
  <si>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</si>
  <si>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</si>
  <si>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</si>
  <si>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</si>
  <si>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</si>
  <si>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</si>
  <si>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</si>
  <si>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</si>
  <si>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</si>
  <si>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</si>
  <si>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</si>
  <si>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</si>
  <si>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</si>
  <si>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</si>
  <si>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</si>
  <si>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</si>
  <si>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</si>
  <si>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</si>
  <si>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</si>
  <si>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</si>
  <si>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</si>
  <si>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</si>
  <si>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</si>
  <si>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</si>
  <si>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</si>
  <si>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</si>
  <si>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</si>
  <si>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</si>
  <si>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</si>
  <si>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</si>
  <si>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</si>
  <si>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</si>
  <si>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</si>
  <si>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</si>
  <si>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</si>
  <si>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</si>
  <si>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</si>
  <si>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</si>
  <si>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</si>
  <si>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</si>
  <si>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</si>
  <si>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</si>
  <si>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</si>
  <si>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</si>
  <si>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</si>
  <si>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</si>
  <si>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</si>
  <si>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</si>
  <si>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</si>
  <si>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</si>
  <si>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</si>
  <si>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</si>
  <si>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</si>
  <si>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</si>
  <si>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</si>
  <si>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</si>
  <si>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</si>
  <si>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</si>
  <si>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</si>
  <si>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</si>
  <si>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</si>
  <si>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</si>
  <si>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</si>
  <si>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</si>
  <si>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</si>
  <si>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</si>
  <si>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</si>
  <si>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</si>
  <si>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</si>
  <si>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</si>
  <si>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</si>
  <si>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</si>
  <si>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</si>
  <si>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</si>
  <si>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</si>
  <si>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</si>
  <si>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</si>
  <si>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</si>
  <si>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</si>
  <si>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</si>
  <si>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</si>
  <si>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</si>
  <si>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</si>
  <si>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</si>
  <si>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</si>
  <si>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</si>
  <si>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</si>
  <si>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</si>
  <si>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</si>
  <si>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</si>
  <si>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</si>
  <si>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</si>
  <si>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</si>
  <si>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</si>
  <si>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</si>
  <si>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</si>
  <si>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</si>
  <si>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</si>
  <si>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</si>
  <si>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</si>
  <si>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</si>
  <si>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</si>
  <si>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</si>
  <si>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</si>
  <si>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</si>
  <si>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</si>
  <si>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</si>
  <si>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</si>
  <si>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</si>
  <si>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</si>
  <si>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</si>
  <si>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</si>
  <si>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</si>
  <si>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</si>
  <si>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</si>
  <si>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</si>
  <si>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</si>
  <si>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</si>
  <si>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</si>
  <si>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</si>
  <si>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</si>
  <si>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</si>
  <si>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</si>
  <si>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</si>
  <si>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</si>
  <si>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</si>
  <si>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</si>
  <si>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</si>
  <si>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</si>
  <si>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</si>
  <si>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</si>
  <si>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</si>
  <si>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</si>
  <si>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</si>
  <si>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</si>
  <si>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</si>
  <si>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</si>
  <si>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</si>
  <si>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</si>
  <si>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</si>
  <si>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</si>
  <si>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</si>
  <si>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</si>
  <si>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</si>
  <si>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</si>
  <si>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</si>
  <si>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</si>
  <si>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</si>
  <si>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</si>
  <si>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</si>
  <si>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</si>
  <si>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</si>
  <si>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</si>
  <si>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</si>
  <si>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</si>
  <si>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</si>
  <si>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</si>
  <si>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</si>
  <si>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</si>
  <si>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</si>
  <si>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</si>
  <si>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</si>
  <si>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</si>
  <si>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</si>
  <si>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</si>
  <si>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</si>
  <si>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</si>
  <si>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</si>
  <si>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</si>
  <si>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</si>
  <si>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</si>
  <si>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</si>
  <si>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</si>
  <si>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</si>
  <si>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</si>
  <si>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</si>
  <si>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</si>
  <si>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</si>
  <si>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</si>
  <si>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</si>
  <si>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</si>
  <si>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</si>
  <si>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</si>
  <si>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</si>
  <si>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</si>
  <si>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</si>
  <si>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</si>
  <si>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</si>
  <si>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</si>
  <si>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</si>
  <si>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</si>
  <si>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</si>
  <si>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</si>
  <si>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</si>
  <si>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</si>
  <si>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</si>
  <si>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</si>
  <si>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</si>
  <si>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</si>
  <si>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</si>
  <si>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</si>
  <si>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</si>
  <si>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</si>
  <si>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</si>
  <si>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</si>
  <si>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</si>
  <si>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</si>
  <si>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</si>
  <si>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</si>
  <si>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</si>
  <si>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</si>
  <si>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</si>
  <si>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</si>
  <si>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</si>
  <si>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</si>
  <si>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</si>
  <si>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</si>
  <si>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</si>
  <si>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</si>
  <si>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</si>
  <si>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</si>
  <si>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</si>
  <si>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</si>
  <si>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</si>
  <si>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</si>
  <si>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</si>
  <si>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</si>
  <si>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</si>
  <si>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</si>
  <si>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</si>
  <si>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</si>
  <si>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</si>
  <si>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</si>
  <si>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</si>
  <si>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</si>
  <si>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</si>
  <si>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</si>
  <si>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</si>
  <si>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</si>
  <si>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</si>
  <si>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</si>
  <si>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</si>
  <si>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</si>
  <si>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</si>
  <si>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</si>
  <si>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</si>
  <si>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</si>
  <si>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</si>
  <si>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</si>
  <si>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</si>
  <si>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</si>
  <si>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</si>
  <si>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</si>
  <si>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</si>
  <si>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</si>
  <si>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</si>
  <si>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</si>
  <si>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</si>
  <si>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</si>
  <si>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</si>
  <si>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</si>
  <si>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</si>
  <si>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</si>
  <si>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</si>
  <si>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</si>
  <si>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</si>
  <si>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</si>
  <si>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</si>
  <si>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</si>
  <si>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</si>
  <si>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</si>
  <si>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</si>
  <si>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</si>
  <si>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</si>
  <si>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</si>
  <si>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</si>
  <si>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</si>
  <si>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</si>
  <si>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</si>
  <si>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</si>
  <si>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</si>
  <si>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</si>
  <si>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</si>
  <si>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</si>
  <si>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</si>
  <si>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</si>
  <si>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</si>
  <si>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</si>
  <si>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</si>
  <si>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</si>
  <si>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</si>
  <si>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</si>
  <si>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</si>
  <si>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</si>
  <si>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</si>
  <si>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</si>
  <si>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</si>
  <si>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</si>
  <si>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</si>
  <si>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</si>
  <si>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</si>
  <si>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</si>
  <si>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</si>
  <si>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</si>
  <si>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</si>
  <si>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</si>
  <si>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</si>
  <si>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</si>
  <si>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</si>
  <si>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</si>
  <si>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</si>
  <si>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</si>
  <si>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</si>
  <si>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</si>
  <si>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</si>
  <si>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</si>
  <si>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</si>
  <si>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</si>
  <si>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</si>
  <si>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</si>
  <si>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</si>
  <si>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</si>
  <si>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</si>
  <si>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</si>
  <si>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</si>
  <si>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</si>
  <si>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</si>
  <si>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</si>
  <si>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</si>
  <si>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</si>
  <si>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</si>
  <si>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</si>
  <si>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</si>
  <si>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</si>
  <si>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</si>
  <si>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</si>
  <si>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</si>
  <si>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</si>
  <si>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</si>
  <si>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</si>
  <si>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</si>
  <si>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</si>
  <si>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</si>
  <si>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</si>
  <si>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</si>
  <si>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</si>
  <si>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</si>
  <si>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</si>
  <si>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</si>
  <si>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</si>
  <si>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</si>
  <si>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</si>
  <si>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</si>
  <si>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</si>
  <si>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</si>
  <si>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</si>
  <si>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</si>
  <si>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</si>
  <si>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</si>
  <si>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</si>
  <si>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</si>
  <si>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</si>
  <si>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</si>
  <si>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</si>
  <si>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</si>
  <si>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</si>
  <si>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</si>
  <si>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</si>
  <si>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</si>
  <si>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</si>
  <si>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</si>
  <si>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</si>
  <si>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</si>
  <si>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</si>
  <si>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</si>
  <si>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</si>
  <si>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</si>
  <si>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</si>
  <si>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</si>
  <si>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</si>
  <si>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</si>
  <si>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</si>
  <si>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</si>
  <si>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</si>
  <si>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</si>
  <si>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</si>
  <si>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</si>
  <si>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</si>
  <si>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</si>
  <si>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</si>
  <si>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</si>
  <si>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</si>
  <si>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</si>
  <si>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</si>
  <si>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</si>
  <si>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</si>
  <si>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</si>
  <si>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</si>
  <si>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</si>
  <si>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</si>
  <si>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</si>
  <si>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</si>
  <si>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</si>
  <si>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</si>
  <si>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</si>
  <si>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</si>
  <si>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</si>
  <si>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</si>
  <si>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</si>
  <si>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</si>
  <si>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</si>
  <si>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</si>
  <si>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</si>
  <si>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</si>
  <si>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</si>
  <si>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</si>
  <si>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</si>
  <si>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</si>
  <si>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</si>
  <si>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</si>
  <si>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</si>
  <si>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</si>
  <si>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</si>
  <si>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</si>
  <si>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</si>
  <si>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</si>
  <si>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</si>
  <si>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</si>
  <si>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</si>
  <si>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</si>
  <si>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</si>
  <si>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</si>
  <si>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</si>
  <si>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</si>
  <si>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</si>
  <si>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</si>
  <si>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</si>
  <si>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</si>
  <si>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</si>
  <si>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</si>
  <si>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</si>
  <si>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</si>
  <si>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</si>
  <si>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</si>
  <si>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</si>
  <si>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</si>
  <si>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</si>
  <si>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</si>
  <si>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</si>
  <si>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</si>
  <si>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</si>
  <si>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</si>
  <si>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</si>
  <si>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</si>
  <si>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</si>
  <si>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</si>
  <si>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</si>
  <si>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</si>
  <si>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</si>
  <si>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</si>
  <si>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</si>
  <si>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</si>
  <si>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</si>
  <si>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</si>
  <si>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</si>
  <si>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</si>
  <si>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</si>
  <si>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</si>
  <si>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</si>
  <si>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</si>
  <si>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</si>
  <si>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</si>
  <si>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</si>
  <si>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</si>
  <si>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</si>
  <si>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</si>
  <si>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</si>
  <si>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</si>
  <si>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</si>
  <si>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</si>
  <si>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</si>
  <si>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</si>
  <si>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</si>
  <si>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</si>
  <si>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</si>
  <si>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</si>
  <si>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</si>
  <si>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</si>
  <si>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</si>
  <si>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</si>
  <si>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</si>
  <si>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</si>
  <si>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</si>
  <si>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</si>
  <si>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</si>
  <si>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</si>
  <si>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</si>
  <si>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</si>
  <si>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</si>
  <si>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</si>
  <si>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</si>
  <si>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</si>
  <si>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</si>
  <si>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</si>
  <si>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</si>
  <si>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</si>
  <si>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</si>
  <si>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</si>
  <si>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</si>
  <si>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</si>
  <si>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</si>
  <si>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</si>
  <si>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</si>
  <si>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</si>
  <si>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</si>
  <si>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</si>
  <si>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</si>
  <si>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</si>
  <si>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</si>
  <si>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</si>
  <si>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</si>
  <si>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</si>
  <si>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</si>
  <si>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</si>
  <si>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</si>
  <si>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</si>
  <si>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</si>
  <si>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</si>
  <si>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</si>
  <si>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</si>
  <si>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</si>
  <si>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</si>
  <si>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</si>
  <si>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</si>
  <si>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</si>
  <si>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</si>
  <si>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</si>
  <si>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</si>
  <si>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</si>
  <si>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</si>
  <si>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</si>
  <si>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</si>
  <si>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</si>
  <si>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</si>
  <si>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</si>
  <si>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</si>
  <si>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</si>
  <si>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</si>
  <si>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</si>
  <si>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</si>
  <si>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</si>
  <si>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</si>
  <si>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</si>
  <si>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</si>
  <si>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</si>
  <si>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</si>
  <si>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</si>
  <si>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</si>
  <si>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</si>
  <si>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</si>
  <si>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</si>
  <si>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</si>
  <si>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</si>
  <si>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</si>
  <si>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</si>
  <si>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</si>
  <si>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</si>
  <si>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</si>
  <si>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</si>
  <si>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</si>
  <si>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</si>
  <si>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</si>
  <si>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</si>
  <si>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</si>
  <si>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</si>
  <si>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</si>
  <si>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</si>
  <si>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</si>
  <si>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</si>
  <si>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</si>
  <si>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</si>
  <si>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</si>
  <si>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</si>
  <si>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</si>
  <si>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</si>
  <si>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</si>
  <si>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</si>
  <si>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</si>
  <si>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</si>
  <si>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</si>
  <si>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</si>
  <si>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</si>
  <si>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</si>
  <si>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</si>
  <si>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</si>
  <si>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</si>
  <si>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</si>
  <si>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</si>
  <si>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</si>
  <si>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</si>
  <si>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</si>
  <si>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</si>
  <si>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</si>
  <si>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</si>
  <si>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</si>
  <si>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</si>
  <si>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</si>
  <si>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</si>
  <si>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</si>
  <si>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</si>
  <si>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</si>
  <si>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</si>
  <si>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</si>
  <si>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</si>
  <si>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</si>
  <si>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</si>
  <si>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</si>
  <si>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</si>
  <si>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</si>
  <si>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</si>
  <si>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</si>
  <si>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</si>
  <si>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</si>
  <si>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</si>
  <si>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</si>
  <si>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</si>
  <si>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</si>
  <si>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</si>
  <si>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</si>
  <si>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</si>
  <si>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</si>
  <si>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</si>
  <si>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</si>
  <si>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</si>
  <si>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</si>
  <si>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</si>
  <si>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</si>
  <si>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</si>
  <si>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</si>
  <si>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</si>
  <si>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</si>
  <si>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</si>
  <si>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</si>
  <si>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</si>
  <si>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</si>
  <si>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</si>
  <si>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</si>
  <si>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</si>
  <si>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</si>
  <si>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</si>
  <si>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</si>
  <si>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</si>
  <si>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</si>
  <si>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</si>
  <si>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</si>
  <si>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</si>
  <si>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</si>
  <si>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</si>
  <si>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</si>
  <si>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</si>
  <si>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</si>
  <si>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</si>
  <si>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</si>
  <si>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</si>
  <si>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</si>
  <si>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</si>
  <si>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</si>
  <si>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</si>
  <si>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</si>
  <si>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</si>
  <si>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</si>
  <si>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</si>
  <si>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</si>
  <si>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</si>
  <si>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</si>
  <si>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</si>
  <si>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</si>
  <si>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</si>
  <si>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</si>
  <si>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</si>
  <si>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</si>
  <si>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</si>
  <si>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</si>
  <si>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</si>
  <si>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</si>
  <si>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</si>
  <si>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</si>
  <si>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</si>
  <si>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</si>
  <si>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</si>
  <si>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</si>
  <si>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</si>
  <si>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</si>
  <si>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</si>
  <si>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</si>
  <si>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</si>
  <si>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</si>
  <si>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</si>
  <si>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</si>
  <si>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</si>
  <si>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</si>
  <si>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</si>
  <si>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</si>
  <si>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</si>
  <si>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</si>
  <si>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</si>
  <si>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</si>
  <si>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</si>
  <si>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</si>
  <si>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</si>
  <si>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</si>
  <si>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</si>
  <si>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</si>
  <si>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</si>
  <si>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</si>
  <si>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</si>
  <si>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</si>
  <si>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</si>
  <si>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</si>
  <si>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</si>
  <si>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</si>
  <si>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</si>
  <si>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</si>
  <si>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</si>
  <si>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</si>
  <si>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</si>
  <si>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</si>
  <si>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</si>
  <si>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</si>
  <si>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</si>
  <si>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</si>
  <si>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</si>
  <si>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</si>
  <si>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</si>
  <si>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</si>
  <si>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</si>
  <si>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</si>
  <si>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</si>
  <si>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</si>
  <si>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</si>
  <si>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</si>
  <si>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</si>
  <si>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</si>
  <si>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</si>
  <si>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</si>
  <si>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</si>
  <si>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</si>
  <si>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</si>
  <si>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</si>
  <si>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</si>
  <si>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</si>
  <si>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</si>
  <si>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</si>
  <si>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</si>
  <si>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</si>
  <si>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</si>
  <si>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</si>
  <si>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</si>
  <si>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</si>
  <si>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</si>
  <si>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</si>
  <si>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</si>
  <si>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</si>
  <si>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</si>
  <si>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</si>
  <si>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</si>
  <si>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</si>
  <si>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</si>
  <si>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</si>
  <si>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</si>
  <si>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</si>
  <si>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</si>
  <si>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</si>
  <si>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</si>
  <si>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</si>
  <si>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</si>
  <si>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</si>
  <si>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</si>
  <si>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</si>
  <si>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</si>
  <si>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</si>
  <si>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</si>
  <si>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</si>
  <si>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</si>
  <si>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</si>
  <si>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</si>
  <si>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</si>
  <si>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</si>
  <si>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</si>
  <si>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</si>
  <si>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</si>
  <si>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</si>
  <si>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</si>
  <si>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</si>
  <si>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</si>
  <si>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</si>
  <si>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</si>
  <si>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</si>
  <si>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</si>
  <si>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</si>
  <si>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</si>
  <si>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</si>
  <si>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</si>
  <si>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</si>
  <si>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</si>
  <si>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</si>
  <si>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</si>
  <si>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</si>
  <si>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</si>
  <si>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</si>
  <si>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</si>
  <si>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</si>
  <si>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</si>
  <si>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</si>
  <si>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</si>
  <si>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</si>
  <si>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</si>
  <si>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</si>
  <si>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</si>
  <si>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</si>
  <si>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</si>
  <si>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</si>
  <si>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</si>
  <si>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</si>
  <si>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</si>
  <si>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</si>
  <si>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</si>
  <si>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</si>
  <si>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</si>
  <si>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</si>
  <si>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</si>
  <si>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</si>
  <si>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</si>
  <si>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</si>
  <si>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</si>
  <si>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</si>
  <si>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</si>
  <si>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</si>
  <si>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</si>
  <si>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</si>
  <si>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</si>
  <si>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</si>
  <si>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</si>
  <si>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</si>
  <si>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</si>
  <si>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</si>
  <si>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</si>
  <si>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</si>
  <si>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</si>
  <si>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</si>
  <si>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</si>
  <si>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</si>
  <si>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</si>
  <si>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</si>
  <si>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</si>
  <si>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</si>
  <si>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</si>
  <si>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</si>
  <si>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</si>
  <si>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</si>
  <si>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</si>
  <si>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</si>
  <si>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</si>
  <si>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</si>
  <si>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</si>
  <si>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</si>
  <si>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</si>
  <si>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</si>
  <si>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</si>
  <si>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</si>
  <si>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</si>
  <si>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</si>
  <si>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</si>
  <si>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</si>
  <si>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</si>
  <si>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</si>
  <si>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</si>
  <si>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</si>
  <si>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</si>
  <si>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</si>
  <si>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</si>
  <si>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</si>
  <si>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</si>
  <si>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</si>
  <si>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</si>
  <si>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</si>
  <si>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</si>
  <si>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</si>
  <si>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</si>
  <si>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</si>
  <si>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</si>
  <si>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</si>
  <si>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</si>
  <si>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</si>
  <si>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</si>
  <si>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</si>
  <si>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</si>
  <si>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</si>
  <si>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</si>
  <si>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</si>
  <si>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</si>
  <si>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</si>
  <si>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</si>
  <si>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</si>
  <si>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</si>
  <si>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</si>
  <si>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</si>
  <si>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</si>
  <si>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</si>
  <si>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</si>
  <si>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</si>
  <si>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</si>
  <si>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</si>
  <si>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</si>
  <si>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</si>
  <si>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</si>
  <si>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</si>
  <si>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</si>
  <si>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</si>
  <si>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</si>
  <si>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</si>
  <si>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</si>
  <si>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</si>
  <si>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</si>
  <si>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</si>
  <si>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</si>
  <si>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</si>
  <si>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</si>
  <si>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</si>
  <si>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</si>
  <si>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</si>
  <si>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</si>
  <si>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</si>
  <si>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</si>
  <si>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</si>
  <si>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</si>
  <si>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</si>
  <si>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</si>
  <si>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</si>
  <si>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</si>
  <si>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</si>
  <si>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</si>
  <si>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</si>
  <si>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</si>
  <si>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</si>
  <si>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</si>
  <si>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</si>
  <si>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</si>
  <si>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</si>
  <si>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</si>
  <si>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</si>
  <si>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</si>
  <si>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</si>
  <si>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</si>
  <si>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</si>
  <si>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</si>
  <si>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</si>
  <si>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</si>
  <si>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</si>
  <si>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</si>
  <si>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</si>
  <si>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</si>
  <si>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</si>
  <si>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</si>
  <si>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</si>
  <si>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</si>
  <si>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</si>
  <si>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</si>
  <si>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</si>
  <si>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</si>
  <si>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</si>
  <si>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</si>
  <si>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</si>
  <si>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</si>
  <si>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</si>
  <si>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</si>
  <si>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</si>
  <si>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</si>
  <si>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</si>
  <si>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</si>
  <si>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</si>
  <si>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</si>
  <si>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</si>
  <si>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</si>
  <si>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</si>
  <si>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285</t>
  </si>
  <si>
    <t>2041</t>
  </si>
  <si>
    <t>הבנק הבינלאומי</t>
  </si>
  <si>
    <t>31-46</t>
  </si>
  <si>
    <t>Aaa.il</t>
  </si>
  <si>
    <t>ILS</t>
  </si>
  <si>
    <t>USD</t>
  </si>
  <si>
    <t>3.71</t>
  </si>
  <si>
    <t>HKD</t>
  </si>
  <si>
    <t>0.4778</t>
  </si>
  <si>
    <t>2042</t>
  </si>
  <si>
    <t>GBP</t>
  </si>
  <si>
    <t>4.9748</t>
  </si>
  <si>
    <t>EUR</t>
  </si>
  <si>
    <t>4.1524</t>
  </si>
  <si>
    <t>485</t>
  </si>
  <si>
    <t>2037</t>
  </si>
  <si>
    <t>2038</t>
  </si>
  <si>
    <t>JPY</t>
  </si>
  <si>
    <t>0.026</t>
  </si>
  <si>
    <t>NOK</t>
  </si>
  <si>
    <t>0.3524</t>
  </si>
  <si>
    <t>AUD</t>
  </si>
  <si>
    <t>2.5661</t>
  </si>
  <si>
    <t>מדינת ישראל</t>
  </si>
  <si>
    <t>ממשל צמודה 1025</t>
  </si>
  <si>
    <t>IL0011359127</t>
  </si>
  <si>
    <t>RF</t>
  </si>
  <si>
    <t>31/10/2025</t>
  </si>
  <si>
    <t>116.02</t>
  </si>
  <si>
    <t>ממשל צמודה 1131</t>
  </si>
  <si>
    <t>IL0011722209</t>
  </si>
  <si>
    <t>30/11/2031</t>
  </si>
  <si>
    <t>101.1</t>
  </si>
  <si>
    <t>ממשל צמודה 0529</t>
  </si>
  <si>
    <t>IL0011570236</t>
  </si>
  <si>
    <t>31/05/2029</t>
  </si>
  <si>
    <t>108.85</t>
  </si>
  <si>
    <t>ממשל צמודה 0527</t>
  </si>
  <si>
    <t>IL0011408478</t>
  </si>
  <si>
    <t>31/05/2027</t>
  </si>
  <si>
    <t>114.25</t>
  </si>
  <si>
    <t>ממשל צמודה 0536</t>
  </si>
  <si>
    <t>IL0010977085</t>
  </si>
  <si>
    <t>30/05/2036</t>
  </si>
  <si>
    <t>164.63</t>
  </si>
  <si>
    <t>ממשל צמודה 1028</t>
  </si>
  <si>
    <t>IL0011973265</t>
  </si>
  <si>
    <t>31/10/2028</t>
  </si>
  <si>
    <t>102.6</t>
  </si>
  <si>
    <t>ממשל שקלית 0537</t>
  </si>
  <si>
    <t>IL0011661803</t>
  </si>
  <si>
    <t>31/05/2037</t>
  </si>
  <si>
    <t>67.92</t>
  </si>
  <si>
    <t>ממשל שקלית 0432</t>
  </si>
  <si>
    <t>IL0011806606</t>
  </si>
  <si>
    <t>30/04/2032</t>
  </si>
  <si>
    <t>78.98</t>
  </si>
  <si>
    <t>ממשל שקלית 0142</t>
  </si>
  <si>
    <t>IL0011254005</t>
  </si>
  <si>
    <t>31/01/2042</t>
  </si>
  <si>
    <t>107.34</t>
  </si>
  <si>
    <t>מ.ק.מ. 415</t>
  </si>
  <si>
    <t>IL0082504171</t>
  </si>
  <si>
    <t>02/04/2025</t>
  </si>
  <si>
    <t>0.000%</t>
  </si>
  <si>
    <t>97.9</t>
  </si>
  <si>
    <t>מ.ק.מ. 315</t>
  </si>
  <si>
    <t>IL0082503181</t>
  </si>
  <si>
    <t>05/03/2025</t>
  </si>
  <si>
    <t>98.22</t>
  </si>
  <si>
    <t>מ.ק.מ. 215</t>
  </si>
  <si>
    <t>IL0082502191</t>
  </si>
  <si>
    <t>05/02/2025</t>
  </si>
  <si>
    <t>98.56</t>
  </si>
  <si>
    <t>ממשל שקלית 0928</t>
  </si>
  <si>
    <t>IL0011508798</t>
  </si>
  <si>
    <t>28/09/2028</t>
  </si>
  <si>
    <t>91.9</t>
  </si>
  <si>
    <t>ממשל שקלית 0347</t>
  </si>
  <si>
    <t>IL0011401937</t>
  </si>
  <si>
    <t>31/03/2047</t>
  </si>
  <si>
    <t>81.36</t>
  </si>
  <si>
    <t>מ.ק.מ. 515</t>
  </si>
  <si>
    <t>IL0082505160</t>
  </si>
  <si>
    <t>07/05/2025</t>
  </si>
  <si>
    <t>97.52</t>
  </si>
  <si>
    <t>ממשל שקלית שחר</t>
  </si>
  <si>
    <t>ממשל שקלית 0330</t>
  </si>
  <si>
    <t>IL0011609851</t>
  </si>
  <si>
    <t>31/03/2030</t>
  </si>
  <si>
    <t>83.24</t>
  </si>
  <si>
    <t>ממשל שקלית 0335</t>
  </si>
  <si>
    <t>IL0012023326</t>
  </si>
  <si>
    <t>30/03/2035</t>
  </si>
  <si>
    <t>94.93</t>
  </si>
  <si>
    <t>ממשל שקלית 0229</t>
  </si>
  <si>
    <t>IL0011948028</t>
  </si>
  <si>
    <t>ilAAA</t>
  </si>
  <si>
    <t>28/02/2029</t>
  </si>
  <si>
    <t>99.02</t>
  </si>
  <si>
    <t>מ.ק.מ. 615</t>
  </si>
  <si>
    <t>IL0082506150</t>
  </si>
  <si>
    <t>04/06/2025</t>
  </si>
  <si>
    <t>97.22</t>
  </si>
  <si>
    <t>ממשל שקלית 1152</t>
  </si>
  <si>
    <t>IL0011840761</t>
  </si>
  <si>
    <t>29/11/2052</t>
  </si>
  <si>
    <t>64.7</t>
  </si>
  <si>
    <t>US TREASURY N/B</t>
  </si>
  <si>
    <t>T 3 7/8 08/15/33</t>
  </si>
  <si>
    <t>US91282CHT18</t>
  </si>
  <si>
    <t>AA+</t>
  </si>
  <si>
    <t>15/08/2033</t>
  </si>
  <si>
    <t>100.875</t>
  </si>
  <si>
    <t>T 3 7/8 08/15/34</t>
  </si>
  <si>
    <t>US91282CLF67</t>
  </si>
  <si>
    <t>15/08/2034</t>
  </si>
  <si>
    <t>100.7578</t>
  </si>
  <si>
    <t>T 4 02/15/34</t>
  </si>
  <si>
    <t>US91282CJZ59</t>
  </si>
  <si>
    <t>15/02/2034</t>
  </si>
  <si>
    <t>101.7813</t>
  </si>
  <si>
    <t>מ.ק.מ. 1214</t>
  </si>
  <si>
    <t>IL0082412185</t>
  </si>
  <si>
    <t>04/12/2024</t>
  </si>
  <si>
    <t>99.27</t>
  </si>
  <si>
    <t>מ.ק.מ. 1114</t>
  </si>
  <si>
    <t>IL0082411195</t>
  </si>
  <si>
    <t>06/11/2024</t>
  </si>
  <si>
    <t>99.58</t>
  </si>
  <si>
    <t>ממשל שקלית 1026</t>
  </si>
  <si>
    <t>IL0010994569</t>
  </si>
  <si>
    <t>30/10/2026</t>
  </si>
  <si>
    <t>109.5</t>
  </si>
  <si>
    <t>ממשל שקלית0327</t>
  </si>
  <si>
    <t>IL0011393449</t>
  </si>
  <si>
    <t>31/03/2027</t>
  </si>
  <si>
    <t>95.44</t>
  </si>
  <si>
    <t>מ.ק.מ. 815</t>
  </si>
  <si>
    <t>IL0082508131</t>
  </si>
  <si>
    <t>06/08/2025</t>
  </si>
  <si>
    <t>96.48</t>
  </si>
  <si>
    <t>מ.ק.מ. 715</t>
  </si>
  <si>
    <t>IL0082507141</t>
  </si>
  <si>
    <t>02/07/2025</t>
  </si>
  <si>
    <t>96.9</t>
  </si>
  <si>
    <t>כללביט מימון בע"מ</t>
  </si>
  <si>
    <t>513754069</t>
  </si>
  <si>
    <t>כללביט אגח יא</t>
  </si>
  <si>
    <t>IL0011606477</t>
  </si>
  <si>
    <t>ilAA-</t>
  </si>
  <si>
    <t>85.75</t>
  </si>
  <si>
    <t>מזרחי טפחות חברה להנפקות בע"מ</t>
  </si>
  <si>
    <t>520032046</t>
  </si>
  <si>
    <t>מז טפ הנפק 40</t>
  </si>
  <si>
    <t>IL0023101673</t>
  </si>
  <si>
    <t>07/06/2025</t>
  </si>
  <si>
    <t>99.95</t>
  </si>
  <si>
    <t>הפניקס גיוסי הון (2009)בע"מ</t>
  </si>
  <si>
    <t>514290345</t>
  </si>
  <si>
    <t>פניקס הון אגח ח</t>
  </si>
  <si>
    <t>IL0011398158</t>
  </si>
  <si>
    <t>Aa2.il</t>
  </si>
  <si>
    <t>31/07/2025</t>
  </si>
  <si>
    <t>99.39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</si>
  <si>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</si>
  <si>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</si>
  <si>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</si>
  <si>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</si>
  <si>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</si>
  <si>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</si>
  <si>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89.41</t>
  </si>
  <si>
    <t>כלל מימו אגח יג</t>
  </si>
  <si>
    <t>IL0011979205</t>
  </si>
  <si>
    <t>31/07/2034</t>
  </si>
  <si>
    <t>95.72</t>
  </si>
  <si>
    <t>בזק החברה הישראלית לתקשורת בע"מ</t>
  </si>
  <si>
    <t>520031931</t>
  </si>
  <si>
    <t>בזק 9</t>
  </si>
  <si>
    <t>IL0023001766</t>
  </si>
  <si>
    <t>01/12/2025</t>
  </si>
  <si>
    <t>100.35</t>
  </si>
  <si>
    <t>כלל החזקות עסקי ביטוח בע"מ</t>
  </si>
  <si>
    <t>520036120</t>
  </si>
  <si>
    <t>כלל ביטוח אגח ג</t>
  </si>
  <si>
    <t>IL0012013913</t>
  </si>
  <si>
    <t>01/11/2031</t>
  </si>
  <si>
    <t>100.33</t>
  </si>
  <si>
    <t>שפיר הנדסה ותעשיה בע"מ</t>
  </si>
  <si>
    <t>514892801</t>
  </si>
  <si>
    <t>שפיר הנדסה א</t>
  </si>
  <si>
    <t>IL0011361347</t>
  </si>
  <si>
    <t>ilA+</t>
  </si>
  <si>
    <t>01/10/2025</t>
  </si>
  <si>
    <t>97.76</t>
  </si>
  <si>
    <t>בי קומיוניקיישנס בע"מ</t>
  </si>
  <si>
    <t>512832742</t>
  </si>
  <si>
    <t>בי קומיונק אגחז</t>
  </si>
  <si>
    <t>IL0012109885</t>
  </si>
  <si>
    <t>A3.il</t>
  </si>
  <si>
    <t>30/11/2029</t>
  </si>
  <si>
    <t>97.66</t>
  </si>
  <si>
    <t>שופרסל בע"מ</t>
  </si>
  <si>
    <t>520022732</t>
  </si>
  <si>
    <t>שופרסל אגח ה</t>
  </si>
  <si>
    <t>IL0077702095</t>
  </si>
  <si>
    <t>ilAA</t>
  </si>
  <si>
    <t>08/10/2029</t>
  </si>
  <si>
    <t>99.41</t>
  </si>
  <si>
    <t>אלקטרה בע"מ</t>
  </si>
  <si>
    <t>520028911</t>
  </si>
  <si>
    <t>אלקטרה ד</t>
  </si>
  <si>
    <t>IL0073901493</t>
  </si>
  <si>
    <t>30/06/2026</t>
  </si>
  <si>
    <t>99.35</t>
  </si>
  <si>
    <t>הראל ביטוח מימון והנפקות בע"מ</t>
  </si>
  <si>
    <t>513834200</t>
  </si>
  <si>
    <t>הראל הנפק יא ש 4.36</t>
  </si>
  <si>
    <t>IL0011363160</t>
  </si>
  <si>
    <t>Aa3.il</t>
  </si>
  <si>
    <t>31/12/2027</t>
  </si>
  <si>
    <t>99.55</t>
  </si>
  <si>
    <t>מנורה מבטחים החזקות בע"מ</t>
  </si>
  <si>
    <t>520007469</t>
  </si>
  <si>
    <t>מנורה מבטחים החזקות ג</t>
  </si>
  <si>
    <t>IL0056600633</t>
  </si>
  <si>
    <t>30/09/2026</t>
  </si>
  <si>
    <t>96.58</t>
  </si>
  <si>
    <t>סלקום ישראל בע"מ</t>
  </si>
  <si>
    <t>511930125</t>
  </si>
  <si>
    <t>סלקום אגח ט</t>
  </si>
  <si>
    <t>IL0011328361</t>
  </si>
  <si>
    <t>05/07/2025</t>
  </si>
  <si>
    <t>100.13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</si>
  <si>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</si>
  <si>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</si>
  <si>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</si>
  <si>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</si>
  <si>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</si>
  <si>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</si>
  <si>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99.06</t>
  </si>
  <si>
    <t>הראל הנפ אגח יג</t>
  </si>
  <si>
    <t>IL0011381717</t>
  </si>
  <si>
    <t>31/12/2029</t>
  </si>
  <si>
    <t>94.59</t>
  </si>
  <si>
    <t>הראל הנפ אגח יב</t>
  </si>
  <si>
    <t>IL0011381634</t>
  </si>
  <si>
    <t>31/12/2028</t>
  </si>
  <si>
    <t>96.78</t>
  </si>
  <si>
    <t>חברת גב-ים לקרקעות בע"מ</t>
  </si>
  <si>
    <t>520001736</t>
  </si>
  <si>
    <t>גב ים ח</t>
  </si>
  <si>
    <t>IL0075901517</t>
  </si>
  <si>
    <t>30/06/2034</t>
  </si>
  <si>
    <t>84.61</t>
  </si>
  <si>
    <t>אלוני-חץ נכסים והשקעות בע"מ</t>
  </si>
  <si>
    <t>520038506</t>
  </si>
  <si>
    <t>אלוני חץ ט</t>
  </si>
  <si>
    <t>IL0039003541</t>
  </si>
  <si>
    <t>28/02/2027</t>
  </si>
  <si>
    <t>100.27</t>
  </si>
  <si>
    <t>מויניאן לימיטד</t>
  </si>
  <si>
    <t>1858676</t>
  </si>
  <si>
    <t>מויניאן אגח ב</t>
  </si>
  <si>
    <t>IL0011430159</t>
  </si>
  <si>
    <t>Baa2.il</t>
  </si>
  <si>
    <t>30/12/2024</t>
  </si>
  <si>
    <t>99.8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</si>
  <si>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</si>
  <si>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</si>
  <si>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</si>
  <si>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</si>
  <si>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</si>
  <si>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</si>
  <si>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102.97</t>
  </si>
  <si>
    <t>חשמל אגח 34</t>
  </si>
  <si>
    <t>IL0011967812</t>
  </si>
  <si>
    <t>12/06/2033</t>
  </si>
  <si>
    <t>103.71</t>
  </si>
  <si>
    <t>מזרחי הנפקות אגח 49</t>
  </si>
  <si>
    <t>IL0023102820</t>
  </si>
  <si>
    <t>23/06/2026</t>
  </si>
  <si>
    <t>110.39</t>
  </si>
  <si>
    <t>מז טפ הנפק 46</t>
  </si>
  <si>
    <t>IL0023102259</t>
  </si>
  <si>
    <t>28/09/2027</t>
  </si>
  <si>
    <t>113.04</t>
  </si>
  <si>
    <t>בנק לאומי לישראל בע"מ</t>
  </si>
  <si>
    <t>520018078</t>
  </si>
  <si>
    <t>לאומי אגח 183</t>
  </si>
  <si>
    <t>IL0060405474</t>
  </si>
  <si>
    <t>25/11/2029</t>
  </si>
  <si>
    <t>99.1</t>
  </si>
  <si>
    <t>כללביט אגח יב</t>
  </si>
  <si>
    <t>IL0011799280</t>
  </si>
  <si>
    <t>31/03/2032</t>
  </si>
  <si>
    <t>79.27</t>
  </si>
  <si>
    <t>מליסרון בע"מ</t>
  </si>
  <si>
    <t>520037789</t>
  </si>
  <si>
    <t>מליסרון יד 2.15%</t>
  </si>
  <si>
    <t>IL0032302320</t>
  </si>
  <si>
    <t>27/04/2026</t>
  </si>
  <si>
    <t>117.88</t>
  </si>
  <si>
    <t>מליסרון אגח י</t>
  </si>
  <si>
    <t>IL0032301900</t>
  </si>
  <si>
    <t>10/07/2025</t>
  </si>
  <si>
    <t>117</t>
  </si>
  <si>
    <t>ג'י סיטי בע"מ</t>
  </si>
  <si>
    <t>520033234</t>
  </si>
  <si>
    <t>גי סיטי אגח יב</t>
  </si>
  <si>
    <t>IL0012606039</t>
  </si>
  <si>
    <t>30/06/2027</t>
  </si>
  <si>
    <t>116.2</t>
  </si>
  <si>
    <t>כללביט אגח ט</t>
  </si>
  <si>
    <t>IL0011360505</t>
  </si>
  <si>
    <t>115.94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</si>
  <si>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</si>
  <si>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</si>
  <si>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</si>
  <si>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</si>
  <si>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</si>
  <si>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111.85</t>
  </si>
  <si>
    <t>לאומי אגח 186</t>
  </si>
  <si>
    <t>IL0012018391</t>
  </si>
  <si>
    <t>30/11/2033</t>
  </si>
  <si>
    <t>101.35</t>
  </si>
  <si>
    <t>איירפורט סיטי בע"מ</t>
  </si>
  <si>
    <t>511659401</t>
  </si>
  <si>
    <t>איירפורט אגח 5</t>
  </si>
  <si>
    <t>IL0011334872</t>
  </si>
  <si>
    <t>115.87</t>
  </si>
  <si>
    <t>גי סיטי אגח יג</t>
  </si>
  <si>
    <t>IL0012606526</t>
  </si>
  <si>
    <t>30/06/2028</t>
  </si>
  <si>
    <t>115.06</t>
  </si>
  <si>
    <t>אפי נכסים בע"מ</t>
  </si>
  <si>
    <t>510560188</t>
  </si>
  <si>
    <t>אפי נכסים אגח ח</t>
  </si>
  <si>
    <t>IL0011422313</t>
  </si>
  <si>
    <t>15/10/2026</t>
  </si>
  <si>
    <t>116.88</t>
  </si>
  <si>
    <t>חשמל אגח 29</t>
  </si>
  <si>
    <t>IL0060002362</t>
  </si>
  <si>
    <t>28/02/2026</t>
  </si>
  <si>
    <t>119.4</t>
  </si>
  <si>
    <t>חשמל      31</t>
  </si>
  <si>
    <t>IL0060002859</t>
  </si>
  <si>
    <t>20/09/2031</t>
  </si>
  <si>
    <t>111.74</t>
  </si>
  <si>
    <t>אמות השקעות בע"מ</t>
  </si>
  <si>
    <t>520026683</t>
  </si>
  <si>
    <t>אמות ד</t>
  </si>
  <si>
    <t>IL0011331498</t>
  </si>
  <si>
    <t>02/07/2028</t>
  </si>
  <si>
    <t>117.37</t>
  </si>
  <si>
    <t>ירושליםהנ אגחיט</t>
  </si>
  <si>
    <t>IL0012014333</t>
  </si>
  <si>
    <t>31/01/2031</t>
  </si>
  <si>
    <t>105.13</t>
  </si>
  <si>
    <t>גב ים אגח י</t>
  </si>
  <si>
    <t>IL0075902846</t>
  </si>
  <si>
    <t>30/06/2035</t>
  </si>
  <si>
    <t>97.54</t>
  </si>
  <si>
    <t>בנק הפועלים בע"מ</t>
  </si>
  <si>
    <t>520000118</t>
  </si>
  <si>
    <t>פועלים אגח 201</t>
  </si>
  <si>
    <t>IL0011913451</t>
  </si>
  <si>
    <t>29/11/2032</t>
  </si>
  <si>
    <t>103.84</t>
  </si>
  <si>
    <t>ביג מרכזי קניות בע"מ</t>
  </si>
  <si>
    <t>513623314</t>
  </si>
  <si>
    <t>ביג אג'ח ט' 2018/2026 %1.95</t>
  </si>
  <si>
    <t>IL0011410508</t>
  </si>
  <si>
    <t>20/12/2026</t>
  </si>
  <si>
    <t>116.19</t>
  </si>
  <si>
    <t>פועלים אגח 200</t>
  </si>
  <si>
    <t>IL0066204962</t>
  </si>
  <si>
    <t>09/12/2031</t>
  </si>
  <si>
    <t>103.73</t>
  </si>
  <si>
    <t>מרכנתיל הנפקות בע"מ</t>
  </si>
  <si>
    <t>513686154</t>
  </si>
  <si>
    <t>מרכנתיל הנפק אגח ד</t>
  </si>
  <si>
    <t>IL0011713059</t>
  </si>
  <si>
    <t>30/01/2030</t>
  </si>
  <si>
    <t>114.19</t>
  </si>
  <si>
    <t>לאומי אגח 179</t>
  </si>
  <si>
    <t>IL0060403727</t>
  </si>
  <si>
    <t>113.2</t>
  </si>
  <si>
    <t>מז טפ הנ אגח 68</t>
  </si>
  <si>
    <t>IL0012021429</t>
  </si>
  <si>
    <t>25/12/2033</t>
  </si>
  <si>
    <t>102.5</t>
  </si>
  <si>
    <t>פניקס הון אגחטו</t>
  </si>
  <si>
    <t>IL0012019530</t>
  </si>
  <si>
    <t>30/06/2030</t>
  </si>
  <si>
    <t>95.86</t>
  </si>
  <si>
    <t>פועלים אגח 203</t>
  </si>
  <si>
    <t>IL0011998684</t>
  </si>
  <si>
    <t>02/12/2030</t>
  </si>
  <si>
    <t>114.28</t>
  </si>
  <si>
    <t>מז טפ הנפ אגח57</t>
  </si>
  <si>
    <t>IL0023104230</t>
  </si>
  <si>
    <t>01/03/2025</t>
  </si>
  <si>
    <t>116.08</t>
  </si>
  <si>
    <t>פז חברת הנפט בע"מ</t>
  </si>
  <si>
    <t>510216054</t>
  </si>
  <si>
    <t>פז נפט אגח ז</t>
  </si>
  <si>
    <t>IL0011425951</t>
  </si>
  <si>
    <t>30/11/2030</t>
  </si>
  <si>
    <t>111.75</t>
  </si>
  <si>
    <t>גי סיטי אגח יד</t>
  </si>
  <si>
    <t>IL0012607367</t>
  </si>
  <si>
    <t>30/09/2031</t>
  </si>
  <si>
    <t>94.44</t>
  </si>
  <si>
    <t>מגדל ביטוח גיוס הון בע"מ</t>
  </si>
  <si>
    <t>513230029</t>
  </si>
  <si>
    <t>מגדל הון אגח י</t>
  </si>
  <si>
    <t>IL0011920795</t>
  </si>
  <si>
    <t>A1.il</t>
  </si>
  <si>
    <t>99.54</t>
  </si>
  <si>
    <t>פז נפט ו</t>
  </si>
  <si>
    <t>IL0011395428</t>
  </si>
  <si>
    <t>30/11/2028</t>
  </si>
  <si>
    <t>115.88</t>
  </si>
  <si>
    <t>הפניקס אחזקות בע"מ</t>
  </si>
  <si>
    <t>520017450</t>
  </si>
  <si>
    <t>הפניקס אגח 5</t>
  </si>
  <si>
    <t>IL0076702849</t>
  </si>
  <si>
    <t>01/05/2030</t>
  </si>
  <si>
    <t>104.2</t>
  </si>
  <si>
    <t>מגדל הון אגח יא</t>
  </si>
  <si>
    <t>IL0011975658</t>
  </si>
  <si>
    <t>31/12/2030</t>
  </si>
  <si>
    <t>99</t>
  </si>
  <si>
    <t>מז טפ הנפ אגח61</t>
  </si>
  <si>
    <t>IL0023104644</t>
  </si>
  <si>
    <t>04/12/2026</t>
  </si>
  <si>
    <t>110.72</t>
  </si>
  <si>
    <t>סלע קפיטל נדל"ן בע"מ</t>
  </si>
  <si>
    <t>513992529</t>
  </si>
  <si>
    <t>סלע קפיטל נדל"ן ג</t>
  </si>
  <si>
    <t>IL0011389736</t>
  </si>
  <si>
    <t>13/04/2029</t>
  </si>
  <si>
    <t>114.46</t>
  </si>
  <si>
    <t>סלע נדלון אגח ב</t>
  </si>
  <si>
    <t>IL0011329278</t>
  </si>
  <si>
    <t>13/01/2025</t>
  </si>
  <si>
    <t>116.74</t>
  </si>
  <si>
    <t>סלקום אגח יג</t>
  </si>
  <si>
    <t>IL0011891905</t>
  </si>
  <si>
    <t>05/01/2030</t>
  </si>
  <si>
    <t>98.44</t>
  </si>
  <si>
    <t>קבוצת אקרו בע"מ</t>
  </si>
  <si>
    <t>511996803</t>
  </si>
  <si>
    <t>אקרו אגח א</t>
  </si>
  <si>
    <t>IL0011885725</t>
  </si>
  <si>
    <t>97.43</t>
  </si>
  <si>
    <t>אלוני חץ אגח י</t>
  </si>
  <si>
    <t>IL0039003624</t>
  </si>
  <si>
    <t>101.51</t>
  </si>
  <si>
    <t>החברה לישראל בע"מ</t>
  </si>
  <si>
    <t>520028010</t>
  </si>
  <si>
    <t>חברהלישראלאגח14</t>
  </si>
  <si>
    <t>IL0057603016</t>
  </si>
  <si>
    <t>93.06</t>
  </si>
  <si>
    <t>מגדלי הים התיכון בע"מ</t>
  </si>
  <si>
    <t>512719485</t>
  </si>
  <si>
    <t>מגדלי תיכון אגח ה</t>
  </si>
  <si>
    <t>IL0011685174</t>
  </si>
  <si>
    <t>30/06/2029</t>
  </si>
  <si>
    <t>92.4</t>
  </si>
  <si>
    <t>מנורה מבטחים גיוס הון בע"מ</t>
  </si>
  <si>
    <t>513937714</t>
  </si>
  <si>
    <t>מנורה הון התח ו</t>
  </si>
  <si>
    <t>IL0011602419</t>
  </si>
  <si>
    <t>93.66</t>
  </si>
  <si>
    <t>אמ.ג'י.ג'י (בי.וי.אי) לימיטד</t>
  </si>
  <si>
    <t>1981143</t>
  </si>
  <si>
    <t>אמ.ג'יג'י אגח ב</t>
  </si>
  <si>
    <t>IL0011608119</t>
  </si>
  <si>
    <t>20/09/2025</t>
  </si>
  <si>
    <t>98.68</t>
  </si>
  <si>
    <t>שפיר הנדסה ב</t>
  </si>
  <si>
    <t>IL0011419517</t>
  </si>
  <si>
    <t>05/07/2030</t>
  </si>
  <si>
    <t>91.82</t>
  </si>
  <si>
    <t>סילברסטין נכסים לימיטד</t>
  </si>
  <si>
    <t>1970336</t>
  </si>
  <si>
    <t>סילברסטין אגח א</t>
  </si>
  <si>
    <t>IL0011455982</t>
  </si>
  <si>
    <t>31/12/2024</t>
  </si>
  <si>
    <t>100.24</t>
  </si>
  <si>
    <t>ביג אגח יח</t>
  </si>
  <si>
    <t>IL0011742264</t>
  </si>
  <si>
    <t>30/03/2031</t>
  </si>
  <si>
    <t>106.76</t>
  </si>
  <si>
    <t>ביג אגח טו</t>
  </si>
  <si>
    <t>IL0011622219</t>
  </si>
  <si>
    <t>31/01/2030</t>
  </si>
  <si>
    <t>105.29</t>
  </si>
  <si>
    <t>קבוצת עזריאלי בע"מ</t>
  </si>
  <si>
    <t>510960719</t>
  </si>
  <si>
    <t>עזריאלי אגח ו</t>
  </si>
  <si>
    <t>IL0011566119</t>
  </si>
  <si>
    <t>31/12/2032</t>
  </si>
  <si>
    <t>111.87</t>
  </si>
  <si>
    <t>אפי נכסים אגחיד</t>
  </si>
  <si>
    <t>IL0011845307</t>
  </si>
  <si>
    <t>100.74</t>
  </si>
  <si>
    <t>או פי סי אגח ב</t>
  </si>
  <si>
    <t>IL0011660573</t>
  </si>
  <si>
    <t>30/09/2028</t>
  </si>
  <si>
    <t>113.65</t>
  </si>
  <si>
    <t>עזריאלי אגח ח</t>
  </si>
  <si>
    <t>IL0011786808</t>
  </si>
  <si>
    <t>ilAA+</t>
  </si>
  <si>
    <t>02/01/2041</t>
  </si>
  <si>
    <t>93.61</t>
  </si>
  <si>
    <t>עזריאלי קבוצה ד</t>
  </si>
  <si>
    <t>IL0011386500</t>
  </si>
  <si>
    <t>112.38</t>
  </si>
  <si>
    <t>הראל הנפק אגח י</t>
  </si>
  <si>
    <t>IL0011340481</t>
  </si>
  <si>
    <t>116.5</t>
  </si>
  <si>
    <t>פועלים אגח 202</t>
  </si>
  <si>
    <t>IL0011998502</t>
  </si>
  <si>
    <t>29/04/2028</t>
  </si>
  <si>
    <t>113.24</t>
  </si>
  <si>
    <t>דליה חברות אנרגיה בע"מ (חברה לא בורסאית)</t>
  </si>
  <si>
    <t>516269248</t>
  </si>
  <si>
    <t>דליה אגח א</t>
  </si>
  <si>
    <t>IL0011849515</t>
  </si>
  <si>
    <t>107.89</t>
  </si>
  <si>
    <t>חברת הכשרת הישוב בישראל בע"מ</t>
  </si>
  <si>
    <t>520020116</t>
  </si>
  <si>
    <t>הכשרת ישוב אג21</t>
  </si>
  <si>
    <t>IL0061202243</t>
  </si>
  <si>
    <t>ilA</t>
  </si>
  <si>
    <t>113.45</t>
  </si>
  <si>
    <t>עזריאלי אגח ה</t>
  </si>
  <si>
    <t>IL0011566036</t>
  </si>
  <si>
    <t>113.19</t>
  </si>
  <si>
    <t>צור שמיר אחזקות בע"מ</t>
  </si>
  <si>
    <t>520025586</t>
  </si>
  <si>
    <t>צור אגח י</t>
  </si>
  <si>
    <t>IL0073001716</t>
  </si>
  <si>
    <t>115.47</t>
  </si>
  <si>
    <t>בתי זקוק לנפט בע"מ</t>
  </si>
  <si>
    <t>520036658</t>
  </si>
  <si>
    <t>בזן אגח יג</t>
  </si>
  <si>
    <t>IL0011953465</t>
  </si>
  <si>
    <t>25/09/2032</t>
  </si>
  <si>
    <t>97.51</t>
  </si>
  <si>
    <t>אמות אגח ז</t>
  </si>
  <si>
    <t>IL0011628661</t>
  </si>
  <si>
    <t>05/01/2032</t>
  </si>
  <si>
    <t>85.33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</si>
  <si>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</si>
  <si>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</si>
  <si>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</si>
  <si>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</si>
  <si>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</si>
  <si>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83.08</t>
  </si>
  <si>
    <t>כלל ביטוח אגח א</t>
  </si>
  <si>
    <t>IL0011934812</t>
  </si>
  <si>
    <t>28/02/2028</t>
  </si>
  <si>
    <t>100.38</t>
  </si>
  <si>
    <t>הראל הנפק אגח כ</t>
  </si>
  <si>
    <t>IL0012079849</t>
  </si>
  <si>
    <t>31/12/2033</t>
  </si>
  <si>
    <t>102.28</t>
  </si>
  <si>
    <t>מז טפ הנ אגח 63</t>
  </si>
  <si>
    <t>IL0023105484</t>
  </si>
  <si>
    <t>12/04/2031</t>
  </si>
  <si>
    <t>93.89</t>
  </si>
  <si>
    <t>סילברסטין אגח ג</t>
  </si>
  <si>
    <t>IL0012116484</t>
  </si>
  <si>
    <t>100.67</t>
  </si>
  <si>
    <t>מגדלי ים תיכון אגח ו</t>
  </si>
  <si>
    <t>IL0011991242</t>
  </si>
  <si>
    <t>30/06/2032</t>
  </si>
  <si>
    <t>98.13</t>
  </si>
  <si>
    <t>אלוני חץ אגח יג</t>
  </si>
  <si>
    <t>IL0011894065</t>
  </si>
  <si>
    <t>28/02/2037</t>
  </si>
  <si>
    <t>92.67</t>
  </si>
  <si>
    <t>אשטרום נכסים בע"מ</t>
  </si>
  <si>
    <t>520036617</t>
  </si>
  <si>
    <t>אשטרום נכ אגח 9</t>
  </si>
  <si>
    <t>IL0025101705</t>
  </si>
  <si>
    <t>01/10/2029</t>
  </si>
  <si>
    <t>98.36</t>
  </si>
  <si>
    <t>אלקטרה אגח ו</t>
  </si>
  <si>
    <t>IL0073902632</t>
  </si>
  <si>
    <t>10/12/2035</t>
  </si>
  <si>
    <t>83.35</t>
  </si>
  <si>
    <t>בזק אגח 13</t>
  </si>
  <si>
    <t>IL0023003093</t>
  </si>
  <si>
    <t>01/12/2035</t>
  </si>
  <si>
    <t>80.9</t>
  </si>
  <si>
    <t>אלקטרה אגח ה</t>
  </si>
  <si>
    <t>IL0073902228</t>
  </si>
  <si>
    <t>10/01/2031</t>
  </si>
  <si>
    <t>96.04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</si>
  <si>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</si>
  <si>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</si>
  <si>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</si>
  <si>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</si>
  <si>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</si>
  <si>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100.86</t>
  </si>
  <si>
    <t>אלוני חץ אגח יב</t>
  </si>
  <si>
    <t>IL0039004952</t>
  </si>
  <si>
    <t>28/02/2031</t>
  </si>
  <si>
    <t>86.08</t>
  </si>
  <si>
    <t>ישראמקו נגב 2 שותפות מוגבלת</t>
  </si>
  <si>
    <t>550010003</t>
  </si>
  <si>
    <t>ישראמקו אגח ג</t>
  </si>
  <si>
    <t>IL0023202323</t>
  </si>
  <si>
    <t>10/10/2030</t>
  </si>
  <si>
    <t>90.78</t>
  </si>
  <si>
    <t>מניף-שירותים פיננסיים בע"מ</t>
  </si>
  <si>
    <t>512764408</t>
  </si>
  <si>
    <t>מניף אגח א</t>
  </si>
  <si>
    <t>IL0011858839</t>
  </si>
  <si>
    <t>100.59</t>
  </si>
  <si>
    <t>נופר אנרג'י</t>
  </si>
  <si>
    <t>514599943</t>
  </si>
  <si>
    <t>נופר אנרג אגח ג</t>
  </si>
  <si>
    <t>IL0011980435</t>
  </si>
  <si>
    <t>104.23</t>
  </si>
  <si>
    <t>ווסטדייל אמריקה לימיטד</t>
  </si>
  <si>
    <t>1991033</t>
  </si>
  <si>
    <t>ווסטדייל אגח ב</t>
  </si>
  <si>
    <t>IL0011613226</t>
  </si>
  <si>
    <t>31/07/2028</t>
  </si>
  <si>
    <t>96.33</t>
  </si>
  <si>
    <t>מבני תעשיה בע"מ</t>
  </si>
  <si>
    <t>520024126</t>
  </si>
  <si>
    <t>מבני תעשיה טז</t>
  </si>
  <si>
    <t>IL0022604388</t>
  </si>
  <si>
    <t>102.21</t>
  </si>
  <si>
    <t>קבוצת דלק בע"מ</t>
  </si>
  <si>
    <t>520044322</t>
  </si>
  <si>
    <t>דלק קב אגח לז</t>
  </si>
  <si>
    <t>IL0011928897</t>
  </si>
  <si>
    <t>31/01/2029</t>
  </si>
  <si>
    <t>102.2</t>
  </si>
  <si>
    <t>חברת פרטנר תקשורת בע"מ</t>
  </si>
  <si>
    <t>520044314</t>
  </si>
  <si>
    <t>פרטנר אגח ז</t>
  </si>
  <si>
    <t>IL0011563975</t>
  </si>
  <si>
    <t>25/06/2027</t>
  </si>
  <si>
    <t>98.59</t>
  </si>
  <si>
    <t>אקויטל בע"מ</t>
  </si>
  <si>
    <t>520030859</t>
  </si>
  <si>
    <t>אקויטל אגח 4</t>
  </si>
  <si>
    <t>IL0011976078</t>
  </si>
  <si>
    <t>25/07/2036</t>
  </si>
  <si>
    <t>97.42</t>
  </si>
  <si>
    <t>איי.די.איי הנפקות (2010) בע"מ</t>
  </si>
  <si>
    <t>514486042</t>
  </si>
  <si>
    <t>איי די איי ה שה</t>
  </si>
  <si>
    <t>IL0011558785</t>
  </si>
  <si>
    <t>15/11/2025</t>
  </si>
  <si>
    <t>98.85</t>
  </si>
  <si>
    <t>פניקס הון אגחיא</t>
  </si>
  <si>
    <t>IL0011593592</t>
  </si>
  <si>
    <t>30/04/2029</t>
  </si>
  <si>
    <t>90.12</t>
  </si>
  <si>
    <t>דלתא-גליל תעשיות בע"מ</t>
  </si>
  <si>
    <t>520025602</t>
  </si>
  <si>
    <t>דלתא אגח א</t>
  </si>
  <si>
    <t>IL0062701441</t>
  </si>
  <si>
    <t>31/08/2028</t>
  </si>
  <si>
    <t>99.87</t>
  </si>
  <si>
    <t>וילאר אינטרנשיונל בע"מ</t>
  </si>
  <si>
    <t>520038910</t>
  </si>
  <si>
    <t>וילאר     אגח ח</t>
  </si>
  <si>
    <t>IL0041601563</t>
  </si>
  <si>
    <t>27/06/2025</t>
  </si>
  <si>
    <t>99.04</t>
  </si>
  <si>
    <t>דיסקונט מנפיקים בע"מ</t>
  </si>
  <si>
    <t>520029935</t>
  </si>
  <si>
    <t>דיסק מנ אגח טז</t>
  </si>
  <si>
    <t>IL0012031576</t>
  </si>
  <si>
    <t>20/03/2035</t>
  </si>
  <si>
    <t>102.7</t>
  </si>
  <si>
    <t>אלוני חץ אגח טו</t>
  </si>
  <si>
    <t>IL0011894149</t>
  </si>
  <si>
    <t>97.49</t>
  </si>
  <si>
    <t>אמות אגח ח</t>
  </si>
  <si>
    <t>IL0011727828</t>
  </si>
  <si>
    <t>102.12</t>
  </si>
  <si>
    <t>דליה אגח ב</t>
  </si>
  <si>
    <t>IL0011935983</t>
  </si>
  <si>
    <t>30/09/2034</t>
  </si>
  <si>
    <t>101.08</t>
  </si>
  <si>
    <t>מז טפ הנ אגח 66</t>
  </si>
  <si>
    <t>IL0011916678</t>
  </si>
  <si>
    <t>08/12/2031</t>
  </si>
  <si>
    <t>105.53</t>
  </si>
  <si>
    <t>הכשרת ישוב אג25</t>
  </si>
  <si>
    <t>IL0011915274</t>
  </si>
  <si>
    <t>105.81</t>
  </si>
  <si>
    <t>אפי נכסים אגחטז</t>
  </si>
  <si>
    <t>IL0012109471</t>
  </si>
  <si>
    <t>101.8</t>
  </si>
  <si>
    <t>מליסרון אגח כא</t>
  </si>
  <si>
    <t>IL0011946386</t>
  </si>
  <si>
    <t>01/01/2037</t>
  </si>
  <si>
    <t>107.95</t>
  </si>
  <si>
    <t>ביג אגח כא</t>
  </si>
  <si>
    <t>IL0012022179</t>
  </si>
  <si>
    <t>03/07/2030</t>
  </si>
  <si>
    <t>עזריאלי אגח ז</t>
  </si>
  <si>
    <t>IL0011786725</t>
  </si>
  <si>
    <t>02/07/2036</t>
  </si>
  <si>
    <t>מקורות חברת מים בע"מ</t>
  </si>
  <si>
    <t>520010869</t>
  </si>
  <si>
    <t>מקורות אג"ח 11</t>
  </si>
  <si>
    <t>IL0011584765</t>
  </si>
  <si>
    <t>31/12/2053</t>
  </si>
  <si>
    <t>99.37</t>
  </si>
  <si>
    <t>הכשרת ישוב אג26</t>
  </si>
  <si>
    <t>IL0012056409</t>
  </si>
  <si>
    <t>30/06/2031</t>
  </si>
  <si>
    <t>106.21</t>
  </si>
  <si>
    <t>הבינלאומי הראשון הנפקות בע"מ</t>
  </si>
  <si>
    <t>513141879</t>
  </si>
  <si>
    <t>בינל הנפק אגחיב</t>
  </si>
  <si>
    <t>IL0011823858</t>
  </si>
  <si>
    <t>07/12/2027</t>
  </si>
  <si>
    <t>107.91</t>
  </si>
  <si>
    <t>מבנה אגח כה</t>
  </si>
  <si>
    <t>IL0022606367</t>
  </si>
  <si>
    <t>30/09/2033</t>
  </si>
  <si>
    <t>94.3</t>
  </si>
  <si>
    <t>ביג אגח כ</t>
  </si>
  <si>
    <t>IL0011861882</t>
  </si>
  <si>
    <t>30/04/2033</t>
  </si>
  <si>
    <t>103.16</t>
  </si>
  <si>
    <t>אשטרום נכס10</t>
  </si>
  <si>
    <t>IL0025102042</t>
  </si>
  <si>
    <t>01/01/2028</t>
  </si>
  <si>
    <t>118.52</t>
  </si>
  <si>
    <t>אשטרום נכ אגח14</t>
  </si>
  <si>
    <t>IL0012018961</t>
  </si>
  <si>
    <t>102.26</t>
  </si>
  <si>
    <t>דיסק מנ אגח טו</t>
  </si>
  <si>
    <t>IL0074803045</t>
  </si>
  <si>
    <t>15/08/2032</t>
  </si>
  <si>
    <t>חשמל אגח 32</t>
  </si>
  <si>
    <t>IL0060003840</t>
  </si>
  <si>
    <t>22/07/2027</t>
  </si>
  <si>
    <t>110.06</t>
  </si>
  <si>
    <t>חברת נמלי ישראל-פיתוח נכסים בע"מ</t>
  </si>
  <si>
    <t>513569780</t>
  </si>
  <si>
    <t>נמלי ישראל אגחא</t>
  </si>
  <si>
    <t>IL0011455644</t>
  </si>
  <si>
    <t>114.36</t>
  </si>
  <si>
    <t>גב ים אגח ט</t>
  </si>
  <si>
    <t>IL0075902192</t>
  </si>
  <si>
    <t>30/06/2033</t>
  </si>
  <si>
    <t>103.53</t>
  </si>
  <si>
    <t>רבוע כחול נדל"ן בע"מ</t>
  </si>
  <si>
    <t>513765859</t>
  </si>
  <si>
    <t>רבוע כחול נדל"ן ז</t>
  </si>
  <si>
    <t>IL0011406159</t>
  </si>
  <si>
    <t>30/11/2026</t>
  </si>
  <si>
    <t>116.46</t>
  </si>
  <si>
    <t>מליסרון אגח יא</t>
  </si>
  <si>
    <t>IL0032302080</t>
  </si>
  <si>
    <t>117.49</t>
  </si>
  <si>
    <t>גב ים אגח ו</t>
  </si>
  <si>
    <t>IL0075901285</t>
  </si>
  <si>
    <t>31/03/2026</t>
  </si>
  <si>
    <t>142.99</t>
  </si>
  <si>
    <t>ישרס חברה להשקעות בע"מ</t>
  </si>
  <si>
    <t>520017807</t>
  </si>
  <si>
    <t>ישרס טו</t>
  </si>
  <si>
    <t>IL0061302076</t>
  </si>
  <si>
    <t>15/05/2027</t>
  </si>
  <si>
    <t>115.04</t>
  </si>
  <si>
    <t>מבני תעשיה יט</t>
  </si>
  <si>
    <t>IL0022604875</t>
  </si>
  <si>
    <t>116.75</t>
  </si>
  <si>
    <t>מבני תעש אגח כג</t>
  </si>
  <si>
    <t>IL0022605450</t>
  </si>
  <si>
    <t>מליסרון אגח יז</t>
  </si>
  <si>
    <t>IL0032302734</t>
  </si>
  <si>
    <t>01/01/2032</t>
  </si>
  <si>
    <t>114.42</t>
  </si>
  <si>
    <t>ביג אג"ח ז</t>
  </si>
  <si>
    <t>IL0011360844</t>
  </si>
  <si>
    <t>10/05/2025</t>
  </si>
  <si>
    <t>116.48</t>
  </si>
  <si>
    <t>שמוס אינטרנשיונל לימיטד</t>
  </si>
  <si>
    <t>633896</t>
  </si>
  <si>
    <t>שמוס אגח א</t>
  </si>
  <si>
    <t>IL0011559510</t>
  </si>
  <si>
    <t>10/07/2028</t>
  </si>
  <si>
    <t>89.69</t>
  </si>
  <si>
    <t>סאפיינס אינטרנשיונל קורפוריישן N.V</t>
  </si>
  <si>
    <t>53368</t>
  </si>
  <si>
    <t>סאפיינס אג"ח ב</t>
  </si>
  <si>
    <t>IL0011419368</t>
  </si>
  <si>
    <t>01/01/2026</t>
  </si>
  <si>
    <t>103.4</t>
  </si>
  <si>
    <t>DEMETER(SWISS RE LTD(</t>
  </si>
  <si>
    <t>724500RPEZI5VVQQWE89</t>
  </si>
  <si>
    <t>SRENVX 5 5/8 08/15/52</t>
  </si>
  <si>
    <t>XS1423777215</t>
  </si>
  <si>
    <t>BBB-</t>
  </si>
  <si>
    <t>15/08/2052</t>
  </si>
  <si>
    <t>101.001</t>
  </si>
  <si>
    <t>DISCOVER BANK</t>
  </si>
  <si>
    <t>Z1YL02USP0RE63VVUL20</t>
  </si>
  <si>
    <t>26/DFS 3.45 27/07</t>
  </si>
  <si>
    <t>US25466AAJ07</t>
  </si>
  <si>
    <t>BBB</t>
  </si>
  <si>
    <t>27/07/2026</t>
  </si>
  <si>
    <t>97.966</t>
  </si>
  <si>
    <t>VODAFONE GROUP PLC</t>
  </si>
  <si>
    <t>213800TB53ELEUKM7Q61</t>
  </si>
  <si>
    <t>VOD 6 1/4 10/03/78</t>
  </si>
  <si>
    <t>XS1888180640</t>
  </si>
  <si>
    <t>BB+</t>
  </si>
  <si>
    <t>03/10/2078</t>
  </si>
  <si>
    <t>100.096</t>
  </si>
  <si>
    <t>נופר אנרג אג ב</t>
  </si>
  <si>
    <t>IL0011980351</t>
  </si>
  <si>
    <t>107.3</t>
  </si>
  <si>
    <t>דיסק מנ אגח יד</t>
  </si>
  <si>
    <t>IL0074801635</t>
  </si>
  <si>
    <t>05/12/2030</t>
  </si>
  <si>
    <t>95.42</t>
  </si>
  <si>
    <t>שופרסל אג"ח ו'</t>
  </si>
  <si>
    <t>IL0077702178</t>
  </si>
  <si>
    <t>08/10/2028</t>
  </si>
  <si>
    <t>120.79</t>
  </si>
  <si>
    <t>ישפרו בע"מ</t>
  </si>
  <si>
    <t>516291754</t>
  </si>
  <si>
    <t>ישפרו אגח א</t>
  </si>
  <si>
    <t>IL0012022906</t>
  </si>
  <si>
    <t>107.58</t>
  </si>
  <si>
    <t>לוינשטין נכסים בע"מ</t>
  </si>
  <si>
    <t>511134298</t>
  </si>
  <si>
    <t>לוינשטן נכב</t>
  </si>
  <si>
    <t>IL0011397168</t>
  </si>
  <si>
    <t>116.36</t>
  </si>
  <si>
    <t>טבע תעשיות פרמצבטיות בע"מ</t>
  </si>
  <si>
    <t>520013954</t>
  </si>
  <si>
    <t>טבע</t>
  </si>
  <si>
    <t>IL0006290147</t>
  </si>
  <si>
    <t>6,629</t>
  </si>
  <si>
    <t>פועלים</t>
  </si>
  <si>
    <t>IL0006625771</t>
  </si>
  <si>
    <t>3,729</t>
  </si>
  <si>
    <t>לאומי</t>
  </si>
  <si>
    <t>IL0006046119</t>
  </si>
  <si>
    <t>3,644</t>
  </si>
  <si>
    <t>נייס בע"מ</t>
  </si>
  <si>
    <t>520036872</t>
  </si>
  <si>
    <t>נייס</t>
  </si>
  <si>
    <t>IL0002730112</t>
  </si>
  <si>
    <t>64,880</t>
  </si>
  <si>
    <t>בנק מזרחי טפחות בע"מ</t>
  </si>
  <si>
    <t>520000522</t>
  </si>
  <si>
    <t>מזרחי טפחות</t>
  </si>
  <si>
    <t>IL0006954379</t>
  </si>
  <si>
    <t>14,550</t>
  </si>
  <si>
    <t>בנק דיסקונט לישראל בע"מ</t>
  </si>
  <si>
    <t>520007030</t>
  </si>
  <si>
    <t>דיסקונט א</t>
  </si>
  <si>
    <t>IL0006912120</t>
  </si>
  <si>
    <t>2,085</t>
  </si>
  <si>
    <t>הבנק הבינלאומי הראשון לישראל בע"מ</t>
  </si>
  <si>
    <t>520029083</t>
  </si>
  <si>
    <t>בינלאומי</t>
  </si>
  <si>
    <t>IL0005930388</t>
  </si>
  <si>
    <t>15,410</t>
  </si>
  <si>
    <t>זפירוס ווינג אנרג'יס בע"מ</t>
  </si>
  <si>
    <t>516537560</t>
  </si>
  <si>
    <t>זפירוס חסום מורים</t>
  </si>
  <si>
    <t>IL0011946956</t>
  </si>
  <si>
    <t>1,285</t>
  </si>
  <si>
    <t>נאוויטס מ"ר</t>
  </si>
  <si>
    <t>IL0011419699</t>
  </si>
  <si>
    <t>5,205</t>
  </si>
  <si>
    <t>אלביט מערכות בע"מ</t>
  </si>
  <si>
    <t>520043027</t>
  </si>
  <si>
    <t>אלביט מערכות</t>
  </si>
  <si>
    <t>IL0010811243</t>
  </si>
  <si>
    <t>74,080</t>
  </si>
  <si>
    <t>אנלייט אנרגיה מתחדשת בע"מ</t>
  </si>
  <si>
    <t>520041146</t>
  </si>
  <si>
    <t>אנלייט אנרגיה</t>
  </si>
  <si>
    <t>IL0007200111</t>
  </si>
  <si>
    <t>1,690</t>
  </si>
  <si>
    <t>אנרג'יאן נפט וגז פי אל סי</t>
  </si>
  <si>
    <t>549300RVMKU0CYUZBB05</t>
  </si>
  <si>
    <t>אנרג'יאן</t>
  </si>
  <si>
    <t>GB00BG12Y042</t>
  </si>
  <si>
    <t>902</t>
  </si>
  <si>
    <t>מליסרון</t>
  </si>
  <si>
    <t>IL0003230146</t>
  </si>
  <si>
    <t>28,210</t>
  </si>
  <si>
    <t>אורמת טכנולוגיות, אינק</t>
  </si>
  <si>
    <t>880326081</t>
  </si>
  <si>
    <t>אורמת טכנו</t>
  </si>
  <si>
    <t>US6866881021</t>
  </si>
  <si>
    <t>28,560</t>
  </si>
  <si>
    <t>ביג</t>
  </si>
  <si>
    <t>IL0010972607</t>
  </si>
  <si>
    <t>41,490</t>
  </si>
  <si>
    <t>בזק</t>
  </si>
  <si>
    <t>IL0002300114</t>
  </si>
  <si>
    <t>428.6</t>
  </si>
  <si>
    <t>כלל עסקי ביטוח</t>
  </si>
  <si>
    <t>IL0002240146</t>
  </si>
  <si>
    <t>6,329</t>
  </si>
  <si>
    <t>עזריאלי קבוצה</t>
  </si>
  <si>
    <t>IL0011194789</t>
  </si>
  <si>
    <t>25,940</t>
  </si>
  <si>
    <t>קבוצת אקרשטיין בע"מ</t>
  </si>
  <si>
    <t>512714494</t>
  </si>
  <si>
    <t>קבוצת אקרשטיין</t>
  </si>
  <si>
    <t>IL0011762056</t>
  </si>
  <si>
    <t>551.8</t>
  </si>
  <si>
    <t>אלקטרה</t>
  </si>
  <si>
    <t>IL0007390375</t>
  </si>
  <si>
    <t>148,500</t>
  </si>
  <si>
    <t>פניקס 1</t>
  </si>
  <si>
    <t>IL0007670123</t>
  </si>
  <si>
    <t>4,200</t>
  </si>
  <si>
    <t>שפיר הנדסה</t>
  </si>
  <si>
    <t>IL0011338758</t>
  </si>
  <si>
    <t>2,140</t>
  </si>
  <si>
    <t>קיסטון ריט בע"מ</t>
  </si>
  <si>
    <t>515983476</t>
  </si>
  <si>
    <t>קיסטון אינפרא</t>
  </si>
  <si>
    <t>IL0011759342</t>
  </si>
  <si>
    <t>512</t>
  </si>
  <si>
    <t>איי.סי.אל גרופ בע"מ</t>
  </si>
  <si>
    <t>520027830</t>
  </si>
  <si>
    <t>איי.סי.אל</t>
  </si>
  <si>
    <t>IL0002810146</t>
  </si>
  <si>
    <t>1,588</t>
  </si>
  <si>
    <t>הכשרת הישוב</t>
  </si>
  <si>
    <t>IL0006120104</t>
  </si>
  <si>
    <t>3,235</t>
  </si>
  <si>
    <t>נקסט ויז'ן מערכות מיוצבות בע"מ</t>
  </si>
  <si>
    <t>514259019</t>
  </si>
  <si>
    <t>נקסט ויז'ן</t>
  </si>
  <si>
    <t>IL0011765935</t>
  </si>
  <si>
    <t>3,950</t>
  </si>
  <si>
    <t>מנורה מב החז</t>
  </si>
  <si>
    <t>IL0005660183</t>
  </si>
  <si>
    <t>10,880</t>
  </si>
  <si>
    <t>תומר תמלוגי אנרגיה (2012) בע"מ</t>
  </si>
  <si>
    <t>514837111</t>
  </si>
  <si>
    <t>תומר אנרגיה</t>
  </si>
  <si>
    <t>IL0011294936</t>
  </si>
  <si>
    <t>1,570</t>
  </si>
  <si>
    <t>סלקום</t>
  </si>
  <si>
    <t>IL0011015349</t>
  </si>
  <si>
    <t>1,670</t>
  </si>
  <si>
    <t>מנועי בית שמש אחזקות (1997) בע"מ</t>
  </si>
  <si>
    <t>520043480</t>
  </si>
  <si>
    <t>בית שמש</t>
  </si>
  <si>
    <t>IL0010815616</t>
  </si>
  <si>
    <t>24,950</t>
  </si>
  <si>
    <t>סלע נדלן</t>
  </si>
  <si>
    <t>IL0011096448</t>
  </si>
  <si>
    <t>730.9</t>
  </si>
  <si>
    <t>הראל השקעות</t>
  </si>
  <si>
    <t>IL0005850180</t>
  </si>
  <si>
    <t>3,619</t>
  </si>
  <si>
    <t>מ. יוחננוף ובניו (1988) בע"מ</t>
  </si>
  <si>
    <t>511344186</t>
  </si>
  <si>
    <t>יוחננוף</t>
  </si>
  <si>
    <t>IL0011612640</t>
  </si>
  <si>
    <t>22,390</t>
  </si>
  <si>
    <t>תאת טכנולוגיות בע"מ</t>
  </si>
  <si>
    <t>520035791</t>
  </si>
  <si>
    <t>תאת טכנו</t>
  </si>
  <si>
    <t>IL0010827264</t>
  </si>
  <si>
    <t>6,800</t>
  </si>
  <si>
    <t>שופרסל</t>
  </si>
  <si>
    <t>IL0007770378</t>
  </si>
  <si>
    <t>3,310</t>
  </si>
  <si>
    <t>שטראוס גרופ בע"מ</t>
  </si>
  <si>
    <t>520003781</t>
  </si>
  <si>
    <t>שטראוס</t>
  </si>
  <si>
    <t>IL0007460160</t>
  </si>
  <si>
    <t>5,930</t>
  </si>
  <si>
    <t>מטריקס אי.טי בע"מ</t>
  </si>
  <si>
    <t>520039413</t>
  </si>
  <si>
    <t>מטריקס</t>
  </si>
  <si>
    <t>IL0004450156</t>
  </si>
  <si>
    <t>7,125</t>
  </si>
  <si>
    <t>או פי סי אנרגיה</t>
  </si>
  <si>
    <t>IL0011415713</t>
  </si>
  <si>
    <t>3,016</t>
  </si>
  <si>
    <t>מגה אור החזקות בע"מ</t>
  </si>
  <si>
    <t>513257873</t>
  </si>
  <si>
    <t>מגה אור</t>
  </si>
  <si>
    <t>IL0011044885</t>
  </si>
  <si>
    <t>9,550</t>
  </si>
  <si>
    <t>מבני תעשיה</t>
  </si>
  <si>
    <t>IL0002260193</t>
  </si>
  <si>
    <t>954</t>
  </si>
  <si>
    <t>פולירם תעשיות פלסטיק בע"מ</t>
  </si>
  <si>
    <t>515251593</t>
  </si>
  <si>
    <t>פולירם</t>
  </si>
  <si>
    <t>IL0011702169</t>
  </si>
  <si>
    <t>1,074</t>
  </si>
  <si>
    <t>פרטנר</t>
  </si>
  <si>
    <t>IL0010834849</t>
  </si>
  <si>
    <t>1,606</t>
  </si>
  <si>
    <t>פורמולה מערכות (1985)בע"מ</t>
  </si>
  <si>
    <t>520036690</t>
  </si>
  <si>
    <t>פורמולה מערכות</t>
  </si>
  <si>
    <t>IL0002560162</t>
  </si>
  <si>
    <t>29,830</t>
  </si>
  <si>
    <t>איירפורט סיטי</t>
  </si>
  <si>
    <t>IL0010958358</t>
  </si>
  <si>
    <t>5,594</t>
  </si>
  <si>
    <t>ג'נריישן קפיטל בע"מ</t>
  </si>
  <si>
    <t>515846558</t>
  </si>
  <si>
    <t>ג'נריישן קפיטל</t>
  </si>
  <si>
    <t>IL0011569261</t>
  </si>
  <si>
    <t>64.8</t>
  </si>
  <si>
    <t>מגדלי תיכון</t>
  </si>
  <si>
    <t>IL0011315236</t>
  </si>
  <si>
    <t>768.4</t>
  </si>
  <si>
    <t>IL0011708778</t>
  </si>
  <si>
    <t>8,722</t>
  </si>
  <si>
    <t>חברה לישראל</t>
  </si>
  <si>
    <t>IL0005760173</t>
  </si>
  <si>
    <t>81,100</t>
  </si>
  <si>
    <t>טיב טעם הולדינגס 1 בע"מ</t>
  </si>
  <si>
    <t>520041187</t>
  </si>
  <si>
    <t>טיב טעם</t>
  </si>
  <si>
    <t>IL0001030100</t>
  </si>
  <si>
    <t>598</t>
  </si>
  <si>
    <t>איי.די.איי. חברה לביטוח בע"מ</t>
  </si>
  <si>
    <t>513910703</t>
  </si>
  <si>
    <t>איידיאיי ביטוח</t>
  </si>
  <si>
    <t>IL0011295016</t>
  </si>
  <si>
    <t>12,010</t>
  </si>
  <si>
    <t>אאורה השקעות בע"מ</t>
  </si>
  <si>
    <t>520038274</t>
  </si>
  <si>
    <t>אאורה</t>
  </si>
  <si>
    <t>IL0003730194</t>
  </si>
  <si>
    <t>1,740</t>
  </si>
  <si>
    <t>מקס סטוק בע"מ</t>
  </si>
  <si>
    <t>513618967</t>
  </si>
  <si>
    <t>מקס סטוק</t>
  </si>
  <si>
    <t>IL0011685588</t>
  </si>
  <si>
    <t>1,049</t>
  </si>
  <si>
    <t>ורידיס</t>
  </si>
  <si>
    <t>515935807</t>
  </si>
  <si>
    <t>IL0011763872</t>
  </si>
  <si>
    <t>2,254</t>
  </si>
  <si>
    <t>חילן בע"מ</t>
  </si>
  <si>
    <t>520039942</t>
  </si>
  <si>
    <t>חילן</t>
  </si>
  <si>
    <t>IL0010846983</t>
  </si>
  <si>
    <t>19,560</t>
  </si>
  <si>
    <t>דלתא גליל</t>
  </si>
  <si>
    <t>IL0006270347</t>
  </si>
  <si>
    <t>16,850</t>
  </si>
  <si>
    <t>וואן טכנולוגיות תוכנה בע"מ</t>
  </si>
  <si>
    <t>520034695</t>
  </si>
  <si>
    <t>וואן טכנולוגיות</t>
  </si>
  <si>
    <t>IL0001610182</t>
  </si>
  <si>
    <t>5,029</t>
  </si>
  <si>
    <t>פז נפט</t>
  </si>
  <si>
    <t>IL0011000077</t>
  </si>
  <si>
    <t>39,190</t>
  </si>
  <si>
    <t>אנרג'יקס-אנרגיות מתחדשות בע"מ</t>
  </si>
  <si>
    <t>513901371</t>
  </si>
  <si>
    <t>אנרג'יקס</t>
  </si>
  <si>
    <t>IL0011233553</t>
  </si>
  <si>
    <t>1,348</t>
  </si>
  <si>
    <t>ישראמקו יהש</t>
  </si>
  <si>
    <t>IL0002320179</t>
  </si>
  <si>
    <t>161.9</t>
  </si>
  <si>
    <t>אזורים-חברה להשקעות בפתוח ובבנין בע"מ</t>
  </si>
  <si>
    <t>520025990</t>
  </si>
  <si>
    <t>אזורים</t>
  </si>
  <si>
    <t>IL0007150118</t>
  </si>
  <si>
    <t>1,750</t>
  </si>
  <si>
    <t>סאמיט אחזקות נדל"ן בע"מ</t>
  </si>
  <si>
    <t>520043720</t>
  </si>
  <si>
    <t>סאמיט</t>
  </si>
  <si>
    <t>IL0010816861</t>
  </si>
  <si>
    <t>5,570</t>
  </si>
  <si>
    <t>אספן גרופ בע"מ</t>
  </si>
  <si>
    <t>520037540</t>
  </si>
  <si>
    <t>אספן גרופ</t>
  </si>
  <si>
    <t>IL0003130155</t>
  </si>
  <si>
    <t>556</t>
  </si>
  <si>
    <t>ארגו פרופרטיז אן.וי.</t>
  </si>
  <si>
    <t>70252750</t>
  </si>
  <si>
    <t>ארגו פרופרטיז</t>
  </si>
  <si>
    <t>NR0015000D84</t>
  </si>
  <si>
    <t>9,080</t>
  </si>
  <si>
    <t>דלתא ישראל מותגים בע"מ</t>
  </si>
  <si>
    <t>516250107</t>
  </si>
  <si>
    <t>דלתא מותגים</t>
  </si>
  <si>
    <t>IL0011736993</t>
  </si>
  <si>
    <t>6,219</t>
  </si>
  <si>
    <t>בזן</t>
  </si>
  <si>
    <t>IL0025902482</t>
  </si>
  <si>
    <t>96.1</t>
  </si>
  <si>
    <t>אקרו</t>
  </si>
  <si>
    <t>IL0011849028</t>
  </si>
  <si>
    <t>4,500</t>
  </si>
  <si>
    <t>ריט 1 בע"מ</t>
  </si>
  <si>
    <t>513821488</t>
  </si>
  <si>
    <t>ריט 1</t>
  </si>
  <si>
    <t>IL0010989205</t>
  </si>
  <si>
    <t>1,513</t>
  </si>
  <si>
    <t>פ.י.ב.י. אחזקות בע"מ</t>
  </si>
  <si>
    <t>520029026</t>
  </si>
  <si>
    <t>פיבי</t>
  </si>
  <si>
    <t>IL0007630119</t>
  </si>
  <si>
    <t>16,370</t>
  </si>
  <si>
    <t>תדיראן הולדינגס בע"מ</t>
  </si>
  <si>
    <t>520036732</t>
  </si>
  <si>
    <t>תדיראן גרופ</t>
  </si>
  <si>
    <t>IL0002580129</t>
  </si>
  <si>
    <t>19,990</t>
  </si>
  <si>
    <t>אורביט טכנולוג'יס בע"מ</t>
  </si>
  <si>
    <t>520036153</t>
  </si>
  <si>
    <t>אורביט</t>
  </si>
  <si>
    <t>IL0002650179</t>
  </si>
  <si>
    <t>2,352</t>
  </si>
  <si>
    <t>מיטרוניקס בע"מ</t>
  </si>
  <si>
    <t>511527202</t>
  </si>
  <si>
    <t>מיטרוניקס</t>
  </si>
  <si>
    <t>IL0010910656</t>
  </si>
  <si>
    <t>837.8</t>
  </si>
  <si>
    <t>אלומה קרן תשתיות (2020) בע"מ</t>
  </si>
  <si>
    <t>516214871</t>
  </si>
  <si>
    <t>אלומה תשתיות</t>
  </si>
  <si>
    <t>IL0011816431</t>
  </si>
  <si>
    <t>34</t>
  </si>
  <si>
    <t>פריון נטוורק בע"מ</t>
  </si>
  <si>
    <t>512849498</t>
  </si>
  <si>
    <t>פריון נטוורק</t>
  </si>
  <si>
    <t>IL0010958192</t>
  </si>
  <si>
    <t>788</t>
  </si>
  <si>
    <t>אמות</t>
  </si>
  <si>
    <t>IL0010972789</t>
  </si>
  <si>
    <t>1,609</t>
  </si>
  <si>
    <t>איילון אחזקות בע"מ</t>
  </si>
  <si>
    <t>520030677</t>
  </si>
  <si>
    <t>איילון</t>
  </si>
  <si>
    <t>IL0002090152</t>
  </si>
  <si>
    <t>2,083</t>
  </si>
  <si>
    <t>מניבים קרן הריט החדשה בע"מ</t>
  </si>
  <si>
    <t>515327120</t>
  </si>
  <si>
    <t>מניבים ריט</t>
  </si>
  <si>
    <t>IL0011405730</t>
  </si>
  <si>
    <t>177.8</t>
  </si>
  <si>
    <t>אוברסיז קומרס בע"מ</t>
  </si>
  <si>
    <t>510490071</t>
  </si>
  <si>
    <t>אוברסיז</t>
  </si>
  <si>
    <t>IL0011396178</t>
  </si>
  <si>
    <t>355.4</t>
  </si>
  <si>
    <t>ריט אזורים - ה.פ ליווינג בע"מ</t>
  </si>
  <si>
    <t>516117181</t>
  </si>
  <si>
    <t>ריט אזורים ליוי</t>
  </si>
  <si>
    <t>IL0011627754</t>
  </si>
  <si>
    <t>339.9</t>
  </si>
  <si>
    <t>פלסאנמור בע"מ</t>
  </si>
  <si>
    <t>515139129</t>
  </si>
  <si>
    <t>פלסאנמור</t>
  </si>
  <si>
    <t>IL0011767006</t>
  </si>
  <si>
    <t>402.3</t>
  </si>
  <si>
    <t>פז בית זיקוק לנפט-אשדוד בע"מ</t>
  </si>
  <si>
    <t>513775163</t>
  </si>
  <si>
    <t>בזא</t>
  </si>
  <si>
    <t>IL0011989105</t>
  </si>
  <si>
    <t>5,597</t>
  </si>
  <si>
    <t>קבוצת צילו-בלו בע"מ</t>
  </si>
  <si>
    <t>513605519</t>
  </si>
  <si>
    <t>צילו-בלו</t>
  </si>
  <si>
    <t>IL0011025322</t>
  </si>
  <si>
    <t>185.7</t>
  </si>
  <si>
    <t>מהדרין בע"מ</t>
  </si>
  <si>
    <t>520018482</t>
  </si>
  <si>
    <t>מהדרין</t>
  </si>
  <si>
    <t>IL0006860147</t>
  </si>
  <si>
    <t>15,960</t>
  </si>
  <si>
    <t>אקוואריוס מנועים (א.מ) בע"מ</t>
  </si>
  <si>
    <t>515114429</t>
  </si>
  <si>
    <t>אקוואריוס מנוע</t>
  </si>
  <si>
    <t>IL0011702409</t>
  </si>
  <si>
    <t>144.3</t>
  </si>
  <si>
    <t>סיפיה ווז'ן בע"מ</t>
  </si>
  <si>
    <t>513476010</t>
  </si>
  <si>
    <t>סיפיה וויז'ן</t>
  </si>
  <si>
    <t>IL0011819328</t>
  </si>
  <si>
    <t>48</t>
  </si>
  <si>
    <t>יומן אקסטנשנס בע"מ</t>
  </si>
  <si>
    <t>514707736</t>
  </si>
  <si>
    <t>יומן אקסטנשנס</t>
  </si>
  <si>
    <t>IL0011700007</t>
  </si>
  <si>
    <t>49.9</t>
  </si>
  <si>
    <t>ADOBE SYSTEMS INC</t>
  </si>
  <si>
    <t>FU4LY2G4933NH2E1CP29</t>
  </si>
  <si>
    <t>US00724F1012</t>
  </si>
  <si>
    <t>51,778</t>
  </si>
  <si>
    <t>Amazon.com Inc</t>
  </si>
  <si>
    <t>ZXTILKJKG63JEL0EG630</t>
  </si>
  <si>
    <t>US0231351067</t>
  </si>
  <si>
    <t>18,633</t>
  </si>
  <si>
    <t>Visa</t>
  </si>
  <si>
    <t>549300JZ40KEHW3DPJ59</t>
  </si>
  <si>
    <t>VISA INC</t>
  </si>
  <si>
    <t>US92826C8394</t>
  </si>
  <si>
    <t>27,495</t>
  </si>
  <si>
    <t>NVIDIA CORP</t>
  </si>
  <si>
    <t>549300S4KLFTL07GSQ80</t>
  </si>
  <si>
    <t>US67066G1040</t>
  </si>
  <si>
    <t>12,144</t>
  </si>
  <si>
    <t>Microsoft Corp</t>
  </si>
  <si>
    <t>INR2E1N1ERAN0W5ZP974</t>
  </si>
  <si>
    <t>US5949181045</t>
  </si>
  <si>
    <t>43,030</t>
  </si>
  <si>
    <t>סלברייט די.איי בע"מ</t>
  </si>
  <si>
    <t>512766577</t>
  </si>
  <si>
    <t>CELLEBRITE DI LTD</t>
  </si>
  <si>
    <t>IL0011794802</t>
  </si>
  <si>
    <t>1,684</t>
  </si>
  <si>
    <t>semiconductor</t>
  </si>
  <si>
    <t>549300KB6NK5SBD14S87</t>
  </si>
  <si>
    <t>Taiwan Semiconductor Manufactu</t>
  </si>
  <si>
    <t>US8740391003</t>
  </si>
  <si>
    <t>17,367</t>
  </si>
  <si>
    <t>FACEBOOK</t>
  </si>
  <si>
    <t>BQ4BKCS1HXDV9HN80Z93</t>
  </si>
  <si>
    <t>US30303M1027</t>
  </si>
  <si>
    <t>57,244</t>
  </si>
  <si>
    <t>Google Inc</t>
  </si>
  <si>
    <t>5493006MHB84DD0ZWV18</t>
  </si>
  <si>
    <t>ALPHABET INC CLAS C</t>
  </si>
  <si>
    <t>US02079K1079</t>
  </si>
  <si>
    <t>16,719</t>
  </si>
  <si>
    <t>Apple Inc</t>
  </si>
  <si>
    <t>HWUPKR0MP0U8FGXBT394</t>
  </si>
  <si>
    <t>US0378331005</t>
  </si>
  <si>
    <t>23,300</t>
  </si>
  <si>
    <t>TELSA MOTORS IN</t>
  </si>
  <si>
    <t>54930043XZGB27CT0V49</t>
  </si>
  <si>
    <t>US88160R1014</t>
  </si>
  <si>
    <t>26,163</t>
  </si>
  <si>
    <t>WALT DISNEY COMPANY/THE</t>
  </si>
  <si>
    <t>549300GZKULIZ0W0W665</t>
  </si>
  <si>
    <t>WALT DISNEY CO/THE</t>
  </si>
  <si>
    <t>US2546871060</t>
  </si>
  <si>
    <t>9,619</t>
  </si>
  <si>
    <t>טאואר סמיקונדקטור בע"מ</t>
  </si>
  <si>
    <t>520041997</t>
  </si>
  <si>
    <t>טאואר סמי קונדוקטור TSEM</t>
  </si>
  <si>
    <t>IL0010823792</t>
  </si>
  <si>
    <t>16,470</t>
  </si>
  <si>
    <t>ALIBABA GROUP HOLDING LTD</t>
  </si>
  <si>
    <t>5493001NTNQJDH60PM02</t>
  </si>
  <si>
    <t>ALIBABA GROUP</t>
  </si>
  <si>
    <t>US01609W1027</t>
  </si>
  <si>
    <t>10,612</t>
  </si>
  <si>
    <t>NEXTERA ENERGY INC</t>
  </si>
  <si>
    <t>254900RHL9MEUS5NKX63</t>
  </si>
  <si>
    <t>US65339F1012</t>
  </si>
  <si>
    <t>8,453</t>
  </si>
  <si>
    <t>LVMH MOET HENNESSY LOUIS VUITT</t>
  </si>
  <si>
    <t>I0G4E9470ATN0KJYSD45</t>
  </si>
  <si>
    <t>LVMH MOET HENNESSY LOUIS VUI</t>
  </si>
  <si>
    <t>FR0000121014</t>
  </si>
  <si>
    <t>68,850</t>
  </si>
  <si>
    <t>MASTERCARD INC</t>
  </si>
  <si>
    <t>AR5L20DV9HN37376R084</t>
  </si>
  <si>
    <t>MASTERCARDINC CLASS</t>
  </si>
  <si>
    <t>US57636Q1040</t>
  </si>
  <si>
    <t>49,380</t>
  </si>
  <si>
    <t>CARRIER GLOBAL CORP</t>
  </si>
  <si>
    <t>549300JE3W6CWY2NAN77</t>
  </si>
  <si>
    <t>US14448C1045</t>
  </si>
  <si>
    <t>8,049</t>
  </si>
  <si>
    <t>KKR &amp; CO LP</t>
  </si>
  <si>
    <t>54930013V5I303TF9571</t>
  </si>
  <si>
    <t>KKR &amp; CO INC</t>
  </si>
  <si>
    <t>US48251W1045</t>
  </si>
  <si>
    <t>13,058</t>
  </si>
  <si>
    <t>Avago Technologies Ltd</t>
  </si>
  <si>
    <t>549300WV6GIDOZJTV909</t>
  </si>
  <si>
    <t>SG9999006241</t>
  </si>
  <si>
    <t>17,250</t>
  </si>
  <si>
    <t>PROLOGIS INC</t>
  </si>
  <si>
    <t>529900DFH19P073LZ636</t>
  </si>
  <si>
    <t>US74340W1036</t>
  </si>
  <si>
    <t>12,628</t>
  </si>
  <si>
    <t>ELI LILLY CO</t>
  </si>
  <si>
    <t>FRDRIPF3EKND32CQJL29</t>
  </si>
  <si>
    <t>US5324571083</t>
  </si>
  <si>
    <t>88,594</t>
  </si>
  <si>
    <t>EATON CORP PLC</t>
  </si>
  <si>
    <t>549300VDIGTMXUNT7H71</t>
  </si>
  <si>
    <t>IE00B8KQN827</t>
  </si>
  <si>
    <t>33,144</t>
  </si>
  <si>
    <t>נובה מכשירי מדידה בע"מ</t>
  </si>
  <si>
    <t>511812463</t>
  </si>
  <si>
    <t>Nova Measuring Instrument</t>
  </si>
  <si>
    <t>IL0010845571</t>
  </si>
  <si>
    <t>77,890</t>
  </si>
  <si>
    <t>COSTCO WHOLESALE CORP</t>
  </si>
  <si>
    <t>29DX7H14B9S603FD6V18</t>
  </si>
  <si>
    <t>US22160K1051</t>
  </si>
  <si>
    <t>88,652</t>
  </si>
  <si>
    <t>PALO ALTO NETWORKS INC</t>
  </si>
  <si>
    <t>549300QXR2YVZV231H43</t>
  </si>
  <si>
    <t>US6974351057</t>
  </si>
  <si>
    <t>34,180</t>
  </si>
  <si>
    <t>NOVO NORDISK A/S</t>
  </si>
  <si>
    <t>549300DAQ1CVT6CXN342</t>
  </si>
  <si>
    <t>US6701002056</t>
  </si>
  <si>
    <t>11,907</t>
  </si>
  <si>
    <t>SALESFORCE.COM</t>
  </si>
  <si>
    <t>RCGZFPDMRW58VJ54VR07</t>
  </si>
  <si>
    <t>US79466L3024</t>
  </si>
  <si>
    <t>27,371</t>
  </si>
  <si>
    <t>HERMES INTERNATIONAL</t>
  </si>
  <si>
    <t>969500U4YNVPIDMF7051</t>
  </si>
  <si>
    <t>FR0000052292</t>
  </si>
  <si>
    <t>220,600</t>
  </si>
  <si>
    <t>WAL-MART STORES</t>
  </si>
  <si>
    <t>Y87794H0US1R65VBXU25</t>
  </si>
  <si>
    <t>Wal-Mart Stores Inc</t>
  </si>
  <si>
    <t>US9311421039</t>
  </si>
  <si>
    <t>8,075</t>
  </si>
  <si>
    <t>AIRBNB INC-CLASS A</t>
  </si>
  <si>
    <t>549300HMUDN00RY56D37</t>
  </si>
  <si>
    <t>US0090661010</t>
  </si>
  <si>
    <t>12,681</t>
  </si>
  <si>
    <t>Samsung Electronics co</t>
  </si>
  <si>
    <t>9884007ER46L6N7EI764</t>
  </si>
  <si>
    <t>Samsung Electronics Co Ltd</t>
  </si>
  <si>
    <t>US7960508882</t>
  </si>
  <si>
    <t>116,900</t>
  </si>
  <si>
    <t>Deere &amp; company</t>
  </si>
  <si>
    <t>PWFTNG3EI0Y730XWDH08</t>
  </si>
  <si>
    <t>Deere &amp; Co</t>
  </si>
  <si>
    <t>US2441991054</t>
  </si>
  <si>
    <t>41,733</t>
  </si>
  <si>
    <t>NIKE Inc</t>
  </si>
  <si>
    <t>787RXPR0UX000XUXPZ81</t>
  </si>
  <si>
    <t>US6541061031</t>
  </si>
  <si>
    <t>8,840</t>
  </si>
  <si>
    <t>ULTA BEAUTY INC</t>
  </si>
  <si>
    <t>529900CIV6HN8M28YM82</t>
  </si>
  <si>
    <t>US90384S3031</t>
  </si>
  <si>
    <t>38,912</t>
  </si>
  <si>
    <t>ALPHABET</t>
  </si>
  <si>
    <t>US02079K3059</t>
  </si>
  <si>
    <t>16,585</t>
  </si>
  <si>
    <t>SAP GY</t>
  </si>
  <si>
    <t>529900 D6BF99LW9R2E68</t>
  </si>
  <si>
    <t>SAP AG-SPONSORED</t>
  </si>
  <si>
    <t>DE0007164600</t>
  </si>
  <si>
    <t>20,440</t>
  </si>
  <si>
    <t>MODERNA INC</t>
  </si>
  <si>
    <t>549300EI60KH5K5Q2G38</t>
  </si>
  <si>
    <t>US60770K1079</t>
  </si>
  <si>
    <t>6,683</t>
  </si>
  <si>
    <t>CYBERARK SOFTWARE LTD</t>
  </si>
  <si>
    <t>512291642</t>
  </si>
  <si>
    <t>IL0011334468</t>
  </si>
  <si>
    <t>29,161</t>
  </si>
  <si>
    <t>JD.COM INC-ADR</t>
  </si>
  <si>
    <t>549300HVTWB0G3Z16V92</t>
  </si>
  <si>
    <t>US47215P1066</t>
  </si>
  <si>
    <t>4,000</t>
  </si>
  <si>
    <t>L`OREAL</t>
  </si>
  <si>
    <t>5299003I1GG6F7RKVI53</t>
  </si>
  <si>
    <t>L'OREAL</t>
  </si>
  <si>
    <t>FR0000120321</t>
  </si>
  <si>
    <t>40,205</t>
  </si>
  <si>
    <t>Wix</t>
  </si>
  <si>
    <t>513881177</t>
  </si>
  <si>
    <t>WIX.COM LTD</t>
  </si>
  <si>
    <t>IL0011301780</t>
  </si>
  <si>
    <t>16,717</t>
  </si>
  <si>
    <t>ברקשייר הטוויי אינק-סל ב</t>
  </si>
  <si>
    <t>5493000C01ZX7D35SD85</t>
  </si>
  <si>
    <t>BERKSHIRE HATHAWAY INC-CL B</t>
  </si>
  <si>
    <t>US0846707026</t>
  </si>
  <si>
    <t>46,026</t>
  </si>
  <si>
    <t>Baidu.com Inc</t>
  </si>
  <si>
    <t>254900AL64IANZYI1E02</t>
  </si>
  <si>
    <t>Baidu Inc/China</t>
  </si>
  <si>
    <t>US0567521085</t>
  </si>
  <si>
    <t>10,529</t>
  </si>
  <si>
    <t>JFROG LTD</t>
  </si>
  <si>
    <t>514130491</t>
  </si>
  <si>
    <t>IL0011684185</t>
  </si>
  <si>
    <t>2,904</t>
  </si>
  <si>
    <t>SNOWFLAKE INC</t>
  </si>
  <si>
    <t>254900CJNSY1K7T53Z16</t>
  </si>
  <si>
    <t>SNOWFLAKE INC-CLASS A</t>
  </si>
  <si>
    <t>US8334451098</t>
  </si>
  <si>
    <t>11,486</t>
  </si>
  <si>
    <t>SCOUTCAM LTD</t>
  </si>
  <si>
    <t>549300FBP1ANSJE5TE25</t>
  </si>
  <si>
    <t>ODYSIGHT.AT.INC</t>
  </si>
  <si>
    <t>US8016V2043</t>
  </si>
  <si>
    <t>600</t>
  </si>
  <si>
    <t>SOLAREGE TECHNOLOGIES INC</t>
  </si>
  <si>
    <t>5493000K6Y58XXPDF853</t>
  </si>
  <si>
    <t>SOLAREDGE TECHNOLOGIES INC</t>
  </si>
  <si>
    <t>US83417M1045</t>
  </si>
  <si>
    <t>2,291</t>
  </si>
  <si>
    <t>VBARE IBERIAN PROPERTIES SOC</t>
  </si>
  <si>
    <t>959800X1MGWGZZW5ZS47</t>
  </si>
  <si>
    <t>ES0105196002</t>
  </si>
  <si>
    <t>645</t>
  </si>
  <si>
    <t>Urogen Pharma Ltd</t>
  </si>
  <si>
    <t>513537621</t>
  </si>
  <si>
    <t>UROGEN PHARMA</t>
  </si>
  <si>
    <t>IL0011407140</t>
  </si>
  <si>
    <t>1,270</t>
  </si>
  <si>
    <t>NCINO INC</t>
  </si>
  <si>
    <t>549300WVRR2WR3L6MZ46</t>
  </si>
  <si>
    <t>US63947X1019</t>
  </si>
  <si>
    <t>3,159</t>
  </si>
  <si>
    <t>GAMIDA CELL LTD</t>
  </si>
  <si>
    <t>512601204</t>
  </si>
  <si>
    <t>IL0011552663</t>
  </si>
  <si>
    <t>1.7</t>
  </si>
  <si>
    <t>UDEMY INC</t>
  </si>
  <si>
    <t>2549000T304QU9SAM180</t>
  </si>
  <si>
    <t>US9026851066</t>
  </si>
  <si>
    <t>744</t>
  </si>
  <si>
    <t>קסם קרנות נאמנות בע"מ</t>
  </si>
  <si>
    <t>510938608</t>
  </si>
  <si>
    <t>קסם ETF כשרה תא 125</t>
  </si>
  <si>
    <t>IL0011553653</t>
  </si>
  <si>
    <t>20,710</t>
  </si>
  <si>
    <t>הראל קרנות נאמנות בע"מ</t>
  </si>
  <si>
    <t>511776783</t>
  </si>
  <si>
    <t>הראל סל כשרה תא 125</t>
  </si>
  <si>
    <t>IL0011553406</t>
  </si>
  <si>
    <t>2,065</t>
  </si>
  <si>
    <t>פסגות קרנות נאמנות בע"מ</t>
  </si>
  <si>
    <t>513765339</t>
  </si>
  <si>
    <t>פסגות ETF כשרה תא 125</t>
  </si>
  <si>
    <t>IL0011553240</t>
  </si>
  <si>
    <t>2,072</t>
  </si>
  <si>
    <t>מגדל קרנות נאמנות בע"מ</t>
  </si>
  <si>
    <t>511303661</t>
  </si>
  <si>
    <t>MTF סל (4A) כשרה ת"א-125</t>
  </si>
  <si>
    <t>IL0011597148</t>
  </si>
  <si>
    <t>3,243</t>
  </si>
  <si>
    <t>הראל סל S&amp;P500</t>
  </si>
  <si>
    <t>IL0011490203</t>
  </si>
  <si>
    <t>2,470</t>
  </si>
  <si>
    <t>הראל סל S&amp;P Technology ארהב</t>
  </si>
  <si>
    <t>IL0011499394</t>
  </si>
  <si>
    <t>8,859</t>
  </si>
  <si>
    <t>קסם MSCI AC WORLD</t>
  </si>
  <si>
    <t>IL0011466799</t>
  </si>
  <si>
    <t>1,505</t>
  </si>
  <si>
    <t>הראל סל נאסדק 100</t>
  </si>
  <si>
    <t>IL0011490385</t>
  </si>
  <si>
    <t>7,865</t>
  </si>
  <si>
    <t>SPDR S&amp;P 500 ETF Trust</t>
  </si>
  <si>
    <t>549300NZAMSJ8FXPQQ63</t>
  </si>
  <si>
    <t>SPDR Trust Series 1</t>
  </si>
  <si>
    <t>US78462F1030</t>
  </si>
  <si>
    <t>57,376</t>
  </si>
  <si>
    <t>Invesco QQQ Trust Series 1</t>
  </si>
  <si>
    <t>549300VY6FE1BCIMET58</t>
  </si>
  <si>
    <t>INVESCO QQQ TRUST SERIES 1</t>
  </si>
  <si>
    <t>US46090E1038</t>
  </si>
  <si>
    <t>48,807</t>
  </si>
  <si>
    <t>Financial Select Sector SPDR F</t>
  </si>
  <si>
    <t>549300Y12KQ6ZG08NY28</t>
  </si>
  <si>
    <t>US81369Y6059</t>
  </si>
  <si>
    <t>4,532</t>
  </si>
  <si>
    <t>ISHARES MSCI ALL COUNTRY ASIA</t>
  </si>
  <si>
    <t>549300EQSX1KK01KLL54</t>
  </si>
  <si>
    <t>US4642881829</t>
  </si>
  <si>
    <t>7,845</t>
  </si>
  <si>
    <t>XLI - אינדסטריאל סלקט</t>
  </si>
  <si>
    <t>549300HQI51T8KP6U325</t>
  </si>
  <si>
    <t>Industrial Select Sector SPDR</t>
  </si>
  <si>
    <t>US81369Y7040</t>
  </si>
  <si>
    <t>13,544</t>
  </si>
  <si>
    <t>Invesco S&amp;P 500 Equal Weight T</t>
  </si>
  <si>
    <t>549300 D93HI7Z9WV4X72</t>
  </si>
  <si>
    <t>INVESCO S&amp;P 500 EQUAL WEIGHT</t>
  </si>
  <si>
    <t>US46137V3574</t>
  </si>
  <si>
    <t>17,916</t>
  </si>
  <si>
    <t>VANGUARD S&amp;P 500 ETF</t>
  </si>
  <si>
    <t>5493002789CX3L0CJP65</t>
  </si>
  <si>
    <t>US9229083632</t>
  </si>
  <si>
    <t>52,767</t>
  </si>
  <si>
    <t>iShares Core DAX UCITS ETF DE</t>
  </si>
  <si>
    <t>549300CQN9T9XKTT1S19</t>
  </si>
  <si>
    <t>ISHARES DAX DE</t>
  </si>
  <si>
    <t>DE0005933931</t>
  </si>
  <si>
    <t>16,098</t>
  </si>
  <si>
    <t>Technology Select Sector SPDR</t>
  </si>
  <si>
    <t>549300BR5T0JNM2MW070</t>
  </si>
  <si>
    <t>US81369Y8030</t>
  </si>
  <si>
    <t>22,576</t>
  </si>
  <si>
    <t>KRANESHARES CSI CHINA INTERN</t>
  </si>
  <si>
    <t>549300URDNVSGEWBN526</t>
  </si>
  <si>
    <t>US5007673065</t>
  </si>
  <si>
    <t>3,402</t>
  </si>
  <si>
    <t>Health Care Select Sector SPDR</t>
  </si>
  <si>
    <t>549300E1NY3KKJHP0Y44</t>
  </si>
  <si>
    <t>US81369Y2090</t>
  </si>
  <si>
    <t>15,402</t>
  </si>
  <si>
    <t>WisdomTree India Earnings Fund</t>
  </si>
  <si>
    <t>54930026N5Y0B6AW2260</t>
  </si>
  <si>
    <t>WISDOM TREE INDIA EARNINGS FUN</t>
  </si>
  <si>
    <t>US97717W4226</t>
  </si>
  <si>
    <t>5,046</t>
  </si>
  <si>
    <t>iShares MSCI Japan Index Fund</t>
  </si>
  <si>
    <t>5493008I6YRUC6I0S051</t>
  </si>
  <si>
    <t>US46434G8226</t>
  </si>
  <si>
    <t>7,154</t>
  </si>
  <si>
    <t>LYXOR CORE EURSTX 600 DR</t>
  </si>
  <si>
    <t>213800RFZBG4205X1D89</t>
  </si>
  <si>
    <t>LU0908500753</t>
  </si>
  <si>
    <t>24,366</t>
  </si>
  <si>
    <t>First Trust NASDAQ-100 Technol</t>
  </si>
  <si>
    <t>5493002JVR972EVAT460</t>
  </si>
  <si>
    <t>FIRST TRUST NASDQ 100 TECH I</t>
  </si>
  <si>
    <t>US3373451026</t>
  </si>
  <si>
    <t>19,131</t>
  </si>
  <si>
    <t>Energy Select Sector SPDR Fund</t>
  </si>
  <si>
    <t>54930064FLK0RD4TRU75</t>
  </si>
  <si>
    <t>US81369Y5069</t>
  </si>
  <si>
    <t>8,780</t>
  </si>
  <si>
    <t>ISHARES MSCI CHINA INDEX FUND</t>
  </si>
  <si>
    <t>549300Q0IWAYMYXW0R77</t>
  </si>
  <si>
    <t>iSHARES MSCI CHINA</t>
  </si>
  <si>
    <t>US46429B6719</t>
  </si>
  <si>
    <t>5,091</t>
  </si>
  <si>
    <t>COMM SERV SELEC</t>
  </si>
  <si>
    <t>549300RPODKQ1E2HDW24</t>
  </si>
  <si>
    <t>US81369Y8527</t>
  </si>
  <si>
    <t>9,040</t>
  </si>
  <si>
    <t>SPDR Dow Jones Industrial Aver</t>
  </si>
  <si>
    <t>54930039F2SG3UG20Z18</t>
  </si>
  <si>
    <t>SPDR DJIA TRUST</t>
  </si>
  <si>
    <t>US78467x1090</t>
  </si>
  <si>
    <t>42,312</t>
  </si>
  <si>
    <t>ISHARES MSCI INDIA ETF</t>
  </si>
  <si>
    <t>549300282VMCFH7S5848</t>
  </si>
  <si>
    <t>US46429B5984</t>
  </si>
  <si>
    <t>5,853</t>
  </si>
  <si>
    <t>SMH סמיקונדקטור הולדרס טרסט</t>
  </si>
  <si>
    <t>549300MJTG2N9QRH7I02</t>
  </si>
  <si>
    <t>Semiconductor HOLDRs Trust</t>
  </si>
  <si>
    <t>US8166362033</t>
  </si>
  <si>
    <t>24,545</t>
  </si>
  <si>
    <t>iShares Russell 2000 Index Fun</t>
  </si>
  <si>
    <t>5493000800AR5VTWR172</t>
  </si>
  <si>
    <t>ISHARES RUSSELL 2000 ETF</t>
  </si>
  <si>
    <t>US4642876555</t>
  </si>
  <si>
    <t>22,089</t>
  </si>
  <si>
    <t>Consumer Discretionary Select</t>
  </si>
  <si>
    <t>549300CD2I087Y919K79</t>
  </si>
  <si>
    <t>US81369Y4070</t>
  </si>
  <si>
    <t>20,037</t>
  </si>
  <si>
    <t>ISHARES U.S. BROKER-DEALERS</t>
  </si>
  <si>
    <t>549300LRIF3NWCU26A80</t>
  </si>
  <si>
    <t>US4642887941</t>
  </si>
  <si>
    <t>12,856</t>
  </si>
  <si>
    <t>iShares MSCI South Korea Index</t>
  </si>
  <si>
    <t>GR1QY1XUY5M0EJSI5J57</t>
  </si>
  <si>
    <t>iShares MSCI South Korea Ind</t>
  </si>
  <si>
    <t>US4642867729</t>
  </si>
  <si>
    <t>6,396</t>
  </si>
  <si>
    <t>Powershares</t>
  </si>
  <si>
    <t>5521FA2IT25TVH63740</t>
  </si>
  <si>
    <t>Powershares aero defense</t>
  </si>
  <si>
    <t>US46137V1008</t>
  </si>
  <si>
    <t>11,497</t>
  </si>
  <si>
    <t>iShares Latin America 40 ETF</t>
  </si>
  <si>
    <t>549300MTJJWSCQ09N641</t>
  </si>
  <si>
    <t>Ishares dj aerospace</t>
  </si>
  <si>
    <t>US4642887602</t>
  </si>
  <si>
    <t>14,964</t>
  </si>
  <si>
    <t>AMUNDI MSCI EM MKT II</t>
  </si>
  <si>
    <t>LU2573966906</t>
  </si>
  <si>
    <t>4,684.1</t>
  </si>
  <si>
    <t>ISHARES NORTH AMERICAN TE</t>
  </si>
  <si>
    <t>54930072GM1ADLZJ5373</t>
  </si>
  <si>
    <t>iShares Expanded Tech-Software Sector ETF</t>
  </si>
  <si>
    <t>us4642875151</t>
  </si>
  <si>
    <t>8,937</t>
  </si>
  <si>
    <t>ISHARES HANG SENG TECH ETF</t>
  </si>
  <si>
    <t>549300LTD878UJSEFE24</t>
  </si>
  <si>
    <t>HK0000651213</t>
  </si>
  <si>
    <t>999</t>
  </si>
  <si>
    <t>INVESCO SOLAR ETF</t>
  </si>
  <si>
    <t>549300Q2OQ2U87KJR762</t>
  </si>
  <si>
    <t>US46138G7060</t>
  </si>
  <si>
    <t>4,311</t>
  </si>
  <si>
    <t>iShares MSCI Taiwan Index Fund</t>
  </si>
  <si>
    <t>US4642867315</t>
  </si>
  <si>
    <t>5,387</t>
  </si>
  <si>
    <t>real estate select sect spdr</t>
  </si>
  <si>
    <t>549300SPMSTD3BRHL041</t>
  </si>
  <si>
    <t>REAL ESTA (XLRE</t>
  </si>
  <si>
    <t>US81369y8600</t>
  </si>
  <si>
    <t>4,467</t>
  </si>
  <si>
    <t>(IHI) iShares U.S. Medical Devices ETF</t>
  </si>
  <si>
    <t>US4642888105</t>
  </si>
  <si>
    <t>5,922</t>
  </si>
  <si>
    <t>iShares China Large-Cap ETF</t>
  </si>
  <si>
    <t>5493001YVWPO25CNKN94</t>
  </si>
  <si>
    <t>iShares FTSE/Xinhua China 25 I</t>
  </si>
  <si>
    <t>US4642871846</t>
  </si>
  <si>
    <t>3,178</t>
  </si>
  <si>
    <t>MTF סל (00) כשרה תל בונד 60</t>
  </si>
  <si>
    <t>IL0011596983</t>
  </si>
  <si>
    <t>465.24</t>
  </si>
  <si>
    <t>MTF סל כש תל בונד שקלי</t>
  </si>
  <si>
    <t>IL0011597064</t>
  </si>
  <si>
    <t>452.51</t>
  </si>
  <si>
    <t>הראל סל כשרה תל בונד שקלי</t>
  </si>
  <si>
    <t>IL0011551913</t>
  </si>
  <si>
    <t>388.83</t>
  </si>
  <si>
    <t>הראל סל כשרה תל בונד 60</t>
  </si>
  <si>
    <t>IL0011550923</t>
  </si>
  <si>
    <t>374.9</t>
  </si>
  <si>
    <t>קסם ETF כשרה תלבונד 60</t>
  </si>
  <si>
    <t>IL0011551269</t>
  </si>
  <si>
    <t>111.45</t>
  </si>
  <si>
    <t>קסם ETF כשרה תלבונד שקלי</t>
  </si>
  <si>
    <t>IL0011551590</t>
  </si>
  <si>
    <t>3,880.76</t>
  </si>
  <si>
    <t>AM US CURV STEEP 2-10Y-ETF A</t>
  </si>
  <si>
    <t>549300QO7ZM8CWX59L64</t>
  </si>
  <si>
    <t>LU2018762653</t>
  </si>
  <si>
    <t>9,654</t>
  </si>
  <si>
    <t>ISHARES USD CORP BOND USD A</t>
  </si>
  <si>
    <t>549300QQR5SNTQVNFC45</t>
  </si>
  <si>
    <t>IE00BYXYYJ35</t>
  </si>
  <si>
    <t>608.9</t>
  </si>
  <si>
    <t>ISHARES USD SHORT DUR USD A</t>
  </si>
  <si>
    <t>US161175AY09</t>
  </si>
  <si>
    <t>595.6</t>
  </si>
  <si>
    <t>ISHARES GBP HIGH  YIELD CORPORA</t>
  </si>
  <si>
    <t>549300XNS7MREWVF4X34</t>
  </si>
  <si>
    <t>IE00B4PY7Y77</t>
  </si>
  <si>
    <t>9,700</t>
  </si>
  <si>
    <t>INVESCO US HYFA ACC</t>
  </si>
  <si>
    <t>549300X3ENFKGMH04N42</t>
  </si>
  <si>
    <t>IE0009D6K2A2</t>
  </si>
  <si>
    <t>2,890.75</t>
  </si>
  <si>
    <t>INVESCO US HYFA DIST</t>
  </si>
  <si>
    <t>IE00BD0Q9673</t>
  </si>
  <si>
    <t>2,180</t>
  </si>
  <si>
    <t>הראל סל תל בונד שקלי</t>
  </si>
  <si>
    <t>IL0011505232</t>
  </si>
  <si>
    <t>389.18</t>
  </si>
  <si>
    <t>קסם תל בונד 60</t>
  </si>
  <si>
    <t>IL0011462327</t>
  </si>
  <si>
    <t>3,637.39</t>
  </si>
  <si>
    <t>MTF סל (00) תל בונד שקלי</t>
  </si>
  <si>
    <t>IL0011500027</t>
  </si>
  <si>
    <t>452.06</t>
  </si>
  <si>
    <t>MTF תל בונד 60</t>
  </si>
  <si>
    <t>IL0011499964</t>
  </si>
  <si>
    <t>465.93</t>
  </si>
  <si>
    <t>הראל סל תל בונד 60</t>
  </si>
  <si>
    <t>IL0011504730</t>
  </si>
  <si>
    <t>364.41</t>
  </si>
  <si>
    <t>קסם.תלבונד ש 50</t>
  </si>
  <si>
    <t>IL0011507626</t>
  </si>
  <si>
    <t>3,902.52</t>
  </si>
  <si>
    <t>הראל סל תל בונד שקלי 50</t>
  </si>
  <si>
    <t>IL0011507139</t>
  </si>
  <si>
    <t>388.28</t>
  </si>
  <si>
    <t>קסם ETF תל בונד שקלי</t>
  </si>
  <si>
    <t>IL0011464141</t>
  </si>
  <si>
    <t>3,880.51</t>
  </si>
  <si>
    <t>קסם MSCI India (!)(4D) ETF</t>
  </si>
  <si>
    <t>IL0011457475</t>
  </si>
  <si>
    <t>11,510</t>
  </si>
  <si>
    <t>קסם Indxx Climate Change Solutions (4D) ETF</t>
  </si>
  <si>
    <t>IL0011673295</t>
  </si>
  <si>
    <t>20,360</t>
  </si>
  <si>
    <t>קסם תא בלוסטאר ישראל גלובל טכנולוגיות (NTR) (4Da)</t>
  </si>
  <si>
    <t>IL0011472714</t>
  </si>
  <si>
    <t>14,940</t>
  </si>
  <si>
    <t>549300NNE4LGFWCGLC69</t>
  </si>
  <si>
    <t>US46137V3244</t>
  </si>
  <si>
    <t>5,121</t>
  </si>
  <si>
    <t>GLOBAL X US INFRASTRUCTURE</t>
  </si>
  <si>
    <t>549300P5QELW9NWLDY61</t>
  </si>
  <si>
    <t>US37954Y6730</t>
  </si>
  <si>
    <t>4,116</t>
  </si>
  <si>
    <t>BNP P EURO STOXX 50 UCITS</t>
  </si>
  <si>
    <t>ROMUWSFPU8MPR08KSP83</t>
  </si>
  <si>
    <t>FR0012739431</t>
  </si>
  <si>
    <t>1,562.4</t>
  </si>
  <si>
    <t>VANGUARD S&amp;P MID-CAP 400 ETF</t>
  </si>
  <si>
    <t>US9219328856</t>
  </si>
  <si>
    <t>10,563</t>
  </si>
  <si>
    <t>ISHR EUR600 IND GDS&amp;SERV-DE</t>
  </si>
  <si>
    <t>5493005C92LFQZ3U0083</t>
  </si>
  <si>
    <t>DE000A0H08J9</t>
  </si>
  <si>
    <t>8,871</t>
  </si>
  <si>
    <t>LYXOR ETF S&amp;P 500</t>
  </si>
  <si>
    <t>549300JWBW5ZYYL06033</t>
  </si>
  <si>
    <t>LYXOR S&amp;P 500</t>
  </si>
  <si>
    <t>LU1135865084</t>
  </si>
  <si>
    <t>40,841</t>
  </si>
  <si>
    <t>LYX  EURSTX600 HALTHCARE ETF</t>
  </si>
  <si>
    <t>213800MPG89TQUBL5C29</t>
  </si>
  <si>
    <t>LU1834986900</t>
  </si>
  <si>
    <t>15,648.2</t>
  </si>
  <si>
    <t>Barclays Global Investors Ltd.</t>
  </si>
  <si>
    <t>549300N0QVNMDXCU4R13</t>
  </si>
  <si>
    <t>IShares PLC- iShares FTSE 100</t>
  </si>
  <si>
    <t>IE0005042456</t>
  </si>
  <si>
    <t>799.3</t>
  </si>
  <si>
    <t>SPDR S&amp;P HOMEBUILDERS ETF</t>
  </si>
  <si>
    <t>549300MSE80LL1UJS132</t>
  </si>
  <si>
    <t>US78464A8889</t>
  </si>
  <si>
    <t>12,456</t>
  </si>
  <si>
    <t>SPDR S&amp;P CAPITAL MARKETS ETF</t>
  </si>
  <si>
    <t>549300BBJPWNKDPREW36</t>
  </si>
  <si>
    <t>US78464A7717</t>
  </si>
  <si>
    <t>12,488</t>
  </si>
  <si>
    <t>MTF סל (Bloomberg US Analyst Recommendations (4D</t>
  </si>
  <si>
    <t>IL0012056573</t>
  </si>
  <si>
    <t>2,544</t>
  </si>
  <si>
    <t>Utilities Select Sector SPDR F</t>
  </si>
  <si>
    <t>549300ERQDM80PRYUH21</t>
  </si>
  <si>
    <t>US81369Y8865</t>
  </si>
  <si>
    <t>8,078</t>
  </si>
  <si>
    <t>SPDR S&amp;P Health Care Equipment</t>
  </si>
  <si>
    <t>549300PX2BGUPCPWDG61</t>
  </si>
  <si>
    <t>S&amp;P HEALTH CARE EQUIPME</t>
  </si>
  <si>
    <t>US78464A5810</t>
  </si>
  <si>
    <t>9,051</t>
  </si>
  <si>
    <t>קסם ארהב 4Da) (PR) S&amp;P Technology)</t>
  </si>
  <si>
    <t>IL0011472300</t>
  </si>
  <si>
    <t>8,779</t>
  </si>
  <si>
    <t>קסם אנרגיה ארהב</t>
  </si>
  <si>
    <t>IL0011459034</t>
  </si>
  <si>
    <t>3,664</t>
  </si>
  <si>
    <t>קסם גרמניה DAX 30</t>
  </si>
  <si>
    <t>IL0011465130</t>
  </si>
  <si>
    <t>6,991</t>
  </si>
  <si>
    <t>קסם ברזיל IBOV (GTR)</t>
  </si>
  <si>
    <t>IL0011460917</t>
  </si>
  <si>
    <t>7,722</t>
  </si>
  <si>
    <t>קסם.תלבונד צמ A</t>
  </si>
  <si>
    <t>IL0011763203</t>
  </si>
  <si>
    <t>3,884.83</t>
  </si>
  <si>
    <t>UBAM GLOBAL HIGH YIELD SOLUT</t>
  </si>
  <si>
    <t>RARWUTN1HKEHIBESC931</t>
  </si>
  <si>
    <t>LU0569863243</t>
  </si>
  <si>
    <t>24,221</t>
  </si>
  <si>
    <t>KOTAK FDS-INDIA MIDCAP(S)USD ACC</t>
  </si>
  <si>
    <t>549300P1V22EKK1UCL34</t>
  </si>
  <si>
    <t>LU2126068639</t>
  </si>
  <si>
    <t>1,608.31</t>
  </si>
  <si>
    <t>TRIGON-NEW EUROPE-A EUR</t>
  </si>
  <si>
    <t>529900TCN22XT0QUBM95</t>
  </si>
  <si>
    <t>LU1687402393</t>
  </si>
  <si>
    <t>19,588</t>
  </si>
  <si>
    <t>SUMITRUST JAP SMALL CAP</t>
  </si>
  <si>
    <t>635400ZILQTR9BRXTW62</t>
  </si>
  <si>
    <t>IE00BLD2G458</t>
  </si>
  <si>
    <t>22,322.06</t>
  </si>
  <si>
    <t>BSP Advisors ltd</t>
  </si>
  <si>
    <t>29549</t>
  </si>
  <si>
    <t>CIFC Senior Secured Corporate Loan Fund</t>
  </si>
  <si>
    <t>KYG2139S1277</t>
  </si>
  <si>
    <t>135,347.6</t>
  </si>
  <si>
    <t>PRIN GL FIN UN EM FI-I3 USD</t>
  </si>
  <si>
    <t>CUMYEZ0AF02RYZ1JJ85</t>
  </si>
  <si>
    <t>IE00BKDW9G15</t>
  </si>
  <si>
    <t>1,192.94</t>
  </si>
  <si>
    <t>Ninety One Global Strategy Fund</t>
  </si>
  <si>
    <t>213800UKAB0FL2FFQV69</t>
  </si>
  <si>
    <t>91GSF-EM MK CD-I ACC USD</t>
  </si>
  <si>
    <t>LU0611395327</t>
  </si>
  <si>
    <t>3,514</t>
  </si>
  <si>
    <t>INVESCO US SENIOR LOAN-G</t>
  </si>
  <si>
    <t>549300HQ8IBAX0TXDL49</t>
  </si>
  <si>
    <t>LU0564079282</t>
  </si>
  <si>
    <t>18,382</t>
  </si>
  <si>
    <t>איביאי (5D) TECH FUND-טכנולוגיה עילית</t>
  </si>
  <si>
    <t>510791031</t>
  </si>
  <si>
    <t>אי בי אי טכ עילית</t>
  </si>
  <si>
    <t>IL0011425381</t>
  </si>
  <si>
    <t>72.4</t>
  </si>
  <si>
    <t>KBI ENERGY SOLUTIONS-AUSDACC</t>
  </si>
  <si>
    <t>635400UCQYVG094KDT51</t>
  </si>
  <si>
    <t>IE00BNGJJ156</t>
  </si>
  <si>
    <t>1,090.6</t>
  </si>
  <si>
    <t>COMGEST GROWTH EUROPE EUR IA</t>
  </si>
  <si>
    <t>635400JYB1RHBTRDH390</t>
  </si>
  <si>
    <t>IE00B5WN3467</t>
  </si>
  <si>
    <t>4,933</t>
  </si>
  <si>
    <t>ARTEMIS UK SELECT FUND-INS A</t>
  </si>
  <si>
    <t>2JE75BUE3T1BLCYYGK54</t>
  </si>
  <si>
    <t>GB00B2PLJG05</t>
  </si>
  <si>
    <t>1,024.45</t>
  </si>
  <si>
    <t>SCHRODER INT-GRT CHNA-IZ</t>
  </si>
  <si>
    <t>E6UHSP0BKJBKA5PR6370</t>
  </si>
  <si>
    <t>LU1953148969</t>
  </si>
  <si>
    <t>11,001.88</t>
  </si>
  <si>
    <t>HARBOURVEST GLOBAL PRIVA</t>
  </si>
  <si>
    <t>5493001MCDH7I6NIXC24</t>
  </si>
  <si>
    <t>GG00BR30MJ80</t>
  </si>
  <si>
    <t>2,440</t>
  </si>
  <si>
    <t>סיפיה אופציה 1</t>
  </si>
  <si>
    <t>IL0011820052</t>
  </si>
  <si>
    <t>31/08/2024</t>
  </si>
  <si>
    <t>664</t>
  </si>
  <si>
    <t>1</t>
  </si>
  <si>
    <t>12.4</t>
  </si>
  <si>
    <t>ריט אזורים אפ 1</t>
  </si>
  <si>
    <t>IL0012010117</t>
  </si>
  <si>
    <t>550</t>
  </si>
  <si>
    <t>5.6</t>
  </si>
  <si>
    <t>הבורסה לניירות ערך בתל אביב בע"מ</t>
  </si>
  <si>
    <t>520020033</t>
  </si>
  <si>
    <t>P 2040 OCT</t>
  </si>
  <si>
    <t>85108306</t>
  </si>
  <si>
    <t>25/10/2024</t>
  </si>
  <si>
    <t>2,040</t>
  </si>
  <si>
    <t>5,950,000</t>
  </si>
  <si>
    <t>C 2040 OCT</t>
  </si>
  <si>
    <t>85107472</t>
  </si>
  <si>
    <t>49,500,000</t>
  </si>
  <si>
    <t>US 10YR ULTRA F התחייבות</t>
  </si>
  <si>
    <t>730864151</t>
  </si>
  <si>
    <t>0</t>
  </si>
  <si>
    <t>100</t>
  </si>
  <si>
    <t>S&amp;P500 EMINI FU התחייבות</t>
  </si>
  <si>
    <t>730629031</t>
  </si>
  <si>
    <t>NASDAQ 100 E-MI התחייבות</t>
  </si>
  <si>
    <t>730657401</t>
  </si>
  <si>
    <t>NASDAQ 100 E-MINI</t>
  </si>
  <si>
    <t>30240</t>
  </si>
  <si>
    <t>NASDAQ 100 E-MINI Dec24</t>
  </si>
  <si>
    <t>73065740</t>
  </si>
  <si>
    <t>40,522,500</t>
  </si>
  <si>
    <t>S&amp;P 500 EMINI FUT</t>
  </si>
  <si>
    <t>28933</t>
  </si>
  <si>
    <t>S&amp;P500 EMINI FUT  Dec24</t>
  </si>
  <si>
    <t>73062903</t>
  </si>
  <si>
    <t>29,071,250</t>
  </si>
  <si>
    <t>US 10YR NOTE FUT</t>
  </si>
  <si>
    <t>29024</t>
  </si>
  <si>
    <t>US 10yr Ultra Fut Dec24</t>
  </si>
  <si>
    <t>73086415</t>
  </si>
  <si>
    <t>11,829,687.5</t>
  </si>
  <si>
    <t>אלה פקדונות בע"מ</t>
  </si>
  <si>
    <t>515666881</t>
  </si>
  <si>
    <t>אלה פקדון אגח ה</t>
  </si>
  <si>
    <t>IL0011625774</t>
  </si>
  <si>
    <t>106.4</t>
  </si>
  <si>
    <t>קרדיטו הנפקות בע"מ</t>
  </si>
  <si>
    <t>516804499</t>
  </si>
  <si>
    <t>קרדיטו אגח א</t>
  </si>
  <si>
    <t>IL0012103276</t>
  </si>
  <si>
    <t>108.08</t>
  </si>
  <si>
    <t>אלה פקדון אגח ד</t>
  </si>
  <si>
    <t>IL0011623043</t>
  </si>
  <si>
    <t>108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</si>
  <si>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</si>
  <si>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</si>
  <si>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</si>
  <si>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</si>
  <si>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</si>
  <si>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</si>
  <si>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</si>
  <si>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</si>
  <si>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</si>
  <si>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</si>
  <si>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</si>
  <si>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</si>
  <si>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</si>
  <si>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96.56</t>
  </si>
  <si>
    <t>מקורות אג"ח 8</t>
  </si>
  <si>
    <t>IL0011243461</t>
  </si>
  <si>
    <t>14/07/2011</t>
  </si>
  <si>
    <t>14/07/2048</t>
  </si>
  <si>
    <t>128.75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</si>
  <si>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</si>
  <si>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</si>
  <si>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</si>
  <si>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</si>
  <si>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</si>
  <si>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</si>
  <si>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</si>
  <si>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</si>
  <si>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 תיכוניים</t>
  </si>
  <si>
    <t>IL0039800185</t>
  </si>
  <si>
    <t>09/11/2020</t>
  </si>
  <si>
    <t>31/01/2001</t>
  </si>
  <si>
    <t>פלדה אג1 מפ 1/00 תיכוניים</t>
  </si>
  <si>
    <t>39800421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</si>
  <si>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</si>
  <si>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</si>
  <si>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</si>
  <si>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</si>
  <si>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</si>
  <si>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</si>
  <si>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</si>
  <si>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</si>
  <si>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</si>
  <si>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</si>
  <si>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</si>
  <si>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</si>
  <si>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105.74</t>
  </si>
  <si>
    <t>רייכרט תעשיות בע"מ</t>
  </si>
  <si>
    <t>520039652</t>
  </si>
  <si>
    <t>רייכרט</t>
  </si>
  <si>
    <t>IL0004760109</t>
  </si>
  <si>
    <t>דליה אנרגיות</t>
  </si>
  <si>
    <t>513708818</t>
  </si>
  <si>
    <t>דניאל קיסריה אנרגיה תיכוניים</t>
  </si>
  <si>
    <t>410231116</t>
  </si>
  <si>
    <t>01/11/2020</t>
  </si>
  <si>
    <t>743.5999</t>
  </si>
  <si>
    <t>אלפא מים השקעות</t>
  </si>
  <si>
    <t>515676765</t>
  </si>
  <si>
    <t>אלפא מים פרטנרס</t>
  </si>
  <si>
    <t>410512171</t>
  </si>
  <si>
    <t>26/04/2021</t>
  </si>
  <si>
    <t>313.5737</t>
  </si>
  <si>
    <t>קיסטון-אגד (שותפות)</t>
  </si>
  <si>
    <t>540316205</t>
  </si>
  <si>
    <t>410110522</t>
  </si>
  <si>
    <t>11/05/2022</t>
  </si>
  <si>
    <t>126.5705</t>
  </si>
  <si>
    <t>סטורדוט בע"מ</t>
  </si>
  <si>
    <t>514820117</t>
  </si>
  <si>
    <t>סטורדוט השקעה במניות</t>
  </si>
  <si>
    <t>410130917</t>
  </si>
  <si>
    <t>04/11/2020</t>
  </si>
  <si>
    <t>8.1108</t>
  </si>
  <si>
    <t>מנרב ואסנס שותפות</t>
  </si>
  <si>
    <t>30576</t>
  </si>
  <si>
    <t>4</t>
  </si>
  <si>
    <t>מנרב אסנס Co invest תיכוניים</t>
  </si>
  <si>
    <t>410050821</t>
  </si>
  <si>
    <t>11/09/2022</t>
  </si>
  <si>
    <t>99.1576</t>
  </si>
  <si>
    <t>יו.וי.איי בע"מ</t>
  </si>
  <si>
    <t>514234202</t>
  </si>
  <si>
    <t>UVEYE מניות בכורה ג'</t>
  </si>
  <si>
    <t>410130521</t>
  </si>
  <si>
    <t>13/05/2021</t>
  </si>
  <si>
    <t>830.05</t>
  </si>
  <si>
    <t>אלפא מים פרטנרס 2 תיכוניים</t>
  </si>
  <si>
    <t>412702191</t>
  </si>
  <si>
    <t>132.5601</t>
  </si>
  <si>
    <t>TIPA CORP LTD</t>
  </si>
  <si>
    <t>514420660</t>
  </si>
  <si>
    <t>TIPA</t>
  </si>
  <si>
    <t>410110122</t>
  </si>
  <si>
    <t>11/01/2022</t>
  </si>
  <si>
    <t>דרך הצפון (ע.ג.), שותפות מוגבלת</t>
  </si>
  <si>
    <t>30027</t>
  </si>
  <si>
    <t>דרך הצפון (ע.ג.), שותפות</t>
  </si>
  <si>
    <t>410080317</t>
  </si>
  <si>
    <t>86.7078</t>
  </si>
  <si>
    <t>Silk Technologies Inc</t>
  </si>
  <si>
    <t>30544</t>
  </si>
  <si>
    <t>Silk Technologies Inc תיכוניים</t>
  </si>
  <si>
    <t>410250321</t>
  </si>
  <si>
    <t>25/03/2021</t>
  </si>
  <si>
    <t>402</t>
  </si>
  <si>
    <t>עיינה</t>
  </si>
  <si>
    <t>29927</t>
  </si>
  <si>
    <t>AYANA Common Shares (from 2017 CLA Conversion)</t>
  </si>
  <si>
    <t>410160719</t>
  </si>
  <si>
    <t>359.5</t>
  </si>
  <si>
    <t>Quantum Machines</t>
  </si>
  <si>
    <t>30655</t>
  </si>
  <si>
    <t>Quantum Machines תיכוניים</t>
  </si>
  <si>
    <t>410090822</t>
  </si>
  <si>
    <t>09/08/2022</t>
  </si>
  <si>
    <t>610.4596</t>
  </si>
  <si>
    <t>AYANA Preferred A Shares (SPA 2019)</t>
  </si>
  <si>
    <t>410210519</t>
  </si>
  <si>
    <t>38,650</t>
  </si>
  <si>
    <t>ויולה גנריישן ניהול</t>
  </si>
  <si>
    <t>412308182</t>
  </si>
  <si>
    <t>2,746.8259</t>
  </si>
  <si>
    <t>AYANA Preferred A Shares (from 2020/21 CLA Convers</t>
  </si>
  <si>
    <t>410291222</t>
  </si>
  <si>
    <t>29/12/2022</t>
  </si>
  <si>
    <t>363</t>
  </si>
  <si>
    <t>Resonai</t>
  </si>
  <si>
    <t>514996362</t>
  </si>
  <si>
    <t>410120322</t>
  </si>
  <si>
    <t>13/03/2022</t>
  </si>
  <si>
    <t>12.5</t>
  </si>
  <si>
    <t>imm - vx limited partnership</t>
  </si>
  <si>
    <t>540303765</t>
  </si>
  <si>
    <t>VELOX- IMM - VX LP</t>
  </si>
  <si>
    <t>400090821</t>
  </si>
  <si>
    <t>10/08/2021</t>
  </si>
  <si>
    <t>4.3999</t>
  </si>
  <si>
    <t>סילנטיום בע"מ</t>
  </si>
  <si>
    <t>512491143</t>
  </si>
  <si>
    <t>Silentium - D-2</t>
  </si>
  <si>
    <t>410070621</t>
  </si>
  <si>
    <t>07/06/2021</t>
  </si>
  <si>
    <t>3.6564</t>
  </si>
  <si>
    <t>טווין פתרונות בע"מ</t>
  </si>
  <si>
    <t>515218717</t>
  </si>
  <si>
    <t>TWINE</t>
  </si>
  <si>
    <t>410140521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</si>
  <si>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</si>
  <si>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</si>
  <si>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</si>
  <si>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</si>
  <si>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</si>
  <si>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</si>
  <si>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</si>
  <si>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</si>
  <si>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אדאקום טכנולוגיות בע"מ</t>
  </si>
  <si>
    <t>239</t>
  </si>
  <si>
    <t>אדאקום  1 ש"ח תיכוניים</t>
  </si>
  <si>
    <t>2390121</t>
  </si>
  <si>
    <t>אלון דלק מניה לא סחירה</t>
  </si>
  <si>
    <t>410051117</t>
  </si>
  <si>
    <t>גולדן קפיטל גרמניה</t>
  </si>
  <si>
    <t>30205</t>
  </si>
  <si>
    <t>עסקת נדל"ן גולדן קפיטל גרמניה תיכוניים</t>
  </si>
  <si>
    <t>410190618</t>
  </si>
  <si>
    <t>136.0783</t>
  </si>
  <si>
    <t>אינטגרה</t>
  </si>
  <si>
    <t>29265</t>
  </si>
  <si>
    <t>אינטגרה תיכוניים</t>
  </si>
  <si>
    <t>41050513</t>
  </si>
  <si>
    <t>27.0465</t>
  </si>
  <si>
    <t>ת.ש.י דרכים ש.מ</t>
  </si>
  <si>
    <t>550224620</t>
  </si>
  <si>
    <t>ת.ש.י דרכים ש.מ class a תיכוניים</t>
  </si>
  <si>
    <t>410301210</t>
  </si>
  <si>
    <t>198.1422</t>
  </si>
  <si>
    <t>תשי דרכים ש.מ. class a1 תיכוניים</t>
  </si>
  <si>
    <t>412506130</t>
  </si>
  <si>
    <t>193.6551</t>
  </si>
  <si>
    <t>קרן תשתיות ישראל 1</t>
  </si>
  <si>
    <t>513858407</t>
  </si>
  <si>
    <t>תש"י 431 (כביש 431) ש.מ</t>
  </si>
  <si>
    <t>410130611</t>
  </si>
  <si>
    <t>103.4859</t>
  </si>
  <si>
    <t>פויכטונגר השקעות 1984 בע"מ</t>
  </si>
  <si>
    <t>1123</t>
  </si>
  <si>
    <t>פויכטונגר השק 0.01</t>
  </si>
  <si>
    <t>108532311</t>
  </si>
  <si>
    <t>טנא הון צמיחה 4 שותפות מוגבלת</t>
  </si>
  <si>
    <t>טנא הון צמיחה 4</t>
  </si>
  <si>
    <t>410150118</t>
  </si>
  <si>
    <t>פימי 6 2016 בעמ</t>
  </si>
  <si>
    <t>פימי 6 אופורטוניטי ישראל FIMI תיכוניים</t>
  </si>
  <si>
    <t>412107161</t>
  </si>
  <si>
    <t>Peregrine IV General Partner LP Limited Partnership</t>
  </si>
  <si>
    <t>פרגרין ונצ'רם</t>
  </si>
  <si>
    <t>410170719</t>
  </si>
  <si>
    <t>טנא קרן להשקעות בתעשייה הקיבוצית שותפות מוגבלת</t>
  </si>
  <si>
    <t>קרן טנא תיכוניים</t>
  </si>
  <si>
    <t>410241213</t>
  </si>
  <si>
    <t>Stage One Capital (GP) II, L.P</t>
  </si>
  <si>
    <t>STAGE 1</t>
  </si>
  <si>
    <t>41270715</t>
  </si>
  <si>
    <t>פימי 7 2020 בעמ</t>
  </si>
  <si>
    <t>פימי 7 תיכוניים</t>
  </si>
  <si>
    <t>41310321</t>
  </si>
  <si>
    <t>STAGE ONE II SPV SRFT, L.P</t>
  </si>
  <si>
    <t>STAGE ONE II SPV SRFT, LIMITED</t>
  </si>
  <si>
    <t>410110322</t>
  </si>
  <si>
    <t>Vintage Secondary V GP, L.P.</t>
  </si>
  <si>
    <t>Vintage Secondary V</t>
  </si>
  <si>
    <t>413012217</t>
  </si>
  <si>
    <t>ס.ה. סקיי 4 ניהול שותפות מוגבלת</t>
  </si>
  <si>
    <t>SKY 4 LIMITED תיכוניים</t>
  </si>
  <si>
    <t>410170322</t>
  </si>
  <si>
    <t>Fortissimo Capital Fund VI GP, L.P</t>
  </si>
  <si>
    <t>Fortissimo Fund VI</t>
  </si>
  <si>
    <t>410171023</t>
  </si>
  <si>
    <t>Presidio Management Group XIII, L.P.</t>
  </si>
  <si>
    <t>USVP XIII תיכוניים</t>
  </si>
  <si>
    <t>410120123</t>
  </si>
  <si>
    <t>פימי חמש 2020 בעמ</t>
  </si>
  <si>
    <t>FIMI OPPORTUNITY V</t>
  </si>
  <si>
    <t>412708122</t>
  </si>
  <si>
    <t>OEP VIII General Partner, L.P.</t>
  </si>
  <si>
    <t>OEP VIII-A</t>
  </si>
  <si>
    <t>410280422</t>
  </si>
  <si>
    <t>Insight Venture Associates X, L.P.</t>
  </si>
  <si>
    <t>INSIGHT X</t>
  </si>
  <si>
    <t>410170418</t>
  </si>
  <si>
    <t>HarbourVest Partners, LLC</t>
  </si>
  <si>
    <t>Harbourvest Dover 10</t>
  </si>
  <si>
    <t>410130120</t>
  </si>
  <si>
    <t>ECP Calpine Fund GP, LP</t>
  </si>
  <si>
    <t>ECP Calpine Cont תיכוניים</t>
  </si>
  <si>
    <t>410010722</t>
  </si>
  <si>
    <t>Hamilton Lane Advisors, LLC</t>
  </si>
  <si>
    <t>Hamilton Lane CI IV</t>
  </si>
  <si>
    <t>410290519</t>
  </si>
  <si>
    <t>Insight Associates XI, L.P.</t>
  </si>
  <si>
    <t>Insight Partners XI</t>
  </si>
  <si>
    <t>410240320</t>
  </si>
  <si>
    <t>LLCP Partners VI GP, L.P.</t>
  </si>
  <si>
    <t>Levine Leichtman VI</t>
  </si>
  <si>
    <t>410010218</t>
  </si>
  <si>
    <t>EQT Infrastructure V (General Partner) S.? r.l.</t>
  </si>
  <si>
    <t>EQT Infrastructure V</t>
  </si>
  <si>
    <t>410811201</t>
  </si>
  <si>
    <t>Hamilton Lane Equity Oppo</t>
  </si>
  <si>
    <t>410241022</t>
  </si>
  <si>
    <t>EMIF II Management LLC</t>
  </si>
  <si>
    <t>Electra Multifamily II</t>
  </si>
  <si>
    <t>410190718</t>
  </si>
  <si>
    <t>ALEMIF III Management LLC</t>
  </si>
  <si>
    <t>אלקטרה נדל"ן 3</t>
  </si>
  <si>
    <t>410140420</t>
  </si>
  <si>
    <t>CVC Capital Partners VIII Limited</t>
  </si>
  <si>
    <t>CVC CAPITAL PARTNERS VIII</t>
  </si>
  <si>
    <t>410811203</t>
  </si>
  <si>
    <t>PGCO V GP (Lux) S.? r.l</t>
  </si>
  <si>
    <t>Pantheon G-CI Opp V</t>
  </si>
  <si>
    <t>410260421</t>
  </si>
  <si>
    <t>HAMILTON LANE SECONDARY FEEDER FUND V-B LP</t>
  </si>
  <si>
    <t>410210221</t>
  </si>
  <si>
    <t>Primavera Capital GP IV Ltd.</t>
  </si>
  <si>
    <t>Primavera Capital Fund IV</t>
  </si>
  <si>
    <t>410250521</t>
  </si>
  <si>
    <t>Coller Investment Management Limited</t>
  </si>
  <si>
    <t>Coller VIII</t>
  </si>
  <si>
    <t>410281220</t>
  </si>
  <si>
    <t>PGSF VII GP S.? r.l.</t>
  </si>
  <si>
    <t>Pantheon Global Secondary</t>
  </si>
  <si>
    <t>41200520</t>
  </si>
  <si>
    <t>ICG Europe Fund VII GP S.? r.l.</t>
  </si>
  <si>
    <t>ICG Europe VII תיכוניים</t>
  </si>
  <si>
    <t>410230818</t>
  </si>
  <si>
    <t>Schroders Capital Private Equity Secondaries Management IV S.? r.l.</t>
  </si>
  <si>
    <t>Schroders Capital</t>
  </si>
  <si>
    <t>410210222</t>
  </si>
  <si>
    <t>EQT IX (General Partner) S.?.r.l.</t>
  </si>
  <si>
    <t>EQT IX</t>
  </si>
  <si>
    <t>410811202</t>
  </si>
  <si>
    <t>Fortissimo Capital Fund V (GP), L.P</t>
  </si>
  <si>
    <t>FORTTISSIMO V</t>
  </si>
  <si>
    <t>411304201</t>
  </si>
  <si>
    <t>ALEMIF IV Management LLC</t>
  </si>
  <si>
    <t>אלקטרה נדל"ן 4</t>
  </si>
  <si>
    <t>410250722</t>
  </si>
  <si>
    <t>Primavera Capital Fund Investment GP M Ltd.</t>
  </si>
  <si>
    <t>Primavera Capital M (Mead</t>
  </si>
  <si>
    <t>410060122</t>
  </si>
  <si>
    <t>Electra Capital PM, LLC</t>
  </si>
  <si>
    <t>Electra Capital PM</t>
  </si>
  <si>
    <t>410140920</t>
  </si>
  <si>
    <t>Pantheon PGIF IV GP (Lux) S.? r.l</t>
  </si>
  <si>
    <t>Pantheon Global Secondary Fund VII תיכוניים</t>
  </si>
  <si>
    <t>410020823</t>
  </si>
  <si>
    <t>RRED GP, LLC</t>
  </si>
  <si>
    <t>Related</t>
  </si>
  <si>
    <t>410061221</t>
  </si>
  <si>
    <t>AMI GP LP Inc</t>
  </si>
  <si>
    <t>אייפקס מדיום ישראל תיכוניים</t>
  </si>
  <si>
    <t>412012152</t>
  </si>
  <si>
    <t>Insight Associates XII, LP.</t>
  </si>
  <si>
    <t>Insight Partners XII</t>
  </si>
  <si>
    <t>410251121</t>
  </si>
  <si>
    <t>Mission Capital Co-investment GP II, L.P.</t>
  </si>
  <si>
    <t>Axiom Asia Co-in II</t>
  </si>
  <si>
    <t>410261121</t>
  </si>
  <si>
    <t>Insight Associates XII Buyout Annex, L.P.</t>
  </si>
  <si>
    <t>Insight Partners XII Anne</t>
  </si>
  <si>
    <t>410161121</t>
  </si>
  <si>
    <t>ASF VIII INFRASTRUCTURE GP Limited</t>
  </si>
  <si>
    <t>ASF VIII Infrastructure</t>
  </si>
  <si>
    <t>410120821</t>
  </si>
  <si>
    <t>Corbel DSOF GP, LLC</t>
  </si>
  <si>
    <t>CORBEL DSOP תיכוניים</t>
  </si>
  <si>
    <t>410260722</t>
  </si>
  <si>
    <t>Stage One Capital (GP) III L.P</t>
  </si>
  <si>
    <t>STAGE ONE 3</t>
  </si>
  <si>
    <t>410160118</t>
  </si>
  <si>
    <t>Bridgepoint Europe VII GP LLP,</t>
  </si>
  <si>
    <t>BRIDGEPOINT EUROPE VII</t>
  </si>
  <si>
    <t>410120124</t>
  </si>
  <si>
    <t>Coller Capital - CIP IX תיכוניים</t>
  </si>
  <si>
    <t>410010724</t>
  </si>
  <si>
    <t>Gatewood Capital GP II LLC</t>
  </si>
  <si>
    <t>Gatewood II</t>
  </si>
  <si>
    <t>410290621</t>
  </si>
  <si>
    <t>Stage One Capital (GP) IV L.P.</t>
  </si>
  <si>
    <t>Stage One IV תיכוניים</t>
  </si>
  <si>
    <t>413012215</t>
  </si>
  <si>
    <t>EQT X תיכוניים</t>
  </si>
  <si>
    <t>410120623</t>
  </si>
  <si>
    <t>AMI II GP LP Inc</t>
  </si>
  <si>
    <t>AMI Opp. II תיכוניים</t>
  </si>
  <si>
    <t>410300622</t>
  </si>
  <si>
    <t>Dover Street XI Feeder Fu</t>
  </si>
  <si>
    <t>410200324</t>
  </si>
  <si>
    <t>HAMILTON LANE SECONDARY FUND VI-B LP תיכוניים</t>
  </si>
  <si>
    <t>410020724</t>
  </si>
  <si>
    <t>Stage One IV Annex</t>
  </si>
  <si>
    <t>413012216</t>
  </si>
  <si>
    <t>Coller IX GP Led and Direct</t>
  </si>
  <si>
    <t>410080824</t>
  </si>
  <si>
    <t>חברת שותף כללי  קרן תשתיות ישראל  3 בעמ</t>
  </si>
  <si>
    <t>תשתיות ישראל 3</t>
  </si>
  <si>
    <t>410191016</t>
  </si>
  <si>
    <t>תשתיות ישראל  ג'י. פי. 4 שותפות מוגבלת</t>
  </si>
  <si>
    <t>תשתיות ישראל 4</t>
  </si>
  <si>
    <t>410121020</t>
  </si>
  <si>
    <t>נוי אי. איי תשתיות ואנרגיה ג'י.פי, ש.מ</t>
  </si>
  <si>
    <t>קרן נוי 3 להשקעה בתשתיות אנרגי תיכוניים</t>
  </si>
  <si>
    <t>410260519</t>
  </si>
  <si>
    <t>נוי 4</t>
  </si>
  <si>
    <t>410310321</t>
  </si>
  <si>
    <t>Helios General 3 ltd</t>
  </si>
  <si>
    <t>הליוס אנרגיה מתחדשת 4 תיכוניים</t>
  </si>
  <si>
    <t>410251018</t>
  </si>
  <si>
    <t>תשתיות ישראל ג'י. פי. שותפות מוגבלת</t>
  </si>
  <si>
    <t>קרן תש"י - קרן 1</t>
  </si>
  <si>
    <t>410191007</t>
  </si>
  <si>
    <t>Pantheon Access GP S.? r.l</t>
  </si>
  <si>
    <t>פנתיאון אקסס</t>
  </si>
  <si>
    <t>410080518</t>
  </si>
  <si>
    <t>Pantheon GIF IV</t>
  </si>
  <si>
    <t>410300322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</si>
  <si>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</si>
  <si>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</si>
  <si>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</si>
  <si>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</si>
  <si>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</si>
  <si>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</si>
  <si>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אלפא לונג ביאס ג'י פי בעמ</t>
  </si>
  <si>
    <t>אלפא קרן גידור</t>
  </si>
  <si>
    <t>410300817</t>
  </si>
  <si>
    <t>קרן טוליפ קפיטל ג'י פי בעמ</t>
  </si>
  <si>
    <t>טוליפ קפיטל</t>
  </si>
  <si>
    <t>402301171</t>
  </si>
  <si>
    <t>אלפא ערך</t>
  </si>
  <si>
    <t>401270324</t>
  </si>
  <si>
    <t>ION Asset Management Ltd.</t>
  </si>
  <si>
    <t>ION ISRAEL FEEDER FUND LTD תיכוניים</t>
  </si>
  <si>
    <t>410300718</t>
  </si>
  <si>
    <t>יסודות מעטפת פיננסית גי'פי שותפות מוגבלת</t>
  </si>
  <si>
    <t>יסודות ג' נדלן ופיתוח שות</t>
  </si>
  <si>
    <t>410031219</t>
  </si>
  <si>
    <t>Klirmark Fund III (G.P) L.P</t>
  </si>
  <si>
    <t>KLIRMARK III תיכוניים</t>
  </si>
  <si>
    <t>41131119</t>
  </si>
  <si>
    <t>יסודות 2</t>
  </si>
  <si>
    <t>410300118</t>
  </si>
  <si>
    <t>קוגיטו קפיטל פאנד 2 שותף כללי בעמ</t>
  </si>
  <si>
    <t>קרן קוגיטו קפיטל</t>
  </si>
  <si>
    <t>413012214</t>
  </si>
  <si>
    <t>ריאליטי מימון שותף כללי בעמ</t>
  </si>
  <si>
    <t>ריאליטי מימון</t>
  </si>
  <si>
    <t>410310322</t>
  </si>
  <si>
    <t>הראל אלטרנטיב קרנות השקעה בעמ</t>
  </si>
  <si>
    <t>Harel Alternative Real Es</t>
  </si>
  <si>
    <t>410110523</t>
  </si>
  <si>
    <t>Klirmark Fund IV (G.P) L.P</t>
  </si>
  <si>
    <t>Klirmark Opportunity Fund</t>
  </si>
  <si>
    <t>410180423</t>
  </si>
  <si>
    <t>שקד השקעות (ג'י.פי) שותפות מוגבלת</t>
  </si>
  <si>
    <t>קרן שקד</t>
  </si>
  <si>
    <t>410180117</t>
  </si>
  <si>
    <t>קוגיטו קפיטל אל.אמ.אי שותף כללי, שותפות מוגבלת</t>
  </si>
  <si>
    <t>קוגיטו בי.אם.אי</t>
  </si>
  <si>
    <t>41040917</t>
  </si>
  <si>
    <t>קוגיטו קפיטל שותף כללי בעמ</t>
  </si>
  <si>
    <t>41210716</t>
  </si>
  <si>
    <t>יסודות א' נדלן ופיתוח שות</t>
  </si>
  <si>
    <t>410150115</t>
  </si>
  <si>
    <t>Direct Lending Fund III General Partner S.? r.l.</t>
  </si>
  <si>
    <t>BlueBay</t>
  </si>
  <si>
    <t>410300119</t>
  </si>
  <si>
    <t>HDL - HarbourVest Direct</t>
  </si>
  <si>
    <t>410140921</t>
  </si>
  <si>
    <t>MV Subordinated GP S.? r.l.</t>
  </si>
  <si>
    <t>MV Subordinated V</t>
  </si>
  <si>
    <t>410190821</t>
  </si>
  <si>
    <t>Frux Capital II GP SARL</t>
  </si>
  <si>
    <t>FRUX II</t>
  </si>
  <si>
    <t>410010422</t>
  </si>
  <si>
    <t>MV Senior GP S.? r.l</t>
  </si>
  <si>
    <t>MV SENIOR 2</t>
  </si>
  <si>
    <t>410170720</t>
  </si>
  <si>
    <t>Pagaya Auto loans Manager LP.</t>
  </si>
  <si>
    <t>Pagaya AUTO Class A תיכוניים</t>
  </si>
  <si>
    <t>413012212</t>
  </si>
  <si>
    <t>NB Credit Opportunities Associates II LP</t>
  </si>
  <si>
    <t>NB Credit Opportunities II תיכונים</t>
  </si>
  <si>
    <t>410170723</t>
  </si>
  <si>
    <t>Allianz</t>
  </si>
  <si>
    <t>Allianz APSL תיכוניים</t>
  </si>
  <si>
    <t>410190622</t>
  </si>
  <si>
    <t>CVC Credit Capital Solutions III גננות</t>
  </si>
  <si>
    <t>CVC Credit Capital Solutions III תיכוניים</t>
  </si>
  <si>
    <t>410111223</t>
  </si>
  <si>
    <t>*Monarch Alternative Capital LP</t>
  </si>
  <si>
    <t>Monarch Capital Partners VI תיכוניים</t>
  </si>
  <si>
    <t>410270323</t>
  </si>
  <si>
    <t>Penfund Capital Partners VII Inc.</t>
  </si>
  <si>
    <t>Penfund Capital VII</t>
  </si>
  <si>
    <t>410020422</t>
  </si>
  <si>
    <t>Pagaya AUTO Class B תיכוניים</t>
  </si>
  <si>
    <t>413012213</t>
  </si>
  <si>
    <t>שקד פרטנרס 2 ג'י.פי. בעמ</t>
  </si>
  <si>
    <t>שקד 2 תיכוניים</t>
  </si>
  <si>
    <t>410120723</t>
  </si>
  <si>
    <t>harbourvest Direct lending 2 Associats LP</t>
  </si>
  <si>
    <t>harbourvest Direct lending 2 Parallel Fund LP</t>
  </si>
  <si>
    <t>410250724</t>
  </si>
  <si>
    <t>Viola Credit ALF III (2), L.P</t>
  </si>
  <si>
    <t>410300724</t>
  </si>
  <si>
    <t>Penfund Capital VII CO-IN</t>
  </si>
  <si>
    <t>410030422</t>
  </si>
  <si>
    <t>ריאליטי שותף כללי 4 בעמ</t>
  </si>
  <si>
    <t>ריאליטי 4</t>
  </si>
  <si>
    <t>410300519</t>
  </si>
  <si>
    <t>ג'יי.טי.אל.וי 3 ש.כ. בעמ</t>
  </si>
  <si>
    <t>JTLV3 תיכוניים</t>
  </si>
  <si>
    <t>410100622</t>
  </si>
  <si>
    <t>Marathon Real Estate Fund</t>
  </si>
  <si>
    <t>410271220</t>
  </si>
  <si>
    <t>ריאליטי 5</t>
  </si>
  <si>
    <t>410201123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</si>
  <si>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</si>
  <si>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</si>
  <si>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</si>
  <si>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</si>
  <si>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</si>
  <si>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Blackstone Real Estate Associates IX L.P.</t>
  </si>
  <si>
    <t>קרן בלקסטון 9</t>
  </si>
  <si>
    <t>410190919</t>
  </si>
  <si>
    <t>Brookfield Strategic Real Estate Partners III GP L.P.</t>
  </si>
  <si>
    <t>קרן ברוקפילד</t>
  </si>
  <si>
    <t>410100419</t>
  </si>
  <si>
    <t>FRG-X GP,LP</t>
  </si>
  <si>
    <t>Faropoint Logistic II (FR</t>
  </si>
  <si>
    <t>410280621</t>
  </si>
  <si>
    <t>Madison Realty Capital Debt Fund V GP LLC</t>
  </si>
  <si>
    <t>Madison Realty Capital De</t>
  </si>
  <si>
    <t>410200520</t>
  </si>
  <si>
    <t>AP Fund II GP, LLC</t>
  </si>
  <si>
    <t>בלו אטלנטיק 2</t>
  </si>
  <si>
    <t>41220617</t>
  </si>
  <si>
    <t>LCN European Fund III GP S.? r.l.</t>
  </si>
  <si>
    <t>LCN III</t>
  </si>
  <si>
    <t>410140520</t>
  </si>
  <si>
    <t>AP Fund I GP, LLC</t>
  </si>
  <si>
    <t>בלו אטלנטיק פרטנרס</t>
  </si>
  <si>
    <t>41200616</t>
  </si>
  <si>
    <t>AP Fund III GP, LLC</t>
  </si>
  <si>
    <t>BLUE ATLANTIC PARTNER III</t>
  </si>
  <si>
    <t>410120819</t>
  </si>
  <si>
    <t>Alto</t>
  </si>
  <si>
    <t>ALTO FUND III</t>
  </si>
  <si>
    <t>41131217</t>
  </si>
  <si>
    <t>FORMA FUND GENERAL PARTNER LTD</t>
  </si>
  <si>
    <t>Forma Fund</t>
  </si>
  <si>
    <t>410260318</t>
  </si>
  <si>
    <t>Northwind Debt Fund II GP LLC</t>
  </si>
  <si>
    <t>Northwind Debt Fund II תיכוניים</t>
  </si>
  <si>
    <t>410201023</t>
  </si>
  <si>
    <t>FRG-X-GP,LP</t>
  </si>
  <si>
    <t>Faropoint III תיכוניים</t>
  </si>
  <si>
    <t>410060624</t>
  </si>
  <si>
    <t>Rialto Partners GP V-Debt, LP</t>
  </si>
  <si>
    <t>Rialto Real Estate Fund V Debt, LP</t>
  </si>
  <si>
    <t>410270224</t>
  </si>
  <si>
    <t>אייג'יפי השקעות (ג'י.פי.אל.פי), שותפות מוגבלת.</t>
  </si>
  <si>
    <t>IGP INVESTMENTS II</t>
  </si>
  <si>
    <t>410150818</t>
  </si>
  <si>
    <t>הפניקס חוב נדל"ן תיכוניים</t>
  </si>
  <si>
    <t>413012211</t>
  </si>
  <si>
    <t>Windin` Capital Fund LP</t>
  </si>
  <si>
    <t>410140720</t>
  </si>
  <si>
    <t>Firstime Ventures III General Partner L.P.</t>
  </si>
  <si>
    <t>Firstime Ventures III L.P</t>
  </si>
  <si>
    <t>410241121</t>
  </si>
  <si>
    <t>פונטיפקס 5  ג'י.פי ש.מ</t>
  </si>
  <si>
    <t>קרן פונטיפקס 5</t>
  </si>
  <si>
    <t>410080418</t>
  </si>
  <si>
    <t>גרות' פרטנרס (ליכטמן ושני) שותפות מוגבלת</t>
  </si>
  <si>
    <t>קרן השקעה IGP</t>
  </si>
  <si>
    <t>410030214</t>
  </si>
  <si>
    <t>LOOL 2 Ventures GP LTD</t>
  </si>
  <si>
    <t>lool Ventures III</t>
  </si>
  <si>
    <t>410130322</t>
  </si>
  <si>
    <t>פונטיפקס 6  ג'י.פי ש.מ</t>
  </si>
  <si>
    <t>פונטיפקס 6</t>
  </si>
  <si>
    <t>410081120</t>
  </si>
  <si>
    <t>AGATE MEDICAL INVESTMENT</t>
  </si>
  <si>
    <t>410011107</t>
  </si>
  <si>
    <t>IGP SaferWorld תיכוניים</t>
  </si>
  <si>
    <t>410260619</t>
  </si>
  <si>
    <t>ICG Strategic Equity IV תיכוניים</t>
  </si>
  <si>
    <t>ICG SSF II</t>
  </si>
  <si>
    <t>GIP IV</t>
  </si>
  <si>
    <t>410221019</t>
  </si>
  <si>
    <t>Vintage Investments 11 (Access), L.P.</t>
  </si>
  <si>
    <t>קרן וינטאג' 5 אקסס</t>
  </si>
  <si>
    <t>401280818</t>
  </si>
  <si>
    <t>Welsch Carson XIII תיכוניים</t>
  </si>
  <si>
    <t>410270619</t>
  </si>
  <si>
    <t>ArcLight 3C SPV Fedder, L.P. תיכוניים</t>
  </si>
  <si>
    <t>410270722</t>
  </si>
  <si>
    <t>Bain Special Situation Eu</t>
  </si>
  <si>
    <t>41231018</t>
  </si>
  <si>
    <t>Vintage Fund of Funds VI (Access) GP, L.P.</t>
  </si>
  <si>
    <t>Vintage Fund of Funds VI</t>
  </si>
  <si>
    <t>410041120</t>
  </si>
  <si>
    <t>ICG NORTH AMEIRCA</t>
  </si>
  <si>
    <t>410250219</t>
  </si>
  <si>
    <t>Vintage Fund of Funds VII (Access) GP, L.P.</t>
  </si>
  <si>
    <t>Vintage FOF VII (Access)</t>
  </si>
  <si>
    <t>410140722</t>
  </si>
  <si>
    <t>Vintage Fund of Funds VI (Breakout) GP, L.P.</t>
  </si>
  <si>
    <t>410291020</t>
  </si>
  <si>
    <t>JP Growth Opportunity X, L.P.</t>
  </si>
  <si>
    <t>JVP Growth Opportunity X (C), L.P. תיכוניים</t>
  </si>
  <si>
    <t>410231123</t>
  </si>
  <si>
    <t>Faering International Growth III</t>
  </si>
  <si>
    <t>410090523</t>
  </si>
  <si>
    <t>IGP Investments III (g.p) 2022 Ltd</t>
  </si>
  <si>
    <t>IGP Investments Fund III תיכוניים</t>
  </si>
  <si>
    <t>410310724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</si>
  <si>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</si>
  <si>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</si>
  <si>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</si>
  <si>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</si>
  <si>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</si>
  <si>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AYANA   Warrants 2019 (SPA May 19)</t>
  </si>
  <si>
    <t>41110816</t>
  </si>
  <si>
    <t>400310716</t>
  </si>
  <si>
    <t>30/12/1899</t>
  </si>
  <si>
    <t>7,800</t>
  </si>
  <si>
    <t>AYANA  Warrants - CLA 2021 Conversion</t>
  </si>
  <si>
    <t>413005192</t>
  </si>
  <si>
    <t>0.0001</t>
  </si>
  <si>
    <t>31.12.25  AYANA  Warrants - CLA 2022</t>
  </si>
  <si>
    <t>410221123</t>
  </si>
  <si>
    <t>20/11/2023</t>
  </si>
  <si>
    <t>570002556</t>
  </si>
  <si>
    <t>3.768</t>
  </si>
  <si>
    <t>USDILS</t>
  </si>
  <si>
    <t>11/09/2024</t>
  </si>
  <si>
    <t>15/10/2024</t>
  </si>
  <si>
    <t>570002529</t>
  </si>
  <si>
    <t>3.733</t>
  </si>
  <si>
    <t>29/07/2024</t>
  </si>
  <si>
    <t>570002518</t>
  </si>
  <si>
    <t>4.686</t>
  </si>
  <si>
    <t>GBPILS</t>
  </si>
  <si>
    <t>15/07/2024</t>
  </si>
  <si>
    <t>570002517</t>
  </si>
  <si>
    <t>3.9397</t>
  </si>
  <si>
    <t>EURILS</t>
  </si>
  <si>
    <t>570002516</t>
  </si>
  <si>
    <t>3.612</t>
  </si>
  <si>
    <t>570002538</t>
  </si>
  <si>
    <t>4.0852</t>
  </si>
  <si>
    <t>19/08/2024</t>
  </si>
  <si>
    <t>19/11/2024</t>
  </si>
  <si>
    <t>570002510</t>
  </si>
  <si>
    <t>4.7068</t>
  </si>
  <si>
    <t>09/07/2024</t>
  </si>
  <si>
    <t>08/10/2024</t>
  </si>
  <si>
    <t>570002537</t>
  </si>
  <si>
    <t>3.701</t>
  </si>
  <si>
    <t>570002508</t>
  </si>
  <si>
    <t>3.9752</t>
  </si>
  <si>
    <t>570002509</t>
  </si>
  <si>
    <t>3.673</t>
  </si>
  <si>
    <t>570002503</t>
  </si>
  <si>
    <t>4.7258</t>
  </si>
  <si>
    <t>08/07/2024</t>
  </si>
  <si>
    <t>570002506</t>
  </si>
  <si>
    <t>3.685</t>
  </si>
  <si>
    <t>91100008</t>
  </si>
  <si>
    <t>31/08/2003</t>
  </si>
  <si>
    <t>01/01/2021</t>
  </si>
  <si>
    <t>1.0114</t>
  </si>
  <si>
    <t>90552313</t>
  </si>
  <si>
    <t>10/01/2023</t>
  </si>
  <si>
    <t>Baa3.il</t>
  </si>
  <si>
    <t>10/01/2025</t>
  </si>
  <si>
    <t>22/11/2023</t>
  </si>
  <si>
    <t>106.54</t>
  </si>
  <si>
    <t>400290724</t>
  </si>
  <si>
    <t>נדל"ן מניב- אחר/לא מסווג</t>
  </si>
  <si>
    <t>29/12/2021</t>
  </si>
  <si>
    <t>18/11/2024</t>
  </si>
  <si>
    <t>90301000</t>
  </si>
  <si>
    <t>30/06/2048</t>
  </si>
  <si>
    <t>25/11/2023</t>
  </si>
  <si>
    <t>104.19</t>
  </si>
  <si>
    <t>90838510</t>
  </si>
  <si>
    <t>26/07/2017</t>
  </si>
  <si>
    <t>31/12/2036</t>
  </si>
  <si>
    <t>117.12</t>
  </si>
  <si>
    <t>90145563</t>
  </si>
  <si>
    <t>28/04/2015</t>
  </si>
  <si>
    <t>25/12/2023</t>
  </si>
  <si>
    <t>117.11</t>
  </si>
  <si>
    <t>70001003</t>
  </si>
  <si>
    <t>28/03/2018</t>
  </si>
  <si>
    <t>30/09/2045</t>
  </si>
  <si>
    <t>94.33</t>
  </si>
  <si>
    <t>410051217</t>
  </si>
  <si>
    <t>05/12/2017</t>
  </si>
  <si>
    <t>01/01/1753</t>
  </si>
  <si>
    <t>155.9035</t>
  </si>
  <si>
    <t>92060100</t>
  </si>
  <si>
    <t>12/07/2022</t>
  </si>
  <si>
    <t>25/03/2043</t>
  </si>
  <si>
    <t>100.39</t>
  </si>
  <si>
    <t>90300072</t>
  </si>
  <si>
    <t>27/11/2023</t>
  </si>
  <si>
    <t>25/08/2028</t>
  </si>
  <si>
    <t>103.02</t>
  </si>
  <si>
    <t>70001002</t>
  </si>
  <si>
    <t>31/10/2045</t>
  </si>
  <si>
    <t>97.07</t>
  </si>
  <si>
    <t>91084014</t>
  </si>
  <si>
    <t>נדל"ן מניב - מגורים (כולל דיור מוגן)</t>
  </si>
  <si>
    <t>10/03/2022</t>
  </si>
  <si>
    <t>26/12/2026</t>
  </si>
  <si>
    <t>30/11/2023</t>
  </si>
  <si>
    <t>102.33</t>
  </si>
  <si>
    <t>90145300</t>
  </si>
  <si>
    <t>31/12/2017</t>
  </si>
  <si>
    <t>01/01/2024</t>
  </si>
  <si>
    <t>115.2</t>
  </si>
  <si>
    <t>90410000</t>
  </si>
  <si>
    <t>20/10/2021</t>
  </si>
  <si>
    <t>20/10/2032</t>
  </si>
  <si>
    <t>108.18</t>
  </si>
  <si>
    <t>70001005</t>
  </si>
  <si>
    <t>128.76</t>
  </si>
  <si>
    <t>99110983</t>
  </si>
  <si>
    <t>06/02/2023</t>
  </si>
  <si>
    <t>04/02/2028</t>
  </si>
  <si>
    <t>01/01/2023</t>
  </si>
  <si>
    <t>103.3</t>
  </si>
  <si>
    <t>9139730</t>
  </si>
  <si>
    <t>29/09/2022</t>
  </si>
  <si>
    <t>10/12/2030</t>
  </si>
  <si>
    <t>22/09/2022</t>
  </si>
  <si>
    <t>112.57</t>
  </si>
  <si>
    <t>91410006</t>
  </si>
  <si>
    <t>05/08/2024</t>
  </si>
  <si>
    <t>04/08/2026</t>
  </si>
  <si>
    <t>101.73</t>
  </si>
  <si>
    <t>70001004</t>
  </si>
  <si>
    <t>118.17</t>
  </si>
  <si>
    <t>90552201</t>
  </si>
  <si>
    <t>24/05/2023</t>
  </si>
  <si>
    <t>24/11/2025</t>
  </si>
  <si>
    <t>01/09/2022</t>
  </si>
  <si>
    <t>105</t>
  </si>
  <si>
    <t>90300050</t>
  </si>
  <si>
    <t>31/05/2023</t>
  </si>
  <si>
    <t>99.4</t>
  </si>
  <si>
    <t>90300044</t>
  </si>
  <si>
    <t>99.44</t>
  </si>
  <si>
    <t>70001001</t>
  </si>
  <si>
    <t>117.85</t>
  </si>
  <si>
    <t>90107211</t>
  </si>
  <si>
    <t>02/06/2014</t>
  </si>
  <si>
    <t>30/06/2023</t>
  </si>
  <si>
    <t>100.78</t>
  </si>
  <si>
    <t>410271022</t>
  </si>
  <si>
    <t>29/08/2021</t>
  </si>
  <si>
    <t>91084024</t>
  </si>
  <si>
    <t>110.89</t>
  </si>
  <si>
    <t>90300043</t>
  </si>
  <si>
    <t>25/05/2023</t>
  </si>
  <si>
    <t>92060106</t>
  </si>
  <si>
    <t>19/06/2023</t>
  </si>
  <si>
    <t>101.63</t>
  </si>
  <si>
    <t>92060105</t>
  </si>
  <si>
    <t>16/11/2022</t>
  </si>
  <si>
    <t>102.14</t>
  </si>
  <si>
    <t>90552200</t>
  </si>
  <si>
    <t>105.03</t>
  </si>
  <si>
    <t>90301001</t>
  </si>
  <si>
    <t>98700001</t>
  </si>
  <si>
    <t>14/04/2022</t>
  </si>
  <si>
    <t>11/11/2023</t>
  </si>
  <si>
    <t>82.26</t>
  </si>
  <si>
    <t>90552204</t>
  </si>
  <si>
    <t>14/12/2023</t>
  </si>
  <si>
    <t>02/09/2022</t>
  </si>
  <si>
    <t>105.07</t>
  </si>
  <si>
    <t>90552202</t>
  </si>
  <si>
    <t>02/07/2023</t>
  </si>
  <si>
    <t>104.89</t>
  </si>
  <si>
    <t>90552100</t>
  </si>
  <si>
    <t>26/05/2022</t>
  </si>
  <si>
    <t>25/05/2025</t>
  </si>
  <si>
    <t>101.5</t>
  </si>
  <si>
    <t>90552203</t>
  </si>
  <si>
    <t>01/10/2023</t>
  </si>
  <si>
    <t>104.74</t>
  </si>
  <si>
    <t>410211123</t>
  </si>
  <si>
    <t>21/11/2023</t>
  </si>
  <si>
    <t>55.1863</t>
  </si>
  <si>
    <t>90838531</t>
  </si>
  <si>
    <t>28/11/2017</t>
  </si>
  <si>
    <t>116.24</t>
  </si>
  <si>
    <t>90552205</t>
  </si>
  <si>
    <t>01/04/2024</t>
  </si>
  <si>
    <t>24/11/2026</t>
  </si>
  <si>
    <t>102.67</t>
  </si>
  <si>
    <t>90552101</t>
  </si>
  <si>
    <t>04/01/2023</t>
  </si>
  <si>
    <t>01/01/2022</t>
  </si>
  <si>
    <t>102</t>
  </si>
  <si>
    <t>92060107</t>
  </si>
  <si>
    <t>24/09/2024</t>
  </si>
  <si>
    <t>25/03/2025</t>
  </si>
  <si>
    <t>100.17</t>
  </si>
  <si>
    <t>90552103</t>
  </si>
  <si>
    <t>02/04/2023</t>
  </si>
  <si>
    <t>102.47</t>
  </si>
  <si>
    <t>90552106</t>
  </si>
  <si>
    <t>07/12/2024</t>
  </si>
  <si>
    <t>102.35</t>
  </si>
  <si>
    <t>90552102</t>
  </si>
  <si>
    <t>12/03/2023</t>
  </si>
  <si>
    <t>102.4</t>
  </si>
  <si>
    <t>90838501</t>
  </si>
  <si>
    <t>01/05/2018</t>
  </si>
  <si>
    <t>116.59</t>
  </si>
  <si>
    <t>90552109</t>
  </si>
  <si>
    <t>12/10/2023</t>
  </si>
  <si>
    <t>90552104</t>
  </si>
  <si>
    <t>10/05/2023</t>
  </si>
  <si>
    <t>102.3</t>
  </si>
  <si>
    <t>90552107</t>
  </si>
  <si>
    <t>07/08/2023</t>
  </si>
  <si>
    <t>02/01/2022</t>
  </si>
  <si>
    <t>102.27</t>
  </si>
  <si>
    <t>90552108</t>
  </si>
  <si>
    <t>03/09/2023</t>
  </si>
  <si>
    <t>102.22</t>
  </si>
  <si>
    <t>90552112</t>
  </si>
  <si>
    <t>08/02/2024</t>
  </si>
  <si>
    <t>101.92</t>
  </si>
  <si>
    <t>90552113</t>
  </si>
  <si>
    <t>16/04/2024</t>
  </si>
  <si>
    <t>101.76</t>
  </si>
  <si>
    <t>90552110</t>
  </si>
  <si>
    <t>08/11/2023</t>
  </si>
  <si>
    <t>102.31</t>
  </si>
  <si>
    <t>90552111</t>
  </si>
  <si>
    <t>11/01/2024</t>
  </si>
  <si>
    <t>90552105</t>
  </si>
  <si>
    <t>05/06/2023</t>
  </si>
  <si>
    <t>102.37</t>
  </si>
  <si>
    <t>90552114</t>
  </si>
  <si>
    <t>28/08/2024</t>
  </si>
  <si>
    <t>100.7</t>
  </si>
  <si>
    <t>90146006</t>
  </si>
  <si>
    <t>30/12/2014</t>
  </si>
  <si>
    <t>28/06/2018</t>
  </si>
  <si>
    <t>90146007</t>
  </si>
  <si>
    <t>30/12/2019</t>
  </si>
  <si>
    <t>91721001</t>
  </si>
  <si>
    <t>20/11/2022</t>
  </si>
  <si>
    <t>1.0093</t>
  </si>
  <si>
    <t>91072009</t>
  </si>
  <si>
    <t>1.0142</t>
  </si>
  <si>
    <t>90150720</t>
  </si>
  <si>
    <t>28/10/1999</t>
  </si>
  <si>
    <t>156.29</t>
  </si>
  <si>
    <t>90150520</t>
  </si>
  <si>
    <t>28/09/2004</t>
  </si>
  <si>
    <t>152.94</t>
  </si>
  <si>
    <t>90150300</t>
  </si>
  <si>
    <t>28/06/2007</t>
  </si>
  <si>
    <t>142.61</t>
  </si>
  <si>
    <t>זכויות על תמלוגים במאגר תמר תיכוניים</t>
  </si>
  <si>
    <t>410311219</t>
  </si>
  <si>
    <t>ilBBB+</t>
  </si>
  <si>
    <t>113.5093</t>
  </si>
  <si>
    <t>רויאלטיז של אינטגרה תיכוניים</t>
  </si>
  <si>
    <t>410505131</t>
  </si>
  <si>
    <t>2.3371</t>
  </si>
  <si>
    <t xml:space="preserve">שם גליון </t>
  </si>
  <si>
    <t>קישור לגליון</t>
  </si>
  <si>
    <t/>
  </si>
  <si>
    <t>עמוד פתיחה</t>
  </si>
  <si>
    <t>ללא נתונים</t>
  </si>
  <si>
    <t>סכום נכסים</t>
  </si>
  <si>
    <t>לא סחיר מניות מבכ ויהש</t>
  </si>
  <si>
    <t>מניות מבכ ויהש</t>
  </si>
  <si>
    <t>520028390_gm_p_0324.xlsx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</si>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</sst>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5" formatCode="0.000"/>
    <numFmt numFmtId="166" formatCode="#,##0.000"/>
    <numFmt numFmtId="168" formatCode="#,##0.000##%"/>
    <numFmt numFmtId="171" formatCode="dd/mm/yyyy"/>
    <numFmt numFmtId="172" formatCode="0.0000%"/>
  </numFmts>
  <fonts count="3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30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horizontal="left" vertical="center" wrapText="1" indent="1"/>
      <protection locked="0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6" fontId="0" fillId="0" borderId="0" xfId="0" applyNumberFormat="1" applyFont="1"/>
    <xf numFmtId="0" fontId="27" fillId="7" borderId="17" xfId="0" applyFont="1" applyFill="1" applyBorder="1" applyAlignment="1">
      <alignment horizontal="right"/>
    </xf>
    <xf numFmtId="0" fontId="27" fillId="7" borderId="18" xfId="0" applyFont="1" applyFill="1" applyBorder="1" applyAlignment="1">
      <alignment horizontal="right"/>
    </xf>
    <xf numFmtId="165" fontId="0" fillId="0" borderId="0" xfId="0" applyNumberFormat="1"/>
    <xf numFmtId="0" fontId="0" fillId="0" borderId="17" xfId="0" applyFont="1" applyBorder="1" applyAlignment="1">
      <alignment horizontal="right"/>
    </xf>
    <xf numFmtId="0" fontId="29" fillId="5" borderId="0" xfId="0" applyFont="1" applyFill="1"/>
    <xf numFmtId="0" fontId="12" fillId="5" borderId="17" xfId="1" applyNumberFormat="1" applyFont="1" applyFill="1" applyBorder="1" applyAlignment="1">
      <alignment horizontal="right" vertical="center" wrapText="1" indent="1"/>
    </xf>
    <xf numFmtId="0" fontId="0" fillId="0" borderId="17" xfId="0" applyFont="1" applyBorder="1" applyAlignment="1">
      <alignment horizontal="right" vertical="top"/>
    </xf>
    <xf numFmtId="0" fontId="0" fillId="0" borderId="20" xfId="0" applyFont="1" applyBorder="1" applyAlignment="1">
      <alignment horizontal="right"/>
    </xf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30" fillId="0" borderId="18" xfId="3" applyBorder="1" applyAlignment="1">
      <alignment horizontal="right"/>
    </xf>
    <xf numFmtId="0" fontId="30" fillId="0" borderId="21" xfId="3" applyBorder="1" applyAlignment="1">
      <alignment horizontal="right"/>
    </xf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1" fillId="5" borderId="19" xfId="0" applyFont="1" applyFill="1" applyBorder="1" applyAlignment="1">
      <alignment vertical="center"/>
    </xf>
    <xf numFmtId="0" fontId="8" fillId="0" borderId="22" xfId="0" applyFont="1" applyBorder="1"/>
    <xf numFmtId="0" fontId="32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center" vertical="center" wrapText="1"/>
    </xf>
    <xf numFmtId="0" fontId="33" fillId="5" borderId="19" xfId="0" applyFont="1" applyFill="1" applyBorder="1" applyAlignment="1">
      <alignment horizontal="right" vertical="center"/>
    </xf>
    <xf numFmtId="0" fontId="33" fillId="5" borderId="19" xfId="0" applyFont="1" applyFill="1" applyBorder="1" applyAlignment="1">
      <alignment horizontal="center" vertical="center"/>
    </xf>
    <xf numFmtId="0" fontId="33" fillId="5" borderId="26" xfId="0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center" vertical="center" wrapText="1"/>
    </xf>
    <xf numFmtId="0" fontId="33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19" xfId="0" applyBorder="1"/>
    <xf numFmtId="165" fontId="0" fillId="0" borderId="19" xfId="0" applyNumberFormat="1" applyBorder="1"/>
    <xf numFmtId="0" fontId="29" fillId="5" borderId="19" xfId="0" applyFont="1" applyFill="1" applyBorder="1"/>
    <xf numFmtId="168" fontId="0" fillId="0" borderId="19" xfId="0" applyNumberFormat="1" applyFont="1" applyBorder="1"/>
    <xf numFmtId="168" fontId="0" fillId="0" borderId="24" xfId="0" applyNumberFormat="1" applyFont="1" applyBorder="1"/>
    <xf numFmtId="0" fontId="0" fillId="0" borderId="29" xfId="0" applyBorder="1"/>
    <xf numFmtId="0" fontId="0" fillId="0" borderId="30" xfId="0" applyBorder="1"/>
    <xf numFmtId="165" fontId="0" fillId="0" borderId="30" xfId="0" applyNumberFormat="1" applyBorder="1"/>
    <xf numFmtId="0" fontId="29" fillId="5" borderId="30" xfId="0" applyFont="1" applyFill="1" applyBorder="1"/>
    <xf numFmtId="168" fontId="0" fillId="0" borderId="30" xfId="0" applyNumberFormat="1" applyFont="1" applyBorder="1"/>
    <xf numFmtId="168" fontId="0" fillId="0" borderId="23" xfId="0" applyNumberFormat="1" applyFont="1" applyBorder="1"/>
    <xf numFmtId="0" fontId="28" fillId="0" borderId="25" xfId="0" applyNumberFormat="1" applyFont="1" applyFill="1" applyBorder="1" applyAlignment="1"/>
    <xf numFmtId="0" fontId="28" fillId="0" borderId="19" xfId="0" applyNumberFormat="1" applyFont="1" applyFill="1" applyBorder="1" applyAlignment="1"/>
    <xf numFmtId="0" fontId="29" fillId="5" borderId="24" xfId="0" applyFont="1" applyFill="1" applyBorder="1"/>
    <xf numFmtId="0" fontId="28" fillId="0" borderId="29" xfId="0" applyNumberFormat="1" applyFont="1" applyFill="1" applyBorder="1" applyAlignment="1"/>
    <xf numFmtId="0" fontId="28" fillId="0" borderId="30" xfId="0" applyNumberFormat="1" applyFont="1" applyFill="1" applyBorder="1" applyAlignment="1"/>
    <xf numFmtId="0" fontId="29" fillId="5" borderId="23" xfId="0" applyFont="1" applyFill="1" applyBorder="1"/>
    <xf numFmtId="171" fontId="2" fillId="0" borderId="19" xfId="0" applyNumberFormat="1" applyFont="1" applyBorder="1"/>
    <xf numFmtId="171" fontId="2" fillId="0" borderId="19" xfId="0" applyNumberFormat="1" applyFont="1" applyBorder="1" applyProtection="1">
      <protection locked="0"/>
    </xf>
    <xf numFmtId="171" fontId="0" fillId="0" borderId="19" xfId="0" applyNumberFormat="1" applyBorder="1"/>
    <xf numFmtId="171" fontId="5" fillId="0" borderId="19" xfId="0" applyNumberFormat="1" applyFont="1" applyBorder="1"/>
    <xf numFmtId="0" fontId="33" fillId="5" borderId="27" xfId="0" applyFont="1" applyFill="1" applyBorder="1" applyAlignment="1">
      <alignment horizontal="center" vertical="center" wrapText="1" readingOrder="2"/>
    </xf>
    <xf numFmtId="0" fontId="2" fillId="0" borderId="19" xfId="0" applyFont="1" applyBorder="1" applyProtection="1">
      <protection locked="0"/>
    </xf>
    <xf numFmtId="172" fontId="0" fillId="0" borderId="19" xfId="0" applyNumberFormat="1" applyBorder="1"/>
    <xf numFmtId="172" fontId="2" fillId="0" borderId="19" xfId="0" applyNumberFormat="1" applyFont="1" applyBorder="1" applyProtection="1">
      <protection locked="0"/>
    </xf>
    <xf numFmtId="0" fontId="2" fillId="0" borderId="19" xfId="0" applyFont="1" applyBorder="1"/>
    <xf numFmtId="172" fontId="2" fillId="0" borderId="19" xfId="0" applyNumberFormat="1" applyFont="1" applyBorder="1"/>
    <xf numFmtId="0" fontId="5" fillId="0" borderId="19" xfId="0" applyFont="1" applyBorder="1"/>
    <xf numFmtId="172" fontId="5" fillId="0" borderId="19" xfId="0" applyNumberFormat="1" applyFont="1" applyBorder="1"/>
    <xf numFmtId="171" fontId="0" fillId="0" borderId="24" xfId="0" applyNumberFormat="1" applyBorder="1"/>
    <xf numFmtId="171" fontId="2" fillId="0" borderId="24" xfId="0" applyNumberFormat="1" applyFont="1" applyBorder="1"/>
    <xf numFmtId="171" fontId="5" fillId="0" borderId="24" xfId="0" applyNumberFormat="1" applyFont="1" applyBorder="1"/>
    <xf numFmtId="0" fontId="34" fillId="0" borderId="0" xfId="0" applyFont="1"/>
    <xf numFmtId="0" fontId="8" fillId="0" borderId="0" xfId="0" applyFont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36" fillId="0" borderId="0" xfId="0" applyFont="1"/>
    <xf numFmtId="0" fontId="4" fillId="0" borderId="0" xfId="0" applyFont="1" applyAlignment="1">
      <alignment horizontal="center"/>
    </xf>
    <xf numFmtId="0" fontId="36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1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5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</border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4" headerRowBorderDxfId="920" tableBorderDxfId="921">
  <autoFilter ref="A2:E33"/>
  <tableColumns count="5">
    <tableColumn id="1" name="עמודה1" dataDxfId="919"/>
    <tableColumn id="2" name="עמודה2" dataDxfId="918"/>
    <tableColumn id="3" name="ידווח בקבצי נכסי הנוסטרו בלבד" dataDxfId="917"/>
    <tableColumn id="4" name="עמודה3" dataDxfId="916"/>
    <tableColumn id="5" name="עמודה4" dataDxfId="9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6" totalsRowShown="0" headerRowDxfId="869" headerRowBorderDxfId="888" tableBorderDxfId="889" totalsRowBorderDxfId="887">
  <autoFilter ref="A2:Q26"/>
  <tableColumns count="17">
    <tableColumn id="1" name="מספר קופה/קרן/ח.פ. עבור חברת ביטוח" dataDxfId="886"/>
    <tableColumn id="2" name="מספר מסלול" dataDxfId="885"/>
    <tableColumn id="3" name="שם הבנק" dataDxfId="884"/>
    <tableColumn id="4" name="מספר מזהה בנק" dataDxfId="883"/>
    <tableColumn id="5" name="סוג מספר מזהה בנק" dataDxfId="882"/>
    <tableColumn id="6" name="מאפיין עיקרי" dataDxfId="881"/>
    <tableColumn id="7" name="ישראל/חו&quot;ל" dataDxfId="880"/>
    <tableColumn id="8" name="בעל עניין/צד קשור" dataDxfId="879"/>
    <tableColumn id="9" name="דירוג הבנק" dataDxfId="878"/>
    <tableColumn id="10" name="שם מדרג" dataDxfId="877"/>
    <tableColumn id="11" name="מטבע פעילות" dataDxfId="876"/>
    <tableColumn id="12" name="שווי מטבעי" dataDxfId="875"/>
    <tableColumn id="13" name="שער חליפין" dataDxfId="874"/>
    <tableColumn id="14" name="שיעור ריבית" dataDxfId="873"/>
    <tableColumn id="15" name="שווי הוגן (באלפי ש&quot;ח)" dataDxfId="872"/>
    <tableColumn id="16" name="שיעור מנכסי אפיק ההשקעה" dataDxfId="871"/>
    <tableColumn id="17" name="שיעור מסך נכסי ההשקעה" dataDxfId="87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6" totalsRowShown="0" headerRowDxfId="839" dataDxfId="913" headerRowBorderDxfId="867" tableBorderDxfId="868" totalsRowBorderDxfId="866">
  <autoFilter ref="A2:Z136"/>
  <tableColumns count="26">
    <tableColumn id="1" name="מספר קופה/קרן/ח.פ. עבור חברת ביטוח" dataDxfId="865"/>
    <tableColumn id="2" name="מספר מסלול" dataDxfId="864"/>
    <tableColumn id="3" name="שם מנפיק" dataDxfId="863"/>
    <tableColumn id="4" name="שם נייר ערך" dataDxfId="862"/>
    <tableColumn id="5" name="מספר נייר ערך" dataDxfId="861"/>
    <tableColumn id="6" name="מאפיין עיקרי" dataDxfId="860"/>
    <tableColumn id="7" name="ישראל/חו&quot;ל" dataDxfId="859"/>
    <tableColumn id="8" name="מדינה לפי חשיפה כלכלית" dataDxfId="858"/>
    <tableColumn id="9" name="זירת מסחר" dataDxfId="857"/>
    <tableColumn id="10" name="דירוג" dataDxfId="856"/>
    <tableColumn id="11" name="שם מדרג" dataDxfId="855"/>
    <tableColumn id="12" name="מטבע פעילות" dataDxfId="854"/>
    <tableColumn id="13" name="מח&quot;מ" dataDxfId="853"/>
    <tableColumn id="14" name="מועד פדיון" dataDxfId="852"/>
    <tableColumn id="15" name="שיעור ריבית" dataDxfId="851"/>
    <tableColumn id="16" name="תשואה לפדיון" dataDxfId="850"/>
    <tableColumn id="17" name="סכום לקבל (במטבע הפעילות)" dataDxfId="849"/>
    <tableColumn id="18" name="ערך נקוב (יחידות)" dataDxfId="848"/>
    <tableColumn id="19" name="שער חליפין" dataDxfId="847"/>
    <tableColumn id="20" name="שער נייר הערך" dataDxfId="846"/>
    <tableColumn id="21" name="שווי הוגן (באלפי ש&quot;ח)" dataDxfId="845"/>
    <tableColumn id="22" name="עלות מופחתת (באלפי ש&quot;ח)" dataDxfId="844"/>
    <tableColumn id="23" name="השיטה שיושמה בדוח הכספי" dataDxfId="843"/>
    <tableColumn id="24" name="שיעור מערך נקוב מונפק" dataDxfId="842"/>
    <tableColumn id="25" name="שיעור מנכסי אפיק ההשקעה" dataDxfId="841"/>
    <tableColumn id="26" name="שיעור מסך נכסי ההשקעה" dataDxfId="84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799" dataDxfId="912" headerRowBorderDxfId="837" tableBorderDxfId="838" totalsRowBorderDxfId="836">
  <autoFilter ref="A2:AJ8"/>
  <tableColumns count="36">
    <tableColumn id="1" name="מספר קופה/קרן/ח.פ. עבור חברת ביטוח" dataDxfId="835"/>
    <tableColumn id="2" name="מספר מסלול" dataDxfId="834"/>
    <tableColumn id="3" name="שם מנפיק" dataDxfId="833"/>
    <tableColumn id="4" name="מספר מנפיק" dataDxfId="832"/>
    <tableColumn id="5" name="סוג מספר מזהה מנפיק" dataDxfId="831"/>
    <tableColumn id="6" name="שם נייר ערך" dataDxfId="830"/>
    <tableColumn id="7" name="מספר נייר ערך" dataDxfId="829"/>
    <tableColumn id="8" name="סוג מספר נייר ערך" dataDxfId="828"/>
    <tableColumn id="9" name="מאפיין עיקרי" dataDxfId="827"/>
    <tableColumn id="10" name="ישראל/חו&quot;ל" dataDxfId="826"/>
    <tableColumn id="11" name="מדינה לפי חשיפה כלכלית" dataDxfId="825"/>
    <tableColumn id="12" name="זירת מסחר" dataDxfId="824"/>
    <tableColumn id="13" name="ענף מסחר" dataDxfId="823"/>
    <tableColumn id="14" name="בעל עניין/צד קשור" dataDxfId="822"/>
    <tableColumn id="15" name="דירוג" dataDxfId="821"/>
    <tableColumn id="16" name="שם מדרג" dataDxfId="820"/>
    <tableColumn id="17" name="דירוג נייר הערך/המנפיק" dataDxfId="819"/>
    <tableColumn id="18" name="מטבע פעילות" dataDxfId="818"/>
    <tableColumn id="19" name="מח&quot;מ" dataDxfId="817"/>
    <tableColumn id="20" name="ריבית עוגן" dataDxfId="816"/>
    <tableColumn id="21" name="מועד פדיון" dataDxfId="815"/>
    <tableColumn id="22" name="שיעור ריבית" dataDxfId="814"/>
    <tableColumn id="23" name="תשואה לפדיון" dataDxfId="813"/>
    <tableColumn id="24" name="נחיתות חוזית" dataDxfId="812"/>
    <tableColumn id="25" name="האם סווג כחוב בעייתי" dataDxfId="811"/>
    <tableColumn id="26" name="ערך נקוב (יחידות)" dataDxfId="810"/>
    <tableColumn id="27" name="שער חליפין" dataDxfId="809"/>
    <tableColumn id="28" name="שער נייר הערך" dataDxfId="808"/>
    <tableColumn id="29" name="סכום לקבל (במטבע הפעילות)" dataDxfId="807"/>
    <tableColumn id="30" name="שווי הוגן (באלפי ש&quot;ח)" dataDxfId="806"/>
    <tableColumn id="31" name="עלות מופחתת (באלפי ש&quot;ח)" dataDxfId="805"/>
    <tableColumn id="32" name="עלות מופחתת (במטבע הפעילות)" dataDxfId="804"/>
    <tableColumn id="33" name="השיטה שיושמה בדוח הכספי" dataDxfId="803"/>
    <tableColumn id="34" name="שיעור מערך נקוב מונפק" dataDxfId="802"/>
    <tableColumn id="35" name="שיעור מנכסי אפיק ההשקעה" dataDxfId="801"/>
    <tableColumn id="36" name="שיעור מסך נכסי ההשקעה" dataDxfId="80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81" totalsRowShown="0" headerRowDxfId="759" dataDxfId="911" headerRowBorderDxfId="797" tableBorderDxfId="798" totalsRowBorderDxfId="796">
  <autoFilter ref="A2:AJ481"/>
  <tableColumns count="36">
    <tableColumn id="1" name="מספר קופה/קרן/ח.פ. עבור חברת ביטוח" dataDxfId="795"/>
    <tableColumn id="2" name="מספר מסלול" dataDxfId="794"/>
    <tableColumn id="3" name="שם מנפיק" dataDxfId="793"/>
    <tableColumn id="4" name="מספר מנפיק" dataDxfId="792"/>
    <tableColumn id="5" name="סוג מספר מזהה מנפיק" dataDxfId="791"/>
    <tableColumn id="6" name="שם נייר ערך" dataDxfId="790"/>
    <tableColumn id="7" name="מספר נייר ערך" dataDxfId="789"/>
    <tableColumn id="8" name="סוג מספר נייר ערך" dataDxfId="788"/>
    <tableColumn id="9" name="מאפיין עיקרי" dataDxfId="787"/>
    <tableColumn id="10" name="ישראל/חו&quot;ל" dataDxfId="786"/>
    <tableColumn id="11" name="מדינה לפי חשיפה כלכלית" dataDxfId="785"/>
    <tableColumn id="12" name="סטאטוס סחירות" dataDxfId="784"/>
    <tableColumn id="13" name="זירת מסחר" dataDxfId="783"/>
    <tableColumn id="14" name="ענף מסחר" dataDxfId="782"/>
    <tableColumn id="15" name="בעל עניין/צד קשור" dataDxfId="781"/>
    <tableColumn id="16" name="דירוג" dataDxfId="780"/>
    <tableColumn id="17" name="שם מדרג" dataDxfId="779"/>
    <tableColumn id="18" name="דירוג נייר הערך/המנפיק" dataDxfId="778"/>
    <tableColumn id="19" name="מטבע פעילות" dataDxfId="777"/>
    <tableColumn id="20" name="מח&quot;מ" dataDxfId="776"/>
    <tableColumn id="21" name="מועד פדיון" dataDxfId="775"/>
    <tableColumn id="22" name="שיעור ריבית" dataDxfId="774"/>
    <tableColumn id="23" name="תשואה לפדיון" dataDxfId="773"/>
    <tableColumn id="24" name="נחיתות חוזית" dataDxfId="772"/>
    <tableColumn id="25" name="האם סווג כחוב בעייתי" dataDxfId="771"/>
    <tableColumn id="26" name="ערך נקוב (יחידות)" dataDxfId="770"/>
    <tableColumn id="27" name="שער חליפין" dataDxfId="769"/>
    <tableColumn id="28" name="שער נייר הערך" dataDxfId="768"/>
    <tableColumn id="29" name="סכום לקבל (במטבע הפעילות)" dataDxfId="767"/>
    <tableColumn id="30" name="שווי הוגן (באלפי ש&quot;ח)" dataDxfId="766"/>
    <tableColumn id="31" name="עלות מופחתת (באלפי ש&quot;ח)" dataDxfId="765"/>
    <tableColumn id="32" name="עלות מופחתת (במטבע הפעילות)" dataDxfId="764"/>
    <tableColumn id="33" name="השיטה שיושמה בדוח הכספי" dataDxfId="763"/>
    <tableColumn id="34" name="שיעור מערך נקוב מונפק" dataDxfId="762"/>
    <tableColumn id="35" name="שיעור מנכסי אפיק ההשקעה" dataDxfId="761"/>
    <tableColumn id="36" name="שיעור מסך נכסי ההשקעה" dataDxfId="76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2" totalsRowShown="0" headerRowDxfId="731" dataDxfId="910" headerRowBorderDxfId="757" tableBorderDxfId="758" totalsRowBorderDxfId="756">
  <autoFilter ref="A2:X282"/>
  <tableColumns count="24">
    <tableColumn id="1" name="מספר קופה/קרן/ח.פ. עבור חברת ביטוח" dataDxfId="755"/>
    <tableColumn id="2" name="מספר מסלול" dataDxfId="754"/>
    <tableColumn id="3" name="שם מנפיק" dataDxfId="753"/>
    <tableColumn id="4" name="מספר מנפיק" dataDxfId="752"/>
    <tableColumn id="5" name="סוג מספר מזהה מנפיק" dataDxfId="751"/>
    <tableColumn id="6" name="שם נייר ערך" dataDxfId="750"/>
    <tableColumn id="7" name="מספר נייר ערך" dataDxfId="749"/>
    <tableColumn id="8" name="סוג מספר נייר ערך" dataDxfId="748"/>
    <tableColumn id="9" name="מאפיין עיקרי" dataDxfId="747"/>
    <tableColumn id="10" name="ישראל/חו&quot;ל" dataDxfId="746"/>
    <tableColumn id="11" name="מדינה לפי חשיפה כלכלית" dataDxfId="745"/>
    <tableColumn id="12" name="סטאטוס סחירות" dataDxfId="744"/>
    <tableColumn id="13" name="זירת מסחר" dataDxfId="743"/>
    <tableColumn id="14" name="ענף מסחר" dataDxfId="742"/>
    <tableColumn id="15" name="בעל עניין/צד קשור" dataDxfId="741"/>
    <tableColumn id="16" name="מטבע פעילות" dataDxfId="740"/>
    <tableColumn id="17" name="ערך נקוב (יחידות)" dataDxfId="739"/>
    <tableColumn id="18" name="שער חליפין" dataDxfId="738"/>
    <tableColumn id="19" name="שער נייר הערך" dataDxfId="737"/>
    <tableColumn id="20" name="סכום לקבל (במטבע הפעילות)" dataDxfId="736"/>
    <tableColumn id="21" name="שווי הוגן (באלפי ש&quot;ח)" dataDxfId="735"/>
    <tableColumn id="22" name="שיעור מערך נקוב מונפק" dataDxfId="734"/>
    <tableColumn id="23" name="שיעור מנכסי אפיק ההשקעה" dataDxfId="733"/>
    <tableColumn id="24" name="שיעור מסך נכסי ההשקעה" dataDxfId="7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32" totalsRowShown="0" headerRowDxfId="704" dataDxfId="909" headerRowBorderDxfId="729" tableBorderDxfId="730" totalsRowBorderDxfId="728">
  <autoFilter ref="A2:W232"/>
  <tableColumns count="23">
    <tableColumn id="1" name="מספר קופה/קרן/ח.פ. עבור חברת ביטוח" dataDxfId="727"/>
    <tableColumn id="2" name="מספר מסלול" dataDxfId="726"/>
    <tableColumn id="3" name="שם מנפיק" dataDxfId="725"/>
    <tableColumn id="4" name="מספר מנפיק" dataDxfId="724"/>
    <tableColumn id="5" name="סוג מספר מזהה מנפיק" dataDxfId="723"/>
    <tableColumn id="6" name="שם נייר ערך" dataDxfId="722"/>
    <tableColumn id="7" name="מספר נייר ערך" dataDxfId="721"/>
    <tableColumn id="8" name="סוג מספר נייר ערך" dataDxfId="720"/>
    <tableColumn id="9" name="מאפיין עיקרי" dataDxfId="719"/>
    <tableColumn id="10" name="ישראל/חו&quot;ל" dataDxfId="718"/>
    <tableColumn id="11" name="מדינה לפי חשיפה כלכלית" dataDxfId="717"/>
    <tableColumn id="12" name="זירת מסחר" dataDxfId="716"/>
    <tableColumn id="13" name="סיווג הקרן" dataDxfId="715"/>
    <tableColumn id="14" name="בעל עניין/צד קשור" dataDxfId="714"/>
    <tableColumn id="15" name="מטבע פעילות" dataDxfId="713"/>
    <tableColumn id="16" name="ערך נקוב (יחידות)" dataDxfId="712"/>
    <tableColumn id="17" name="שער חליפין" dataDxfId="711"/>
    <tableColumn id="18" name="שער נייר הערך" dataDxfId="710"/>
    <tableColumn id="19" name="סכום לקבל (במטבע הפעילות)" dataDxfId="709"/>
    <tableColumn id="20" name="שווי הוגן (באלפי ש&quot;ח)" dataDxfId="708"/>
    <tableColumn id="21" name="שיעור מערך נקוב מונפק" dataDxfId="707"/>
    <tableColumn id="22" name="שיעור מנכסי אפיק ההשקעה" dataDxfId="706"/>
    <tableColumn id="23" name="שיעור מסך נכסי ההשקעה" dataDxfId="70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2" totalsRowShown="0" headerRowDxfId="677" dataDxfId="908" headerRowBorderDxfId="702" tableBorderDxfId="703" totalsRowBorderDxfId="701">
  <autoFilter ref="A2:W42"/>
  <tableColumns count="23">
    <tableColumn id="1" name="מספר קופה/קרן/ח.פ. עבור חברת ביטוח" dataDxfId="700"/>
    <tableColumn id="2" name="מספר מסלול" dataDxfId="699"/>
    <tableColumn id="3" name="שם מנפיק" dataDxfId="698"/>
    <tableColumn id="4" name="מספר מנפיק" dataDxfId="697"/>
    <tableColumn id="5" name="סוג מספר מזהה מנפיק" dataDxfId="696"/>
    <tableColumn id="6" name="שם נייר ערך " dataDxfId="695"/>
    <tableColumn id="7" name="מספר נייר ערך" dataDxfId="694"/>
    <tableColumn id="8" name="סוג מספר נייר ערך" dataDxfId="693"/>
    <tableColumn id="9" name="מאפיין עיקרי" dataDxfId="692"/>
    <tableColumn id="10" name="ישראל/חו&quot;ל" dataDxfId="691"/>
    <tableColumn id="11" name="מדינה לפי חשיפה כלכלית" dataDxfId="690"/>
    <tableColumn id="12" name="סטאטוס סחירות" dataDxfId="689"/>
    <tableColumn id="13" name="זירת מסחר" dataDxfId="688"/>
    <tableColumn id="14" name="סיווג הקרן" dataDxfId="687"/>
    <tableColumn id="15" name="בעל עניין/צד קשור" dataDxfId="686"/>
    <tableColumn id="16" name="מטבע פעילות" dataDxfId="685"/>
    <tableColumn id="17" name="ערך נקוב (יחידות)" dataDxfId="684"/>
    <tableColumn id="18" name="שער חליפין" dataDxfId="683"/>
    <tableColumn id="19" name="שער נייר הערך" dataDxfId="682"/>
    <tableColumn id="20" name="שווי הוגן (באלפי ש&quot;ח)" dataDxfId="681"/>
    <tableColumn id="21" name="שיעור מערך נקוב מונפק" dataDxfId="680"/>
    <tableColumn id="22" name="שיעור מנכסי אפיק ההשקעה" dataDxfId="679"/>
    <tableColumn id="23" name="שיעור מסך נכסי ההשקעה" dataDxfId="678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48" dataDxfId="907" headerRowBorderDxfId="675" tableBorderDxfId="676" totalsRowBorderDxfId="674">
  <autoFilter ref="A2:Y10"/>
  <tableColumns count="25">
    <tableColumn id="1" name="מספר קופה/קרן/ח.פ. עבור חברת ביטוח" dataDxfId="673"/>
    <tableColumn id="2" name="מספר מסלול" dataDxfId="672"/>
    <tableColumn id="3" name="שם מנפיק" dataDxfId="671"/>
    <tableColumn id="4" name="מספר מנפיק" dataDxfId="670"/>
    <tableColumn id="5" name="סוג מספר מזהה מנפיק" dataDxfId="669"/>
    <tableColumn id="6" name="שם נייר ערך" dataDxfId="668"/>
    <tableColumn id="7" name="מספר נייר ערך" dataDxfId="667"/>
    <tableColumn id="8" name="סוג מספר נייר ערך" dataDxfId="666"/>
    <tableColumn id="9" name="ישראל/חו&quot;ל" dataDxfId="665"/>
    <tableColumn id="10" name="מדינה לפי חשיפה כלכלית" dataDxfId="664"/>
    <tableColumn id="11" name="סטאטוס סחירות" dataDxfId="663"/>
    <tableColumn id="12" name="זירת מסחר" dataDxfId="662"/>
    <tableColumn id="13" name="נכס בסיס (כתב אופציה)" dataDxfId="661"/>
    <tableColumn id="14" name="ענף מסחר" dataDxfId="660"/>
    <tableColumn id="15" name="תאריך פקיעה" dataDxfId="659"/>
    <tableColumn id="16" name="בעל עניין/צד קשור" dataDxfId="658"/>
    <tableColumn id="17" name="מטבע פעילות" dataDxfId="657"/>
    <tableColumn id="18" name="שער מימוש" dataDxfId="656"/>
    <tableColumn id="19" name="יחס המרה" dataDxfId="655"/>
    <tableColumn id="20" name="ערך נקוב (יחידות)" dataDxfId="654"/>
    <tableColumn id="21" name="שער חליפין" dataDxfId="653"/>
    <tableColumn id="22" name="שער נייר הערך" dataDxfId="652"/>
    <tableColumn id="23" name="שווי הוגן (באלפי ש&quot;ח)" dataDxfId="651"/>
    <tableColumn id="24" name="שיעור מנכסי אפיק ההשקעה" dataDxfId="650"/>
    <tableColumn id="25" name="שיעור מסך נכסי ההשקעה" dataDxfId="64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0" dataDxfId="906" headerRowBorderDxfId="646" tableBorderDxfId="647" totalsRowBorderDxfId="645">
  <autoFilter ref="A2:X10"/>
  <tableColumns count="24">
    <tableColumn id="1" name="מספר קופה/קרן/ח.פ. עבור חברת ביטוח" dataDxfId="644"/>
    <tableColumn id="2" name="מספר מסלול" dataDxfId="643"/>
    <tableColumn id="3" name="שם מנפיק" dataDxfId="642"/>
    <tableColumn id="4" name="מספר מנפיק" dataDxfId="641"/>
    <tableColumn id="5" name="סוג מספר מזהה מנפיק" dataDxfId="640"/>
    <tableColumn id="6" name="שם נייר ערך" dataDxfId="639"/>
    <tableColumn id="7" name="מספר נייר ערך" dataDxfId="638"/>
    <tableColumn id="8" name="סוג מספר נייר ערך" dataDxfId="637"/>
    <tableColumn id="9" name="מאפיין עיקרי" dataDxfId="636"/>
    <tableColumn id="10" name="ישראל/חו&quot;ל" dataDxfId="635"/>
    <tableColumn id="11" name="מדינה לפי חשיפה כלכלית" dataDxfId="634"/>
    <tableColumn id="12" name="זירת מסחר" dataDxfId="633"/>
    <tableColumn id="13" name="ענף מסחר" dataDxfId="632"/>
    <tableColumn id="14" name="נכס בסיס" dataDxfId="631"/>
    <tableColumn id="15" name="תאריך פקיעה" dataDxfId="630"/>
    <tableColumn id="16" name="בעל עניין/צד קשור" dataDxfId="629"/>
    <tableColumn id="17" name="מטבע פעילות" dataDxfId="628"/>
    <tableColumn id="18" name="שער מימוש" dataDxfId="627"/>
    <tableColumn id="19" name="ערך נקוב (יחידות)" dataDxfId="626"/>
    <tableColumn id="20" name="שער חליפין" dataDxfId="625"/>
    <tableColumn id="21" name="שער נייר הערך" dataDxfId="624"/>
    <tableColumn id="22" name="שווי הוגן (באלפי ש&quot;ח)" dataDxfId="623"/>
    <tableColumn id="23" name="שיעור מנכסי אפיק ההשקעה" dataDxfId="622"/>
    <tableColumn id="24" name="שיעור מסך נכסי ההשקעה" dataDxfId="62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596" dataDxfId="905" headerRowBorderDxfId="618" tableBorderDxfId="619" totalsRowBorderDxfId="617">
  <autoFilter ref="A2:T18"/>
  <tableColumns count="20">
    <tableColumn id="1" name="מספר קופה/קרן/ח.פ. עבור חברת ביטוח" dataDxfId="616"/>
    <tableColumn id="2" name="מספר מסלול" dataDxfId="615"/>
    <tableColumn id="3" name="שם מנפיק" dataDxfId="614"/>
    <tableColumn id="4" name="מספר מנפיק" dataDxfId="613"/>
    <tableColumn id="5" name="סוג מספר מזהה מנפיק" dataDxfId="612"/>
    <tableColumn id="6" name="שם נייר ערך" dataDxfId="611"/>
    <tableColumn id="7" name="מספר נייר ערך" dataDxfId="610"/>
    <tableColumn id="8" name="סוג מספר נייר ערך" dataDxfId="609"/>
    <tableColumn id="9" name="ישראל/חו&quot;ל" dataDxfId="608"/>
    <tableColumn id="10" name="מדינה לפי חשיפה כלכלית" dataDxfId="607"/>
    <tableColumn id="11" name="זירת מסחר" dataDxfId="606"/>
    <tableColumn id="12" name="נכס בסיס" dataDxfId="605"/>
    <tableColumn id="13" name="בעל עניין/צד קשור" dataDxfId="604"/>
    <tableColumn id="14" name="מטבע פעילות" dataDxfId="603"/>
    <tableColumn id="15" name="ערך נקוב (יחידות)" dataDxfId="602"/>
    <tableColumn id="16" name="שער חליפין" dataDxfId="601"/>
    <tableColumn id="17" name="שער נייר הערך" dataDxfId="600"/>
    <tableColumn id="18" name="שווי הוגן (באלפי ש&quot;ח)" dataDxfId="599"/>
    <tableColumn id="19" name="שיעור מנכסי אפיק ההשקעה" dataDxfId="598"/>
    <tableColumn id="20" name="שיעור מסך נכסי ההשקעה" dataDxfId="59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4" headerRowBorderDxfId="594" tableBorderDxfId="595" totalsRowBorderDxfId="593">
  <autoFilter ref="A2:AB12"/>
  <tableColumns count="28">
    <tableColumn id="1" name="מספר קופה/קרן/ח.פ. עבור חברת ביטוח" dataDxfId="592"/>
    <tableColumn id="2" name="מספר מסלול" dataDxfId="591"/>
    <tableColumn id="3" name="שם מנפיק" dataDxfId="590"/>
    <tableColumn id="4" name="מספר מנפיק" dataDxfId="589"/>
    <tableColumn id="5" name="סוג מספר מזהה מנפיק" dataDxfId="588"/>
    <tableColumn id="6" name="שם נייר ערך" dataDxfId="587"/>
    <tableColumn id="7" name="מספר נייר ערך" dataDxfId="586"/>
    <tableColumn id="8" name="סוג מספר נייר ערך" dataDxfId="585"/>
    <tableColumn id="9" name="מאפיין עיקרי" dataDxfId="584"/>
    <tableColumn id="10" name="ישראל/חו&quot;ל" dataDxfId="583"/>
    <tableColumn id="11" name="מדינה לפי חשיפה כלכלית" dataDxfId="582"/>
    <tableColumn id="12" name="סטאטוס סחירות" dataDxfId="581"/>
    <tableColumn id="13" name="זירת מסחר" dataDxfId="580"/>
    <tableColumn id="14" name="נכס בסיס" dataDxfId="579"/>
    <tableColumn id="15" name="בעל עניין/צד קשור" dataDxfId="578"/>
    <tableColumn id="16" name="מח&quot;מ" dataDxfId="577"/>
    <tableColumn id="17" name="שיעור ריבית" dataDxfId="576"/>
    <tableColumn id="18" name="תשואה לפדיון" dataDxfId="575"/>
    <tableColumn id="19" name="דירוג" dataDxfId="574"/>
    <tableColumn id="20" name="שם מדרג" dataDxfId="573"/>
    <tableColumn id="21" name="דירוג נייר הערך/המנפיק" dataDxfId="572"/>
    <tableColumn id="22" name="מטבע פעילות" dataDxfId="571"/>
    <tableColumn id="23" name="ערך נקוב (יחידות)" dataDxfId="570"/>
    <tableColumn id="24" name="שער חליפין" dataDxfId="569"/>
    <tableColumn id="25" name="שער נייר הערך" dataDxfId="568"/>
    <tableColumn id="26" name="שווי הוגן (באלפי ש&quot;ח)" dataDxfId="567"/>
    <tableColumn id="27" name="שיעור מנכסי אפיק ההשקעה" dataDxfId="566"/>
    <tableColumn id="28" name="שיעור מסך נכסי ההשקעה" dataDxfId="565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5" dataDxfId="904" headerRowBorderDxfId="562" tableBorderDxfId="563" totalsRowBorderDxfId="561">
  <autoFilter ref="A2:Y8"/>
  <tableColumns count="25">
    <tableColumn id="1" name="מספר קופה/קרן/ח.פ. עבור חברת ביטוח" dataDxfId="560"/>
    <tableColumn id="2" name="מספר מסלול" dataDxfId="559"/>
    <tableColumn id="3" name="שם מנפיק" dataDxfId="558"/>
    <tableColumn id="4" name="שם נייר ערך" dataDxfId="557"/>
    <tableColumn id="5" name="מספר נייר ערך" dataDxfId="556"/>
    <tableColumn id="6" name="סוג מספר נייר ערך" dataDxfId="555"/>
    <tableColumn id="7" name="מאפיין עיקרי" dataDxfId="554"/>
    <tableColumn id="8" name="ישראל/חו&quot;ל" dataDxfId="553"/>
    <tableColumn id="9" name="מדינה לפי חשיפה כלכלית" dataDxfId="552"/>
    <tableColumn id="10" name="תאריך רכישה" dataDxfId="551"/>
    <tableColumn id="11" name="דירוג" dataDxfId="550"/>
    <tableColumn id="12" name="שם מדרג" dataDxfId="549"/>
    <tableColumn id="13" name="מטבע פעילות" dataDxfId="548"/>
    <tableColumn id="14" name="מח&quot;מ" dataDxfId="547"/>
    <tableColumn id="15" name="מועד פדיון" dataDxfId="546"/>
    <tableColumn id="16" name="שיעור ריבית" dataDxfId="545"/>
    <tableColumn id="17" name="תשואה לפדיון" dataDxfId="544"/>
    <tableColumn id="18" name="ערך נקוב (יחידות)" dataDxfId="543"/>
    <tableColumn id="19" name="שער חליפין" dataDxfId="542"/>
    <tableColumn id="20" name="שער נייר הערך" dataDxfId="541"/>
    <tableColumn id="21" name="שווי הוגן (באלפי ש&quot;ח)" dataDxfId="540"/>
    <tableColumn id="22" name="עלות מופחתת (באלפי ש&quot;ח)" dataDxfId="539"/>
    <tableColumn id="23" name="השיטה שיושמה בדוח הכספי" dataDxfId="538"/>
    <tableColumn id="24" name="שיעור מנכסי אפיק ההשקעה" dataDxfId="537"/>
    <tableColumn id="25" name="שיעור מסך נכסי ההשקעה" dataDxfId="536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3" dataDxfId="903" headerRowBorderDxfId="533" tableBorderDxfId="534" totalsRowBorderDxfId="532">
  <autoFilter ref="A2:R8"/>
  <tableColumns count="18">
    <tableColumn id="1" name="מספר קופה/קרן/ח.פ. עבור חברת ביטוח" dataDxfId="531"/>
    <tableColumn id="2" name="מספר מסלול" dataDxfId="530"/>
    <tableColumn id="3" name="מאפיין עיקרי" dataDxfId="529"/>
    <tableColumn id="4" name="שם נייר ערך" dataDxfId="528"/>
    <tableColumn id="5" name="מספר נייר ערך" dataDxfId="527"/>
    <tableColumn id="6" name="תאריך רכישה" dataDxfId="526"/>
    <tableColumn id="7" name="מח&quot;מ" dataDxfId="525"/>
    <tableColumn id="8" name="סוג הצמדה" dataDxfId="524"/>
    <tableColumn id="9" name="מועד פדיון" dataDxfId="523"/>
    <tableColumn id="10" name="שיעור ריבית" dataDxfId="522"/>
    <tableColumn id="11" name="תשואה לפדיון" dataDxfId="521"/>
    <tableColumn id="12" name="ערך נקוב (יחידות)" dataDxfId="520"/>
    <tableColumn id="13" name="שער נייר הערך" dataDxfId="519"/>
    <tableColumn id="14" name="שווי הוגן (באלפי ש&quot;ח)" dataDxfId="518"/>
    <tableColumn id="15" name="עלות מופחתת (באלפי ש&quot;ח)" dataDxfId="517"/>
    <tableColumn id="16" name="השיטה שיושמה בדוח הכספי" dataDxfId="516"/>
    <tableColumn id="17" name="שיעור מנכסי אפיק ההשקעה" dataDxfId="515"/>
    <tableColumn id="18" name="שיעור מסך נכסי ההשקעה" dataDxfId="514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2" headerRowBorderDxfId="511" tableBorderDxfId="512" totalsRowBorderDxfId="510">
  <autoFilter ref="A2:G8"/>
  <tableColumns count="7">
    <tableColumn id="1" name="מספר קרן" dataDxfId="509"/>
    <tableColumn id="2" name="מספר מסלול" dataDxfId="508"/>
    <tableColumn id="3" name="מאפיין עיקרי" dataDxfId="507"/>
    <tableColumn id="4" name="חודש הנפקת שכבה" dataDxfId="506"/>
    <tableColumn id="5" name="חודש הבדיקה" dataDxfId="505"/>
    <tableColumn id="6" name="שווי הנכסים באפיק (באלפי ש&quot;ח)" dataDxfId="504"/>
    <tableColumn id="7" name="שיעור מסך נכסי ההשקעה" dataDxfId="503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58" headerRowBorderDxfId="500" tableBorderDxfId="501" totalsRowBorderDxfId="499">
  <autoFilter ref="A2:AN8"/>
  <tableColumns count="40">
    <tableColumn id="1" name="מספר קופה/קרן/ח.פ. עבור חברת ביטוח" dataDxfId="498"/>
    <tableColumn id="2" name="מספר מסלול" dataDxfId="497"/>
    <tableColumn id="3" name="שם מנפיק" dataDxfId="496"/>
    <tableColumn id="4" name="מספר מנפיק" dataDxfId="495"/>
    <tableColumn id="5" name="סוג מספר מזהה מנפיק" dataDxfId="494"/>
    <tableColumn id="6" name="שם נייר ערך" dataDxfId="493"/>
    <tableColumn id="7" name="מספר נייר ערך" dataDxfId="492"/>
    <tableColumn id="8" name="סוג מספר נייר ערך" dataDxfId="491"/>
    <tableColumn id="9" name="מאפיין עיקרי" dataDxfId="490"/>
    <tableColumn id="10" name="ישראל/חו&quot;ל" dataDxfId="489"/>
    <tableColumn id="11" name="מדינה לפי חשיפה כלכלית" dataDxfId="488"/>
    <tableColumn id="12" name="ענף מסחר" dataDxfId="487"/>
    <tableColumn id="13" name="בעל עניין/צד קשור" dataDxfId="486"/>
    <tableColumn id="14" name="תאריך רכישה" dataDxfId="485"/>
    <tableColumn id="15" name="דירוג" dataDxfId="484"/>
    <tableColumn id="16" name="שם מדרג" dataDxfId="483"/>
    <tableColumn id="17" name="דירוג נייר הערך/המנפיק" dataDxfId="482"/>
    <tableColumn id="18" name="מטבע פעילות" dataDxfId="481"/>
    <tableColumn id="19" name="מח&quot;מ" dataDxfId="480"/>
    <tableColumn id="20" name="סוג הצמדה" dataDxfId="479"/>
    <tableColumn id="21" name="ריבית עוגן" dataDxfId="478"/>
    <tableColumn id="22" name="מועד פדיון" dataDxfId="477"/>
    <tableColumn id="23" name="שיעור ריבית" dataDxfId="476"/>
    <tableColumn id="24" name="תשואה לפדיון" dataDxfId="475"/>
    <tableColumn id="25" name="נחיתות חוזית" dataDxfId="474"/>
    <tableColumn id="26" name="האם סווג כחוב בעייתי" dataDxfId="473"/>
    <tableColumn id="27" name="סוג גורם משערך" dataDxfId="472"/>
    <tableColumn id="28" name="תלות/אי-תלות המשערך" dataDxfId="471"/>
    <tableColumn id="29" name="שם גורם משערך" dataDxfId="470"/>
    <tableColumn id="30" name="תאריך שערוך אחרון" dataDxfId="469"/>
    <tableColumn id="31" name="תאריך אחרון בו נבחנה בפועל ירידת ערך" dataDxfId="468"/>
    <tableColumn id="32" name="ערך נקוב (יחידות)" dataDxfId="467"/>
    <tableColumn id="33" name="שער חליפין" dataDxfId="466"/>
    <tableColumn id="34" name="שער נייר הערך" dataDxfId="465"/>
    <tableColumn id="35" name="שווי הוגן (באלפי ש&quot;ח)" dataDxfId="464"/>
    <tableColumn id="36" name="עלות מופחתת (באלפי ש&quot;ח)" dataDxfId="463"/>
    <tableColumn id="37" name="עלות מופחתת (במטבע הפעילות)" dataDxfId="462"/>
    <tableColumn id="38" name="השיטה שיושמה בדוח הכספי" dataDxfId="461"/>
    <tableColumn id="39" name="שיעור מנכסי אפיק ההשקעה" dataDxfId="460"/>
    <tableColumn id="40" name="שיעור מסך נכסי ההשקעה" dataDxfId="459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16" dataDxfId="902" headerRowBorderDxfId="456" tableBorderDxfId="457" totalsRowBorderDxfId="455">
  <autoFilter ref="A2:AL18"/>
  <tableColumns count="38">
    <tableColumn id="1" name="מספר קופה/קרן/ח.פ. עבור חברת ביטוח" dataDxfId="454"/>
    <tableColumn id="2" name="מספר מסלול" dataDxfId="453"/>
    <tableColumn id="3" name="שם מנפיק" dataDxfId="452"/>
    <tableColumn id="4" name="מספר מנפיק" dataDxfId="451"/>
    <tableColumn id="5" name="סוג מספר מזהה מנפיק" dataDxfId="450"/>
    <tableColumn id="6" name="שם נייר ערך" dataDxfId="449"/>
    <tableColumn id="7" name="מספר נייר ערך" dataDxfId="448"/>
    <tableColumn id="8" name="סוג מספר נייר ערך" dataDxfId="447"/>
    <tableColumn id="9" name="מאפיין עיקרי" dataDxfId="446"/>
    <tableColumn id="10" name="ישראל/חו&quot;ל" dataDxfId="445"/>
    <tableColumn id="11" name="מדינה לפי חשיפה כלכלית" dataDxfId="444"/>
    <tableColumn id="12" name="סטאטוס סחירות" dataDxfId="443"/>
    <tableColumn id="13" name="ענף מסחר" dataDxfId="442"/>
    <tableColumn id="14" name="בעל עניין/צד קשור" dataDxfId="441"/>
    <tableColumn id="15" name="תאריך רכישה" dataDxfId="440"/>
    <tableColumn id="16" name="דירוג" dataDxfId="439"/>
    <tableColumn id="17" name="שם מדרג" dataDxfId="438"/>
    <tableColumn id="18" name="דירוג נייר הערך/המנפיק" dataDxfId="437"/>
    <tableColumn id="19" name="מטבע פעילות" dataDxfId="436"/>
    <tableColumn id="20" name="מח&quot;מ" dataDxfId="435"/>
    <tableColumn id="21" name="מועד פדיון" dataDxfId="434"/>
    <tableColumn id="22" name="תשואה לפדיון" dataDxfId="433"/>
    <tableColumn id="23" name="שיעור ריבית" dataDxfId="432"/>
    <tableColumn id="24" name="נחיתות חוזית" dataDxfId="431"/>
    <tableColumn id="25" name="האם סווג כחוב בעייתי" dataDxfId="430"/>
    <tableColumn id="26" name="סוג גורם משערך" dataDxfId="429"/>
    <tableColumn id="27" name="תלות/אי-תלות המשערך" dataDxfId="428"/>
    <tableColumn id="28" name="תאריך שערוך אחרון" dataDxfId="427"/>
    <tableColumn id="29" name="תאריך אחרון בו נבחנה בפועל ירידת ערך" dataDxfId="426"/>
    <tableColumn id="30" name="ערך נקוב (יחידות)" dataDxfId="425"/>
    <tableColumn id="31" name="שער חליפין" dataDxfId="424"/>
    <tableColumn id="32" name="שער נייר הערך" dataDxfId="423"/>
    <tableColumn id="33" name="שווי הוגן (באלפי ש&quot;ח)" dataDxfId="422"/>
    <tableColumn id="34" name="עלות מופחתת (באלפי ש&quot;ח)" dataDxfId="421"/>
    <tableColumn id="35" name="עלות מופחתת (במטבע הפעילות)" dataDxfId="420"/>
    <tableColumn id="36" name="השיטה שיושמה בדוח הכספי" dataDxfId="419"/>
    <tableColumn id="37" name="שיעור מנכסי אפיק ההשקעה" dataDxfId="418"/>
    <tableColumn id="38" name="שיעור מסך נכסי ההשקעה" dataDxfId="417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3" totalsRowShown="0" headerRowDxfId="386" dataDxfId="901" headerRowBorderDxfId="414" tableBorderDxfId="415" totalsRowBorderDxfId="413">
  <autoFilter ref="A2:Z63"/>
  <tableColumns count="26">
    <tableColumn id="1" name="מספר קופה/קרן/ח.פ. עבור חברת ביטוח" dataDxfId="412"/>
    <tableColumn id="2" name="מספר מסלול" dataDxfId="411"/>
    <tableColumn id="3" name="שם מנפיק" dataDxfId="410"/>
    <tableColumn id="4" name="מספר מנפיק" dataDxfId="409"/>
    <tableColumn id="5" name="סוג מספר מזהה מנפיק" dataDxfId="408"/>
    <tableColumn id="6" name="שם נייר ערך" dataDxfId="407"/>
    <tableColumn id="7" name="מספר נייר ערך" dataDxfId="406"/>
    <tableColumn id="8" name="סוג מספר נייר ערך" dataDxfId="405"/>
    <tableColumn id="9" name="מאפיין עיקרי" dataDxfId="404"/>
    <tableColumn id="10" name="ישראל/חו&quot;ל" dataDxfId="403"/>
    <tableColumn id="11" name="מדינה לפי חשיפה כלכלית" dataDxfId="402"/>
    <tableColumn id="12" name="סטאטוס סחירות" dataDxfId="401"/>
    <tableColumn id="13" name="ענף מסחר" dataDxfId="400"/>
    <tableColumn id="14" name="בעל עניין/צד קשור" dataDxfId="399"/>
    <tableColumn id="15" name="תאריך רכישה" dataDxfId="398"/>
    <tableColumn id="16" name="מטבע פעילות" dataDxfId="397"/>
    <tableColumn id="17" name="סוג גורם משערך" dataDxfId="396"/>
    <tableColumn id="18" name="תלות/אי-תלות המשערך" dataDxfId="395"/>
    <tableColumn id="19" name="תאריך שערוך אחרון" dataDxfId="394"/>
    <tableColumn id="20" name="תאריך אחרון בו נבחנה בפועל ירידת ערך" dataDxfId="393"/>
    <tableColumn id="21" name="ערך נקוב (יחידות)" dataDxfId="392"/>
    <tableColumn id="22" name="שער חליפין" dataDxfId="391"/>
    <tableColumn id="23" name="שער נייר הערך" dataDxfId="390"/>
    <tableColumn id="24" name="שווי הוגן (באלפי ש&quot;ח)" dataDxfId="389"/>
    <tableColumn id="25" name="שיעור מנכסי אפיק ההשקעה" dataDxfId="388"/>
    <tableColumn id="26" name="שיעור מסך נכסי ההשקעה" dataDxfId="38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5" totalsRowShown="0" headerRowDxfId="356" dataDxfId="900" headerRowBorderDxfId="384" tableBorderDxfId="385" totalsRowBorderDxfId="383">
  <autoFilter ref="A2:Z285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4" dataDxfId="899" headerRowBorderDxfId="354" tableBorderDxfId="355" totalsRowBorderDxfId="353">
  <autoFilter ref="A2:AB12"/>
  <tableColumns count="28">
    <tableColumn id="1" name="מספר קופה/קרן/ח.פ. עבור חברת ביטוח" dataDxfId="352"/>
    <tableColumn id="2" name="מספר מסלול" dataDxfId="351"/>
    <tableColumn id="3" name="שם מנפיק" dataDxfId="350"/>
    <tableColumn id="4" name="מספר מנפיק" dataDxfId="349"/>
    <tableColumn id="5" name="סוג מספר מזהה מנפיק" dataDxfId="348"/>
    <tableColumn id="6" name="שם נייר ערך" dataDxfId="347"/>
    <tableColumn id="7" name="מספר נייר ערך" dataDxfId="346"/>
    <tableColumn id="8" name="סוג מספר נייר ערך" dataDxfId="345"/>
    <tableColumn id="9" name="ישראל/חו&quot;ל" dataDxfId="344"/>
    <tableColumn id="10" name="מדינה לפי חשיפה כלכלית" dataDxfId="343"/>
    <tableColumn id="11" name="סטאטוס סחירות" dataDxfId="342"/>
    <tableColumn id="12" name="נכס בסיס (כתב אופציה)" dataDxfId="341"/>
    <tableColumn id="13" name="ענף מסחר" dataDxfId="340"/>
    <tableColumn id="14" name="תאריך פקיעה" dataDxfId="339"/>
    <tableColumn id="15" name="בעל עניין/צד קשור" dataDxfId="338"/>
    <tableColumn id="16" name="תאריך רכישה" dataDxfId="337"/>
    <tableColumn id="17" name="מטבע פעילות" dataDxfId="336"/>
    <tableColumn id="18" name="סוג גורם משערך" dataDxfId="335"/>
    <tableColumn id="19" name="תלות/אי-תלות המשערך" dataDxfId="334"/>
    <tableColumn id="20" name="תאריך שערוך אחרון" dataDxfId="333"/>
    <tableColumn id="21" name="שער מימוש" dataDxfId="332"/>
    <tableColumn id="22" name="יחס המרה" dataDxfId="331"/>
    <tableColumn id="23" name="ערך נקוב (יחידות)" dataDxfId="330"/>
    <tableColumn id="24" name="שער נייר הערך" dataDxfId="329"/>
    <tableColumn id="25" name="שער חליפין" dataDxfId="328"/>
    <tableColumn id="26" name="שווי הוגן (באלפי ש&quot;ח)" dataDxfId="327"/>
    <tableColumn id="27" name="שיעור מנכסי אפיק ההשקעה" dataDxfId="326"/>
    <tableColumn id="28" name="שיעור מסך נכסי ההשקעה" dataDxfId="32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2" dataDxfId="898" headerRowBorderDxfId="322" tableBorderDxfId="323" totalsRowBorderDxfId="321">
  <autoFilter ref="A2:AB8"/>
  <tableColumns count="28">
    <tableColumn id="1" name="מספר קופה/קרן/ח.פ. עבור חברת ביטוח" dataDxfId="320"/>
    <tableColumn id="2" name="מספר מסלול" dataDxfId="319"/>
    <tableColumn id="3" name="שם מנפיק" dataDxfId="318"/>
    <tableColumn id="4" name="מספר מנפיק" dataDxfId="317"/>
    <tableColumn id="5" name="סוג מספר מזהה מנפיק" dataDxfId="316"/>
    <tableColumn id="6" name="שם נייר ערך" dataDxfId="315"/>
    <tableColumn id="7" name="מספר נייר ערך" dataDxfId="314"/>
    <tableColumn id="8" name="סוג מספר נייר ערך" dataDxfId="313"/>
    <tableColumn id="9" name="מאפיין עיקרי" dataDxfId="312"/>
    <tableColumn id="10" name="ישראל/חו&quot;ל" dataDxfId="311"/>
    <tableColumn id="11" name="מדינה לפי חשיפה כלכלית" dataDxfId="310"/>
    <tableColumn id="12" name="ענף מסחר" dataDxfId="309"/>
    <tableColumn id="13" name="נכס בסיס" dataDxfId="308"/>
    <tableColumn id="14" name="תאריך פקיעה" dataDxfId="307"/>
    <tableColumn id="15" name="בעל עניין/צד קשור" dataDxfId="306"/>
    <tableColumn id="16" name="תאריך רכישה" dataDxfId="305"/>
    <tableColumn id="17" name="מטבע פעילות" dataDxfId="304"/>
    <tableColumn id="18" name="סוג גורם משערך" dataDxfId="303"/>
    <tableColumn id="19" name="תלות/אי-תלות המשערך" dataDxfId="302"/>
    <tableColumn id="20" name="תאריך שערוך אחרון" dataDxfId="301"/>
    <tableColumn id="21" name="שער מימוש" dataDxfId="300"/>
    <tableColumn id="22" name="יחס המרה" dataDxfId="299"/>
    <tableColumn id="23" name="ערך נקוב (יחידות)" dataDxfId="298"/>
    <tableColumn id="24" name="שער נייר הערך" dataDxfId="297"/>
    <tableColumn id="25" name="שער חליפין" dataDxfId="296"/>
    <tableColumn id="26" name="שווי הוגן (בש&quot;ח)" dataDxfId="295"/>
    <tableColumn id="27" name="שיעור מנכסי אפיק ההשקעה" dataDxfId="294"/>
    <tableColumn id="28" name="שיעור מסך נכסי ההשקעה" dataDxfId="293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6" totalsRowShown="0" headerRowDxfId="247" headerRowBorderDxfId="290" tableBorderDxfId="291" totalsRowBorderDxfId="289">
  <autoFilter ref="A2:AO26"/>
  <tableColumns count="41">
    <tableColumn id="1" name="מספר קופה/קרן/ח.פ. עבור חברת ביטוח" dataDxfId="288"/>
    <tableColumn id="2" name="מספר מסלול" dataDxfId="287"/>
    <tableColumn id="3" name="מאפיין עיקרי" dataDxfId="286"/>
    <tableColumn id="4" name="מספר עסקה (רגל 1)" dataDxfId="285"/>
    <tableColumn id="5" name="מטבע פעילות (רגל 1)" dataDxfId="284"/>
    <tableColumn id="6" name="שער חליפין" dataDxfId="283"/>
    <tableColumn id="7" name="ערך נקוב (רגל 1)" dataDxfId="282"/>
    <tableColumn id="8" name="שווי הוגן במטבע הנסחר (רגל 1)" dataDxfId="281"/>
    <tableColumn id="9" name="שיעור מנכסי אפיק ההשקעה (רגל 1)" dataDxfId="280"/>
    <tableColumn id="10" name="שיעור מסך נכסי ההשקעה (רגל 1)" dataDxfId="279"/>
    <tableColumn id="11" name="מספר עסקה (רגל 2)" dataDxfId="278"/>
    <tableColumn id="12" name="מטבע פעילות (רגל 2)" dataDxfId="277"/>
    <tableColumn id="13" name="שער חליפין2" dataDxfId="276"/>
    <tableColumn id="14" name="ערך נקוב (רגל 2)" dataDxfId="275"/>
    <tableColumn id="15" name="שווי הוגן במטבע הנסחר (רגל 2)" dataDxfId="274"/>
    <tableColumn id="16" name="שיעור מנכסי ההשקעה (רגל 2)" dataDxfId="273"/>
    <tableColumn id="17" name="שיעור מסך אפיק ההשקעה (רגל 2)" dataDxfId="272"/>
    <tableColumn id="18" name="שווי הוגן (נטו  באלפי ש&quot;ח)" dataDxfId="271"/>
    <tableColumn id="19" name="ישראל/חו&quot;ל" dataDxfId="270"/>
    <tableColumn id="20" name="מדינה לפי חשיפה כלכלית" dataDxfId="269"/>
    <tableColumn id="21" name="סוג הנכס" dataDxfId="268"/>
    <tableColumn id="22" name="פקטור מוביל" dataDxfId="267"/>
    <tableColumn id="23" name="פקטור נוסף" dataDxfId="266"/>
    <tableColumn id="24" name="טיקר" dataDxfId="265"/>
    <tableColumn id="25" name="בעל עניין/צד קשור" dataDxfId="264"/>
    <tableColumn id="26" name="מועד ההתקשרות בעסקה" dataDxfId="263"/>
    <tableColumn id="27" name="מועד סיום חוזי" dataDxfId="262"/>
    <tableColumn id="28" name="תדירות Reset" dataDxfId="261"/>
    <tableColumn id="29" name="סוג הסליקה" dataDxfId="260"/>
    <tableColumn id="30" name="נספח התחשבנות בטחונות - CSA" dataDxfId="259"/>
    <tableColumn id="31" name="גורם מצטט" dataDxfId="258"/>
    <tableColumn id="32" name="ריבית עוגן" dataDxfId="257"/>
    <tableColumn id="33" name="תקופת ריבית עוגן" dataDxfId="256"/>
    <tableColumn id="34" name="שיעור ריבית עוגן" dataDxfId="255"/>
    <tableColumn id="35" name="שער נכס הבסיס במועד ההתקשרות בעסקה" dataDxfId="254"/>
    <tableColumn id="36" name="שער הנגזר במועד ההתקשרות בעסקה" dataDxfId="253"/>
    <tableColumn id="37" name="האם קיים קנס בגין יציאה מוקדמת" dataDxfId="252"/>
    <tableColumn id="38" name="שיעור הקנס בגין יציאה מוקדמת" dataDxfId="251"/>
    <tableColumn id="39" name="צד נגדי - Counterparty" dataDxfId="250"/>
    <tableColumn id="40" name="שיעור מנכסי אפיק ההשקעה" dataDxfId="249"/>
    <tableColumn id="41" name="שיעור מסך נכסי ההשקעה" dataDxfId="248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3" totalsRowShown="0" headerRowDxfId="190" dataDxfId="897" headerRowBorderDxfId="245" tableBorderDxfId="246" totalsRowBorderDxfId="244">
  <autoFilter ref="A2:BA123"/>
  <tableColumns count="53">
    <tableColumn id="1" name="מספר קופה/קרן/ח.פ. עבור חברת ביטוח" dataDxfId="243"/>
    <tableColumn id="2" name="מספר מסלול" dataDxfId="242"/>
    <tableColumn id="3" name="מספר מזהה לווה" dataDxfId="241"/>
    <tableColumn id="4" name="סוג מספר מזהה לווה" dataDxfId="240"/>
    <tableColumn id="5" name="שם הלוואה" dataDxfId="239"/>
    <tableColumn id="6" name="מספר הלוואה" dataDxfId="238"/>
    <tableColumn id="7" name="מאפיין עיקרי" dataDxfId="237"/>
    <tableColumn id="8" name="מאפיין הלוואות מתואמות עבור זכויות מקרקעין" dataDxfId="236"/>
    <tableColumn id="9" name="ישראל/חו&quot;ל" dataDxfId="235"/>
    <tableColumn id="10" name="מדינה לפי חשיפה כלכלית" dataDxfId="234"/>
    <tableColumn id="11" name="ענף מסחר" dataDxfId="233"/>
    <tableColumn id="12" name="בעל עניין/צד קשור" dataDxfId="232"/>
    <tableColumn id="13" name="קונסורציום/ סינדיקציה" dataDxfId="231"/>
    <tableColumn id="14" name="מספר קונסורציום/ סינדיקציה" dataDxfId="230"/>
    <tableColumn id="15" name="תאריך העמדת הלוואה" dataDxfId="229"/>
    <tableColumn id="16" name="דירוג" dataDxfId="228"/>
    <tableColumn id="17" name="שם מדרג" dataDxfId="227"/>
    <tableColumn id="18" name="דירוג הלוואה/המנפיק" dataDxfId="226"/>
    <tableColumn id="19" name="מטבע פעילות" dataDxfId="225"/>
    <tableColumn id="20" name="מח&quot;מ" dataDxfId="224"/>
    <tableColumn id="21" name="סוג הריבית" dataDxfId="223"/>
    <tableColumn id="22" name="שיעור ריבית" dataDxfId="222"/>
    <tableColumn id="23" name="סוג הצמדה" dataDxfId="221"/>
    <tableColumn id="24" name="ריבית עוגן" dataDxfId="220"/>
    <tableColumn id="25" name="שיעור תוספת/הפחתה לריבית העוגן" dataDxfId="219"/>
    <tableColumn id="26" name="תשואה לפדיון" dataDxfId="218"/>
    <tableColumn id="27" name="מועד פדיון" dataDxfId="217"/>
    <tableColumn id="28" name="נחיתות חוזית" dataDxfId="216"/>
    <tableColumn id="29" name="סוג בטוחה" dataDxfId="215"/>
    <tableColumn id="30" name="שווי הבטוחות העומדות כנגד ההלוואה" dataDxfId="214"/>
    <tableColumn id="31" name="שיעור הבטוחות מהחוב" dataDxfId="213"/>
    <tableColumn id="32" name="מועד עדכון אחרון לשווי הבטוחות" dataDxfId="212"/>
    <tableColumn id="33" name="זכות חזרה" dataDxfId="211"/>
    <tableColumn id="34" name="מבנה לוח סילוקין" dataDxfId="210"/>
    <tableColumn id="35" name="יעוד הלוואה" dataDxfId="209"/>
    <tableColumn id="36" name="זכות פירעון מוקדם" dataDxfId="208"/>
    <tableColumn id="37" name="סוג גורם משערך" dataDxfId="207"/>
    <tableColumn id="38" name="שם גורם משערך" dataDxfId="206"/>
    <tableColumn id="39" name="תלות/אי-תלות המשערך" dataDxfId="205"/>
    <tableColumn id="40" name="תאריך שערוך אחרון" dataDxfId="204"/>
    <tableColumn id="41" name="תאריך אחרון בו נבחנה בפועל ירידת ערך" dataDxfId="203"/>
    <tableColumn id="42" name="שיעור ריבית בגין אי-ניצול מסגרת האשראי" dataDxfId="202"/>
    <tableColumn id="43" name="ערך נקוב" dataDxfId="201"/>
    <tableColumn id="44" name="שער הלוואה" dataDxfId="200"/>
    <tableColumn id="45" name="שער חליפין" dataDxfId="199"/>
    <tableColumn id="46" name="שווי הוגן (באלפי ש&quot;ח)" dataDxfId="198"/>
    <tableColumn id="47" name="שווי הוגן (במטבע הפעילות)" dataDxfId="197"/>
    <tableColumn id="48" name="עלות מופחתת (באלפי ש&quot;ח)" dataDxfId="196"/>
    <tableColumn id="49" name="עלות מופחתת (במטבע הפעילות)" dataDxfId="195"/>
    <tableColumn id="50" name="האם סווג כחוב בעייתי" dataDxfId="194"/>
    <tableColumn id="51" name="השיטה שיושמה בדוח הכספי" dataDxfId="193"/>
    <tableColumn id="52" name="שיעור מנכסי אפיק ההשקעה" dataDxfId="192"/>
    <tableColumn id="53" name="שיעור מסך נכסי ההשקעה" dataDxfId="191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56" dataDxfId="896" headerRowBorderDxfId="188" tableBorderDxfId="189" totalsRowBorderDxfId="187">
  <autoFilter ref="A2:AD10"/>
  <tableColumns count="30">
    <tableColumn id="1" name="מספר קופה/קרן/ח.פ. עבור חברת ביטוח" dataDxfId="186"/>
    <tableColumn id="2" name="מספר מסלול" dataDxfId="185"/>
    <tableColumn id="3" name="שם מנפיק" dataDxfId="184"/>
    <tableColumn id="4" name="מספר מנפיק" dataDxfId="183"/>
    <tableColumn id="5" name="סוג מספר מזהה מנפיק" dataDxfId="182"/>
    <tableColumn id="6" name="שם נייר ערך" dataDxfId="181"/>
    <tableColumn id="7" name="מספר נייר ערך" dataDxfId="180"/>
    <tableColumn id="8" name="סוג מספר נייר ערך" dataDxfId="179"/>
    <tableColumn id="9" name="מאפיין עיקרי" dataDxfId="178"/>
    <tableColumn id="10" name="ישראל/חו&quot;ל" dataDxfId="177"/>
    <tableColumn id="11" name="מדינה לפי חשיפה כלכלית" dataDxfId="176"/>
    <tableColumn id="12" name="בעל עניין/צד קשור" dataDxfId="175"/>
    <tableColumn id="13" name="נכס בסיס" dataDxfId="174"/>
    <tableColumn id="14" name="תאריך רכישה" dataDxfId="173"/>
    <tableColumn id="15" name="דירוג" dataDxfId="172"/>
    <tableColumn id="16" name="שם מדרג" dataDxfId="171"/>
    <tableColumn id="17" name="דירוג נייר הערך/המנפיק" dataDxfId="170"/>
    <tableColumn id="18" name="מטבע פעילות" dataDxfId="169"/>
    <tableColumn id="19" name="מח&quot;מ" dataDxfId="168"/>
    <tableColumn id="20" name="שיעור ריבית" dataDxfId="167"/>
    <tableColumn id="21" name="תשואה לפדיון" dataDxfId="166"/>
    <tableColumn id="22" name="סוג גורם משערך" dataDxfId="165"/>
    <tableColumn id="23" name="תלות/אי-תלות המשערך" dataDxfId="164"/>
    <tableColumn id="24" name="תאריך שערוך אחרון" dataDxfId="163"/>
    <tableColumn id="25" name="ערך נקוב (יחידות)" dataDxfId="162"/>
    <tableColumn id="26" name="שער חליפין" dataDxfId="161"/>
    <tableColumn id="27" name="שער נייר הערך" dataDxfId="160"/>
    <tableColumn id="28" name="שווי הוגן (באלפי ש&quot;ח)" dataDxfId="159"/>
    <tableColumn id="29" name="שיעור מנכסי אפיק ההשקעה" dataDxfId="158"/>
    <tableColumn id="30" name="שיעור מסך נכסי ההשקעה" dataDxfId="15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30" dataDxfId="895" headerRowBorderDxfId="154" tableBorderDxfId="155" totalsRowBorderDxfId="153">
  <autoFilter ref="A2:V8"/>
  <tableColumns count="22">
    <tableColumn id="1" name="מספר קופה/קרן/ח.פ. עבור חברת ביטוח" dataDxfId="152"/>
    <tableColumn id="2" name="מספר מסלול" dataDxfId="151"/>
    <tableColumn id="3" name="שם הבנק" dataDxfId="150"/>
    <tableColumn id="4" name="מספר מזהה בנק" dataDxfId="149"/>
    <tableColumn id="5" name="סוג מספר מזהה בנק" dataDxfId="148"/>
    <tableColumn id="6" name="מאפיין עיקרי" dataDxfId="147"/>
    <tableColumn id="7" name="תאריך פקיעת פיקדון" dataDxfId="146"/>
    <tableColumn id="8" name="ישראל/חו&quot;ל" dataDxfId="145"/>
    <tableColumn id="9" name="מדינה לפי חשיפה כלכלית" dataDxfId="144"/>
    <tableColumn id="10" name="בעל עניין/צד קשור" dataDxfId="143"/>
    <tableColumn id="11" name="דירוג הבנק" dataDxfId="142"/>
    <tableColumn id="12" name="שם מדרג" dataDxfId="141"/>
    <tableColumn id="13" name="מטבע פעילות" dataDxfId="140"/>
    <tableColumn id="14" name="מח&quot;מ" dataDxfId="139"/>
    <tableColumn id="15" name="שיעור ריבית" dataDxfId="138"/>
    <tableColumn id="16" name="תשואה לפדיון" dataDxfId="137"/>
    <tableColumn id="17" name="שווי מטבעי" dataDxfId="136"/>
    <tableColumn id="18" name="שער חליפין" dataDxfId="135"/>
    <tableColumn id="19" name="שער פיקדון" dataDxfId="134"/>
    <tableColumn id="20" name="שווי הוגן (באלפי ש&quot;ח)" dataDxfId="133"/>
    <tableColumn id="21" name="שיעור מנכסי אפיק ההשקעה" dataDxfId="132"/>
    <tableColumn id="22" name="שיעור מסך נכסי ההשקעה" dataDxfId="131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2" dataDxfId="894" headerRowBorderDxfId="128" tableBorderDxfId="129" totalsRowBorderDxfId="127">
  <autoFilter ref="A2:X8"/>
  <tableColumns count="24">
    <tableColumn id="1" name="מספר קופה/קרן/ח.פ. עבור חברת ביטוח" dataDxfId="126"/>
    <tableColumn id="2" name="מספר מסלול" dataDxfId="125"/>
    <tableColumn id="3" name="שם הנכס" dataDxfId="124"/>
    <tableColumn id="4" name="מאפיין עיקרי" dataDxfId="123"/>
    <tableColumn id="5" name="מדינת מיקום נדל&quot;ן" dataDxfId="122"/>
    <tableColumn id="6" name="בעל עניין/צד קשור" dataDxfId="121"/>
    <tableColumn id="7" name="תאריך רכישה" dataDxfId="120"/>
    <tableColumn id="8" name="שימוש עיקרי בנכס" dataDxfId="119"/>
    <tableColumn id="9" name="מחזור חיי הנכס" dataDxfId="118"/>
    <tableColumn id="10" name="כתובת הנכס" dataDxfId="117"/>
    <tableColumn id="11" name="שיעור תשואה בפועל במהלך הרבעון" dataDxfId="116"/>
    <tableColumn id="12" name="השיטה שבאמצעותה נקבע שווי הנכס" dataDxfId="115"/>
    <tableColumn id="13" name="סוג גורם משערך" dataDxfId="114"/>
    <tableColumn id="14" name="שם גורם משערך" dataDxfId="113"/>
    <tableColumn id="15" name="תלות/אי-תלות המשערך" dataDxfId="112"/>
    <tableColumn id="16" name="תאריך שערוך אחרון" dataDxfId="111"/>
    <tableColumn id="17" name="מטבע פעילות" dataDxfId="110"/>
    <tableColumn id="18" name="שווי הוגן (במטבע הפעילות)" dataDxfId="109"/>
    <tableColumn id="19" name="שווי הוגן (באלפי ש&quot;ח)" dataDxfId="108"/>
    <tableColumn id="20" name="עלות מופחתת (באלפי ש&quot;ח)" dataDxfId="107"/>
    <tableColumn id="21" name="עלות מופחתת (במטבע הפעילות)" dataDxfId="106"/>
    <tableColumn id="22" name="השיטה שיושמה בדוח הכספי" dataDxfId="105"/>
    <tableColumn id="23" name="שיעור מנכסי אפיק ההשקעה" dataDxfId="104"/>
    <tableColumn id="24" name="שיעור מסך נכסי ההשקעה" dataDxfId="103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5" dataDxfId="893" headerRowBorderDxfId="100" tableBorderDxfId="101" totalsRowBorderDxfId="99">
  <autoFilter ref="A2:W8"/>
  <tableColumns count="23">
    <tableColumn id="1" name="מספר קופה/קרן/ח.פ. עבור חברת ביטוח" dataDxfId="98"/>
    <tableColumn id="2" name="מספר מסלול" dataDxfId="97"/>
    <tableColumn id="3" name="שם מנפיק" dataDxfId="96"/>
    <tableColumn id="4" name="מספר מנפיק" dataDxfId="95"/>
    <tableColumn id="5" name="סוג מספר מזהה מנפיק" dataDxfId="94"/>
    <tableColumn id="6" name="שם נייר ערך" dataDxfId="93"/>
    <tableColumn id="7" name="מספר נייר ערך" dataDxfId="92"/>
    <tableColumn id="8" name="סוג מספר נייר ערך" dataDxfId="91"/>
    <tableColumn id="9" name="מאפיין עיקרי" dataDxfId="90"/>
    <tableColumn id="10" name="ישראל/חו&quot;ל" dataDxfId="89"/>
    <tableColumn id="11" name="מדינה לפי חשיפה כלכלית" dataDxfId="88"/>
    <tableColumn id="12" name="ענף מסחר" dataDxfId="87"/>
    <tableColumn id="13" name="בעל עניין/צד קשור" dataDxfId="86"/>
    <tableColumn id="14" name="מטבע פעילות" dataDxfId="85"/>
    <tableColumn id="15" name="סוג גורם משערך" dataDxfId="84"/>
    <tableColumn id="16" name="תלות/אי-תלות המשערך" dataDxfId="83"/>
    <tableColumn id="17" name="תאריך שערוך אחרון" dataDxfId="82"/>
    <tableColumn id="18" name="תאריך אחרון בו נבחנה בפועל ירידת ערך" dataDxfId="81"/>
    <tableColumn id="19" name="שיעור אחזקה באמצעי שליטה" dataDxfId="80"/>
    <tableColumn id="20" name="שווי מאזני (באלפי ש&quot;ח)" dataDxfId="79"/>
    <tableColumn id="21" name="שווי הוגן (באלפי ש&quot;ח)" dataDxfId="78"/>
    <tableColumn id="22" name="שיעור מנכסי אפיק ההשקעה" dataDxfId="77"/>
    <tableColumn id="23" name="שיעור מסך נכסי ההשקעה" dataDxfId="7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53" dataDxfId="892" headerRowBorderDxfId="73" tableBorderDxfId="74" totalsRowBorderDxfId="72">
  <autoFilter ref="A2:R8"/>
  <tableColumns count="18">
    <tableColumn id="1" name="מספר קופה/קרן/ח.פ. עבור חברת ביטוח" dataDxfId="71"/>
    <tableColumn id="2" name="מספר מסלול" dataDxfId="70"/>
    <tableColumn id="3" name="שם הנכס האחר" dataDxfId="69"/>
    <tableColumn id="4" name="מספר הנכס האחר" dataDxfId="68"/>
    <tableColumn id="5" name="מאפיין עיקרי" dataDxfId="67"/>
    <tableColumn id="6" name="ישראל/חו&quot;ל" dataDxfId="66"/>
    <tableColumn id="7" name="מדינה לפי חשיפה כלכלית" dataDxfId="65"/>
    <tableColumn id="8" name="בעל עניין/צד קשור" dataDxfId="64"/>
    <tableColumn id="9" name="תאריך עסקה" dataDxfId="63"/>
    <tableColumn id="10" name="מטבע פעילות" dataDxfId="62"/>
    <tableColumn id="11" name="תאריך שערוך אחרון" dataDxfId="61"/>
    <tableColumn id="12" name="שווי מטבעי" dataDxfId="60"/>
    <tableColumn id="13" name="שער חליפין" dataDxfId="59"/>
    <tableColumn id="14" name="שווי הוגן (באלפי ש&quot;ח)" dataDxfId="58"/>
    <tableColumn id="15" name="עלות מופחתת (באלפי ש&quot;ח)" dataDxfId="57"/>
    <tableColumn id="16" name="השיטה שיושמה בדוח הכספי" dataDxfId="56"/>
    <tableColumn id="17" name="שיעור מנכסי אפיק ההשקעה" dataDxfId="55"/>
    <tableColumn id="18" name="שיעור מסך נכסי ההשקעה" dataDxfId="54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29" dataDxfId="891" headerRowBorderDxfId="51" tableBorderDxfId="52" totalsRowBorderDxfId="50">
  <autoFilter ref="A2:T8"/>
  <tableColumns count="20">
    <tableColumn id="1" name="מספר קופה/קרן/ח.פ. עבור חברת ביטוח" dataDxfId="49"/>
    <tableColumn id="2" name="מספר מסלול" dataDxfId="48"/>
    <tableColumn id="3" name="מספר מזהה לווה" dataDxfId="47"/>
    <tableColumn id="4" name="סוג מספר מזהה לווה" dataDxfId="46"/>
    <tableColumn id="5" name="שם הלוואה" dataDxfId="45"/>
    <tableColumn id="6" name="מספר הלוואה" dataDxfId="44"/>
    <tableColumn id="7" name="תאריך העמדת מסגרת אשראי" dataDxfId="43"/>
    <tableColumn id="8" name="ישראל/חו&quot;ל" dataDxfId="42"/>
    <tableColumn id="9" name="מדינה לפי חשיפה כלכלית" dataDxfId="41"/>
    <tableColumn id="10" name="בעל עניין/צד קשור" dataDxfId="40"/>
    <tableColumn id="11" name="דירוג" dataDxfId="39"/>
    <tableColumn id="12" name="שם מדרג" dataDxfId="38"/>
    <tableColumn id="13" name="דירוג הלוואה/המנפיק" dataDxfId="37"/>
    <tableColumn id="14" name="מטבע פעילות" dataDxfId="36"/>
    <tableColumn id="15" name="שער חליפין" dataDxfId="35"/>
    <tableColumn id="16" name="שיעור ריבית" dataDxfId="34"/>
    <tableColumn id="17" name="סוג הריבית" dataDxfId="33"/>
    <tableColumn id="18" name="סכום מסגרת האשראי הראשוני (במטבע הפעילות)" dataDxfId="32"/>
    <tableColumn id="19" name="סכום מסגרת האשראי הראשוני (באלפי ש&quot;ח)" dataDxfId="31"/>
    <tableColumn id="20" name="שיעור יתרת מסגרת אשראי" dataDxfId="30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19" totalsRowShown="0" headerRowDxfId="8" dataDxfId="890" headerRowBorderDxfId="27" tableBorderDxfId="28" totalsRowBorderDxfId="26">
  <autoFilter ref="A2:Q219"/>
  <tableColumns count="17">
    <tableColumn id="1" name="מספר קופה/קרן/ח.פ. עבור חברת ביטוח" dataDxfId="25"/>
    <tableColumn id="2" name="מספר מסלול" dataDxfId="24"/>
    <tableColumn id="3" name="מאפיין עיקרי" dataDxfId="23"/>
    <tableColumn id="4" name="שם שותף כללי קרן השקעות" dataDxfId="22"/>
    <tableColumn id="5" name="מספר מזהה שותף כללי קרן השקעות" dataDxfId="21"/>
    <tableColumn id="6" name="סוג מספר מזהה שותף כללי קרן השקעות" dataDxfId="20"/>
    <tableColumn id="7" name="שם קרן השקעה" dataDxfId="19"/>
    <tableColumn id="8" name="מספר מזהה קרן השקעה" dataDxfId="18"/>
    <tableColumn id="9" name="סוג מספר מזהה קרן השקעות" dataDxfId="17"/>
    <tableColumn id="10" name="מטבע פעילות" dataDxfId="16"/>
    <tableColumn id="11" name="תאריך העמדת התחייבות לקרן השקעה" dataDxfId="15"/>
    <tableColumn id="12" name="סכום המחויבות הראשוני (במטבע הדיווח של קרן ההשקעה)" dataDxfId="14"/>
    <tableColumn id="13" name="סכום המחויבות הראשוני (באלפי ש&quot;ח)" dataDxfId="13"/>
    <tableColumn id="14" name="יתרת המחויבות לתקופת הדיווח (במטבע הדיווח של קרן ההשקעה)" dataDxfId="12"/>
    <tableColumn id="15" name="יתרת המחויבות לתקופת הדיווח (באלפי ש&quot;ח)" dataDxfId="11"/>
    <tableColumn id="16" name="שיעור יתרת המחויבות" dataDxfId="10"/>
    <tableColumn id="17" name="תאריך פקיעת מחויבות להשקעה" dataDxfId="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3948</v>
      </c>
    </row>
    <row r="2" spans="1:8" ht="18" x14ac:dyDescent="0.2">
      <c r="A2" s="133" t="s">
        <v>0</v>
      </c>
      <c r="B2" s="133"/>
      <c r="C2" s="133"/>
      <c r="D2" s="133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28" t="s">
        <v>1114</v>
      </c>
    </row>
    <row r="9" spans="1:8" ht="15" x14ac:dyDescent="0.2">
      <c r="D9" s="24"/>
      <c r="E9" s="24"/>
      <c r="F9" s="24"/>
      <c r="G9" s="24"/>
      <c r="H9" s="24"/>
    </row>
    <row r="10" spans="1:8" ht="15" x14ac:dyDescent="0.2">
      <c r="A10" t="s">
        <v>4</v>
      </c>
      <c r="D10" s="74">
        <v>2024</v>
      </c>
    </row>
    <row r="12" spans="1:8" ht="15" x14ac:dyDescent="0.2">
      <c r="A12" t="s">
        <v>5</v>
      </c>
      <c r="D12" s="74" t="s">
        <v>1199</v>
      </c>
    </row>
    <row r="14" spans="1:8" ht="15" x14ac:dyDescent="0.2">
      <c r="A14" t="s">
        <v>6</v>
      </c>
      <c r="D14" s="75">
        <v>520028390</v>
      </c>
    </row>
    <row r="16" spans="1:8" ht="15" x14ac:dyDescent="0.25">
      <c r="A16" s="15" t="s">
        <v>7</v>
      </c>
      <c r="D16" s="75" t="s">
        <v>3934</v>
      </c>
    </row>
    <row r="17" spans="1:8" ht="15" x14ac:dyDescent="0.25">
      <c r="A17" s="15"/>
      <c r="D17" s="24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76" t="s">
        <v>3935</v>
      </c>
    </row>
    <row r="19" spans="1:8" x14ac:dyDescent="0.2">
      <c r="A19" s="11"/>
      <c r="D19" s="14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76" t="s">
        <v>3936</v>
      </c>
    </row>
    <row r="21" spans="1:8" x14ac:dyDescent="0.2">
      <c r="A21" s="11"/>
      <c r="D21" s="14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7" t="s">
        <v>3937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t="s">
        <v>13</v>
      </c>
    </row>
    <row r="25" spans="1:8" x14ac:dyDescent="0.2">
      <c r="A25" s="1" t="s">
        <v>3945</v>
      </c>
    </row>
    <row r="26" spans="1:8" x14ac:dyDescent="0.2">
      <c r="D26" s="1"/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D30" s="13"/>
      <c r="E30" s="13"/>
      <c r="F30" s="13"/>
      <c r="G30" s="13"/>
      <c r="H30" s="13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3949</v>
      </c>
    </row>
    <row r="2" spans="1:6" ht="18.75" customHeight="1" x14ac:dyDescent="0.2">
      <c r="A2" s="135" t="s">
        <v>3940</v>
      </c>
      <c r="B2" s="136" t="s">
        <v>3941</v>
      </c>
      <c r="C2" s="137" t="s">
        <v>14</v>
      </c>
      <c r="D2" s="138" t="s">
        <v>3942</v>
      </c>
      <c r="E2" s="136" t="s">
        <v>3943</v>
      </c>
      <c r="F2" s="175" t="s">
        <v>3947</v>
      </c>
    </row>
    <row r="3" spans="1:6" ht="39.75" customHeight="1" x14ac:dyDescent="0.2">
      <c r="A3" s="135" t="s">
        <v>3939</v>
      </c>
      <c r="B3" s="136" t="s">
        <v>15</v>
      </c>
      <c r="C3" s="136" t="s">
        <v>16</v>
      </c>
      <c r="D3" s="136" t="s">
        <v>17</v>
      </c>
      <c r="E3" s="136" t="s">
        <v>18</v>
      </c>
      <c r="F3" s="175"/>
    </row>
    <row r="4" spans="1:6" ht="15" x14ac:dyDescent="0.2">
      <c r="A4" s="134" t="s">
        <v>19</v>
      </c>
      <c r="B4" s="119">
        <v>493392.58779999998</v>
      </c>
      <c r="C4" s="124" t="s">
        <v>3930</v>
      </c>
      <c r="D4" s="124" t="s">
        <v>3930</v>
      </c>
      <c r="E4" s="119">
        <v>5.5734363798999675</v>
      </c>
      <c r="F4" s="175"/>
    </row>
    <row r="5" spans="1:6" ht="15" x14ac:dyDescent="0.2">
      <c r="A5" s="131" t="s">
        <v>20</v>
      </c>
      <c r="B5" s="119">
        <v>1075249.77</v>
      </c>
      <c r="C5" s="124" t="s">
        <v>3930</v>
      </c>
      <c r="D5" s="124" t="s">
        <v>3930</v>
      </c>
      <c r="E5" s="119">
        <v>12.146182033552943</v>
      </c>
      <c r="F5" s="175"/>
    </row>
    <row r="6" spans="1:6" ht="15" x14ac:dyDescent="0.2">
      <c r="A6" s="131" t="s">
        <v>21</v>
      </c>
      <c r="B6" s="124" t="s">
        <v>3930</v>
      </c>
      <c r="C6" s="124" t="s">
        <v>3930</v>
      </c>
      <c r="D6" s="124" t="s">
        <v>3930</v>
      </c>
      <c r="E6" s="124" t="s">
        <v>3930</v>
      </c>
      <c r="F6" s="175"/>
    </row>
    <row r="7" spans="1:6" ht="15" x14ac:dyDescent="0.2">
      <c r="A7" s="131" t="s">
        <v>22</v>
      </c>
      <c r="B7" s="119">
        <v>1021840.3885999999</v>
      </c>
      <c r="C7" s="124" t="s">
        <v>3930</v>
      </c>
      <c r="D7" s="124" t="s">
        <v>3930</v>
      </c>
      <c r="E7" s="119">
        <v>11.542861681467835</v>
      </c>
      <c r="F7" s="175"/>
    </row>
    <row r="8" spans="1:6" ht="15" x14ac:dyDescent="0.2">
      <c r="A8" s="131" t="s">
        <v>23</v>
      </c>
      <c r="B8" s="119">
        <v>1890125.2213999999</v>
      </c>
      <c r="C8" s="124" t="s">
        <v>3930</v>
      </c>
      <c r="D8" s="124" t="s">
        <v>3930</v>
      </c>
      <c r="E8" s="119">
        <v>21.351136865619772</v>
      </c>
      <c r="F8" s="175"/>
    </row>
    <row r="9" spans="1:6" ht="15" x14ac:dyDescent="0.2">
      <c r="A9" s="131" t="s">
        <v>24</v>
      </c>
      <c r="B9" s="119">
        <v>1952948.7464999999</v>
      </c>
      <c r="C9" s="124" t="s">
        <v>3930</v>
      </c>
      <c r="D9" s="124" t="s">
        <v>3930</v>
      </c>
      <c r="E9" s="119">
        <v>22.060800790675387</v>
      </c>
      <c r="F9" s="175"/>
    </row>
    <row r="10" spans="1:6" ht="15" x14ac:dyDescent="0.2">
      <c r="A10" s="131" t="s">
        <v>25</v>
      </c>
      <c r="B10" s="119">
        <v>303620.8616</v>
      </c>
      <c r="C10" s="124" t="s">
        <v>3930</v>
      </c>
      <c r="D10" s="124" t="s">
        <v>3930</v>
      </c>
      <c r="E10" s="119">
        <v>3.4297466106927144</v>
      </c>
      <c r="F10" s="175"/>
    </row>
    <row r="11" spans="1:6" ht="15" x14ac:dyDescent="0.2">
      <c r="A11" s="131" t="s">
        <v>26</v>
      </c>
      <c r="B11" s="119">
        <v>66.796199999999999</v>
      </c>
      <c r="C11" s="124" t="s">
        <v>3930</v>
      </c>
      <c r="D11" s="124" t="s">
        <v>3930</v>
      </c>
      <c r="E11" s="119">
        <v>7.5454033281735099E-4</v>
      </c>
      <c r="F11" s="175"/>
    </row>
    <row r="12" spans="1:6" ht="15" x14ac:dyDescent="0.2">
      <c r="A12" s="131" t="s">
        <v>27</v>
      </c>
      <c r="B12" s="119">
        <v>-4211.2849999999999</v>
      </c>
      <c r="C12" s="124" t="s">
        <v>3930</v>
      </c>
      <c r="D12" s="124" t="s">
        <v>3930</v>
      </c>
      <c r="E12" s="119">
        <v>-4.7571304482371866E-2</v>
      </c>
      <c r="F12" s="175"/>
    </row>
    <row r="13" spans="1:6" ht="15" x14ac:dyDescent="0.2">
      <c r="A13" s="131" t="s">
        <v>28</v>
      </c>
      <c r="B13" s="119">
        <v>10166.0365</v>
      </c>
      <c r="C13" s="124" t="s">
        <v>3930</v>
      </c>
      <c r="D13" s="124" t="s">
        <v>3930</v>
      </c>
      <c r="E13" s="119">
        <v>0.11483706686451328</v>
      </c>
      <c r="F13" s="175"/>
    </row>
    <row r="14" spans="1:6" ht="15" x14ac:dyDescent="0.2">
      <c r="A14" s="131" t="s">
        <v>29</v>
      </c>
      <c r="B14" s="119">
        <v>59051.278700000003</v>
      </c>
      <c r="C14" s="124" t="s">
        <v>3930</v>
      </c>
      <c r="D14" s="124" t="s">
        <v>3930</v>
      </c>
      <c r="E14" s="119">
        <v>0.66705206625143332</v>
      </c>
      <c r="F14" s="175"/>
    </row>
    <row r="15" spans="1:6" ht="15" x14ac:dyDescent="0.2">
      <c r="A15" s="131" t="s">
        <v>30</v>
      </c>
      <c r="B15" s="124" t="s">
        <v>3930</v>
      </c>
      <c r="C15" s="124" t="s">
        <v>3930</v>
      </c>
      <c r="D15" s="124" t="s">
        <v>3930</v>
      </c>
      <c r="E15" s="124" t="s">
        <v>3930</v>
      </c>
      <c r="F15" s="175"/>
    </row>
    <row r="16" spans="1:6" ht="15" x14ac:dyDescent="0.2">
      <c r="A16" s="131" t="s">
        <v>31</v>
      </c>
      <c r="B16" s="124" t="s">
        <v>3930</v>
      </c>
      <c r="C16" s="124" t="s">
        <v>3930</v>
      </c>
      <c r="D16" s="124" t="s">
        <v>3930</v>
      </c>
      <c r="E16" s="124" t="s">
        <v>3930</v>
      </c>
      <c r="F16" s="175"/>
    </row>
    <row r="17" spans="1:6" ht="15" x14ac:dyDescent="0.2">
      <c r="A17" s="131" t="s">
        <v>32</v>
      </c>
      <c r="B17" s="124" t="s">
        <v>3930</v>
      </c>
      <c r="C17" s="124" t="s">
        <v>3930</v>
      </c>
      <c r="D17" s="124" t="s">
        <v>3930</v>
      </c>
      <c r="E17" s="124" t="s">
        <v>3930</v>
      </c>
      <c r="F17" s="175"/>
    </row>
    <row r="18" spans="1:6" ht="15" x14ac:dyDescent="0.2">
      <c r="A18" s="131" t="s">
        <v>33</v>
      </c>
      <c r="B18" s="124" t="s">
        <v>3930</v>
      </c>
      <c r="C18" s="124" t="s">
        <v>3930</v>
      </c>
      <c r="D18" s="124" t="s">
        <v>3930</v>
      </c>
      <c r="E18" s="124" t="s">
        <v>3930</v>
      </c>
      <c r="F18" s="175"/>
    </row>
    <row r="19" spans="1:6" ht="15" x14ac:dyDescent="0.2">
      <c r="A19" s="131" t="s">
        <v>34</v>
      </c>
      <c r="B19" s="119">
        <v>10622.8071</v>
      </c>
      <c r="C19" s="124" t="s">
        <v>3930</v>
      </c>
      <c r="D19" s="124" t="s">
        <v>3930</v>
      </c>
      <c r="E19" s="119">
        <v>0.11999681630433945</v>
      </c>
      <c r="F19" s="175"/>
    </row>
    <row r="20" spans="1:6" ht="15" x14ac:dyDescent="0.2">
      <c r="A20" s="131" t="s">
        <v>35</v>
      </c>
      <c r="B20" s="119">
        <v>519606.8113</v>
      </c>
      <c r="C20" s="124" t="s">
        <v>3930</v>
      </c>
      <c r="D20" s="124" t="s">
        <v>3930</v>
      </c>
      <c r="E20" s="119">
        <v>5.8695561644968581</v>
      </c>
      <c r="F20" s="175"/>
    </row>
    <row r="21" spans="1:6" ht="15" x14ac:dyDescent="0.2">
      <c r="A21" s="131" t="s">
        <v>36</v>
      </c>
      <c r="B21" s="119">
        <v>1281442.5135999999</v>
      </c>
      <c r="C21" s="124" t="s">
        <v>3930</v>
      </c>
      <c r="D21" s="124" t="s">
        <v>3930</v>
      </c>
      <c r="E21" s="119">
        <v>14.475366067362135</v>
      </c>
      <c r="F21" s="175"/>
    </row>
    <row r="22" spans="1:6" ht="15" x14ac:dyDescent="0.2">
      <c r="A22" s="131" t="s">
        <v>37</v>
      </c>
      <c r="B22" s="119">
        <v>956.87009999999998</v>
      </c>
      <c r="C22" s="124" t="s">
        <v>3930</v>
      </c>
      <c r="D22" s="124" t="s">
        <v>3930</v>
      </c>
      <c r="E22" s="119">
        <v>1.0808947262085027E-2</v>
      </c>
      <c r="F22" s="175"/>
    </row>
    <row r="23" spans="1:6" ht="15" x14ac:dyDescent="0.2">
      <c r="A23" s="131" t="s">
        <v>38</v>
      </c>
      <c r="B23" s="124" t="s">
        <v>3930</v>
      </c>
      <c r="C23" s="124" t="s">
        <v>3930</v>
      </c>
      <c r="D23" s="124" t="s">
        <v>3930</v>
      </c>
      <c r="E23" s="124" t="s">
        <v>3930</v>
      </c>
      <c r="F23" s="175"/>
    </row>
    <row r="24" spans="1:6" ht="15" x14ac:dyDescent="0.2">
      <c r="A24" s="131" t="s">
        <v>39</v>
      </c>
      <c r="B24" s="119">
        <v>-37312.200499999999</v>
      </c>
      <c r="C24" s="124" t="s">
        <v>3930</v>
      </c>
      <c r="D24" s="124" t="s">
        <v>3930</v>
      </c>
      <c r="E24" s="119">
        <v>-0.42148419104991308</v>
      </c>
      <c r="F24" s="175"/>
    </row>
    <row r="25" spans="1:6" ht="15" x14ac:dyDescent="0.2">
      <c r="A25" s="131" t="s">
        <v>40</v>
      </c>
      <c r="B25" s="119">
        <v>214412.3744</v>
      </c>
      <c r="C25" s="124" t="s">
        <v>3930</v>
      </c>
      <c r="D25" s="124" t="s">
        <v>3930</v>
      </c>
      <c r="E25" s="119">
        <v>2.4220342122365812</v>
      </c>
      <c r="F25" s="175"/>
    </row>
    <row r="26" spans="1:6" ht="15" x14ac:dyDescent="0.2">
      <c r="A26" s="131" t="s">
        <v>41</v>
      </c>
      <c r="B26" s="119">
        <v>60594.5645</v>
      </c>
      <c r="C26" s="124" t="s">
        <v>3930</v>
      </c>
      <c r="D26" s="124" t="s">
        <v>3930</v>
      </c>
      <c r="E26" s="119">
        <v>0.68448525251290504</v>
      </c>
      <c r="F26" s="175"/>
    </row>
    <row r="27" spans="1:6" ht="15" x14ac:dyDescent="0.2">
      <c r="A27" s="131" t="s">
        <v>42</v>
      </c>
      <c r="B27" s="124" t="s">
        <v>3930</v>
      </c>
      <c r="C27" s="124" t="s">
        <v>3930</v>
      </c>
      <c r="D27" s="124" t="s">
        <v>3930</v>
      </c>
      <c r="E27" s="124" t="s">
        <v>3930</v>
      </c>
      <c r="F27" s="175"/>
    </row>
    <row r="28" spans="1:6" ht="15" x14ac:dyDescent="0.2">
      <c r="A28" s="131" t="s">
        <v>43</v>
      </c>
      <c r="B28" s="124" t="s">
        <v>3930</v>
      </c>
      <c r="C28" s="124" t="s">
        <v>3930</v>
      </c>
      <c r="D28" s="124" t="s">
        <v>3930</v>
      </c>
      <c r="E28" s="124" t="s">
        <v>3930</v>
      </c>
      <c r="F28" s="175"/>
    </row>
    <row r="29" spans="1:6" ht="15" x14ac:dyDescent="0.2">
      <c r="A29" s="131" t="s">
        <v>44</v>
      </c>
      <c r="B29" s="124" t="s">
        <v>3930</v>
      </c>
      <c r="C29" s="124" t="s">
        <v>3930</v>
      </c>
      <c r="D29" s="124" t="s">
        <v>3930</v>
      </c>
      <c r="E29" s="124" t="s">
        <v>3930</v>
      </c>
      <c r="F29" s="175"/>
    </row>
    <row r="30" spans="1:6" ht="15" x14ac:dyDescent="0.2">
      <c r="A30" s="131" t="s">
        <v>45</v>
      </c>
      <c r="B30" s="124" t="s">
        <v>3930</v>
      </c>
      <c r="C30" s="124" t="s">
        <v>3930</v>
      </c>
      <c r="D30" s="124" t="s">
        <v>3930</v>
      </c>
      <c r="E30" s="124" t="s">
        <v>3930</v>
      </c>
      <c r="F30" s="175"/>
    </row>
    <row r="31" spans="1:6" x14ac:dyDescent="0.2">
      <c r="A31" s="132" t="s">
        <v>46</v>
      </c>
      <c r="B31" s="34">
        <v>8852574.1427999996</v>
      </c>
      <c r="C31" s="34">
        <f>SUM(C4:C30)</f>
        <v>0</v>
      </c>
      <c r="D31" s="34">
        <f>SUM(D4:D30)</f>
        <v>0</v>
      </c>
      <c r="E31" s="34">
        <f>SUM(E4:E30)</f>
        <v>100</v>
      </c>
      <c r="F31" s="175"/>
    </row>
    <row r="32" spans="1:6" ht="15" x14ac:dyDescent="0.2">
      <c r="A32" s="131" t="s">
        <v>47</v>
      </c>
      <c r="B32" s="124" t="s">
        <v>3930</v>
      </c>
      <c r="C32" s="124" t="s">
        <v>3930</v>
      </c>
      <c r="D32" s="124" t="s">
        <v>3930</v>
      </c>
      <c r="E32" s="124" t="s">
        <v>3930</v>
      </c>
      <c r="F32" s="175"/>
    </row>
    <row r="33" spans="1:6" ht="15" x14ac:dyDescent="0.2">
      <c r="A33" s="131" t="s">
        <v>48</v>
      </c>
      <c r="B33" s="122">
        <v>461192.69246651861</v>
      </c>
      <c r="C33" s="124" t="s">
        <v>3930</v>
      </c>
      <c r="D33" s="124" t="s">
        <v>3930</v>
      </c>
      <c r="E33" s="124" t="s">
        <v>3930</v>
      </c>
      <c r="F33" s="175"/>
    </row>
    <row r="34" spans="1:6" x14ac:dyDescent="0.2">
      <c r="A34" s="175" t="s">
        <v>3946</v>
      </c>
      <c r="B34" s="175"/>
      <c r="C34" s="175"/>
      <c r="D34" s="175"/>
      <c r="E34" s="175"/>
    </row>
    <row r="35" spans="1:6" x14ac:dyDescent="0.2">
      <c r="A35" s="8" t="s">
        <v>3945</v>
      </c>
    </row>
    <row r="36" spans="1:6" x14ac:dyDescent="0.2">
      <c r="A36" s="176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9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18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3950</v>
      </c>
    </row>
    <row r="2" spans="1:18" s="3" customFormat="1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55</v>
      </c>
      <c r="H2" s="140" t="s">
        <v>56</v>
      </c>
      <c r="I2" s="140" t="s">
        <v>57</v>
      </c>
      <c r="J2" s="140" t="s">
        <v>58</v>
      </c>
      <c r="K2" s="140" t="s">
        <v>59</v>
      </c>
      <c r="L2" s="140" t="s">
        <v>60</v>
      </c>
      <c r="M2" s="140" t="s">
        <v>61</v>
      </c>
      <c r="N2" s="140" t="s">
        <v>62</v>
      </c>
      <c r="O2" s="140" t="s">
        <v>63</v>
      </c>
      <c r="P2" s="140" t="s">
        <v>64</v>
      </c>
      <c r="Q2" s="141" t="s">
        <v>65</v>
      </c>
      <c r="R2" s="178" t="s">
        <v>3947</v>
      </c>
    </row>
    <row r="3" spans="1:18" ht="15" x14ac:dyDescent="0.2">
      <c r="A3" s="142" t="s">
        <v>1205</v>
      </c>
      <c r="B3" s="143" t="s">
        <v>1206</v>
      </c>
      <c r="C3" s="143" t="s">
        <v>1207</v>
      </c>
      <c r="D3" s="143" t="s">
        <v>1208</v>
      </c>
      <c r="E3" s="143" t="s">
        <v>315</v>
      </c>
      <c r="F3" s="143" t="s">
        <v>934</v>
      </c>
      <c r="G3" s="143" t="s">
        <v>204</v>
      </c>
      <c r="H3" s="143" t="s">
        <v>339</v>
      </c>
      <c r="I3" s="143" t="s">
        <v>1209</v>
      </c>
      <c r="J3" s="143" t="s">
        <v>415</v>
      </c>
      <c r="K3" s="143" t="s">
        <v>1210</v>
      </c>
      <c r="L3" s="144">
        <v>747.03909999999996</v>
      </c>
      <c r="M3" s="145" t="s">
        <v>3930</v>
      </c>
      <c r="N3" s="145" t="s">
        <v>3930</v>
      </c>
      <c r="O3" s="144">
        <v>747.03909999999996</v>
      </c>
      <c r="P3" s="146">
        <v>0.80886635662206341</v>
      </c>
      <c r="Q3" s="147">
        <v>4.8596290888864094E-2</v>
      </c>
      <c r="R3" s="178"/>
    </row>
    <row r="4" spans="1:18" ht="15" x14ac:dyDescent="0.2">
      <c r="A4" s="142" t="s">
        <v>1205</v>
      </c>
      <c r="B4" s="143" t="s">
        <v>1206</v>
      </c>
      <c r="C4" s="143" t="s">
        <v>1207</v>
      </c>
      <c r="D4" s="143" t="s">
        <v>1208</v>
      </c>
      <c r="E4" s="143" t="s">
        <v>315</v>
      </c>
      <c r="F4" s="143" t="s">
        <v>936</v>
      </c>
      <c r="G4" s="143" t="s">
        <v>204</v>
      </c>
      <c r="H4" s="143" t="s">
        <v>339</v>
      </c>
      <c r="I4" s="143" t="s">
        <v>1209</v>
      </c>
      <c r="J4" s="143" t="s">
        <v>415</v>
      </c>
      <c r="K4" s="143" t="s">
        <v>1211</v>
      </c>
      <c r="L4" s="144">
        <v>47.5655</v>
      </c>
      <c r="M4" s="143" t="s">
        <v>1212</v>
      </c>
      <c r="N4" s="145" t="s">
        <v>3930</v>
      </c>
      <c r="O4" s="144">
        <v>176.46799999999999</v>
      </c>
      <c r="P4" s="146">
        <v>0.19107301063450716</v>
      </c>
      <c r="Q4" s="147">
        <v>1.1479572032866838E-2</v>
      </c>
      <c r="R4" s="178"/>
    </row>
    <row r="5" spans="1:18" ht="15" x14ac:dyDescent="0.2">
      <c r="A5" s="142" t="s">
        <v>1205</v>
      </c>
      <c r="B5" s="143" t="s">
        <v>1206</v>
      </c>
      <c r="C5" s="143" t="s">
        <v>1207</v>
      </c>
      <c r="D5" s="143" t="s">
        <v>1208</v>
      </c>
      <c r="E5" s="143" t="s">
        <v>315</v>
      </c>
      <c r="F5" s="143" t="s">
        <v>936</v>
      </c>
      <c r="G5" s="143" t="s">
        <v>204</v>
      </c>
      <c r="H5" s="143" t="s">
        <v>339</v>
      </c>
      <c r="I5" s="143" t="s">
        <v>1209</v>
      </c>
      <c r="J5" s="143" t="s">
        <v>415</v>
      </c>
      <c r="K5" s="143" t="s">
        <v>1213</v>
      </c>
      <c r="L5" s="144">
        <v>0.1172</v>
      </c>
      <c r="M5" s="143" t="s">
        <v>1214</v>
      </c>
      <c r="N5" s="145" t="s">
        <v>3930</v>
      </c>
      <c r="O5" s="144">
        <v>5.6000000000000001E-2</v>
      </c>
      <c r="P5" s="146">
        <v>6.0632743429425718E-5</v>
      </c>
      <c r="Q5" s="147">
        <v>3.64278525489839E-6</v>
      </c>
      <c r="R5" s="178"/>
    </row>
    <row r="6" spans="1:18" ht="15" x14ac:dyDescent="0.2">
      <c r="A6" s="142" t="s">
        <v>1205</v>
      </c>
      <c r="B6" s="143" t="s">
        <v>1215</v>
      </c>
      <c r="C6" s="143" t="s">
        <v>1207</v>
      </c>
      <c r="D6" s="143" t="s">
        <v>1208</v>
      </c>
      <c r="E6" s="143" t="s">
        <v>315</v>
      </c>
      <c r="F6" s="143" t="s">
        <v>934</v>
      </c>
      <c r="G6" s="143" t="s">
        <v>204</v>
      </c>
      <c r="H6" s="143" t="s">
        <v>339</v>
      </c>
      <c r="I6" s="143" t="s">
        <v>1209</v>
      </c>
      <c r="J6" s="143" t="s">
        <v>415</v>
      </c>
      <c r="K6" s="143" t="s">
        <v>1210</v>
      </c>
      <c r="L6" s="144">
        <v>242.1703</v>
      </c>
      <c r="M6" s="145" t="s">
        <v>3930</v>
      </c>
      <c r="N6" s="145" t="s">
        <v>3930</v>
      </c>
      <c r="O6" s="144">
        <v>242.1703</v>
      </c>
      <c r="P6" s="146">
        <v>0.99806487860117843</v>
      </c>
      <c r="Q6" s="147">
        <v>6.9078908573634523E-2</v>
      </c>
      <c r="R6" s="178"/>
    </row>
    <row r="7" spans="1:18" ht="15" x14ac:dyDescent="0.2">
      <c r="A7" s="142" t="s">
        <v>1205</v>
      </c>
      <c r="B7" s="143" t="s">
        <v>1215</v>
      </c>
      <c r="C7" s="143" t="s">
        <v>1207</v>
      </c>
      <c r="D7" s="143" t="s">
        <v>1208</v>
      </c>
      <c r="E7" s="143" t="s">
        <v>315</v>
      </c>
      <c r="F7" s="143" t="s">
        <v>936</v>
      </c>
      <c r="G7" s="143" t="s">
        <v>204</v>
      </c>
      <c r="H7" s="143" t="s">
        <v>339</v>
      </c>
      <c r="I7" s="143" t="s">
        <v>1209</v>
      </c>
      <c r="J7" s="143" t="s">
        <v>415</v>
      </c>
      <c r="K7" s="143" t="s">
        <v>1211</v>
      </c>
      <c r="L7" s="144">
        <v>0.12659999999999999</v>
      </c>
      <c r="M7" s="143" t="s">
        <v>1212</v>
      </c>
      <c r="N7" s="145" t="s">
        <v>3930</v>
      </c>
      <c r="O7" s="144">
        <v>0.46949999999999997</v>
      </c>
      <c r="P7" s="146">
        <v>1.9351213988216007E-3</v>
      </c>
      <c r="Q7" s="147">
        <v>1.3393525516641026E-4</v>
      </c>
      <c r="R7" s="178"/>
    </row>
    <row r="8" spans="1:18" ht="15" x14ac:dyDescent="0.2">
      <c r="A8" s="142" t="s">
        <v>1205</v>
      </c>
      <c r="B8" s="143" t="s">
        <v>1205</v>
      </c>
      <c r="C8" s="143" t="s">
        <v>1207</v>
      </c>
      <c r="D8" s="143" t="s">
        <v>1208</v>
      </c>
      <c r="E8" s="143" t="s">
        <v>315</v>
      </c>
      <c r="F8" s="143" t="s">
        <v>934</v>
      </c>
      <c r="G8" s="143" t="s">
        <v>204</v>
      </c>
      <c r="H8" s="143" t="s">
        <v>339</v>
      </c>
      <c r="I8" s="143" t="s">
        <v>1209</v>
      </c>
      <c r="J8" s="143" t="s">
        <v>415</v>
      </c>
      <c r="K8" s="143" t="s">
        <v>1210</v>
      </c>
      <c r="L8" s="144">
        <v>6138.8939</v>
      </c>
      <c r="M8" s="145" t="s">
        <v>3930</v>
      </c>
      <c r="N8" s="145" t="s">
        <v>3930</v>
      </c>
      <c r="O8" s="144">
        <v>6138.8939</v>
      </c>
      <c r="P8" s="146">
        <v>0.28743975925402915</v>
      </c>
      <c r="Q8" s="147">
        <v>8.9056199364964967E-3</v>
      </c>
      <c r="R8" s="178"/>
    </row>
    <row r="9" spans="1:18" ht="15" x14ac:dyDescent="0.2">
      <c r="A9" s="142" t="s">
        <v>1205</v>
      </c>
      <c r="B9" s="143" t="s">
        <v>1205</v>
      </c>
      <c r="C9" s="143" t="s">
        <v>1207</v>
      </c>
      <c r="D9" s="143" t="s">
        <v>1208</v>
      </c>
      <c r="E9" s="143" t="s">
        <v>315</v>
      </c>
      <c r="F9" s="143" t="s">
        <v>936</v>
      </c>
      <c r="G9" s="143" t="s">
        <v>204</v>
      </c>
      <c r="H9" s="143" t="s">
        <v>339</v>
      </c>
      <c r="I9" s="143" t="s">
        <v>1209</v>
      </c>
      <c r="J9" s="143" t="s">
        <v>415</v>
      </c>
      <c r="K9" s="143" t="s">
        <v>1211</v>
      </c>
      <c r="L9" s="144">
        <v>3796.1320000000001</v>
      </c>
      <c r="M9" s="143" t="s">
        <v>1212</v>
      </c>
      <c r="N9" s="145" t="s">
        <v>3930</v>
      </c>
      <c r="O9" s="144">
        <v>14083.6497</v>
      </c>
      <c r="P9" s="146">
        <v>0.6594348950203901</v>
      </c>
      <c r="Q9" s="147">
        <v>2.0430982001780052E-2</v>
      </c>
      <c r="R9" s="178"/>
    </row>
    <row r="10" spans="1:18" ht="15" x14ac:dyDescent="0.2">
      <c r="A10" s="142" t="s">
        <v>1205</v>
      </c>
      <c r="B10" s="143" t="s">
        <v>1205</v>
      </c>
      <c r="C10" s="143" t="s">
        <v>1207</v>
      </c>
      <c r="D10" s="143" t="s">
        <v>1208</v>
      </c>
      <c r="E10" s="143" t="s">
        <v>315</v>
      </c>
      <c r="F10" s="143" t="s">
        <v>936</v>
      </c>
      <c r="G10" s="143" t="s">
        <v>204</v>
      </c>
      <c r="H10" s="143" t="s">
        <v>339</v>
      </c>
      <c r="I10" s="143" t="s">
        <v>1209</v>
      </c>
      <c r="J10" s="143" t="s">
        <v>415</v>
      </c>
      <c r="K10" s="143" t="s">
        <v>1216</v>
      </c>
      <c r="L10" s="144">
        <v>132.24120000000002</v>
      </c>
      <c r="M10" s="143" t="s">
        <v>1217</v>
      </c>
      <c r="N10" s="145" t="s">
        <v>3930</v>
      </c>
      <c r="O10" s="144">
        <v>657.87330000000009</v>
      </c>
      <c r="P10" s="146">
        <v>3.0803423494903445E-2</v>
      </c>
      <c r="Q10" s="147">
        <v>9.5436895403923296E-4</v>
      </c>
      <c r="R10" s="178"/>
    </row>
    <row r="11" spans="1:18" ht="15" x14ac:dyDescent="0.2">
      <c r="A11" s="142" t="s">
        <v>1205</v>
      </c>
      <c r="B11" s="143" t="s">
        <v>1205</v>
      </c>
      <c r="C11" s="143" t="s">
        <v>1207</v>
      </c>
      <c r="D11" s="143" t="s">
        <v>1208</v>
      </c>
      <c r="E11" s="143" t="s">
        <v>315</v>
      </c>
      <c r="F11" s="143" t="s">
        <v>936</v>
      </c>
      <c r="G11" s="143" t="s">
        <v>204</v>
      </c>
      <c r="H11" s="143" t="s">
        <v>339</v>
      </c>
      <c r="I11" s="143" t="s">
        <v>1209</v>
      </c>
      <c r="J11" s="143" t="s">
        <v>415</v>
      </c>
      <c r="K11" s="143" t="s">
        <v>1218</v>
      </c>
      <c r="L11" s="144">
        <v>113.76349999999999</v>
      </c>
      <c r="M11" s="143" t="s">
        <v>1219</v>
      </c>
      <c r="N11" s="145" t="s">
        <v>3930</v>
      </c>
      <c r="O11" s="144">
        <v>472.39159999999998</v>
      </c>
      <c r="P11" s="146">
        <v>2.2118663234231912E-2</v>
      </c>
      <c r="Q11" s="147">
        <v>6.8529283763191391E-4</v>
      </c>
      <c r="R11" s="178"/>
    </row>
    <row r="12" spans="1:18" ht="15" x14ac:dyDescent="0.2">
      <c r="A12" s="142" t="s">
        <v>1205</v>
      </c>
      <c r="B12" s="143" t="s">
        <v>1205</v>
      </c>
      <c r="C12" s="143" t="s">
        <v>1207</v>
      </c>
      <c r="D12" s="143" t="s">
        <v>1208</v>
      </c>
      <c r="E12" s="143" t="s">
        <v>315</v>
      </c>
      <c r="F12" s="143" t="s">
        <v>936</v>
      </c>
      <c r="G12" s="143" t="s">
        <v>204</v>
      </c>
      <c r="H12" s="143" t="s">
        <v>339</v>
      </c>
      <c r="I12" s="143" t="s">
        <v>1209</v>
      </c>
      <c r="J12" s="143" t="s">
        <v>415</v>
      </c>
      <c r="K12" s="143" t="s">
        <v>1213</v>
      </c>
      <c r="L12" s="144">
        <v>9.0854999999999997</v>
      </c>
      <c r="M12" s="143" t="s">
        <v>1214</v>
      </c>
      <c r="N12" s="145" t="s">
        <v>3930</v>
      </c>
      <c r="O12" s="144">
        <v>4.3410000000000002</v>
      </c>
      <c r="P12" s="146">
        <v>2.0325899644540153E-4</v>
      </c>
      <c r="Q12" s="147">
        <v>6.2974842997161496E-6</v>
      </c>
      <c r="R12" s="178"/>
    </row>
    <row r="13" spans="1:18" ht="15" x14ac:dyDescent="0.2">
      <c r="A13" s="142" t="s">
        <v>1220</v>
      </c>
      <c r="B13" s="143" t="s">
        <v>1221</v>
      </c>
      <c r="C13" s="143" t="s">
        <v>1207</v>
      </c>
      <c r="D13" s="143" t="s">
        <v>1208</v>
      </c>
      <c r="E13" s="143" t="s">
        <v>315</v>
      </c>
      <c r="F13" s="143" t="s">
        <v>934</v>
      </c>
      <c r="G13" s="143" t="s">
        <v>204</v>
      </c>
      <c r="H13" s="143" t="s">
        <v>339</v>
      </c>
      <c r="I13" s="143" t="s">
        <v>1209</v>
      </c>
      <c r="J13" s="143" t="s">
        <v>415</v>
      </c>
      <c r="K13" s="143" t="s">
        <v>1210</v>
      </c>
      <c r="L13" s="144">
        <v>22550.7359</v>
      </c>
      <c r="M13" s="145" t="s">
        <v>3930</v>
      </c>
      <c r="N13" s="145" t="s">
        <v>3930</v>
      </c>
      <c r="O13" s="144">
        <v>22550.7359</v>
      </c>
      <c r="P13" s="146">
        <v>0.93653440877884941</v>
      </c>
      <c r="Q13" s="147">
        <v>7.4663626049755266E-2</v>
      </c>
      <c r="R13" s="178"/>
    </row>
    <row r="14" spans="1:18" ht="15" x14ac:dyDescent="0.2">
      <c r="A14" s="142" t="s">
        <v>1220</v>
      </c>
      <c r="B14" s="143" t="s">
        <v>1221</v>
      </c>
      <c r="C14" s="143" t="s">
        <v>1207</v>
      </c>
      <c r="D14" s="143" t="s">
        <v>1208</v>
      </c>
      <c r="E14" s="143" t="s">
        <v>315</v>
      </c>
      <c r="F14" s="143" t="s">
        <v>936</v>
      </c>
      <c r="G14" s="143" t="s">
        <v>204</v>
      </c>
      <c r="H14" s="143" t="s">
        <v>339</v>
      </c>
      <c r="I14" s="143" t="s">
        <v>1209</v>
      </c>
      <c r="J14" s="143" t="s">
        <v>415</v>
      </c>
      <c r="K14" s="143" t="s">
        <v>1211</v>
      </c>
      <c r="L14" s="144">
        <v>405.81119999999999</v>
      </c>
      <c r="M14" s="143" t="s">
        <v>1212</v>
      </c>
      <c r="N14" s="145" t="s">
        <v>3930</v>
      </c>
      <c r="O14" s="144">
        <v>1505.5593999999999</v>
      </c>
      <c r="P14" s="146">
        <v>6.2526040200172314E-2</v>
      </c>
      <c r="Q14" s="147">
        <v>4.9847830897796919E-3</v>
      </c>
      <c r="R14" s="178"/>
    </row>
    <row r="15" spans="1:18" ht="15" x14ac:dyDescent="0.2">
      <c r="A15" s="142" t="s">
        <v>1220</v>
      </c>
      <c r="B15" s="143" t="s">
        <v>1221</v>
      </c>
      <c r="C15" s="143" t="s">
        <v>1207</v>
      </c>
      <c r="D15" s="143" t="s">
        <v>1208</v>
      </c>
      <c r="E15" s="143" t="s">
        <v>315</v>
      </c>
      <c r="F15" s="143" t="s">
        <v>936</v>
      </c>
      <c r="G15" s="143" t="s">
        <v>204</v>
      </c>
      <c r="H15" s="143" t="s">
        <v>339</v>
      </c>
      <c r="I15" s="143" t="s">
        <v>1209</v>
      </c>
      <c r="J15" s="143" t="s">
        <v>415</v>
      </c>
      <c r="K15" s="143" t="s">
        <v>1218</v>
      </c>
      <c r="L15" s="144">
        <v>5.0798000000000005</v>
      </c>
      <c r="M15" s="143" t="s">
        <v>1219</v>
      </c>
      <c r="N15" s="145" t="s">
        <v>3930</v>
      </c>
      <c r="O15" s="144">
        <v>21.093400000000003</v>
      </c>
      <c r="P15" s="146">
        <v>8.7600949833178357E-4</v>
      </c>
      <c r="Q15" s="147">
        <v>6.9838379654156194E-5</v>
      </c>
      <c r="R15" s="178"/>
    </row>
    <row r="16" spans="1:18" ht="15" x14ac:dyDescent="0.2">
      <c r="A16" s="142" t="s">
        <v>1220</v>
      </c>
      <c r="B16" s="143" t="s">
        <v>1221</v>
      </c>
      <c r="C16" s="143" t="s">
        <v>1207</v>
      </c>
      <c r="D16" s="143" t="s">
        <v>1208</v>
      </c>
      <c r="E16" s="143" t="s">
        <v>315</v>
      </c>
      <c r="F16" s="143" t="s">
        <v>936</v>
      </c>
      <c r="G16" s="143" t="s">
        <v>204</v>
      </c>
      <c r="H16" s="143" t="s">
        <v>339</v>
      </c>
      <c r="I16" s="143" t="s">
        <v>1209</v>
      </c>
      <c r="J16" s="143" t="s">
        <v>415</v>
      </c>
      <c r="K16" s="143" t="s">
        <v>1213</v>
      </c>
      <c r="L16" s="144">
        <v>3.2021999999999999</v>
      </c>
      <c r="M16" s="143" t="s">
        <v>1214</v>
      </c>
      <c r="N16" s="145" t="s">
        <v>3930</v>
      </c>
      <c r="O16" s="144">
        <v>1.53</v>
      </c>
      <c r="P16" s="146">
        <v>6.3541522646487605E-5</v>
      </c>
      <c r="Q16" s="147">
        <v>5.0657407149572198E-6</v>
      </c>
      <c r="R16" s="178"/>
    </row>
    <row r="17" spans="1:18" ht="15" x14ac:dyDescent="0.2">
      <c r="A17" s="142" t="s">
        <v>1220</v>
      </c>
      <c r="B17" s="143" t="s">
        <v>1222</v>
      </c>
      <c r="C17" s="143" t="s">
        <v>1207</v>
      </c>
      <c r="D17" s="143" t="s">
        <v>1208</v>
      </c>
      <c r="E17" s="143" t="s">
        <v>315</v>
      </c>
      <c r="F17" s="143" t="s">
        <v>934</v>
      </c>
      <c r="G17" s="143" t="s">
        <v>204</v>
      </c>
      <c r="H17" s="143" t="s">
        <v>339</v>
      </c>
      <c r="I17" s="143" t="s">
        <v>1209</v>
      </c>
      <c r="J17" s="143" t="s">
        <v>415</v>
      </c>
      <c r="K17" s="143" t="s">
        <v>1210</v>
      </c>
      <c r="L17" s="144">
        <v>494.26509999999996</v>
      </c>
      <c r="M17" s="145" t="s">
        <v>3930</v>
      </c>
      <c r="N17" s="145" t="s">
        <v>3930</v>
      </c>
      <c r="O17" s="144">
        <v>494.26509999999996</v>
      </c>
      <c r="P17" s="146">
        <v>0.99664995669637146</v>
      </c>
      <c r="Q17" s="147">
        <v>6.2161565523511764E-2</v>
      </c>
      <c r="R17" s="178"/>
    </row>
    <row r="18" spans="1:18" ht="15" x14ac:dyDescent="0.2">
      <c r="A18" s="142" t="s">
        <v>1220</v>
      </c>
      <c r="B18" s="143" t="s">
        <v>1222</v>
      </c>
      <c r="C18" s="143" t="s">
        <v>1207</v>
      </c>
      <c r="D18" s="143" t="s">
        <v>1208</v>
      </c>
      <c r="E18" s="143" t="s">
        <v>315</v>
      </c>
      <c r="F18" s="143" t="s">
        <v>936</v>
      </c>
      <c r="G18" s="143" t="s">
        <v>204</v>
      </c>
      <c r="H18" s="143" t="s">
        <v>339</v>
      </c>
      <c r="I18" s="143" t="s">
        <v>1209</v>
      </c>
      <c r="J18" s="143" t="s">
        <v>415</v>
      </c>
      <c r="K18" s="143" t="s">
        <v>1211</v>
      </c>
      <c r="L18" s="144">
        <v>0.44780000000000003</v>
      </c>
      <c r="M18" s="143" t="s">
        <v>1212</v>
      </c>
      <c r="N18" s="145" t="s">
        <v>3930</v>
      </c>
      <c r="O18" s="144">
        <v>1.6614</v>
      </c>
      <c r="P18" s="146">
        <v>3.3500433036285503E-3</v>
      </c>
      <c r="Q18" s="147">
        <v>2.0894390746313882E-4</v>
      </c>
      <c r="R18" s="178"/>
    </row>
    <row r="19" spans="1:18" ht="15" x14ac:dyDescent="0.2">
      <c r="A19" s="142" t="s">
        <v>1220</v>
      </c>
      <c r="B19" s="143" t="s">
        <v>1220</v>
      </c>
      <c r="C19" s="143" t="s">
        <v>1207</v>
      </c>
      <c r="D19" s="143" t="s">
        <v>1208</v>
      </c>
      <c r="E19" s="143" t="s">
        <v>315</v>
      </c>
      <c r="F19" s="143" t="s">
        <v>934</v>
      </c>
      <c r="G19" s="143" t="s">
        <v>204</v>
      </c>
      <c r="H19" s="143" t="s">
        <v>339</v>
      </c>
      <c r="I19" s="143" t="s">
        <v>1209</v>
      </c>
      <c r="J19" s="143" t="s">
        <v>415</v>
      </c>
      <c r="K19" s="143" t="s">
        <v>1210</v>
      </c>
      <c r="L19" s="144">
        <v>282269.8236</v>
      </c>
      <c r="M19" s="145" t="s">
        <v>3930</v>
      </c>
      <c r="N19" s="145" t="s">
        <v>3930</v>
      </c>
      <c r="O19" s="144">
        <v>282269.8236</v>
      </c>
      <c r="P19" s="146">
        <v>0.63247450523464177</v>
      </c>
      <c r="Q19" s="147">
        <v>3.6029605531395392E-2</v>
      </c>
      <c r="R19" s="178"/>
    </row>
    <row r="20" spans="1:18" ht="15" x14ac:dyDescent="0.2">
      <c r="A20" s="142" t="s">
        <v>1220</v>
      </c>
      <c r="B20" s="143" t="s">
        <v>1220</v>
      </c>
      <c r="C20" s="143" t="s">
        <v>1207</v>
      </c>
      <c r="D20" s="143" t="s">
        <v>1208</v>
      </c>
      <c r="E20" s="143" t="s">
        <v>315</v>
      </c>
      <c r="F20" s="143" t="s">
        <v>936</v>
      </c>
      <c r="G20" s="143" t="s">
        <v>204</v>
      </c>
      <c r="H20" s="143" t="s">
        <v>339</v>
      </c>
      <c r="I20" s="143" t="s">
        <v>1209</v>
      </c>
      <c r="J20" s="143" t="s">
        <v>415</v>
      </c>
      <c r="K20" s="143" t="s">
        <v>1211</v>
      </c>
      <c r="L20" s="144">
        <v>40395.100599999998</v>
      </c>
      <c r="M20" s="143" t="s">
        <v>1212</v>
      </c>
      <c r="N20" s="145" t="s">
        <v>3930</v>
      </c>
      <c r="O20" s="144">
        <v>149865.82339999999</v>
      </c>
      <c r="P20" s="146">
        <v>0.33580037453068307</v>
      </c>
      <c r="Q20" s="147">
        <v>1.9129237513133949E-2</v>
      </c>
      <c r="R20" s="178"/>
    </row>
    <row r="21" spans="1:18" ht="15" x14ac:dyDescent="0.2">
      <c r="A21" s="142" t="s">
        <v>1220</v>
      </c>
      <c r="B21" s="143" t="s">
        <v>1220</v>
      </c>
      <c r="C21" s="143" t="s">
        <v>1207</v>
      </c>
      <c r="D21" s="143" t="s">
        <v>1208</v>
      </c>
      <c r="E21" s="143" t="s">
        <v>315</v>
      </c>
      <c r="F21" s="143" t="s">
        <v>936</v>
      </c>
      <c r="G21" s="143" t="s">
        <v>204</v>
      </c>
      <c r="H21" s="143" t="s">
        <v>339</v>
      </c>
      <c r="I21" s="143" t="s">
        <v>1209</v>
      </c>
      <c r="J21" s="143" t="s">
        <v>415</v>
      </c>
      <c r="K21" s="143" t="s">
        <v>1216</v>
      </c>
      <c r="L21" s="144">
        <v>1493.9751999999999</v>
      </c>
      <c r="M21" s="143" t="s">
        <v>1217</v>
      </c>
      <c r="N21" s="145" t="s">
        <v>3930</v>
      </c>
      <c r="O21" s="144">
        <v>7432.2277999999997</v>
      </c>
      <c r="P21" s="146">
        <v>1.6653195712166981E-2</v>
      </c>
      <c r="Q21" s="147">
        <v>9.4866760222043166E-4</v>
      </c>
      <c r="R21" s="178"/>
    </row>
    <row r="22" spans="1:18" ht="15" x14ac:dyDescent="0.2">
      <c r="A22" s="142" t="s">
        <v>1220</v>
      </c>
      <c r="B22" s="143" t="s">
        <v>1220</v>
      </c>
      <c r="C22" s="143" t="s">
        <v>1207</v>
      </c>
      <c r="D22" s="143" t="s">
        <v>1208</v>
      </c>
      <c r="E22" s="143" t="s">
        <v>315</v>
      </c>
      <c r="F22" s="143" t="s">
        <v>936</v>
      </c>
      <c r="G22" s="143" t="s">
        <v>204</v>
      </c>
      <c r="H22" s="143" t="s">
        <v>339</v>
      </c>
      <c r="I22" s="143" t="s">
        <v>1209</v>
      </c>
      <c r="J22" s="143" t="s">
        <v>415</v>
      </c>
      <c r="K22" s="143" t="s">
        <v>1218</v>
      </c>
      <c r="L22" s="144">
        <v>1608.9136000000001</v>
      </c>
      <c r="M22" s="143" t="s">
        <v>1219</v>
      </c>
      <c r="N22" s="145" t="s">
        <v>3930</v>
      </c>
      <c r="O22" s="144">
        <v>6680.8530000000001</v>
      </c>
      <c r="P22" s="146">
        <v>1.4969609979798992E-2</v>
      </c>
      <c r="Q22" s="147">
        <v>8.5276029004663866E-4</v>
      </c>
      <c r="R22" s="178"/>
    </row>
    <row r="23" spans="1:18" ht="15" x14ac:dyDescent="0.2">
      <c r="A23" s="142" t="s">
        <v>1220</v>
      </c>
      <c r="B23" s="143" t="s">
        <v>1220</v>
      </c>
      <c r="C23" s="143" t="s">
        <v>1207</v>
      </c>
      <c r="D23" s="143" t="s">
        <v>1208</v>
      </c>
      <c r="E23" s="143" t="s">
        <v>315</v>
      </c>
      <c r="F23" s="143" t="s">
        <v>936</v>
      </c>
      <c r="G23" s="143" t="s">
        <v>204</v>
      </c>
      <c r="H23" s="143" t="s">
        <v>339</v>
      </c>
      <c r="I23" s="143" t="s">
        <v>1209</v>
      </c>
      <c r="J23" s="143" t="s">
        <v>415</v>
      </c>
      <c r="K23" s="143" t="s">
        <v>1213</v>
      </c>
      <c r="L23" s="144">
        <v>95.568100000000001</v>
      </c>
      <c r="M23" s="143" t="s">
        <v>1214</v>
      </c>
      <c r="N23" s="145" t="s">
        <v>3930</v>
      </c>
      <c r="O23" s="144">
        <v>45.662399999999998</v>
      </c>
      <c r="P23" s="146">
        <v>1.0231463522827311E-4</v>
      </c>
      <c r="Q23" s="147">
        <v>5.8284656802026969E-6</v>
      </c>
      <c r="R23" s="178"/>
    </row>
    <row r="24" spans="1:18" ht="15" x14ac:dyDescent="0.2">
      <c r="A24" s="142" t="s">
        <v>1220</v>
      </c>
      <c r="B24" s="143" t="s">
        <v>1220</v>
      </c>
      <c r="C24" s="143" t="s">
        <v>1207</v>
      </c>
      <c r="D24" s="143" t="s">
        <v>1208</v>
      </c>
      <c r="E24" s="143" t="s">
        <v>315</v>
      </c>
      <c r="F24" s="143" t="s">
        <v>936</v>
      </c>
      <c r="G24" s="143" t="s">
        <v>204</v>
      </c>
      <c r="H24" s="143" t="s">
        <v>339</v>
      </c>
      <c r="I24" s="143" t="s">
        <v>1209</v>
      </c>
      <c r="J24" s="143" t="s">
        <v>415</v>
      </c>
      <c r="K24" s="143" t="s">
        <v>1223</v>
      </c>
      <c r="L24" s="144">
        <v>2.9999999999999997E-4</v>
      </c>
      <c r="M24" s="143" t="s">
        <v>1224</v>
      </c>
      <c r="N24" s="145" t="s">
        <v>3930</v>
      </c>
      <c r="O24" s="144">
        <v>0</v>
      </c>
      <c r="P24" s="146">
        <v>1.4580622439218863E-11</v>
      </c>
      <c r="Q24" s="147">
        <v>8.3060118714567629E-13</v>
      </c>
      <c r="R24" s="178"/>
    </row>
    <row r="25" spans="1:18" ht="15" x14ac:dyDescent="0.2">
      <c r="A25" s="142" t="s">
        <v>1220</v>
      </c>
      <c r="B25" s="143" t="s">
        <v>1220</v>
      </c>
      <c r="C25" s="143" t="s">
        <v>1207</v>
      </c>
      <c r="D25" s="143" t="s">
        <v>1208</v>
      </c>
      <c r="E25" s="143" t="s">
        <v>315</v>
      </c>
      <c r="F25" s="143" t="s">
        <v>936</v>
      </c>
      <c r="G25" s="143" t="s">
        <v>204</v>
      </c>
      <c r="H25" s="143" t="s">
        <v>339</v>
      </c>
      <c r="I25" s="143" t="s">
        <v>1209</v>
      </c>
      <c r="J25" s="143" t="s">
        <v>415</v>
      </c>
      <c r="K25" s="143" t="s">
        <v>1225</v>
      </c>
      <c r="L25" s="144">
        <v>0</v>
      </c>
      <c r="M25" s="143" t="s">
        <v>1226</v>
      </c>
      <c r="N25" s="145" t="s">
        <v>3930</v>
      </c>
      <c r="O25" s="144">
        <v>0</v>
      </c>
      <c r="P25" s="146">
        <v>7.8961333091255556E-12</v>
      </c>
      <c r="Q25" s="147">
        <v>4.498119149412368E-13</v>
      </c>
      <c r="R25" s="178"/>
    </row>
    <row r="26" spans="1:18" ht="15" x14ac:dyDescent="0.2">
      <c r="A26" s="148" t="s">
        <v>1220</v>
      </c>
      <c r="B26" s="149" t="s">
        <v>1220</v>
      </c>
      <c r="C26" s="149" t="s">
        <v>1207</v>
      </c>
      <c r="D26" s="149" t="s">
        <v>1208</v>
      </c>
      <c r="E26" s="149" t="s">
        <v>315</v>
      </c>
      <c r="F26" s="149" t="s">
        <v>936</v>
      </c>
      <c r="G26" s="149" t="s">
        <v>204</v>
      </c>
      <c r="H26" s="149" t="s">
        <v>339</v>
      </c>
      <c r="I26" s="149" t="s">
        <v>1209</v>
      </c>
      <c r="J26" s="149" t="s">
        <v>415</v>
      </c>
      <c r="K26" s="149" t="s">
        <v>1227</v>
      </c>
      <c r="L26" s="150">
        <v>0</v>
      </c>
      <c r="M26" s="149" t="s">
        <v>1228</v>
      </c>
      <c r="N26" s="151" t="s">
        <v>3930</v>
      </c>
      <c r="O26" s="150">
        <v>-1E-4</v>
      </c>
      <c r="P26" s="152">
        <v>-1.149958438396543E-10</v>
      </c>
      <c r="Q26" s="153">
        <v>-6.5508646704353452E-12</v>
      </c>
      <c r="R26" s="178"/>
    </row>
    <row r="27" spans="1:18" x14ac:dyDescent="0.2">
      <c r="A27" s="177" t="s">
        <v>3946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</row>
    <row r="28" spans="1:18" x14ac:dyDescent="0.2">
      <c r="A28" s="2" t="s">
        <v>3945</v>
      </c>
    </row>
    <row r="29" spans="1:18" x14ac:dyDescent="0.2">
      <c r="A29" s="179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39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15.12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3951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54</v>
      </c>
      <c r="G2" s="140" t="s">
        <v>55</v>
      </c>
      <c r="H2" s="140" t="s">
        <v>69</v>
      </c>
      <c r="I2" s="140" t="s">
        <v>70</v>
      </c>
      <c r="J2" s="140" t="s">
        <v>71</v>
      </c>
      <c r="K2" s="140" t="s">
        <v>58</v>
      </c>
      <c r="L2" s="140" t="s">
        <v>59</v>
      </c>
      <c r="M2" s="140" t="s">
        <v>72</v>
      </c>
      <c r="N2" s="140" t="s">
        <v>73</v>
      </c>
      <c r="O2" s="140" t="s">
        <v>62</v>
      </c>
      <c r="P2" s="140" t="s">
        <v>74</v>
      </c>
      <c r="Q2" s="140" t="s">
        <v>75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79</v>
      </c>
      <c r="Y2" s="140" t="s">
        <v>64</v>
      </c>
      <c r="Z2" s="141" t="s">
        <v>65</v>
      </c>
      <c r="AA2" s="180" t="s">
        <v>3947</v>
      </c>
    </row>
    <row r="3" spans="1:27" ht="15" x14ac:dyDescent="0.2">
      <c r="A3" s="142" t="s">
        <v>1205</v>
      </c>
      <c r="B3" s="143" t="s">
        <v>1206</v>
      </c>
      <c r="C3" s="143" t="s">
        <v>1229</v>
      </c>
      <c r="D3" s="143" t="s">
        <v>1230</v>
      </c>
      <c r="E3" s="143" t="s">
        <v>1231</v>
      </c>
      <c r="F3" s="143" t="s">
        <v>943</v>
      </c>
      <c r="G3" s="143" t="s">
        <v>204</v>
      </c>
      <c r="H3" s="143" t="s">
        <v>204</v>
      </c>
      <c r="I3" s="143" t="s">
        <v>340</v>
      </c>
      <c r="J3" s="143" t="s">
        <v>1232</v>
      </c>
      <c r="K3" s="143" t="s">
        <v>312</v>
      </c>
      <c r="L3" s="143" t="s">
        <v>1210</v>
      </c>
      <c r="M3" s="144">
        <v>1.07</v>
      </c>
      <c r="N3" s="143" t="s">
        <v>1233</v>
      </c>
      <c r="O3" s="146">
        <v>7.5209999999999999E-3</v>
      </c>
      <c r="P3" s="146">
        <v>1.2971E-2</v>
      </c>
      <c r="Q3" s="145" t="s">
        <v>3930</v>
      </c>
      <c r="R3" s="144">
        <v>449218</v>
      </c>
      <c r="S3" s="145" t="s">
        <v>3930</v>
      </c>
      <c r="T3" s="143" t="s">
        <v>1234</v>
      </c>
      <c r="U3" s="144">
        <v>521.18270000000007</v>
      </c>
      <c r="V3" s="145" t="s">
        <v>3930</v>
      </c>
      <c r="W3" s="145" t="s">
        <v>3930</v>
      </c>
      <c r="X3" s="146">
        <v>2.0698688354376009E-5</v>
      </c>
      <c r="Y3" s="146">
        <v>0.13050223912390871</v>
      </c>
      <c r="Z3" s="147">
        <v>3.3903912925672255E-2</v>
      </c>
      <c r="AA3" s="180"/>
    </row>
    <row r="4" spans="1:27" ht="15" x14ac:dyDescent="0.2">
      <c r="A4" s="142" t="s">
        <v>1205</v>
      </c>
      <c r="B4" s="143" t="s">
        <v>1206</v>
      </c>
      <c r="C4" s="143" t="s">
        <v>1229</v>
      </c>
      <c r="D4" s="143" t="s">
        <v>1235</v>
      </c>
      <c r="E4" s="143" t="s">
        <v>1236</v>
      </c>
      <c r="F4" s="143" t="s">
        <v>943</v>
      </c>
      <c r="G4" s="143" t="s">
        <v>204</v>
      </c>
      <c r="H4" s="143" t="s">
        <v>204</v>
      </c>
      <c r="I4" s="143" t="s">
        <v>340</v>
      </c>
      <c r="J4" s="143" t="s">
        <v>1232</v>
      </c>
      <c r="K4" s="143" t="s">
        <v>312</v>
      </c>
      <c r="L4" s="143" t="s">
        <v>1210</v>
      </c>
      <c r="M4" s="144">
        <v>7.14</v>
      </c>
      <c r="N4" s="143" t="s">
        <v>1237</v>
      </c>
      <c r="O4" s="146">
        <v>1E-3</v>
      </c>
      <c r="P4" s="146">
        <v>1.9893000000000001E-2</v>
      </c>
      <c r="Q4" s="145" t="s">
        <v>3930</v>
      </c>
      <c r="R4" s="144">
        <v>421370</v>
      </c>
      <c r="S4" s="145" t="s">
        <v>3930</v>
      </c>
      <c r="T4" s="143" t="s">
        <v>1238</v>
      </c>
      <c r="U4" s="144">
        <v>426.00509999999997</v>
      </c>
      <c r="V4" s="145" t="s">
        <v>3930</v>
      </c>
      <c r="W4" s="145" t="s">
        <v>3930</v>
      </c>
      <c r="X4" s="146">
        <v>1.3723584209237614E-5</v>
      </c>
      <c r="Y4" s="146">
        <v>0.10667010435251018</v>
      </c>
      <c r="Z4" s="147">
        <v>2.7712428185282453E-2</v>
      </c>
      <c r="AA4" s="180"/>
    </row>
    <row r="5" spans="1:27" ht="15" x14ac:dyDescent="0.2">
      <c r="A5" s="142" t="s">
        <v>1205</v>
      </c>
      <c r="B5" s="143" t="s">
        <v>1206</v>
      </c>
      <c r="C5" s="143" t="s">
        <v>1229</v>
      </c>
      <c r="D5" s="143" t="s">
        <v>1239</v>
      </c>
      <c r="E5" s="143" t="s">
        <v>1240</v>
      </c>
      <c r="F5" s="143" t="s">
        <v>943</v>
      </c>
      <c r="G5" s="143" t="s">
        <v>204</v>
      </c>
      <c r="H5" s="143" t="s">
        <v>204</v>
      </c>
      <c r="I5" s="143" t="s">
        <v>340</v>
      </c>
      <c r="J5" s="143" t="s">
        <v>1232</v>
      </c>
      <c r="K5" s="143" t="s">
        <v>312</v>
      </c>
      <c r="L5" s="143" t="s">
        <v>1210</v>
      </c>
      <c r="M5" s="144">
        <v>4.6100000000000003</v>
      </c>
      <c r="N5" s="143" t="s">
        <v>1241</v>
      </c>
      <c r="O5" s="146">
        <v>5.0000000000000001E-3</v>
      </c>
      <c r="P5" s="146">
        <v>1.8189E-2</v>
      </c>
      <c r="Q5" s="145" t="s">
        <v>3930</v>
      </c>
      <c r="R5" s="144">
        <v>84117</v>
      </c>
      <c r="S5" s="145" t="s">
        <v>3930</v>
      </c>
      <c r="T5" s="143" t="s">
        <v>1242</v>
      </c>
      <c r="U5" s="144">
        <v>91.561399999999992</v>
      </c>
      <c r="V5" s="145" t="s">
        <v>3930</v>
      </c>
      <c r="W5" s="145" t="s">
        <v>3930</v>
      </c>
      <c r="X5" s="146">
        <v>3.119329916447593E-6</v>
      </c>
      <c r="Y5" s="146">
        <v>2.2926626763320395E-2</v>
      </c>
      <c r="Z5" s="147">
        <v>5.956237706580437E-3</v>
      </c>
      <c r="AA5" s="180"/>
    </row>
    <row r="6" spans="1:27" ht="15" x14ac:dyDescent="0.2">
      <c r="A6" s="142" t="s">
        <v>1205</v>
      </c>
      <c r="B6" s="143" t="s">
        <v>1206</v>
      </c>
      <c r="C6" s="143" t="s">
        <v>1229</v>
      </c>
      <c r="D6" s="143" t="s">
        <v>1243</v>
      </c>
      <c r="E6" s="143" t="s">
        <v>1244</v>
      </c>
      <c r="F6" s="143" t="s">
        <v>943</v>
      </c>
      <c r="G6" s="143" t="s">
        <v>204</v>
      </c>
      <c r="H6" s="143" t="s">
        <v>204</v>
      </c>
      <c r="I6" s="143" t="s">
        <v>340</v>
      </c>
      <c r="J6" s="143" t="s">
        <v>1232</v>
      </c>
      <c r="K6" s="143" t="s">
        <v>312</v>
      </c>
      <c r="L6" s="143" t="s">
        <v>1210</v>
      </c>
      <c r="M6" s="144">
        <v>2.64</v>
      </c>
      <c r="N6" s="143" t="s">
        <v>1245</v>
      </c>
      <c r="O6" s="146">
        <v>7.4999999999999997E-3</v>
      </c>
      <c r="P6" s="146">
        <v>1.6515999999999999E-2</v>
      </c>
      <c r="Q6" s="145" t="s">
        <v>3930</v>
      </c>
      <c r="R6" s="144">
        <v>52745</v>
      </c>
      <c r="S6" s="145" t="s">
        <v>3930</v>
      </c>
      <c r="T6" s="143" t="s">
        <v>1246</v>
      </c>
      <c r="U6" s="144">
        <v>60.261199999999995</v>
      </c>
      <c r="V6" s="145" t="s">
        <v>3930</v>
      </c>
      <c r="W6" s="145" t="s">
        <v>3930</v>
      </c>
      <c r="X6" s="146">
        <v>2.3662394376238471E-6</v>
      </c>
      <c r="Y6" s="146">
        <v>1.5089173685840344E-2</v>
      </c>
      <c r="Z6" s="147">
        <v>3.9201015568732225E-3</v>
      </c>
      <c r="AA6" s="180"/>
    </row>
    <row r="7" spans="1:27" ht="15" x14ac:dyDescent="0.2">
      <c r="A7" s="142" t="s">
        <v>1205</v>
      </c>
      <c r="B7" s="143" t="s">
        <v>1206</v>
      </c>
      <c r="C7" s="143" t="s">
        <v>1229</v>
      </c>
      <c r="D7" s="143" t="s">
        <v>1247</v>
      </c>
      <c r="E7" s="143" t="s">
        <v>1248</v>
      </c>
      <c r="F7" s="143" t="s">
        <v>943</v>
      </c>
      <c r="G7" s="143" t="s">
        <v>204</v>
      </c>
      <c r="H7" s="143" t="s">
        <v>204</v>
      </c>
      <c r="I7" s="143" t="s">
        <v>340</v>
      </c>
      <c r="J7" s="143" t="s">
        <v>1232</v>
      </c>
      <c r="K7" s="143" t="s">
        <v>312</v>
      </c>
      <c r="L7" s="143" t="s">
        <v>1210</v>
      </c>
      <c r="M7" s="144">
        <v>9.65</v>
      </c>
      <c r="N7" s="143" t="s">
        <v>1249</v>
      </c>
      <c r="O7" s="146">
        <v>4.011E-2</v>
      </c>
      <c r="P7" s="146">
        <v>2.1597000000000002E-2</v>
      </c>
      <c r="Q7" s="145" t="s">
        <v>3930</v>
      </c>
      <c r="R7" s="144">
        <v>32987</v>
      </c>
      <c r="S7" s="145" t="s">
        <v>3930</v>
      </c>
      <c r="T7" s="143" t="s">
        <v>1250</v>
      </c>
      <c r="U7" s="144">
        <v>54.3065</v>
      </c>
      <c r="V7" s="145" t="s">
        <v>3930</v>
      </c>
      <c r="W7" s="145" t="s">
        <v>3930</v>
      </c>
      <c r="X7" s="146">
        <v>2.0704476935945797E-6</v>
      </c>
      <c r="Y7" s="146">
        <v>1.3598147597976701E-2</v>
      </c>
      <c r="Z7" s="147">
        <v>3.5327394779372649E-3</v>
      </c>
      <c r="AA7" s="180"/>
    </row>
    <row r="8" spans="1:27" ht="15" x14ac:dyDescent="0.2">
      <c r="A8" s="142" t="s">
        <v>1205</v>
      </c>
      <c r="B8" s="143" t="s">
        <v>1206</v>
      </c>
      <c r="C8" s="143" t="s">
        <v>1229</v>
      </c>
      <c r="D8" s="143" t="s">
        <v>1251</v>
      </c>
      <c r="E8" s="143" t="s">
        <v>1252</v>
      </c>
      <c r="F8" s="143" t="s">
        <v>943</v>
      </c>
      <c r="G8" s="143" t="s">
        <v>204</v>
      </c>
      <c r="H8" s="143" t="s">
        <v>204</v>
      </c>
      <c r="I8" s="143" t="s">
        <v>340</v>
      </c>
      <c r="J8" s="143" t="s">
        <v>1232</v>
      </c>
      <c r="K8" s="143" t="s">
        <v>312</v>
      </c>
      <c r="L8" s="143" t="s">
        <v>1210</v>
      </c>
      <c r="M8" s="144">
        <v>3.97</v>
      </c>
      <c r="N8" s="143" t="s">
        <v>1253</v>
      </c>
      <c r="O8" s="146">
        <v>1.0999999999999999E-2</v>
      </c>
      <c r="P8" s="146">
        <v>1.7901E-2</v>
      </c>
      <c r="Q8" s="145" t="s">
        <v>3930</v>
      </c>
      <c r="R8" s="144">
        <v>8644</v>
      </c>
      <c r="S8" s="145" t="s">
        <v>3930</v>
      </c>
      <c r="T8" s="143" t="s">
        <v>1254</v>
      </c>
      <c r="U8" s="144">
        <v>8.8687000000000005</v>
      </c>
      <c r="V8" s="145" t="s">
        <v>3930</v>
      </c>
      <c r="W8" s="145" t="s">
        <v>3930</v>
      </c>
      <c r="X8" s="146">
        <v>4.2372303924908671E-7</v>
      </c>
      <c r="Y8" s="146">
        <v>2.2207009131503964E-3</v>
      </c>
      <c r="Z8" s="147">
        <v>5.7692841823139493E-4</v>
      </c>
      <c r="AA8" s="180"/>
    </row>
    <row r="9" spans="1:27" ht="15" x14ac:dyDescent="0.2">
      <c r="A9" s="142" t="s">
        <v>1205</v>
      </c>
      <c r="B9" s="143" t="s">
        <v>1206</v>
      </c>
      <c r="C9" s="143" t="s">
        <v>1229</v>
      </c>
      <c r="D9" s="143" t="s">
        <v>1255</v>
      </c>
      <c r="E9" s="143" t="s">
        <v>1256</v>
      </c>
      <c r="F9" s="143" t="s">
        <v>945</v>
      </c>
      <c r="G9" s="143" t="s">
        <v>204</v>
      </c>
      <c r="H9" s="143" t="s">
        <v>204</v>
      </c>
      <c r="I9" s="143" t="s">
        <v>340</v>
      </c>
      <c r="J9" s="143" t="s">
        <v>1232</v>
      </c>
      <c r="K9" s="143" t="s">
        <v>312</v>
      </c>
      <c r="L9" s="143" t="s">
        <v>1210</v>
      </c>
      <c r="M9" s="144">
        <v>11.26</v>
      </c>
      <c r="N9" s="143" t="s">
        <v>1257</v>
      </c>
      <c r="O9" s="146">
        <v>1.5041000000000001E-2</v>
      </c>
      <c r="P9" s="146">
        <v>5.0358E-2</v>
      </c>
      <c r="Q9" s="145" t="s">
        <v>3930</v>
      </c>
      <c r="R9" s="144">
        <v>782318</v>
      </c>
      <c r="S9" s="145" t="s">
        <v>3930</v>
      </c>
      <c r="T9" s="143" t="s">
        <v>1258</v>
      </c>
      <c r="U9" s="144">
        <v>531.35040000000004</v>
      </c>
      <c r="V9" s="145" t="s">
        <v>3930</v>
      </c>
      <c r="W9" s="145" t="s">
        <v>3930</v>
      </c>
      <c r="X9" s="146">
        <v>2.4387568306142948E-5</v>
      </c>
      <c r="Y9" s="146">
        <v>0.13304818433193419</v>
      </c>
      <c r="Z9" s="147">
        <v>3.45653383941232E-2</v>
      </c>
      <c r="AA9" s="180"/>
    </row>
    <row r="10" spans="1:27" ht="15" x14ac:dyDescent="0.2">
      <c r="A10" s="142" t="s">
        <v>1205</v>
      </c>
      <c r="B10" s="143" t="s">
        <v>1206</v>
      </c>
      <c r="C10" s="143" t="s">
        <v>1229</v>
      </c>
      <c r="D10" s="143" t="s">
        <v>1259</v>
      </c>
      <c r="E10" s="143" t="s">
        <v>1260</v>
      </c>
      <c r="F10" s="143" t="s">
        <v>945</v>
      </c>
      <c r="G10" s="143" t="s">
        <v>204</v>
      </c>
      <c r="H10" s="143" t="s">
        <v>204</v>
      </c>
      <c r="I10" s="143" t="s">
        <v>340</v>
      </c>
      <c r="J10" s="143" t="s">
        <v>1232</v>
      </c>
      <c r="K10" s="143" t="s">
        <v>312</v>
      </c>
      <c r="L10" s="143" t="s">
        <v>1210</v>
      </c>
      <c r="M10" s="144">
        <v>7.17</v>
      </c>
      <c r="N10" s="143" t="s">
        <v>1261</v>
      </c>
      <c r="O10" s="146">
        <v>1.2999999999999999E-2</v>
      </c>
      <c r="P10" s="146">
        <v>4.7579000000000003E-2</v>
      </c>
      <c r="Q10" s="145" t="s">
        <v>3930</v>
      </c>
      <c r="R10" s="144">
        <v>486699</v>
      </c>
      <c r="S10" s="145" t="s">
        <v>3930</v>
      </c>
      <c r="T10" s="143" t="s">
        <v>1262</v>
      </c>
      <c r="U10" s="144">
        <v>384.39490000000001</v>
      </c>
      <c r="V10" s="145" t="s">
        <v>3930</v>
      </c>
      <c r="W10" s="145" t="s">
        <v>3930</v>
      </c>
      <c r="X10" s="146">
        <v>1.6221735683955544E-5</v>
      </c>
      <c r="Y10" s="146">
        <v>9.625106320167412E-2</v>
      </c>
      <c r="Z10" s="147">
        <v>2.5005606706062139E-2</v>
      </c>
      <c r="AA10" s="180"/>
    </row>
    <row r="11" spans="1:27" ht="15" x14ac:dyDescent="0.2">
      <c r="A11" s="142" t="s">
        <v>1205</v>
      </c>
      <c r="B11" s="143" t="s">
        <v>1206</v>
      </c>
      <c r="C11" s="143" t="s">
        <v>1229</v>
      </c>
      <c r="D11" s="143" t="s">
        <v>1263</v>
      </c>
      <c r="E11" s="143" t="s">
        <v>1264</v>
      </c>
      <c r="F11" s="143" t="s">
        <v>945</v>
      </c>
      <c r="G11" s="143" t="s">
        <v>204</v>
      </c>
      <c r="H11" s="143" t="s">
        <v>204</v>
      </c>
      <c r="I11" s="143" t="s">
        <v>340</v>
      </c>
      <c r="J11" s="143" t="s">
        <v>1232</v>
      </c>
      <c r="K11" s="143" t="s">
        <v>312</v>
      </c>
      <c r="L11" s="143" t="s">
        <v>1210</v>
      </c>
      <c r="M11" s="144">
        <v>11.32</v>
      </c>
      <c r="N11" s="143" t="s">
        <v>1265</v>
      </c>
      <c r="O11" s="146">
        <v>5.5E-2</v>
      </c>
      <c r="P11" s="146">
        <v>5.1729999999999998E-2</v>
      </c>
      <c r="Q11" s="145" t="s">
        <v>3930</v>
      </c>
      <c r="R11" s="144">
        <v>251626.21</v>
      </c>
      <c r="S11" s="145" t="s">
        <v>3930</v>
      </c>
      <c r="T11" s="143" t="s">
        <v>1266</v>
      </c>
      <c r="U11" s="144">
        <v>270.09559999999999</v>
      </c>
      <c r="V11" s="145" t="s">
        <v>3930</v>
      </c>
      <c r="W11" s="145" t="s">
        <v>3930</v>
      </c>
      <c r="X11" s="146">
        <v>1.1384810672877602E-5</v>
      </c>
      <c r="Y11" s="146">
        <v>6.7630939331051854E-2</v>
      </c>
      <c r="Z11" s="147">
        <v>1.7570223266317301E-2</v>
      </c>
      <c r="AA11" s="180"/>
    </row>
    <row r="12" spans="1:27" ht="15" x14ac:dyDescent="0.2">
      <c r="A12" s="142" t="s">
        <v>1205</v>
      </c>
      <c r="B12" s="143" t="s">
        <v>1206</v>
      </c>
      <c r="C12" s="143" t="s">
        <v>1229</v>
      </c>
      <c r="D12" s="143" t="s">
        <v>1267</v>
      </c>
      <c r="E12" s="143" t="s">
        <v>1268</v>
      </c>
      <c r="F12" s="143" t="s">
        <v>945</v>
      </c>
      <c r="G12" s="143" t="s">
        <v>204</v>
      </c>
      <c r="H12" s="143" t="s">
        <v>204</v>
      </c>
      <c r="I12" s="143" t="s">
        <v>340</v>
      </c>
      <c r="J12" s="143" t="s">
        <v>1232</v>
      </c>
      <c r="K12" s="143" t="s">
        <v>312</v>
      </c>
      <c r="L12" s="143" t="s">
        <v>1210</v>
      </c>
      <c r="M12" s="144">
        <v>0.5</v>
      </c>
      <c r="N12" s="143" t="s">
        <v>1269</v>
      </c>
      <c r="O12" s="143" t="s">
        <v>1270</v>
      </c>
      <c r="P12" s="146">
        <v>4.2811000000000002E-2</v>
      </c>
      <c r="Q12" s="145" t="s">
        <v>3930</v>
      </c>
      <c r="R12" s="144">
        <v>260197</v>
      </c>
      <c r="S12" s="145" t="s">
        <v>3930</v>
      </c>
      <c r="T12" s="143" t="s">
        <v>1271</v>
      </c>
      <c r="U12" s="144">
        <v>254.7329</v>
      </c>
      <c r="V12" s="145" t="s">
        <v>3930</v>
      </c>
      <c r="W12" s="145" t="s">
        <v>3930</v>
      </c>
      <c r="X12" s="146">
        <v>2.1683083333333332E-5</v>
      </c>
      <c r="Y12" s="146">
        <v>6.3784172987010876E-2</v>
      </c>
      <c r="Z12" s="147">
        <v>1.6570850136405406E-2</v>
      </c>
      <c r="AA12" s="180"/>
    </row>
    <row r="13" spans="1:27" ht="15" x14ac:dyDescent="0.2">
      <c r="A13" s="142" t="s">
        <v>1205</v>
      </c>
      <c r="B13" s="143" t="s">
        <v>1206</v>
      </c>
      <c r="C13" s="143" t="s">
        <v>1229</v>
      </c>
      <c r="D13" s="143" t="s">
        <v>1272</v>
      </c>
      <c r="E13" s="143" t="s">
        <v>1273</v>
      </c>
      <c r="F13" s="143" t="s">
        <v>945</v>
      </c>
      <c r="G13" s="143" t="s">
        <v>204</v>
      </c>
      <c r="H13" s="143" t="s">
        <v>204</v>
      </c>
      <c r="I13" s="143" t="s">
        <v>340</v>
      </c>
      <c r="J13" s="143" t="s">
        <v>1232</v>
      </c>
      <c r="K13" s="143" t="s">
        <v>312</v>
      </c>
      <c r="L13" s="143" t="s">
        <v>1210</v>
      </c>
      <c r="M13" s="144">
        <v>0.42</v>
      </c>
      <c r="N13" s="143" t="s">
        <v>1274</v>
      </c>
      <c r="O13" s="143" t="s">
        <v>1270</v>
      </c>
      <c r="P13" s="146">
        <v>4.3201000000000003E-2</v>
      </c>
      <c r="Q13" s="145" t="s">
        <v>3930</v>
      </c>
      <c r="R13" s="144">
        <v>254760.3</v>
      </c>
      <c r="S13" s="145" t="s">
        <v>3930</v>
      </c>
      <c r="T13" s="143" t="s">
        <v>1275</v>
      </c>
      <c r="U13" s="144">
        <v>250.22560000000001</v>
      </c>
      <c r="V13" s="145" t="s">
        <v>3930</v>
      </c>
      <c r="W13" s="145" t="s">
        <v>3930</v>
      </c>
      <c r="X13" s="146">
        <v>2.1230025E-5</v>
      </c>
      <c r="Y13" s="146">
        <v>6.2655562543629334E-2</v>
      </c>
      <c r="Z13" s="147">
        <v>1.627764206230423E-2</v>
      </c>
      <c r="AA13" s="180"/>
    </row>
    <row r="14" spans="1:27" ht="15" x14ac:dyDescent="0.2">
      <c r="A14" s="142" t="s">
        <v>1205</v>
      </c>
      <c r="B14" s="143" t="s">
        <v>1206</v>
      </c>
      <c r="C14" s="143" t="s">
        <v>1229</v>
      </c>
      <c r="D14" s="143" t="s">
        <v>1276</v>
      </c>
      <c r="E14" s="143" t="s">
        <v>1277</v>
      </c>
      <c r="F14" s="143" t="s">
        <v>945</v>
      </c>
      <c r="G14" s="143" t="s">
        <v>204</v>
      </c>
      <c r="H14" s="143" t="s">
        <v>204</v>
      </c>
      <c r="I14" s="143" t="s">
        <v>340</v>
      </c>
      <c r="J14" s="143" t="s">
        <v>1232</v>
      </c>
      <c r="K14" s="143" t="s">
        <v>312</v>
      </c>
      <c r="L14" s="143" t="s">
        <v>1210</v>
      </c>
      <c r="M14" s="144">
        <v>0.35</v>
      </c>
      <c r="N14" s="143" t="s">
        <v>1278</v>
      </c>
      <c r="O14" s="143" t="s">
        <v>1270</v>
      </c>
      <c r="P14" s="146">
        <v>4.2567000000000001E-2</v>
      </c>
      <c r="Q14" s="145" t="s">
        <v>3930</v>
      </c>
      <c r="R14" s="144">
        <v>222893</v>
      </c>
      <c r="S14" s="145" t="s">
        <v>3930</v>
      </c>
      <c r="T14" s="143" t="s">
        <v>1279</v>
      </c>
      <c r="U14" s="144">
        <v>219.68329999999997</v>
      </c>
      <c r="V14" s="145" t="s">
        <v>3930</v>
      </c>
      <c r="W14" s="145" t="s">
        <v>3930</v>
      </c>
      <c r="X14" s="146">
        <v>1.8574416666666666E-5</v>
      </c>
      <c r="Y14" s="146">
        <v>5.5007901402779218E-2</v>
      </c>
      <c r="Z14" s="147">
        <v>1.4290813030518466E-2</v>
      </c>
      <c r="AA14" s="180"/>
    </row>
    <row r="15" spans="1:27" ht="15" x14ac:dyDescent="0.2">
      <c r="A15" s="142" t="s">
        <v>1205</v>
      </c>
      <c r="B15" s="143" t="s">
        <v>1206</v>
      </c>
      <c r="C15" s="143" t="s">
        <v>1229</v>
      </c>
      <c r="D15" s="143" t="s">
        <v>1280</v>
      </c>
      <c r="E15" s="143" t="s">
        <v>1281</v>
      </c>
      <c r="F15" s="143" t="s">
        <v>945</v>
      </c>
      <c r="G15" s="143" t="s">
        <v>204</v>
      </c>
      <c r="H15" s="143" t="s">
        <v>204</v>
      </c>
      <c r="I15" s="143" t="s">
        <v>340</v>
      </c>
      <c r="J15" s="143" t="s">
        <v>1232</v>
      </c>
      <c r="K15" s="143" t="s">
        <v>312</v>
      </c>
      <c r="L15" s="143" t="s">
        <v>1210</v>
      </c>
      <c r="M15" s="144">
        <v>3.86</v>
      </c>
      <c r="N15" s="143" t="s">
        <v>1282</v>
      </c>
      <c r="O15" s="146">
        <v>2.2499999999999999E-2</v>
      </c>
      <c r="P15" s="146">
        <v>4.4954000000000001E-2</v>
      </c>
      <c r="Q15" s="145" t="s">
        <v>3930</v>
      </c>
      <c r="R15" s="144">
        <v>176313</v>
      </c>
      <c r="S15" s="145" t="s">
        <v>3930</v>
      </c>
      <c r="T15" s="143" t="s">
        <v>1283</v>
      </c>
      <c r="U15" s="144">
        <v>162.0316</v>
      </c>
      <c r="V15" s="145" t="s">
        <v>3930</v>
      </c>
      <c r="W15" s="145" t="s">
        <v>3930</v>
      </c>
      <c r="X15" s="146">
        <v>5.2620504747671481E-6</v>
      </c>
      <c r="Y15" s="146">
        <v>4.057212909202957E-2</v>
      </c>
      <c r="Z15" s="147">
        <v>1.0540462303020331E-2</v>
      </c>
      <c r="AA15" s="180"/>
    </row>
    <row r="16" spans="1:27" ht="15" x14ac:dyDescent="0.2">
      <c r="A16" s="142" t="s">
        <v>1205</v>
      </c>
      <c r="B16" s="143" t="s">
        <v>1206</v>
      </c>
      <c r="C16" s="143" t="s">
        <v>1229</v>
      </c>
      <c r="D16" s="143" t="s">
        <v>1284</v>
      </c>
      <c r="E16" s="143" t="s">
        <v>1285</v>
      </c>
      <c r="F16" s="143" t="s">
        <v>945</v>
      </c>
      <c r="G16" s="143" t="s">
        <v>204</v>
      </c>
      <c r="H16" s="143" t="s">
        <v>204</v>
      </c>
      <c r="I16" s="143" t="s">
        <v>340</v>
      </c>
      <c r="J16" s="143" t="s">
        <v>1232</v>
      </c>
      <c r="K16" s="143" t="s">
        <v>312</v>
      </c>
      <c r="L16" s="143" t="s">
        <v>1210</v>
      </c>
      <c r="M16" s="144">
        <v>14.32</v>
      </c>
      <c r="N16" s="143" t="s">
        <v>1286</v>
      </c>
      <c r="O16" s="146">
        <v>3.7602999999999998E-2</v>
      </c>
      <c r="P16" s="146">
        <v>5.3239000000000002E-2</v>
      </c>
      <c r="Q16" s="145" t="s">
        <v>3930</v>
      </c>
      <c r="R16" s="144">
        <v>157093</v>
      </c>
      <c r="S16" s="145" t="s">
        <v>3930</v>
      </c>
      <c r="T16" s="143" t="s">
        <v>1287</v>
      </c>
      <c r="U16" s="144">
        <v>127.81089999999999</v>
      </c>
      <c r="V16" s="145" t="s">
        <v>3930</v>
      </c>
      <c r="W16" s="145" t="s">
        <v>3930</v>
      </c>
      <c r="X16" s="146">
        <v>5.9853287583983202E-6</v>
      </c>
      <c r="Y16" s="146">
        <v>3.2003370958943213E-2</v>
      </c>
      <c r="Z16" s="147">
        <v>8.3143362872860772E-3</v>
      </c>
      <c r="AA16" s="180"/>
    </row>
    <row r="17" spans="1:27" ht="15" x14ac:dyDescent="0.2">
      <c r="A17" s="142" t="s">
        <v>1205</v>
      </c>
      <c r="B17" s="143" t="s">
        <v>1206</v>
      </c>
      <c r="C17" s="143" t="s">
        <v>1229</v>
      </c>
      <c r="D17" s="143" t="s">
        <v>1288</v>
      </c>
      <c r="E17" s="143" t="s">
        <v>1289</v>
      </c>
      <c r="F17" s="143" t="s">
        <v>945</v>
      </c>
      <c r="G17" s="143" t="s">
        <v>204</v>
      </c>
      <c r="H17" s="143" t="s">
        <v>204</v>
      </c>
      <c r="I17" s="143" t="s">
        <v>340</v>
      </c>
      <c r="J17" s="143" t="s">
        <v>1232</v>
      </c>
      <c r="K17" s="143" t="s">
        <v>312</v>
      </c>
      <c r="L17" s="143" t="s">
        <v>1210</v>
      </c>
      <c r="M17" s="144">
        <v>0.6</v>
      </c>
      <c r="N17" s="143" t="s">
        <v>1290</v>
      </c>
      <c r="O17" s="143" t="s">
        <v>1270</v>
      </c>
      <c r="P17" s="146">
        <v>4.2583999999999997E-2</v>
      </c>
      <c r="Q17" s="145" t="s">
        <v>3930</v>
      </c>
      <c r="R17" s="144">
        <v>125121</v>
      </c>
      <c r="S17" s="145" t="s">
        <v>3930</v>
      </c>
      <c r="T17" s="143" t="s">
        <v>1291</v>
      </c>
      <c r="U17" s="144">
        <v>122.018</v>
      </c>
      <c r="V17" s="145" t="s">
        <v>3930</v>
      </c>
      <c r="W17" s="145" t="s">
        <v>3930</v>
      </c>
      <c r="X17" s="146">
        <v>8.9372142857142857E-6</v>
      </c>
      <c r="Y17" s="146">
        <v>3.0552858696138298E-2</v>
      </c>
      <c r="Z17" s="147">
        <v>7.9374995235194073E-3</v>
      </c>
      <c r="AA17" s="180"/>
    </row>
    <row r="18" spans="1:27" ht="15" x14ac:dyDescent="0.2">
      <c r="A18" s="142" t="s">
        <v>1205</v>
      </c>
      <c r="B18" s="143" t="s">
        <v>1206</v>
      </c>
      <c r="C18" s="143" t="s">
        <v>1292</v>
      </c>
      <c r="D18" s="143" t="s">
        <v>1293</v>
      </c>
      <c r="E18" s="143" t="s">
        <v>1294</v>
      </c>
      <c r="F18" s="143" t="s">
        <v>945</v>
      </c>
      <c r="G18" s="143" t="s">
        <v>204</v>
      </c>
      <c r="H18" s="143" t="s">
        <v>204</v>
      </c>
      <c r="I18" s="143" t="s">
        <v>340</v>
      </c>
      <c r="J18" s="143" t="s">
        <v>1232</v>
      </c>
      <c r="K18" s="143" t="s">
        <v>312</v>
      </c>
      <c r="L18" s="143" t="s">
        <v>1210</v>
      </c>
      <c r="M18" s="144">
        <v>5.33</v>
      </c>
      <c r="N18" s="143" t="s">
        <v>1295</v>
      </c>
      <c r="O18" s="146">
        <v>1.0026999999999999E-2</v>
      </c>
      <c r="P18" s="146">
        <v>4.5976999999999997E-2</v>
      </c>
      <c r="Q18" s="145" t="s">
        <v>3930</v>
      </c>
      <c r="R18" s="144">
        <v>126654</v>
      </c>
      <c r="S18" s="145" t="s">
        <v>3930</v>
      </c>
      <c r="T18" s="143" t="s">
        <v>1296</v>
      </c>
      <c r="U18" s="144">
        <v>105.4268</v>
      </c>
      <c r="V18" s="145" t="s">
        <v>3930</v>
      </c>
      <c r="W18" s="145" t="s">
        <v>3930</v>
      </c>
      <c r="X18" s="146">
        <v>3.3545884548841938E-6</v>
      </c>
      <c r="Y18" s="146">
        <v>2.6398480769682237E-2</v>
      </c>
      <c r="Z18" s="147">
        <v>6.8582102452322529E-3</v>
      </c>
      <c r="AA18" s="180"/>
    </row>
    <row r="19" spans="1:27" ht="15" x14ac:dyDescent="0.2">
      <c r="A19" s="142" t="s">
        <v>1205</v>
      </c>
      <c r="B19" s="143" t="s">
        <v>1206</v>
      </c>
      <c r="C19" s="143" t="s">
        <v>1229</v>
      </c>
      <c r="D19" s="143" t="s">
        <v>1297</v>
      </c>
      <c r="E19" s="143" t="s">
        <v>1298</v>
      </c>
      <c r="F19" s="143" t="s">
        <v>945</v>
      </c>
      <c r="G19" s="143" t="s">
        <v>204</v>
      </c>
      <c r="H19" s="143" t="s">
        <v>204</v>
      </c>
      <c r="I19" s="143" t="s">
        <v>340</v>
      </c>
      <c r="J19" s="143" t="s">
        <v>1232</v>
      </c>
      <c r="K19" s="143" t="s">
        <v>312</v>
      </c>
      <c r="L19" s="143" t="s">
        <v>1210</v>
      </c>
      <c r="M19" s="144">
        <v>8.52</v>
      </c>
      <c r="N19" s="143" t="s">
        <v>1299</v>
      </c>
      <c r="O19" s="146">
        <v>0.04</v>
      </c>
      <c r="P19" s="146">
        <v>4.8728E-2</v>
      </c>
      <c r="Q19" s="145" t="s">
        <v>3930</v>
      </c>
      <c r="R19" s="144">
        <v>97704</v>
      </c>
      <c r="S19" s="145" t="s">
        <v>3930</v>
      </c>
      <c r="T19" s="143" t="s">
        <v>1300</v>
      </c>
      <c r="U19" s="144">
        <v>92.750399999999999</v>
      </c>
      <c r="V19" s="145" t="s">
        <v>3930</v>
      </c>
      <c r="W19" s="145" t="s">
        <v>3930</v>
      </c>
      <c r="X19" s="146">
        <v>5.6462224186536613E-6</v>
      </c>
      <c r="Y19" s="146">
        <v>2.322436119072905E-2</v>
      </c>
      <c r="Z19" s="147">
        <v>6.0335878131349578E-3</v>
      </c>
      <c r="AA19" s="180"/>
    </row>
    <row r="20" spans="1:27" ht="15" x14ac:dyDescent="0.2">
      <c r="A20" s="142" t="s">
        <v>1205</v>
      </c>
      <c r="B20" s="143" t="s">
        <v>1206</v>
      </c>
      <c r="C20" s="143" t="s">
        <v>1292</v>
      </c>
      <c r="D20" s="143" t="s">
        <v>1301</v>
      </c>
      <c r="E20" s="143" t="s">
        <v>1302</v>
      </c>
      <c r="F20" s="143" t="s">
        <v>945</v>
      </c>
      <c r="G20" s="143" t="s">
        <v>204</v>
      </c>
      <c r="H20" s="143" t="s">
        <v>204</v>
      </c>
      <c r="I20" s="143" t="s">
        <v>340</v>
      </c>
      <c r="J20" s="143" t="s">
        <v>1303</v>
      </c>
      <c r="K20" s="143" t="s">
        <v>413</v>
      </c>
      <c r="L20" s="143" t="s">
        <v>1210</v>
      </c>
      <c r="M20" s="144">
        <v>4.0599999999999996</v>
      </c>
      <c r="N20" s="143" t="s">
        <v>1304</v>
      </c>
      <c r="O20" s="146">
        <v>3.7284200000000003E-2</v>
      </c>
      <c r="P20" s="146">
        <v>4.5536E-2</v>
      </c>
      <c r="Q20" s="145" t="s">
        <v>3930</v>
      </c>
      <c r="R20" s="144">
        <v>61089</v>
      </c>
      <c r="S20" s="145" t="s">
        <v>3930</v>
      </c>
      <c r="T20" s="143" t="s">
        <v>1305</v>
      </c>
      <c r="U20" s="144">
        <v>60.490300000000005</v>
      </c>
      <c r="V20" s="145" t="s">
        <v>3930</v>
      </c>
      <c r="W20" s="145" t="s">
        <v>3930</v>
      </c>
      <c r="X20" s="146">
        <v>1.8530769543676654E-6</v>
      </c>
      <c r="Y20" s="146">
        <v>1.5146555834989353E-2</v>
      </c>
      <c r="Z20" s="147">
        <v>3.9350091891199668E-3</v>
      </c>
      <c r="AA20" s="180"/>
    </row>
    <row r="21" spans="1:27" ht="15" x14ac:dyDescent="0.2">
      <c r="A21" s="142" t="s">
        <v>1205</v>
      </c>
      <c r="B21" s="143" t="s">
        <v>1206</v>
      </c>
      <c r="C21" s="143" t="s">
        <v>1229</v>
      </c>
      <c r="D21" s="143" t="s">
        <v>1306</v>
      </c>
      <c r="E21" s="143" t="s">
        <v>1307</v>
      </c>
      <c r="F21" s="143" t="s">
        <v>945</v>
      </c>
      <c r="G21" s="143" t="s">
        <v>204</v>
      </c>
      <c r="H21" s="143" t="s">
        <v>204</v>
      </c>
      <c r="I21" s="143" t="s">
        <v>340</v>
      </c>
      <c r="J21" s="143" t="s">
        <v>1232</v>
      </c>
      <c r="K21" s="143" t="s">
        <v>314</v>
      </c>
      <c r="L21" s="143" t="s">
        <v>1210</v>
      </c>
      <c r="M21" s="144">
        <v>0.67</v>
      </c>
      <c r="N21" s="143" t="s">
        <v>1308</v>
      </c>
      <c r="O21" s="143" t="s">
        <v>1270</v>
      </c>
      <c r="P21" s="146">
        <v>4.2719E-2</v>
      </c>
      <c r="Q21" s="145" t="s">
        <v>3930</v>
      </c>
      <c r="R21" s="144">
        <v>13200</v>
      </c>
      <c r="S21" s="145" t="s">
        <v>3930</v>
      </c>
      <c r="T21" s="143" t="s">
        <v>1309</v>
      </c>
      <c r="U21" s="144">
        <v>12.833</v>
      </c>
      <c r="V21" s="145" t="s">
        <v>3930</v>
      </c>
      <c r="W21" s="145" t="s">
        <v>3930</v>
      </c>
      <c r="X21" s="146">
        <v>1.1000000000000001E-6</v>
      </c>
      <c r="Y21" s="146">
        <v>3.213346066421081E-3</v>
      </c>
      <c r="Z21" s="147">
        <v>8.3481330257139232E-4</v>
      </c>
      <c r="AA21" s="180"/>
    </row>
    <row r="22" spans="1:27" ht="15" x14ac:dyDescent="0.2">
      <c r="A22" s="142" t="s">
        <v>1205</v>
      </c>
      <c r="B22" s="143" t="s">
        <v>1206</v>
      </c>
      <c r="C22" s="143" t="s">
        <v>1229</v>
      </c>
      <c r="D22" s="143" t="s">
        <v>1310</v>
      </c>
      <c r="E22" s="143" t="s">
        <v>1311</v>
      </c>
      <c r="F22" s="143" t="s">
        <v>945</v>
      </c>
      <c r="G22" s="143" t="s">
        <v>204</v>
      </c>
      <c r="H22" s="143" t="s">
        <v>204</v>
      </c>
      <c r="I22" s="143" t="s">
        <v>340</v>
      </c>
      <c r="J22" s="143" t="s">
        <v>1232</v>
      </c>
      <c r="K22" s="143" t="s">
        <v>312</v>
      </c>
      <c r="L22" s="143" t="s">
        <v>1210</v>
      </c>
      <c r="M22" s="144">
        <v>16.71</v>
      </c>
      <c r="N22" s="143" t="s">
        <v>1312</v>
      </c>
      <c r="O22" s="146">
        <v>2.8000000000000001E-2</v>
      </c>
      <c r="P22" s="146">
        <v>5.4316000000000003E-2</v>
      </c>
      <c r="Q22" s="145" t="s">
        <v>3930</v>
      </c>
      <c r="R22" s="144">
        <v>11000</v>
      </c>
      <c r="S22" s="145" t="s">
        <v>3930</v>
      </c>
      <c r="T22" s="143" t="s">
        <v>1313</v>
      </c>
      <c r="U22" s="144">
        <v>7.117</v>
      </c>
      <c r="V22" s="145" t="s">
        <v>3930</v>
      </c>
      <c r="W22" s="145" t="s">
        <v>3930</v>
      </c>
      <c r="X22" s="146">
        <v>6.1960409326235754E-7</v>
      </c>
      <c r="Y22" s="146">
        <v>1.7820706515929844E-3</v>
      </c>
      <c r="Z22" s="147">
        <v>4.6297418806460502E-4</v>
      </c>
      <c r="AA22" s="180"/>
    </row>
    <row r="23" spans="1:27" ht="15" x14ac:dyDescent="0.2">
      <c r="A23" s="142" t="s">
        <v>1205</v>
      </c>
      <c r="B23" s="143" t="s">
        <v>1206</v>
      </c>
      <c r="C23" s="143" t="s">
        <v>1314</v>
      </c>
      <c r="D23" s="143" t="s">
        <v>1315</v>
      </c>
      <c r="E23" s="143" t="s">
        <v>1316</v>
      </c>
      <c r="F23" s="143" t="s">
        <v>947</v>
      </c>
      <c r="G23" s="143" t="s">
        <v>205</v>
      </c>
      <c r="H23" s="143" t="s">
        <v>224</v>
      </c>
      <c r="I23" s="143" t="s">
        <v>344</v>
      </c>
      <c r="J23" s="143" t="s">
        <v>1317</v>
      </c>
      <c r="K23" s="143" t="s">
        <v>423</v>
      </c>
      <c r="L23" s="143" t="s">
        <v>1211</v>
      </c>
      <c r="M23" s="144">
        <v>7.5</v>
      </c>
      <c r="N23" s="143" t="s">
        <v>1318</v>
      </c>
      <c r="O23" s="146">
        <v>3.875E-2</v>
      </c>
      <c r="P23" s="146">
        <v>3.848E-2</v>
      </c>
      <c r="Q23" s="145" t="s">
        <v>3930</v>
      </c>
      <c r="R23" s="144">
        <v>28200</v>
      </c>
      <c r="S23" s="143" t="s">
        <v>1212</v>
      </c>
      <c r="T23" s="143" t="s">
        <v>1319</v>
      </c>
      <c r="U23" s="144">
        <v>106.05549999999999</v>
      </c>
      <c r="V23" s="145" t="s">
        <v>3930</v>
      </c>
      <c r="W23" s="145" t="s">
        <v>3930</v>
      </c>
      <c r="X23" s="146">
        <v>7.4210526315789476E-7</v>
      </c>
      <c r="Y23" s="146">
        <v>2.6555899238766389E-2</v>
      </c>
      <c r="Z23" s="147">
        <v>6.8991068773862369E-3</v>
      </c>
      <c r="AA23" s="180"/>
    </row>
    <row r="24" spans="1:27" ht="15" x14ac:dyDescent="0.2">
      <c r="A24" s="142" t="s">
        <v>1205</v>
      </c>
      <c r="B24" s="143" t="s">
        <v>1206</v>
      </c>
      <c r="C24" s="143" t="s">
        <v>1314</v>
      </c>
      <c r="D24" s="143" t="s">
        <v>1320</v>
      </c>
      <c r="E24" s="143" t="s">
        <v>1321</v>
      </c>
      <c r="F24" s="143" t="s">
        <v>947</v>
      </c>
      <c r="G24" s="143" t="s">
        <v>205</v>
      </c>
      <c r="H24" s="143" t="s">
        <v>224</v>
      </c>
      <c r="I24" s="143" t="s">
        <v>344</v>
      </c>
      <c r="J24" s="143" t="s">
        <v>1317</v>
      </c>
      <c r="K24" s="143" t="s">
        <v>433</v>
      </c>
      <c r="L24" s="143" t="s">
        <v>1211</v>
      </c>
      <c r="M24" s="144">
        <v>8.1869999999999994</v>
      </c>
      <c r="N24" s="143" t="s">
        <v>1322</v>
      </c>
      <c r="O24" s="146">
        <v>3.875E-2</v>
      </c>
      <c r="P24" s="146">
        <v>3.8620000000000002E-2</v>
      </c>
      <c r="Q24" s="145" t="s">
        <v>3930</v>
      </c>
      <c r="R24" s="144">
        <v>20000</v>
      </c>
      <c r="S24" s="143" t="s">
        <v>1212</v>
      </c>
      <c r="T24" s="143" t="s">
        <v>1323</v>
      </c>
      <c r="U24" s="144">
        <v>75.131500000000003</v>
      </c>
      <c r="V24" s="145" t="s">
        <v>3930</v>
      </c>
      <c r="W24" s="145" t="s">
        <v>3930</v>
      </c>
      <c r="X24" s="146">
        <v>4.0010402704703223E-7</v>
      </c>
      <c r="Y24" s="146">
        <v>1.8812656886752707E-2</v>
      </c>
      <c r="Z24" s="147">
        <v>4.8874462635343369E-3</v>
      </c>
      <c r="AA24" s="180"/>
    </row>
    <row r="25" spans="1:27" ht="15" x14ac:dyDescent="0.2">
      <c r="A25" s="142" t="s">
        <v>1205</v>
      </c>
      <c r="B25" s="143" t="s">
        <v>1206</v>
      </c>
      <c r="C25" s="143" t="s">
        <v>1314</v>
      </c>
      <c r="D25" s="143" t="s">
        <v>1324</v>
      </c>
      <c r="E25" s="143" t="s">
        <v>1325</v>
      </c>
      <c r="F25" s="143" t="s">
        <v>947</v>
      </c>
      <c r="G25" s="143" t="s">
        <v>205</v>
      </c>
      <c r="H25" s="143" t="s">
        <v>224</v>
      </c>
      <c r="I25" s="143" t="s">
        <v>344</v>
      </c>
      <c r="J25" s="143" t="s">
        <v>1317</v>
      </c>
      <c r="K25" s="143" t="s">
        <v>423</v>
      </c>
      <c r="L25" s="143" t="s">
        <v>1211</v>
      </c>
      <c r="M25" s="144">
        <v>7.8140000000000001</v>
      </c>
      <c r="N25" s="143" t="s">
        <v>1326</v>
      </c>
      <c r="O25" s="146">
        <v>0.04</v>
      </c>
      <c r="P25" s="146">
        <v>3.8649999999999997E-2</v>
      </c>
      <c r="Q25" s="145" t="s">
        <v>3930</v>
      </c>
      <c r="R25" s="144">
        <v>13000</v>
      </c>
      <c r="S25" s="143" t="s">
        <v>1212</v>
      </c>
      <c r="T25" s="143" t="s">
        <v>1327</v>
      </c>
      <c r="U25" s="144">
        <v>49.335599999999999</v>
      </c>
      <c r="V25" s="145" t="s">
        <v>3930</v>
      </c>
      <c r="W25" s="145" t="s">
        <v>3930</v>
      </c>
      <c r="X25" s="146">
        <v>3.0952380952380955E-7</v>
      </c>
      <c r="Y25" s="146">
        <v>1.2353454379168811E-2</v>
      </c>
      <c r="Z25" s="147">
        <v>3.2093736047312921E-3</v>
      </c>
      <c r="AA25" s="180"/>
    </row>
    <row r="26" spans="1:27" ht="15" x14ac:dyDescent="0.2">
      <c r="A26" s="142" t="s">
        <v>1205</v>
      </c>
      <c r="B26" s="143" t="s">
        <v>1215</v>
      </c>
      <c r="C26" s="143" t="s">
        <v>1229</v>
      </c>
      <c r="D26" s="143" t="s">
        <v>1235</v>
      </c>
      <c r="E26" s="143" t="s">
        <v>1236</v>
      </c>
      <c r="F26" s="143" t="s">
        <v>943</v>
      </c>
      <c r="G26" s="143" t="s">
        <v>204</v>
      </c>
      <c r="H26" s="143" t="s">
        <v>204</v>
      </c>
      <c r="I26" s="143" t="s">
        <v>340</v>
      </c>
      <c r="J26" s="143" t="s">
        <v>1232</v>
      </c>
      <c r="K26" s="143" t="s">
        <v>312</v>
      </c>
      <c r="L26" s="143" t="s">
        <v>1210</v>
      </c>
      <c r="M26" s="144">
        <v>7.14</v>
      </c>
      <c r="N26" s="143" t="s">
        <v>1237</v>
      </c>
      <c r="O26" s="146">
        <v>1E-3</v>
      </c>
      <c r="P26" s="146">
        <v>1.9893000000000001E-2</v>
      </c>
      <c r="Q26" s="145" t="s">
        <v>3930</v>
      </c>
      <c r="R26" s="144">
        <v>260340</v>
      </c>
      <c r="S26" s="145" t="s">
        <v>3930</v>
      </c>
      <c r="T26" s="143" t="s">
        <v>1238</v>
      </c>
      <c r="U26" s="144">
        <v>263.20370000000003</v>
      </c>
      <c r="V26" s="145" t="s">
        <v>3930</v>
      </c>
      <c r="W26" s="145" t="s">
        <v>3930</v>
      </c>
      <c r="X26" s="146">
        <v>8.4790039941925631E-6</v>
      </c>
      <c r="Y26" s="146">
        <v>0.13757879079427582</v>
      </c>
      <c r="Z26" s="147">
        <v>7.5078673311047936E-2</v>
      </c>
      <c r="AA26" s="180"/>
    </row>
    <row r="27" spans="1:27" ht="15" x14ac:dyDescent="0.2">
      <c r="A27" s="142" t="s">
        <v>1205</v>
      </c>
      <c r="B27" s="143" t="s">
        <v>1215</v>
      </c>
      <c r="C27" s="143" t="s">
        <v>1229</v>
      </c>
      <c r="D27" s="143" t="s">
        <v>1230</v>
      </c>
      <c r="E27" s="143" t="s">
        <v>1231</v>
      </c>
      <c r="F27" s="143" t="s">
        <v>943</v>
      </c>
      <c r="G27" s="143" t="s">
        <v>204</v>
      </c>
      <c r="H27" s="143" t="s">
        <v>204</v>
      </c>
      <c r="I27" s="143" t="s">
        <v>340</v>
      </c>
      <c r="J27" s="143" t="s">
        <v>1232</v>
      </c>
      <c r="K27" s="143" t="s">
        <v>312</v>
      </c>
      <c r="L27" s="143" t="s">
        <v>1210</v>
      </c>
      <c r="M27" s="144">
        <v>1.07</v>
      </c>
      <c r="N27" s="143" t="s">
        <v>1233</v>
      </c>
      <c r="O27" s="146">
        <v>7.5209999999999999E-3</v>
      </c>
      <c r="P27" s="146">
        <v>1.2971E-2</v>
      </c>
      <c r="Q27" s="145" t="s">
        <v>3930</v>
      </c>
      <c r="R27" s="144">
        <v>224459</v>
      </c>
      <c r="S27" s="145" t="s">
        <v>3930</v>
      </c>
      <c r="T27" s="143" t="s">
        <v>1234</v>
      </c>
      <c r="U27" s="144">
        <v>260.41730000000001</v>
      </c>
      <c r="V27" s="145" t="s">
        <v>3930</v>
      </c>
      <c r="W27" s="145" t="s">
        <v>3930</v>
      </c>
      <c r="X27" s="146">
        <v>1.0342432603624264E-5</v>
      </c>
      <c r="Y27" s="146">
        <v>0.13612231198126482</v>
      </c>
      <c r="Z27" s="147">
        <v>7.4283852420740593E-2</v>
      </c>
      <c r="AA27" s="180"/>
    </row>
    <row r="28" spans="1:27" ht="15" x14ac:dyDescent="0.2">
      <c r="A28" s="142" t="s">
        <v>1205</v>
      </c>
      <c r="B28" s="143" t="s">
        <v>1215</v>
      </c>
      <c r="C28" s="143" t="s">
        <v>1229</v>
      </c>
      <c r="D28" s="143" t="s">
        <v>1239</v>
      </c>
      <c r="E28" s="143" t="s">
        <v>1240</v>
      </c>
      <c r="F28" s="143" t="s">
        <v>943</v>
      </c>
      <c r="G28" s="143" t="s">
        <v>204</v>
      </c>
      <c r="H28" s="143" t="s">
        <v>204</v>
      </c>
      <c r="I28" s="143" t="s">
        <v>340</v>
      </c>
      <c r="J28" s="143" t="s">
        <v>1232</v>
      </c>
      <c r="K28" s="143" t="s">
        <v>312</v>
      </c>
      <c r="L28" s="143" t="s">
        <v>1210</v>
      </c>
      <c r="M28" s="144">
        <v>4.6100000000000003</v>
      </c>
      <c r="N28" s="143" t="s">
        <v>1241</v>
      </c>
      <c r="O28" s="146">
        <v>5.0000000000000001E-3</v>
      </c>
      <c r="P28" s="146">
        <v>1.8189E-2</v>
      </c>
      <c r="Q28" s="145" t="s">
        <v>3930</v>
      </c>
      <c r="R28" s="144">
        <v>221953</v>
      </c>
      <c r="S28" s="145" t="s">
        <v>3930</v>
      </c>
      <c r="T28" s="143" t="s">
        <v>1242</v>
      </c>
      <c r="U28" s="144">
        <v>241.5958</v>
      </c>
      <c r="V28" s="145" t="s">
        <v>3930</v>
      </c>
      <c r="W28" s="145" t="s">
        <v>3930</v>
      </c>
      <c r="X28" s="146">
        <v>8.2307337749241237E-6</v>
      </c>
      <c r="Y28" s="146">
        <v>0.12628416145194871</v>
      </c>
      <c r="Z28" s="147">
        <v>6.8915035866160351E-2</v>
      </c>
      <c r="AA28" s="180"/>
    </row>
    <row r="29" spans="1:27" ht="15" x14ac:dyDescent="0.2">
      <c r="A29" s="142" t="s">
        <v>1205</v>
      </c>
      <c r="B29" s="143" t="s">
        <v>1215</v>
      </c>
      <c r="C29" s="143" t="s">
        <v>1229</v>
      </c>
      <c r="D29" s="143" t="s">
        <v>1247</v>
      </c>
      <c r="E29" s="143" t="s">
        <v>1248</v>
      </c>
      <c r="F29" s="143" t="s">
        <v>943</v>
      </c>
      <c r="G29" s="143" t="s">
        <v>204</v>
      </c>
      <c r="H29" s="143" t="s">
        <v>204</v>
      </c>
      <c r="I29" s="143" t="s">
        <v>340</v>
      </c>
      <c r="J29" s="143" t="s">
        <v>1232</v>
      </c>
      <c r="K29" s="143" t="s">
        <v>312</v>
      </c>
      <c r="L29" s="143" t="s">
        <v>1210</v>
      </c>
      <c r="M29" s="144">
        <v>9.65</v>
      </c>
      <c r="N29" s="143" t="s">
        <v>1249</v>
      </c>
      <c r="O29" s="146">
        <v>4.011E-2</v>
      </c>
      <c r="P29" s="146">
        <v>2.1597000000000002E-2</v>
      </c>
      <c r="Q29" s="145" t="s">
        <v>3930</v>
      </c>
      <c r="R29" s="144">
        <v>17760</v>
      </c>
      <c r="S29" s="145" t="s">
        <v>3930</v>
      </c>
      <c r="T29" s="143" t="s">
        <v>1250</v>
      </c>
      <c r="U29" s="144">
        <v>29.238299999999999</v>
      </c>
      <c r="V29" s="145" t="s">
        <v>3930</v>
      </c>
      <c r="W29" s="145" t="s">
        <v>3930</v>
      </c>
      <c r="X29" s="146">
        <v>1.1147164349058638E-6</v>
      </c>
      <c r="Y29" s="146">
        <v>1.5283097071245207E-2</v>
      </c>
      <c r="Z29" s="147">
        <v>8.3402001541708071E-3</v>
      </c>
      <c r="AA29" s="180"/>
    </row>
    <row r="30" spans="1:27" ht="15" x14ac:dyDescent="0.2">
      <c r="A30" s="142" t="s">
        <v>1205</v>
      </c>
      <c r="B30" s="143" t="s">
        <v>1215</v>
      </c>
      <c r="C30" s="143" t="s">
        <v>1229</v>
      </c>
      <c r="D30" s="143" t="s">
        <v>1243</v>
      </c>
      <c r="E30" s="143" t="s">
        <v>1244</v>
      </c>
      <c r="F30" s="143" t="s">
        <v>943</v>
      </c>
      <c r="G30" s="143" t="s">
        <v>204</v>
      </c>
      <c r="H30" s="143" t="s">
        <v>204</v>
      </c>
      <c r="I30" s="143" t="s">
        <v>340</v>
      </c>
      <c r="J30" s="143" t="s">
        <v>1232</v>
      </c>
      <c r="K30" s="143" t="s">
        <v>312</v>
      </c>
      <c r="L30" s="143" t="s">
        <v>1210</v>
      </c>
      <c r="M30" s="144">
        <v>2.64</v>
      </c>
      <c r="N30" s="143" t="s">
        <v>1245</v>
      </c>
      <c r="O30" s="146">
        <v>7.4999999999999997E-3</v>
      </c>
      <c r="P30" s="146">
        <v>1.6515999999999999E-2</v>
      </c>
      <c r="Q30" s="145" t="s">
        <v>3930</v>
      </c>
      <c r="R30" s="144">
        <v>12199</v>
      </c>
      <c r="S30" s="145" t="s">
        <v>3930</v>
      </c>
      <c r="T30" s="143" t="s">
        <v>1246</v>
      </c>
      <c r="U30" s="144">
        <v>13.9374</v>
      </c>
      <c r="V30" s="145" t="s">
        <v>3930</v>
      </c>
      <c r="W30" s="145" t="s">
        <v>3930</v>
      </c>
      <c r="X30" s="146">
        <v>5.4726997629298157E-7</v>
      </c>
      <c r="Y30" s="146">
        <v>7.2851730439602832E-3</v>
      </c>
      <c r="Z30" s="147">
        <v>3.9756209792527405E-3</v>
      </c>
      <c r="AA30" s="180"/>
    </row>
    <row r="31" spans="1:27" ht="15" x14ac:dyDescent="0.2">
      <c r="A31" s="142" t="s">
        <v>1205</v>
      </c>
      <c r="B31" s="143" t="s">
        <v>1215</v>
      </c>
      <c r="C31" s="143" t="s">
        <v>1229</v>
      </c>
      <c r="D31" s="143" t="s">
        <v>1251</v>
      </c>
      <c r="E31" s="143" t="s">
        <v>1252</v>
      </c>
      <c r="F31" s="143" t="s">
        <v>943</v>
      </c>
      <c r="G31" s="143" t="s">
        <v>204</v>
      </c>
      <c r="H31" s="143" t="s">
        <v>204</v>
      </c>
      <c r="I31" s="143" t="s">
        <v>340</v>
      </c>
      <c r="J31" s="143" t="s">
        <v>1232</v>
      </c>
      <c r="K31" s="143" t="s">
        <v>312</v>
      </c>
      <c r="L31" s="143" t="s">
        <v>1210</v>
      </c>
      <c r="M31" s="144">
        <v>3.97</v>
      </c>
      <c r="N31" s="143" t="s">
        <v>1253</v>
      </c>
      <c r="O31" s="146">
        <v>1.0999999999999999E-2</v>
      </c>
      <c r="P31" s="146">
        <v>1.7901E-2</v>
      </c>
      <c r="Q31" s="145" t="s">
        <v>3930</v>
      </c>
      <c r="R31" s="144">
        <v>13391</v>
      </c>
      <c r="S31" s="145" t="s">
        <v>3930</v>
      </c>
      <c r="T31" s="143" t="s">
        <v>1254</v>
      </c>
      <c r="U31" s="144">
        <v>13.7392</v>
      </c>
      <c r="V31" s="145" t="s">
        <v>3930</v>
      </c>
      <c r="W31" s="145" t="s">
        <v>3930</v>
      </c>
      <c r="X31" s="146">
        <v>6.5641777170112449E-7</v>
      </c>
      <c r="Y31" s="146">
        <v>7.1815766934080318E-3</v>
      </c>
      <c r="Z31" s="147">
        <v>3.9190869996006033E-3</v>
      </c>
      <c r="AA31" s="180"/>
    </row>
    <row r="32" spans="1:27" ht="15" x14ac:dyDescent="0.2">
      <c r="A32" s="142" t="s">
        <v>1205</v>
      </c>
      <c r="B32" s="143" t="s">
        <v>1215</v>
      </c>
      <c r="C32" s="143" t="s">
        <v>1292</v>
      </c>
      <c r="D32" s="143" t="s">
        <v>1293</v>
      </c>
      <c r="E32" s="143" t="s">
        <v>1294</v>
      </c>
      <c r="F32" s="143" t="s">
        <v>945</v>
      </c>
      <c r="G32" s="143" t="s">
        <v>204</v>
      </c>
      <c r="H32" s="143" t="s">
        <v>204</v>
      </c>
      <c r="I32" s="143" t="s">
        <v>340</v>
      </c>
      <c r="J32" s="143" t="s">
        <v>1232</v>
      </c>
      <c r="K32" s="143" t="s">
        <v>312</v>
      </c>
      <c r="L32" s="143" t="s">
        <v>1210</v>
      </c>
      <c r="M32" s="144">
        <v>5.33</v>
      </c>
      <c r="N32" s="143" t="s">
        <v>1295</v>
      </c>
      <c r="O32" s="146">
        <v>1.0026999999999999E-2</v>
      </c>
      <c r="P32" s="146">
        <v>4.5976999999999997E-2</v>
      </c>
      <c r="Q32" s="145" t="s">
        <v>3930</v>
      </c>
      <c r="R32" s="144">
        <v>310261</v>
      </c>
      <c r="S32" s="145" t="s">
        <v>3930</v>
      </c>
      <c r="T32" s="143" t="s">
        <v>1296</v>
      </c>
      <c r="U32" s="144">
        <v>258.26130000000001</v>
      </c>
      <c r="V32" s="145" t="s">
        <v>3930</v>
      </c>
      <c r="W32" s="145" t="s">
        <v>3930</v>
      </c>
      <c r="X32" s="146">
        <v>8.2176478326845167E-6</v>
      </c>
      <c r="Y32" s="146">
        <v>0.13499531338165038</v>
      </c>
      <c r="Z32" s="147">
        <v>7.3668833498172895E-2</v>
      </c>
      <c r="AA32" s="180"/>
    </row>
    <row r="33" spans="1:27" ht="15" x14ac:dyDescent="0.2">
      <c r="A33" s="142" t="s">
        <v>1205</v>
      </c>
      <c r="B33" s="143" t="s">
        <v>1215</v>
      </c>
      <c r="C33" s="143" t="s">
        <v>1229</v>
      </c>
      <c r="D33" s="143" t="s">
        <v>1259</v>
      </c>
      <c r="E33" s="143" t="s">
        <v>1260</v>
      </c>
      <c r="F33" s="143" t="s">
        <v>945</v>
      </c>
      <c r="G33" s="143" t="s">
        <v>204</v>
      </c>
      <c r="H33" s="143" t="s">
        <v>204</v>
      </c>
      <c r="I33" s="143" t="s">
        <v>340</v>
      </c>
      <c r="J33" s="143" t="s">
        <v>1232</v>
      </c>
      <c r="K33" s="143" t="s">
        <v>312</v>
      </c>
      <c r="L33" s="143" t="s">
        <v>1210</v>
      </c>
      <c r="M33" s="144">
        <v>7.17</v>
      </c>
      <c r="N33" s="143" t="s">
        <v>1261</v>
      </c>
      <c r="O33" s="146">
        <v>1.2999999999999999E-2</v>
      </c>
      <c r="P33" s="146">
        <v>4.7579000000000003E-2</v>
      </c>
      <c r="Q33" s="145" t="s">
        <v>3930</v>
      </c>
      <c r="R33" s="144">
        <v>151250</v>
      </c>
      <c r="S33" s="145" t="s">
        <v>3930</v>
      </c>
      <c r="T33" s="143" t="s">
        <v>1262</v>
      </c>
      <c r="U33" s="144">
        <v>119.4573</v>
      </c>
      <c r="V33" s="145" t="s">
        <v>3930</v>
      </c>
      <c r="W33" s="145" t="s">
        <v>3930</v>
      </c>
      <c r="X33" s="146">
        <v>5.0411805288243373E-6</v>
      </c>
      <c r="Y33" s="146">
        <v>6.244130120115126E-2</v>
      </c>
      <c r="Z33" s="147">
        <v>3.4075092730012808E-2</v>
      </c>
      <c r="AA33" s="180"/>
    </row>
    <row r="34" spans="1:27" ht="15" x14ac:dyDescent="0.2">
      <c r="A34" s="142" t="s">
        <v>1205</v>
      </c>
      <c r="B34" s="143" t="s">
        <v>1215</v>
      </c>
      <c r="C34" s="143" t="s">
        <v>1229</v>
      </c>
      <c r="D34" s="143" t="s">
        <v>1255</v>
      </c>
      <c r="E34" s="143" t="s">
        <v>1256</v>
      </c>
      <c r="F34" s="143" t="s">
        <v>945</v>
      </c>
      <c r="G34" s="143" t="s">
        <v>204</v>
      </c>
      <c r="H34" s="143" t="s">
        <v>204</v>
      </c>
      <c r="I34" s="143" t="s">
        <v>340</v>
      </c>
      <c r="J34" s="143" t="s">
        <v>1232</v>
      </c>
      <c r="K34" s="143" t="s">
        <v>312</v>
      </c>
      <c r="L34" s="143" t="s">
        <v>1210</v>
      </c>
      <c r="M34" s="144">
        <v>11.26</v>
      </c>
      <c r="N34" s="143" t="s">
        <v>1257</v>
      </c>
      <c r="O34" s="146">
        <v>1.5041000000000001E-2</v>
      </c>
      <c r="P34" s="146">
        <v>5.0358E-2</v>
      </c>
      <c r="Q34" s="145" t="s">
        <v>3930</v>
      </c>
      <c r="R34" s="144">
        <v>168035</v>
      </c>
      <c r="S34" s="145" t="s">
        <v>3930</v>
      </c>
      <c r="T34" s="143" t="s">
        <v>1258</v>
      </c>
      <c r="U34" s="144">
        <v>114.12939999999999</v>
      </c>
      <c r="V34" s="145" t="s">
        <v>3930</v>
      </c>
      <c r="W34" s="145" t="s">
        <v>3930</v>
      </c>
      <c r="X34" s="146">
        <v>5.2382343756921487E-6</v>
      </c>
      <c r="Y34" s="146">
        <v>5.9656374920318687E-2</v>
      </c>
      <c r="Z34" s="147">
        <v>3.2555319447903977E-2</v>
      </c>
      <c r="AA34" s="180"/>
    </row>
    <row r="35" spans="1:27" ht="15" x14ac:dyDescent="0.2">
      <c r="A35" s="142" t="s">
        <v>1205</v>
      </c>
      <c r="B35" s="143" t="s">
        <v>1215</v>
      </c>
      <c r="C35" s="143" t="s">
        <v>1229</v>
      </c>
      <c r="D35" s="143" t="s">
        <v>1267</v>
      </c>
      <c r="E35" s="143" t="s">
        <v>1268</v>
      </c>
      <c r="F35" s="143" t="s">
        <v>945</v>
      </c>
      <c r="G35" s="143" t="s">
        <v>204</v>
      </c>
      <c r="H35" s="143" t="s">
        <v>204</v>
      </c>
      <c r="I35" s="143" t="s">
        <v>340</v>
      </c>
      <c r="J35" s="143" t="s">
        <v>1232</v>
      </c>
      <c r="K35" s="143" t="s">
        <v>312</v>
      </c>
      <c r="L35" s="143" t="s">
        <v>1210</v>
      </c>
      <c r="M35" s="144">
        <v>0.5</v>
      </c>
      <c r="N35" s="143" t="s">
        <v>1269</v>
      </c>
      <c r="O35" s="143" t="s">
        <v>1270</v>
      </c>
      <c r="P35" s="146">
        <v>4.2811000000000002E-2</v>
      </c>
      <c r="Q35" s="145" t="s">
        <v>3930</v>
      </c>
      <c r="R35" s="144">
        <v>109283</v>
      </c>
      <c r="S35" s="145" t="s">
        <v>3930</v>
      </c>
      <c r="T35" s="143" t="s">
        <v>1271</v>
      </c>
      <c r="U35" s="144">
        <v>106.9881</v>
      </c>
      <c r="V35" s="145" t="s">
        <v>3930</v>
      </c>
      <c r="W35" s="145" t="s">
        <v>3930</v>
      </c>
      <c r="X35" s="146">
        <v>9.1069166666666659E-6</v>
      </c>
      <c r="Y35" s="146">
        <v>5.5923549990167527E-2</v>
      </c>
      <c r="Z35" s="147">
        <v>3.0518264594898141E-2</v>
      </c>
      <c r="AA35" s="180"/>
    </row>
    <row r="36" spans="1:27" ht="15" x14ac:dyDescent="0.2">
      <c r="A36" s="142" t="s">
        <v>1205</v>
      </c>
      <c r="B36" s="143" t="s">
        <v>1215</v>
      </c>
      <c r="C36" s="143" t="s">
        <v>1229</v>
      </c>
      <c r="D36" s="143" t="s">
        <v>1263</v>
      </c>
      <c r="E36" s="143" t="s">
        <v>1264</v>
      </c>
      <c r="F36" s="143" t="s">
        <v>945</v>
      </c>
      <c r="G36" s="143" t="s">
        <v>204</v>
      </c>
      <c r="H36" s="143" t="s">
        <v>204</v>
      </c>
      <c r="I36" s="143" t="s">
        <v>340</v>
      </c>
      <c r="J36" s="143" t="s">
        <v>1232</v>
      </c>
      <c r="K36" s="143" t="s">
        <v>312</v>
      </c>
      <c r="L36" s="143" t="s">
        <v>1210</v>
      </c>
      <c r="M36" s="144">
        <v>11.32</v>
      </c>
      <c r="N36" s="143" t="s">
        <v>1265</v>
      </c>
      <c r="O36" s="146">
        <v>5.5E-2</v>
      </c>
      <c r="P36" s="146">
        <v>5.1729999999999998E-2</v>
      </c>
      <c r="Q36" s="145" t="s">
        <v>3930</v>
      </c>
      <c r="R36" s="144">
        <v>91118.86</v>
      </c>
      <c r="S36" s="145" t="s">
        <v>3930</v>
      </c>
      <c r="T36" s="143" t="s">
        <v>1266</v>
      </c>
      <c r="U36" s="144">
        <v>97.807000000000002</v>
      </c>
      <c r="V36" s="145" t="s">
        <v>3930</v>
      </c>
      <c r="W36" s="145" t="s">
        <v>3930</v>
      </c>
      <c r="X36" s="146">
        <v>4.1226665927545466E-6</v>
      </c>
      <c r="Y36" s="146">
        <v>5.1124526705169954E-2</v>
      </c>
      <c r="Z36" s="147">
        <v>2.7899370364571501E-2</v>
      </c>
      <c r="AA36" s="180"/>
    </row>
    <row r="37" spans="1:27" ht="15" x14ac:dyDescent="0.2">
      <c r="A37" s="142" t="s">
        <v>1205</v>
      </c>
      <c r="B37" s="143" t="s">
        <v>1215</v>
      </c>
      <c r="C37" s="143" t="s">
        <v>1229</v>
      </c>
      <c r="D37" s="143" t="s">
        <v>1284</v>
      </c>
      <c r="E37" s="143" t="s">
        <v>1285</v>
      </c>
      <c r="F37" s="143" t="s">
        <v>945</v>
      </c>
      <c r="G37" s="143" t="s">
        <v>204</v>
      </c>
      <c r="H37" s="143" t="s">
        <v>204</v>
      </c>
      <c r="I37" s="143" t="s">
        <v>340</v>
      </c>
      <c r="J37" s="143" t="s">
        <v>1232</v>
      </c>
      <c r="K37" s="143" t="s">
        <v>312</v>
      </c>
      <c r="L37" s="143" t="s">
        <v>1210</v>
      </c>
      <c r="M37" s="144">
        <v>14.32</v>
      </c>
      <c r="N37" s="143" t="s">
        <v>1286</v>
      </c>
      <c r="O37" s="146">
        <v>3.7602999999999998E-2</v>
      </c>
      <c r="P37" s="146">
        <v>5.3239000000000002E-2</v>
      </c>
      <c r="Q37" s="145" t="s">
        <v>3930</v>
      </c>
      <c r="R37" s="144">
        <v>114792</v>
      </c>
      <c r="S37" s="145" t="s">
        <v>3930</v>
      </c>
      <c r="T37" s="143" t="s">
        <v>1287</v>
      </c>
      <c r="U37" s="144">
        <v>93.394800000000004</v>
      </c>
      <c r="V37" s="145" t="s">
        <v>3930</v>
      </c>
      <c r="W37" s="145" t="s">
        <v>3930</v>
      </c>
      <c r="X37" s="146">
        <v>4.3736376467064732E-6</v>
      </c>
      <c r="Y37" s="146">
        <v>4.8818226094371059E-2</v>
      </c>
      <c r="Z37" s="147">
        <v>2.6640789815087235E-2</v>
      </c>
      <c r="AA37" s="180"/>
    </row>
    <row r="38" spans="1:27" ht="15" x14ac:dyDescent="0.2">
      <c r="A38" s="142" t="s">
        <v>1205</v>
      </c>
      <c r="B38" s="143" t="s">
        <v>1215</v>
      </c>
      <c r="C38" s="143" t="s">
        <v>1292</v>
      </c>
      <c r="D38" s="143" t="s">
        <v>1301</v>
      </c>
      <c r="E38" s="143" t="s">
        <v>1302</v>
      </c>
      <c r="F38" s="143" t="s">
        <v>945</v>
      </c>
      <c r="G38" s="143" t="s">
        <v>204</v>
      </c>
      <c r="H38" s="143" t="s">
        <v>204</v>
      </c>
      <c r="I38" s="143" t="s">
        <v>340</v>
      </c>
      <c r="J38" s="143" t="s">
        <v>1303</v>
      </c>
      <c r="K38" s="143" t="s">
        <v>413</v>
      </c>
      <c r="L38" s="143" t="s">
        <v>1210</v>
      </c>
      <c r="M38" s="144">
        <v>4.0599999999999996</v>
      </c>
      <c r="N38" s="143" t="s">
        <v>1304</v>
      </c>
      <c r="O38" s="146">
        <v>3.7284200000000003E-2</v>
      </c>
      <c r="P38" s="146">
        <v>4.5536E-2</v>
      </c>
      <c r="Q38" s="145" t="s">
        <v>3930</v>
      </c>
      <c r="R38" s="144">
        <v>65525</v>
      </c>
      <c r="S38" s="145" t="s">
        <v>3930</v>
      </c>
      <c r="T38" s="143" t="s">
        <v>1305</v>
      </c>
      <c r="U38" s="144">
        <v>64.882900000000006</v>
      </c>
      <c r="V38" s="145" t="s">
        <v>3930</v>
      </c>
      <c r="W38" s="145" t="s">
        <v>3930</v>
      </c>
      <c r="X38" s="146">
        <v>1.9876388127967599E-6</v>
      </c>
      <c r="Y38" s="146">
        <v>3.391480962307121E-2</v>
      </c>
      <c r="Z38" s="147">
        <v>1.8507786682792172E-2</v>
      </c>
      <c r="AA38" s="180"/>
    </row>
    <row r="39" spans="1:27" ht="15" x14ac:dyDescent="0.2">
      <c r="A39" s="142" t="s">
        <v>1205</v>
      </c>
      <c r="B39" s="143" t="s">
        <v>1215</v>
      </c>
      <c r="C39" s="143" t="s">
        <v>1229</v>
      </c>
      <c r="D39" s="143" t="s">
        <v>1272</v>
      </c>
      <c r="E39" s="143" t="s">
        <v>1273</v>
      </c>
      <c r="F39" s="143" t="s">
        <v>945</v>
      </c>
      <c r="G39" s="143" t="s">
        <v>204</v>
      </c>
      <c r="H39" s="143" t="s">
        <v>204</v>
      </c>
      <c r="I39" s="143" t="s">
        <v>340</v>
      </c>
      <c r="J39" s="143" t="s">
        <v>1232</v>
      </c>
      <c r="K39" s="143" t="s">
        <v>312</v>
      </c>
      <c r="L39" s="143" t="s">
        <v>1210</v>
      </c>
      <c r="M39" s="144">
        <v>0.42</v>
      </c>
      <c r="N39" s="143" t="s">
        <v>1274</v>
      </c>
      <c r="O39" s="143" t="s">
        <v>1270</v>
      </c>
      <c r="P39" s="146">
        <v>4.3201000000000003E-2</v>
      </c>
      <c r="Q39" s="145" t="s">
        <v>3930</v>
      </c>
      <c r="R39" s="144">
        <v>58151.8</v>
      </c>
      <c r="S39" s="145" t="s">
        <v>3930</v>
      </c>
      <c r="T39" s="143" t="s">
        <v>1275</v>
      </c>
      <c r="U39" s="144">
        <v>57.116699999999994</v>
      </c>
      <c r="V39" s="145" t="s">
        <v>3930</v>
      </c>
      <c r="W39" s="145" t="s">
        <v>3930</v>
      </c>
      <c r="X39" s="146">
        <v>4.8459833333333331E-6</v>
      </c>
      <c r="Y39" s="146">
        <v>2.9855374545584647E-2</v>
      </c>
      <c r="Z39" s="147">
        <v>1.6292496097299523E-2</v>
      </c>
      <c r="AA39" s="180"/>
    </row>
    <row r="40" spans="1:27" ht="15" x14ac:dyDescent="0.2">
      <c r="A40" s="142" t="s">
        <v>1205</v>
      </c>
      <c r="B40" s="143" t="s">
        <v>1215</v>
      </c>
      <c r="C40" s="143" t="s">
        <v>1229</v>
      </c>
      <c r="D40" s="143" t="s">
        <v>1306</v>
      </c>
      <c r="E40" s="143" t="s">
        <v>1307</v>
      </c>
      <c r="F40" s="143" t="s">
        <v>945</v>
      </c>
      <c r="G40" s="143" t="s">
        <v>204</v>
      </c>
      <c r="H40" s="143" t="s">
        <v>204</v>
      </c>
      <c r="I40" s="143" t="s">
        <v>340</v>
      </c>
      <c r="J40" s="143" t="s">
        <v>1232</v>
      </c>
      <c r="K40" s="143" t="s">
        <v>314</v>
      </c>
      <c r="L40" s="143" t="s">
        <v>1210</v>
      </c>
      <c r="M40" s="144">
        <v>0.67</v>
      </c>
      <c r="N40" s="143" t="s">
        <v>1308</v>
      </c>
      <c r="O40" s="143" t="s">
        <v>1270</v>
      </c>
      <c r="P40" s="146">
        <v>4.2719E-2</v>
      </c>
      <c r="Q40" s="145" t="s">
        <v>3930</v>
      </c>
      <c r="R40" s="144">
        <v>57000</v>
      </c>
      <c r="S40" s="145" t="s">
        <v>3930</v>
      </c>
      <c r="T40" s="143" t="s">
        <v>1309</v>
      </c>
      <c r="U40" s="144">
        <v>55.415399999999998</v>
      </c>
      <c r="V40" s="145" t="s">
        <v>3930</v>
      </c>
      <c r="W40" s="145" t="s">
        <v>3930</v>
      </c>
      <c r="X40" s="146">
        <v>4.7500000000000003E-6</v>
      </c>
      <c r="Y40" s="146">
        <v>2.8966091908044739E-2</v>
      </c>
      <c r="Z40" s="147">
        <v>1.580720210511084E-2</v>
      </c>
      <c r="AA40" s="180"/>
    </row>
    <row r="41" spans="1:27" ht="15" x14ac:dyDescent="0.2">
      <c r="A41" s="142" t="s">
        <v>1205</v>
      </c>
      <c r="B41" s="143" t="s">
        <v>1215</v>
      </c>
      <c r="C41" s="143" t="s">
        <v>1229</v>
      </c>
      <c r="D41" s="143" t="s">
        <v>1276</v>
      </c>
      <c r="E41" s="143" t="s">
        <v>1277</v>
      </c>
      <c r="F41" s="143" t="s">
        <v>945</v>
      </c>
      <c r="G41" s="143" t="s">
        <v>204</v>
      </c>
      <c r="H41" s="143" t="s">
        <v>204</v>
      </c>
      <c r="I41" s="143" t="s">
        <v>340</v>
      </c>
      <c r="J41" s="143" t="s">
        <v>1232</v>
      </c>
      <c r="K41" s="143" t="s">
        <v>312</v>
      </c>
      <c r="L41" s="143" t="s">
        <v>1210</v>
      </c>
      <c r="M41" s="144">
        <v>0.35</v>
      </c>
      <c r="N41" s="143" t="s">
        <v>1278</v>
      </c>
      <c r="O41" s="143" t="s">
        <v>1270</v>
      </c>
      <c r="P41" s="146">
        <v>4.2567000000000001E-2</v>
      </c>
      <c r="Q41" s="145" t="s">
        <v>3930</v>
      </c>
      <c r="R41" s="144">
        <v>50879</v>
      </c>
      <c r="S41" s="145" t="s">
        <v>3930</v>
      </c>
      <c r="T41" s="143" t="s">
        <v>1279</v>
      </c>
      <c r="U41" s="144">
        <v>50.146300000000004</v>
      </c>
      <c r="V41" s="145" t="s">
        <v>3930</v>
      </c>
      <c r="W41" s="145" t="s">
        <v>3930</v>
      </c>
      <c r="X41" s="146">
        <v>4.2399166666666665E-6</v>
      </c>
      <c r="Y41" s="146">
        <v>2.6211911541027963E-2</v>
      </c>
      <c r="Z41" s="147">
        <v>1.4304207298853549E-2</v>
      </c>
      <c r="AA41" s="180"/>
    </row>
    <row r="42" spans="1:27" ht="15" x14ac:dyDescent="0.2">
      <c r="A42" s="142" t="s">
        <v>1205</v>
      </c>
      <c r="B42" s="143" t="s">
        <v>1215</v>
      </c>
      <c r="C42" s="143" t="s">
        <v>1229</v>
      </c>
      <c r="D42" s="143" t="s">
        <v>1288</v>
      </c>
      <c r="E42" s="143" t="s">
        <v>1289</v>
      </c>
      <c r="F42" s="143" t="s">
        <v>945</v>
      </c>
      <c r="G42" s="143" t="s">
        <v>204</v>
      </c>
      <c r="H42" s="143" t="s">
        <v>204</v>
      </c>
      <c r="I42" s="143" t="s">
        <v>340</v>
      </c>
      <c r="J42" s="143" t="s">
        <v>1232</v>
      </c>
      <c r="K42" s="143" t="s">
        <v>312</v>
      </c>
      <c r="L42" s="143" t="s">
        <v>1210</v>
      </c>
      <c r="M42" s="144">
        <v>0.6</v>
      </c>
      <c r="N42" s="143" t="s">
        <v>1290</v>
      </c>
      <c r="O42" s="143" t="s">
        <v>1270</v>
      </c>
      <c r="P42" s="146">
        <v>4.2583999999999997E-2</v>
      </c>
      <c r="Q42" s="145" t="s">
        <v>3930</v>
      </c>
      <c r="R42" s="144">
        <v>25024</v>
      </c>
      <c r="S42" s="145" t="s">
        <v>3930</v>
      </c>
      <c r="T42" s="143" t="s">
        <v>1291</v>
      </c>
      <c r="U42" s="144">
        <v>24.403400000000001</v>
      </c>
      <c r="V42" s="145" t="s">
        <v>3930</v>
      </c>
      <c r="W42" s="145" t="s">
        <v>3930</v>
      </c>
      <c r="X42" s="146">
        <v>1.7874285714285714E-6</v>
      </c>
      <c r="Y42" s="146">
        <v>1.2755863285404782E-2</v>
      </c>
      <c r="Z42" s="147">
        <v>6.9610532762811777E-3</v>
      </c>
      <c r="AA42" s="180"/>
    </row>
    <row r="43" spans="1:27" ht="15" x14ac:dyDescent="0.2">
      <c r="A43" s="142" t="s">
        <v>1205</v>
      </c>
      <c r="B43" s="143" t="s">
        <v>1215</v>
      </c>
      <c r="C43" s="143" t="s">
        <v>1229</v>
      </c>
      <c r="D43" s="143" t="s">
        <v>1297</v>
      </c>
      <c r="E43" s="143" t="s">
        <v>1298</v>
      </c>
      <c r="F43" s="143" t="s">
        <v>945</v>
      </c>
      <c r="G43" s="143" t="s">
        <v>204</v>
      </c>
      <c r="H43" s="143" t="s">
        <v>204</v>
      </c>
      <c r="I43" s="143" t="s">
        <v>340</v>
      </c>
      <c r="J43" s="143" t="s">
        <v>1232</v>
      </c>
      <c r="K43" s="143" t="s">
        <v>312</v>
      </c>
      <c r="L43" s="143" t="s">
        <v>1210</v>
      </c>
      <c r="M43" s="144">
        <v>8.52</v>
      </c>
      <c r="N43" s="143" t="s">
        <v>1299</v>
      </c>
      <c r="O43" s="146">
        <v>0.04</v>
      </c>
      <c r="P43" s="146">
        <v>4.8728E-2</v>
      </c>
      <c r="Q43" s="145" t="s">
        <v>3930</v>
      </c>
      <c r="R43" s="144">
        <v>22511</v>
      </c>
      <c r="S43" s="145" t="s">
        <v>3930</v>
      </c>
      <c r="T43" s="143" t="s">
        <v>1300</v>
      </c>
      <c r="U43" s="144">
        <v>21.369700000000002</v>
      </c>
      <c r="V43" s="145" t="s">
        <v>3930</v>
      </c>
      <c r="W43" s="145" t="s">
        <v>3930</v>
      </c>
      <c r="X43" s="146">
        <v>1.300889552795306E-6</v>
      </c>
      <c r="Y43" s="146">
        <v>1.1170116451535782E-2</v>
      </c>
      <c r="Z43" s="147">
        <v>6.0956890162325071E-3</v>
      </c>
      <c r="AA43" s="180"/>
    </row>
    <row r="44" spans="1:27" ht="15" x14ac:dyDescent="0.2">
      <c r="A44" s="142" t="s">
        <v>1205</v>
      </c>
      <c r="B44" s="143" t="s">
        <v>1215</v>
      </c>
      <c r="C44" s="143" t="s">
        <v>1229</v>
      </c>
      <c r="D44" s="143" t="s">
        <v>1328</v>
      </c>
      <c r="E44" s="143" t="s">
        <v>1329</v>
      </c>
      <c r="F44" s="143" t="s">
        <v>945</v>
      </c>
      <c r="G44" s="143" t="s">
        <v>204</v>
      </c>
      <c r="H44" s="143" t="s">
        <v>204</v>
      </c>
      <c r="I44" s="143" t="s">
        <v>340</v>
      </c>
      <c r="J44" s="143" t="s">
        <v>1232</v>
      </c>
      <c r="K44" s="143" t="s">
        <v>312</v>
      </c>
      <c r="L44" s="143" t="s">
        <v>1210</v>
      </c>
      <c r="M44" s="144">
        <v>0.18</v>
      </c>
      <c r="N44" s="143" t="s">
        <v>1330</v>
      </c>
      <c r="O44" s="143" t="s">
        <v>1270</v>
      </c>
      <c r="P44" s="146">
        <v>4.2646999999999997E-2</v>
      </c>
      <c r="Q44" s="145" t="s">
        <v>3930</v>
      </c>
      <c r="R44" s="144">
        <v>3043</v>
      </c>
      <c r="S44" s="145" t="s">
        <v>3930</v>
      </c>
      <c r="T44" s="143" t="s">
        <v>1331</v>
      </c>
      <c r="U44" s="144">
        <v>3.0208000000000004</v>
      </c>
      <c r="V44" s="145" t="s">
        <v>3930</v>
      </c>
      <c r="W44" s="145" t="s">
        <v>3930</v>
      </c>
      <c r="X44" s="146">
        <v>7.6074999999999998E-8</v>
      </c>
      <c r="Y44" s="146">
        <v>1.57899009674466E-3</v>
      </c>
      <c r="Z44" s="147">
        <v>8.6167701395297271E-4</v>
      </c>
      <c r="AA44" s="180"/>
    </row>
    <row r="45" spans="1:27" ht="15" x14ac:dyDescent="0.2">
      <c r="A45" s="142" t="s">
        <v>1205</v>
      </c>
      <c r="B45" s="143" t="s">
        <v>1215</v>
      </c>
      <c r="C45" s="143" t="s">
        <v>1229</v>
      </c>
      <c r="D45" s="143" t="s">
        <v>1332</v>
      </c>
      <c r="E45" s="143" t="s">
        <v>1333</v>
      </c>
      <c r="F45" s="143" t="s">
        <v>945</v>
      </c>
      <c r="G45" s="143" t="s">
        <v>204</v>
      </c>
      <c r="H45" s="143" t="s">
        <v>204</v>
      </c>
      <c r="I45" s="143" t="s">
        <v>340</v>
      </c>
      <c r="J45" s="143" t="s">
        <v>1232</v>
      </c>
      <c r="K45" s="143" t="s">
        <v>312</v>
      </c>
      <c r="L45" s="143" t="s">
        <v>1210</v>
      </c>
      <c r="M45" s="144">
        <v>0.1</v>
      </c>
      <c r="N45" s="143" t="s">
        <v>1334</v>
      </c>
      <c r="O45" s="143" t="s">
        <v>1270</v>
      </c>
      <c r="P45" s="146">
        <v>4.3596000000000003E-2</v>
      </c>
      <c r="Q45" s="145" t="s">
        <v>3930</v>
      </c>
      <c r="R45" s="144">
        <v>109</v>
      </c>
      <c r="S45" s="145" t="s">
        <v>3930</v>
      </c>
      <c r="T45" s="143" t="s">
        <v>1335</v>
      </c>
      <c r="U45" s="144">
        <v>0.1085</v>
      </c>
      <c r="V45" s="145" t="s">
        <v>3930</v>
      </c>
      <c r="W45" s="145" t="s">
        <v>3930</v>
      </c>
      <c r="X45" s="146">
        <v>2.725E-9</v>
      </c>
      <c r="Y45" s="146">
        <v>5.6735913502408603E-5</v>
      </c>
      <c r="Z45" s="147">
        <v>3.0961582742944412E-5</v>
      </c>
      <c r="AA45" s="180"/>
    </row>
    <row r="46" spans="1:27" ht="15" x14ac:dyDescent="0.2">
      <c r="A46" s="142" t="s">
        <v>1205</v>
      </c>
      <c r="B46" s="143" t="s">
        <v>1215</v>
      </c>
      <c r="C46" s="143" t="s">
        <v>1314</v>
      </c>
      <c r="D46" s="143" t="s">
        <v>1315</v>
      </c>
      <c r="E46" s="143" t="s">
        <v>1316</v>
      </c>
      <c r="F46" s="143" t="s">
        <v>947</v>
      </c>
      <c r="G46" s="143" t="s">
        <v>205</v>
      </c>
      <c r="H46" s="143" t="s">
        <v>224</v>
      </c>
      <c r="I46" s="143" t="s">
        <v>344</v>
      </c>
      <c r="J46" s="143" t="s">
        <v>1317</v>
      </c>
      <c r="K46" s="143" t="s">
        <v>423</v>
      </c>
      <c r="L46" s="143" t="s">
        <v>1211</v>
      </c>
      <c r="M46" s="144">
        <v>7.5</v>
      </c>
      <c r="N46" s="143" t="s">
        <v>1318</v>
      </c>
      <c r="O46" s="146">
        <v>3.875E-2</v>
      </c>
      <c r="P46" s="146">
        <v>3.848E-2</v>
      </c>
      <c r="Q46" s="145" t="s">
        <v>3930</v>
      </c>
      <c r="R46" s="144">
        <v>5500</v>
      </c>
      <c r="S46" s="143" t="s">
        <v>1212</v>
      </c>
      <c r="T46" s="143" t="s">
        <v>1319</v>
      </c>
      <c r="U46" s="144">
        <v>20.6846</v>
      </c>
      <c r="V46" s="145" t="s">
        <v>3930</v>
      </c>
      <c r="W46" s="145" t="s">
        <v>3930</v>
      </c>
      <c r="X46" s="146">
        <v>1.4473684210526316E-7</v>
      </c>
      <c r="Y46" s="146">
        <v>1.0812000809438106E-2</v>
      </c>
      <c r="Z46" s="147">
        <v>5.9002602939316109E-3</v>
      </c>
      <c r="AA46" s="180"/>
    </row>
    <row r="47" spans="1:27" ht="15" x14ac:dyDescent="0.2">
      <c r="A47" s="142" t="s">
        <v>1205</v>
      </c>
      <c r="B47" s="143" t="s">
        <v>1215</v>
      </c>
      <c r="C47" s="143" t="s">
        <v>1314</v>
      </c>
      <c r="D47" s="143" t="s">
        <v>1324</v>
      </c>
      <c r="E47" s="143" t="s">
        <v>1325</v>
      </c>
      <c r="F47" s="143" t="s">
        <v>947</v>
      </c>
      <c r="G47" s="143" t="s">
        <v>205</v>
      </c>
      <c r="H47" s="143" t="s">
        <v>224</v>
      </c>
      <c r="I47" s="143" t="s">
        <v>344</v>
      </c>
      <c r="J47" s="143" t="s">
        <v>1317</v>
      </c>
      <c r="K47" s="143" t="s">
        <v>423</v>
      </c>
      <c r="L47" s="143" t="s">
        <v>1211</v>
      </c>
      <c r="M47" s="144">
        <v>7.8140000000000001</v>
      </c>
      <c r="N47" s="143" t="s">
        <v>1326</v>
      </c>
      <c r="O47" s="146">
        <v>0.04</v>
      </c>
      <c r="P47" s="146">
        <v>3.8649999999999997E-2</v>
      </c>
      <c r="Q47" s="145" t="s">
        <v>3930</v>
      </c>
      <c r="R47" s="144">
        <v>1000</v>
      </c>
      <c r="S47" s="143" t="s">
        <v>1212</v>
      </c>
      <c r="T47" s="143" t="s">
        <v>1327</v>
      </c>
      <c r="U47" s="144">
        <v>3.7949999999999999</v>
      </c>
      <c r="V47" s="145" t="s">
        <v>3930</v>
      </c>
      <c r="W47" s="145" t="s">
        <v>3930</v>
      </c>
      <c r="X47" s="146">
        <v>2.380952380952381E-8</v>
      </c>
      <c r="Y47" s="146">
        <v>1.9837024967139941E-3</v>
      </c>
      <c r="Z47" s="147">
        <v>1.0825342397419641E-3</v>
      </c>
      <c r="AA47" s="180"/>
    </row>
    <row r="48" spans="1:27" ht="15" x14ac:dyDescent="0.2">
      <c r="A48" s="142" t="s">
        <v>1205</v>
      </c>
      <c r="B48" s="143" t="s">
        <v>1205</v>
      </c>
      <c r="C48" s="143" t="s">
        <v>1229</v>
      </c>
      <c r="D48" s="143" t="s">
        <v>1230</v>
      </c>
      <c r="E48" s="143" t="s">
        <v>1231</v>
      </c>
      <c r="F48" s="143" t="s">
        <v>943</v>
      </c>
      <c r="G48" s="143" t="s">
        <v>204</v>
      </c>
      <c r="H48" s="143" t="s">
        <v>204</v>
      </c>
      <c r="I48" s="143" t="s">
        <v>340</v>
      </c>
      <c r="J48" s="143" t="s">
        <v>1232</v>
      </c>
      <c r="K48" s="143" t="s">
        <v>312</v>
      </c>
      <c r="L48" s="143" t="s">
        <v>1210</v>
      </c>
      <c r="M48" s="144">
        <v>1.07</v>
      </c>
      <c r="N48" s="143" t="s">
        <v>1233</v>
      </c>
      <c r="O48" s="146">
        <v>7.5209999999999999E-3</v>
      </c>
      <c r="P48" s="146">
        <v>1.2971E-2</v>
      </c>
      <c r="Q48" s="145" t="s">
        <v>3930</v>
      </c>
      <c r="R48" s="144">
        <v>8901728</v>
      </c>
      <c r="S48" s="145" t="s">
        <v>3930</v>
      </c>
      <c r="T48" s="143" t="s">
        <v>1234</v>
      </c>
      <c r="U48" s="144">
        <v>10327.784800000001</v>
      </c>
      <c r="V48" s="145" t="s">
        <v>3930</v>
      </c>
      <c r="W48" s="145" t="s">
        <v>3930</v>
      </c>
      <c r="X48" s="146">
        <v>4.1016631944272678E-4</v>
      </c>
      <c r="Y48" s="146">
        <v>0.13374135685560218</v>
      </c>
      <c r="Z48" s="147">
        <v>1.4982393814175148E-2</v>
      </c>
      <c r="AA48" s="180"/>
    </row>
    <row r="49" spans="1:27" ht="15" x14ac:dyDescent="0.2">
      <c r="A49" s="142" t="s">
        <v>1205</v>
      </c>
      <c r="B49" s="143" t="s">
        <v>1205</v>
      </c>
      <c r="C49" s="143" t="s">
        <v>1229</v>
      </c>
      <c r="D49" s="143" t="s">
        <v>1235</v>
      </c>
      <c r="E49" s="143" t="s">
        <v>1236</v>
      </c>
      <c r="F49" s="143" t="s">
        <v>943</v>
      </c>
      <c r="G49" s="143" t="s">
        <v>204</v>
      </c>
      <c r="H49" s="143" t="s">
        <v>204</v>
      </c>
      <c r="I49" s="143" t="s">
        <v>340</v>
      </c>
      <c r="J49" s="143" t="s">
        <v>1232</v>
      </c>
      <c r="K49" s="143" t="s">
        <v>312</v>
      </c>
      <c r="L49" s="143" t="s">
        <v>1210</v>
      </c>
      <c r="M49" s="144">
        <v>7.14</v>
      </c>
      <c r="N49" s="143" t="s">
        <v>1237</v>
      </c>
      <c r="O49" s="146">
        <v>1E-3</v>
      </c>
      <c r="P49" s="146">
        <v>1.9893000000000001E-2</v>
      </c>
      <c r="Q49" s="145" t="s">
        <v>3930</v>
      </c>
      <c r="R49" s="144">
        <v>6709698</v>
      </c>
      <c r="S49" s="145" t="s">
        <v>3930</v>
      </c>
      <c r="T49" s="143" t="s">
        <v>1238</v>
      </c>
      <c r="U49" s="144">
        <v>6783.5047000000004</v>
      </c>
      <c r="V49" s="145" t="s">
        <v>3930</v>
      </c>
      <c r="W49" s="145" t="s">
        <v>3930</v>
      </c>
      <c r="X49" s="146">
        <v>2.1852791020137455E-4</v>
      </c>
      <c r="Y49" s="146">
        <v>8.7844115189467872E-2</v>
      </c>
      <c r="Z49" s="147">
        <v>9.8407490320840344E-3</v>
      </c>
      <c r="AA49" s="180"/>
    </row>
    <row r="50" spans="1:27" ht="15" x14ac:dyDescent="0.2">
      <c r="A50" s="142" t="s">
        <v>1205</v>
      </c>
      <c r="B50" s="143" t="s">
        <v>1205</v>
      </c>
      <c r="C50" s="143" t="s">
        <v>1229</v>
      </c>
      <c r="D50" s="143" t="s">
        <v>1243</v>
      </c>
      <c r="E50" s="143" t="s">
        <v>1244</v>
      </c>
      <c r="F50" s="143" t="s">
        <v>943</v>
      </c>
      <c r="G50" s="143" t="s">
        <v>204</v>
      </c>
      <c r="H50" s="143" t="s">
        <v>204</v>
      </c>
      <c r="I50" s="143" t="s">
        <v>340</v>
      </c>
      <c r="J50" s="143" t="s">
        <v>1232</v>
      </c>
      <c r="K50" s="143" t="s">
        <v>312</v>
      </c>
      <c r="L50" s="143" t="s">
        <v>1210</v>
      </c>
      <c r="M50" s="144">
        <v>2.64</v>
      </c>
      <c r="N50" s="143" t="s">
        <v>1245</v>
      </c>
      <c r="O50" s="146">
        <v>7.4999999999999997E-3</v>
      </c>
      <c r="P50" s="146">
        <v>1.6515999999999999E-2</v>
      </c>
      <c r="Q50" s="145" t="s">
        <v>3930</v>
      </c>
      <c r="R50" s="144">
        <v>3190320</v>
      </c>
      <c r="S50" s="145" t="s">
        <v>3930</v>
      </c>
      <c r="T50" s="143" t="s">
        <v>1246</v>
      </c>
      <c r="U50" s="144">
        <v>3644.9405999999999</v>
      </c>
      <c r="V50" s="145" t="s">
        <v>3930</v>
      </c>
      <c r="W50" s="145" t="s">
        <v>3930</v>
      </c>
      <c r="X50" s="146">
        <v>1.4312372741757726E-4</v>
      </c>
      <c r="Y50" s="146">
        <v>4.7200760834378852E-2</v>
      </c>
      <c r="Z50" s="147">
        <v>5.2876716953970089E-3</v>
      </c>
      <c r="AA50" s="180"/>
    </row>
    <row r="51" spans="1:27" ht="15" x14ac:dyDescent="0.2">
      <c r="A51" s="142" t="s">
        <v>1205</v>
      </c>
      <c r="B51" s="143" t="s">
        <v>1205</v>
      </c>
      <c r="C51" s="143" t="s">
        <v>1229</v>
      </c>
      <c r="D51" s="143" t="s">
        <v>1247</v>
      </c>
      <c r="E51" s="143" t="s">
        <v>1248</v>
      </c>
      <c r="F51" s="143" t="s">
        <v>943</v>
      </c>
      <c r="G51" s="143" t="s">
        <v>204</v>
      </c>
      <c r="H51" s="143" t="s">
        <v>204</v>
      </c>
      <c r="I51" s="143" t="s">
        <v>340</v>
      </c>
      <c r="J51" s="143" t="s">
        <v>1232</v>
      </c>
      <c r="K51" s="143" t="s">
        <v>312</v>
      </c>
      <c r="L51" s="143" t="s">
        <v>1210</v>
      </c>
      <c r="M51" s="144">
        <v>9.65</v>
      </c>
      <c r="N51" s="143" t="s">
        <v>1249</v>
      </c>
      <c r="O51" s="146">
        <v>4.011E-2</v>
      </c>
      <c r="P51" s="146">
        <v>2.1597000000000002E-2</v>
      </c>
      <c r="Q51" s="145" t="s">
        <v>3930</v>
      </c>
      <c r="R51" s="144">
        <v>1324150</v>
      </c>
      <c r="S51" s="145" t="s">
        <v>3930</v>
      </c>
      <c r="T51" s="143" t="s">
        <v>1250</v>
      </c>
      <c r="U51" s="144">
        <v>2179.9481000000001</v>
      </c>
      <c r="V51" s="145" t="s">
        <v>3930</v>
      </c>
      <c r="W51" s="145" t="s">
        <v>3930</v>
      </c>
      <c r="X51" s="146">
        <v>8.3111022932466199E-5</v>
      </c>
      <c r="Y51" s="146">
        <v>2.8229598864654429E-2</v>
      </c>
      <c r="Z51" s="147">
        <v>3.162424678127735E-3</v>
      </c>
      <c r="AA51" s="180"/>
    </row>
    <row r="52" spans="1:27" ht="15" x14ac:dyDescent="0.2">
      <c r="A52" s="142" t="s">
        <v>1205</v>
      </c>
      <c r="B52" s="143" t="s">
        <v>1205</v>
      </c>
      <c r="C52" s="143" t="s">
        <v>1229</v>
      </c>
      <c r="D52" s="143" t="s">
        <v>1239</v>
      </c>
      <c r="E52" s="143" t="s">
        <v>1240</v>
      </c>
      <c r="F52" s="143" t="s">
        <v>943</v>
      </c>
      <c r="G52" s="143" t="s">
        <v>204</v>
      </c>
      <c r="H52" s="143" t="s">
        <v>204</v>
      </c>
      <c r="I52" s="143" t="s">
        <v>340</v>
      </c>
      <c r="J52" s="143" t="s">
        <v>1232</v>
      </c>
      <c r="K52" s="143" t="s">
        <v>312</v>
      </c>
      <c r="L52" s="143" t="s">
        <v>1210</v>
      </c>
      <c r="M52" s="144">
        <v>4.6100000000000003</v>
      </c>
      <c r="N52" s="143" t="s">
        <v>1241</v>
      </c>
      <c r="O52" s="146">
        <v>5.0000000000000001E-3</v>
      </c>
      <c r="P52" s="146">
        <v>1.8189E-2</v>
      </c>
      <c r="Q52" s="145" t="s">
        <v>3930</v>
      </c>
      <c r="R52" s="144">
        <v>1833506</v>
      </c>
      <c r="S52" s="145" t="s">
        <v>3930</v>
      </c>
      <c r="T52" s="143" t="s">
        <v>1242</v>
      </c>
      <c r="U52" s="144">
        <v>1995.7713000000001</v>
      </c>
      <c r="V52" s="145" t="s">
        <v>3930</v>
      </c>
      <c r="W52" s="145" t="s">
        <v>3930</v>
      </c>
      <c r="X52" s="146">
        <v>6.7992321620910875E-5</v>
      </c>
      <c r="Y52" s="146">
        <v>2.5844570118537163E-2</v>
      </c>
      <c r="Z52" s="147">
        <v>2.8952415062758305E-3</v>
      </c>
      <c r="AA52" s="180"/>
    </row>
    <row r="53" spans="1:27" ht="15" x14ac:dyDescent="0.2">
      <c r="A53" s="142" t="s">
        <v>1205</v>
      </c>
      <c r="B53" s="143" t="s">
        <v>1205</v>
      </c>
      <c r="C53" s="143" t="s">
        <v>1229</v>
      </c>
      <c r="D53" s="143" t="s">
        <v>1251</v>
      </c>
      <c r="E53" s="143" t="s">
        <v>1252</v>
      </c>
      <c r="F53" s="143" t="s">
        <v>943</v>
      </c>
      <c r="G53" s="143" t="s">
        <v>204</v>
      </c>
      <c r="H53" s="143" t="s">
        <v>204</v>
      </c>
      <c r="I53" s="143" t="s">
        <v>340</v>
      </c>
      <c r="J53" s="143" t="s">
        <v>1232</v>
      </c>
      <c r="K53" s="143" t="s">
        <v>312</v>
      </c>
      <c r="L53" s="143" t="s">
        <v>1210</v>
      </c>
      <c r="M53" s="144">
        <v>3.97</v>
      </c>
      <c r="N53" s="143" t="s">
        <v>1253</v>
      </c>
      <c r="O53" s="146">
        <v>1.0999999999999999E-2</v>
      </c>
      <c r="P53" s="146">
        <v>1.7901E-2</v>
      </c>
      <c r="Q53" s="145" t="s">
        <v>3930</v>
      </c>
      <c r="R53" s="144">
        <v>1410492</v>
      </c>
      <c r="S53" s="145" t="s">
        <v>3930</v>
      </c>
      <c r="T53" s="143" t="s">
        <v>1254</v>
      </c>
      <c r="U53" s="144">
        <v>1447.1648</v>
      </c>
      <c r="V53" s="145" t="s">
        <v>3930</v>
      </c>
      <c r="W53" s="145" t="s">
        <v>3930</v>
      </c>
      <c r="X53" s="146">
        <v>6.9141364770537107E-5</v>
      </c>
      <c r="Y53" s="146">
        <v>1.8740299700666076E-2</v>
      </c>
      <c r="Z53" s="147">
        <v>2.0993846399673835E-3</v>
      </c>
      <c r="AA53" s="180"/>
    </row>
    <row r="54" spans="1:27" ht="15" x14ac:dyDescent="0.2">
      <c r="A54" s="142" t="s">
        <v>1205</v>
      </c>
      <c r="B54" s="143" t="s">
        <v>1205</v>
      </c>
      <c r="C54" s="143" t="s">
        <v>1229</v>
      </c>
      <c r="D54" s="143" t="s">
        <v>1259</v>
      </c>
      <c r="E54" s="143" t="s">
        <v>1260</v>
      </c>
      <c r="F54" s="143" t="s">
        <v>945</v>
      </c>
      <c r="G54" s="143" t="s">
        <v>204</v>
      </c>
      <c r="H54" s="143" t="s">
        <v>204</v>
      </c>
      <c r="I54" s="143" t="s">
        <v>340</v>
      </c>
      <c r="J54" s="143" t="s">
        <v>1232</v>
      </c>
      <c r="K54" s="143" t="s">
        <v>312</v>
      </c>
      <c r="L54" s="143" t="s">
        <v>1210</v>
      </c>
      <c r="M54" s="144">
        <v>7.17</v>
      </c>
      <c r="N54" s="143" t="s">
        <v>1261</v>
      </c>
      <c r="O54" s="146">
        <v>1.2999999999999999E-2</v>
      </c>
      <c r="P54" s="146">
        <v>4.7579000000000003E-2</v>
      </c>
      <c r="Q54" s="145" t="s">
        <v>3930</v>
      </c>
      <c r="R54" s="144">
        <v>12579296</v>
      </c>
      <c r="S54" s="145" t="s">
        <v>3930</v>
      </c>
      <c r="T54" s="143" t="s">
        <v>1262</v>
      </c>
      <c r="U54" s="144">
        <v>9935.1280000000006</v>
      </c>
      <c r="V54" s="145" t="s">
        <v>3930</v>
      </c>
      <c r="W54" s="145" t="s">
        <v>3930</v>
      </c>
      <c r="X54" s="146">
        <v>4.1926943511747352E-4</v>
      </c>
      <c r="Y54" s="146">
        <v>0.12865658213488748</v>
      </c>
      <c r="Z54" s="147">
        <v>1.441277122985845E-2</v>
      </c>
      <c r="AA54" s="180"/>
    </row>
    <row r="55" spans="1:27" ht="15" x14ac:dyDescent="0.2">
      <c r="A55" s="142" t="s">
        <v>1205</v>
      </c>
      <c r="B55" s="143" t="s">
        <v>1205</v>
      </c>
      <c r="C55" s="143" t="s">
        <v>1229</v>
      </c>
      <c r="D55" s="143" t="s">
        <v>1255</v>
      </c>
      <c r="E55" s="143" t="s">
        <v>1256</v>
      </c>
      <c r="F55" s="143" t="s">
        <v>945</v>
      </c>
      <c r="G55" s="143" t="s">
        <v>204</v>
      </c>
      <c r="H55" s="143" t="s">
        <v>204</v>
      </c>
      <c r="I55" s="143" t="s">
        <v>340</v>
      </c>
      <c r="J55" s="143" t="s">
        <v>1232</v>
      </c>
      <c r="K55" s="143" t="s">
        <v>312</v>
      </c>
      <c r="L55" s="143" t="s">
        <v>1210</v>
      </c>
      <c r="M55" s="144">
        <v>11.26</v>
      </c>
      <c r="N55" s="143" t="s">
        <v>1257</v>
      </c>
      <c r="O55" s="146">
        <v>1.5041000000000001E-2</v>
      </c>
      <c r="P55" s="146">
        <v>5.0358E-2</v>
      </c>
      <c r="Q55" s="145" t="s">
        <v>3930</v>
      </c>
      <c r="R55" s="144">
        <v>8888919</v>
      </c>
      <c r="S55" s="145" t="s">
        <v>3930</v>
      </c>
      <c r="T55" s="143" t="s">
        <v>1258</v>
      </c>
      <c r="U55" s="144">
        <v>6037.3537999999999</v>
      </c>
      <c r="V55" s="145" t="s">
        <v>3930</v>
      </c>
      <c r="W55" s="145" t="s">
        <v>3930</v>
      </c>
      <c r="X55" s="146">
        <v>2.7709846798906822E-4</v>
      </c>
      <c r="Y55" s="146">
        <v>7.8181710853909875E-2</v>
      </c>
      <c r="Z55" s="147">
        <v>8.75831686337631E-3</v>
      </c>
      <c r="AA55" s="180"/>
    </row>
    <row r="56" spans="1:27" ht="15" x14ac:dyDescent="0.2">
      <c r="A56" s="142" t="s">
        <v>1205</v>
      </c>
      <c r="B56" s="143" t="s">
        <v>1205</v>
      </c>
      <c r="C56" s="143" t="s">
        <v>1229</v>
      </c>
      <c r="D56" s="143" t="s">
        <v>1328</v>
      </c>
      <c r="E56" s="143" t="s">
        <v>1329</v>
      </c>
      <c r="F56" s="143" t="s">
        <v>945</v>
      </c>
      <c r="G56" s="143" t="s">
        <v>204</v>
      </c>
      <c r="H56" s="143" t="s">
        <v>204</v>
      </c>
      <c r="I56" s="143" t="s">
        <v>340</v>
      </c>
      <c r="J56" s="143" t="s">
        <v>1232</v>
      </c>
      <c r="K56" s="143" t="s">
        <v>312</v>
      </c>
      <c r="L56" s="143" t="s">
        <v>1210</v>
      </c>
      <c r="M56" s="144">
        <v>0.18</v>
      </c>
      <c r="N56" s="143" t="s">
        <v>1330</v>
      </c>
      <c r="O56" s="143" t="s">
        <v>1270</v>
      </c>
      <c r="P56" s="146">
        <v>4.2646999999999997E-2</v>
      </c>
      <c r="Q56" s="145" t="s">
        <v>3930</v>
      </c>
      <c r="R56" s="144">
        <v>5773789</v>
      </c>
      <c r="S56" s="145" t="s">
        <v>3930</v>
      </c>
      <c r="T56" s="143" t="s">
        <v>1331</v>
      </c>
      <c r="U56" s="144">
        <v>5731.6403</v>
      </c>
      <c r="V56" s="145" t="s">
        <v>3930</v>
      </c>
      <c r="W56" s="145" t="s">
        <v>3930</v>
      </c>
      <c r="X56" s="146">
        <v>1.44344725E-4</v>
      </c>
      <c r="Y56" s="146">
        <v>7.4222824067744234E-2</v>
      </c>
      <c r="Z56" s="147">
        <v>8.3148220290887569E-3</v>
      </c>
      <c r="AA56" s="180"/>
    </row>
    <row r="57" spans="1:27" ht="15" x14ac:dyDescent="0.2">
      <c r="A57" s="142" t="s">
        <v>1205</v>
      </c>
      <c r="B57" s="143" t="s">
        <v>1205</v>
      </c>
      <c r="C57" s="143" t="s">
        <v>1229</v>
      </c>
      <c r="D57" s="143" t="s">
        <v>1263</v>
      </c>
      <c r="E57" s="143" t="s">
        <v>1264</v>
      </c>
      <c r="F57" s="143" t="s">
        <v>945</v>
      </c>
      <c r="G57" s="143" t="s">
        <v>204</v>
      </c>
      <c r="H57" s="143" t="s">
        <v>204</v>
      </c>
      <c r="I57" s="143" t="s">
        <v>340</v>
      </c>
      <c r="J57" s="143" t="s">
        <v>1232</v>
      </c>
      <c r="K57" s="143" t="s">
        <v>312</v>
      </c>
      <c r="L57" s="143" t="s">
        <v>1210</v>
      </c>
      <c r="M57" s="144">
        <v>11.32</v>
      </c>
      <c r="N57" s="143" t="s">
        <v>1265</v>
      </c>
      <c r="O57" s="146">
        <v>5.5E-2</v>
      </c>
      <c r="P57" s="146">
        <v>5.1729999999999998E-2</v>
      </c>
      <c r="Q57" s="145" t="s">
        <v>3930</v>
      </c>
      <c r="R57" s="144">
        <v>5300050.6500000004</v>
      </c>
      <c r="S57" s="145" t="s">
        <v>3930</v>
      </c>
      <c r="T57" s="143" t="s">
        <v>1266</v>
      </c>
      <c r="U57" s="144">
        <v>5689.0744000000004</v>
      </c>
      <c r="V57" s="145" t="s">
        <v>3930</v>
      </c>
      <c r="W57" s="145" t="s">
        <v>3930</v>
      </c>
      <c r="X57" s="146">
        <v>2.3980042940245321E-4</v>
      </c>
      <c r="Y57" s="146">
        <v>7.3671608969231167E-2</v>
      </c>
      <c r="Z57" s="147">
        <v>8.2530720822031507E-3</v>
      </c>
      <c r="AA57" s="180"/>
    </row>
    <row r="58" spans="1:27" ht="15" x14ac:dyDescent="0.2">
      <c r="A58" s="142" t="s">
        <v>1205</v>
      </c>
      <c r="B58" s="143" t="s">
        <v>1205</v>
      </c>
      <c r="C58" s="143" t="s">
        <v>1292</v>
      </c>
      <c r="D58" s="143" t="s">
        <v>1293</v>
      </c>
      <c r="E58" s="143" t="s">
        <v>1294</v>
      </c>
      <c r="F58" s="143" t="s">
        <v>945</v>
      </c>
      <c r="G58" s="143" t="s">
        <v>204</v>
      </c>
      <c r="H58" s="143" t="s">
        <v>204</v>
      </c>
      <c r="I58" s="143" t="s">
        <v>340</v>
      </c>
      <c r="J58" s="143" t="s">
        <v>1232</v>
      </c>
      <c r="K58" s="143" t="s">
        <v>312</v>
      </c>
      <c r="L58" s="143" t="s">
        <v>1210</v>
      </c>
      <c r="M58" s="144">
        <v>5.33</v>
      </c>
      <c r="N58" s="143" t="s">
        <v>1295</v>
      </c>
      <c r="O58" s="146">
        <v>1.0026999999999999E-2</v>
      </c>
      <c r="P58" s="146">
        <v>4.5976999999999997E-2</v>
      </c>
      <c r="Q58" s="145" t="s">
        <v>3930</v>
      </c>
      <c r="R58" s="144">
        <v>4876624</v>
      </c>
      <c r="S58" s="145" t="s">
        <v>3930</v>
      </c>
      <c r="T58" s="143" t="s">
        <v>1296</v>
      </c>
      <c r="U58" s="144">
        <v>4059.3017999999997</v>
      </c>
      <c r="V58" s="145" t="s">
        <v>3930</v>
      </c>
      <c r="W58" s="145" t="s">
        <v>3930</v>
      </c>
      <c r="X58" s="146">
        <v>1.2916344189059308E-4</v>
      </c>
      <c r="Y58" s="146">
        <v>5.2566599918554772E-2</v>
      </c>
      <c r="Z58" s="147">
        <v>5.8887805535149601E-3</v>
      </c>
      <c r="AA58" s="180"/>
    </row>
    <row r="59" spans="1:27" ht="15" x14ac:dyDescent="0.2">
      <c r="A59" s="142" t="s">
        <v>1205</v>
      </c>
      <c r="B59" s="143" t="s">
        <v>1205</v>
      </c>
      <c r="C59" s="143" t="s">
        <v>1229</v>
      </c>
      <c r="D59" s="143" t="s">
        <v>1272</v>
      </c>
      <c r="E59" s="143" t="s">
        <v>1273</v>
      </c>
      <c r="F59" s="143" t="s">
        <v>945</v>
      </c>
      <c r="G59" s="143" t="s">
        <v>204</v>
      </c>
      <c r="H59" s="143" t="s">
        <v>204</v>
      </c>
      <c r="I59" s="143" t="s">
        <v>340</v>
      </c>
      <c r="J59" s="143" t="s">
        <v>1232</v>
      </c>
      <c r="K59" s="143" t="s">
        <v>312</v>
      </c>
      <c r="L59" s="143" t="s">
        <v>1210</v>
      </c>
      <c r="M59" s="144">
        <v>0.42</v>
      </c>
      <c r="N59" s="143" t="s">
        <v>1274</v>
      </c>
      <c r="O59" s="143" t="s">
        <v>1270</v>
      </c>
      <c r="P59" s="146">
        <v>4.3201000000000003E-2</v>
      </c>
      <c r="Q59" s="145" t="s">
        <v>3930</v>
      </c>
      <c r="R59" s="144">
        <v>3766021.92</v>
      </c>
      <c r="S59" s="145" t="s">
        <v>3930</v>
      </c>
      <c r="T59" s="143" t="s">
        <v>1275</v>
      </c>
      <c r="U59" s="144">
        <v>3698.9867000000004</v>
      </c>
      <c r="V59" s="145" t="s">
        <v>3930</v>
      </c>
      <c r="W59" s="145" t="s">
        <v>3930</v>
      </c>
      <c r="X59" s="146">
        <v>3.1383516E-4</v>
      </c>
      <c r="Y59" s="146">
        <v>4.790064012674549E-2</v>
      </c>
      <c r="Z59" s="147">
        <v>5.3660757689547823E-3</v>
      </c>
      <c r="AA59" s="180"/>
    </row>
    <row r="60" spans="1:27" ht="15" x14ac:dyDescent="0.2">
      <c r="A60" s="142" t="s">
        <v>1205</v>
      </c>
      <c r="B60" s="143" t="s">
        <v>1205</v>
      </c>
      <c r="C60" s="143" t="s">
        <v>1229</v>
      </c>
      <c r="D60" s="143" t="s">
        <v>1276</v>
      </c>
      <c r="E60" s="143" t="s">
        <v>1277</v>
      </c>
      <c r="F60" s="143" t="s">
        <v>945</v>
      </c>
      <c r="G60" s="143" t="s">
        <v>204</v>
      </c>
      <c r="H60" s="143" t="s">
        <v>204</v>
      </c>
      <c r="I60" s="143" t="s">
        <v>340</v>
      </c>
      <c r="J60" s="143" t="s">
        <v>1232</v>
      </c>
      <c r="K60" s="143" t="s">
        <v>312</v>
      </c>
      <c r="L60" s="143" t="s">
        <v>1210</v>
      </c>
      <c r="M60" s="144">
        <v>0.35</v>
      </c>
      <c r="N60" s="143" t="s">
        <v>1278</v>
      </c>
      <c r="O60" s="143" t="s">
        <v>1270</v>
      </c>
      <c r="P60" s="146">
        <v>4.2567000000000001E-2</v>
      </c>
      <c r="Q60" s="145" t="s">
        <v>3930</v>
      </c>
      <c r="R60" s="144">
        <v>3294947</v>
      </c>
      <c r="S60" s="145" t="s">
        <v>3930</v>
      </c>
      <c r="T60" s="143" t="s">
        <v>1279</v>
      </c>
      <c r="U60" s="144">
        <v>3247.4997999999996</v>
      </c>
      <c r="V60" s="145" t="s">
        <v>3930</v>
      </c>
      <c r="W60" s="145" t="s">
        <v>3930</v>
      </c>
      <c r="X60" s="146">
        <v>2.7457891666666666E-4</v>
      </c>
      <c r="Y60" s="146">
        <v>4.2054035018432169E-2</v>
      </c>
      <c r="Z60" s="147">
        <v>4.7111090311543428E-3</v>
      </c>
      <c r="AA60" s="180"/>
    </row>
    <row r="61" spans="1:27" ht="15" x14ac:dyDescent="0.2">
      <c r="A61" s="142" t="s">
        <v>1205</v>
      </c>
      <c r="B61" s="143" t="s">
        <v>1205</v>
      </c>
      <c r="C61" s="143" t="s">
        <v>1229</v>
      </c>
      <c r="D61" s="143" t="s">
        <v>1284</v>
      </c>
      <c r="E61" s="143" t="s">
        <v>1285</v>
      </c>
      <c r="F61" s="143" t="s">
        <v>945</v>
      </c>
      <c r="G61" s="143" t="s">
        <v>204</v>
      </c>
      <c r="H61" s="143" t="s">
        <v>204</v>
      </c>
      <c r="I61" s="143" t="s">
        <v>340</v>
      </c>
      <c r="J61" s="143" t="s">
        <v>1232</v>
      </c>
      <c r="K61" s="143" t="s">
        <v>312</v>
      </c>
      <c r="L61" s="143" t="s">
        <v>1210</v>
      </c>
      <c r="M61" s="144">
        <v>14.32</v>
      </c>
      <c r="N61" s="143" t="s">
        <v>1286</v>
      </c>
      <c r="O61" s="146">
        <v>3.7602999999999998E-2</v>
      </c>
      <c r="P61" s="146">
        <v>5.3239000000000002E-2</v>
      </c>
      <c r="Q61" s="145" t="s">
        <v>3930</v>
      </c>
      <c r="R61" s="144">
        <v>2595660</v>
      </c>
      <c r="S61" s="145" t="s">
        <v>3930</v>
      </c>
      <c r="T61" s="143" t="s">
        <v>1287</v>
      </c>
      <c r="U61" s="144">
        <v>2111.8290000000002</v>
      </c>
      <c r="V61" s="145" t="s">
        <v>3930</v>
      </c>
      <c r="W61" s="145" t="s">
        <v>3930</v>
      </c>
      <c r="X61" s="146">
        <v>9.8896058035839816E-5</v>
      </c>
      <c r="Y61" s="146">
        <v>2.7347478425104432E-2</v>
      </c>
      <c r="Z61" s="147">
        <v>3.0636050151035244E-3</v>
      </c>
      <c r="AA61" s="180"/>
    </row>
    <row r="62" spans="1:27" ht="15" x14ac:dyDescent="0.2">
      <c r="A62" s="142" t="s">
        <v>1205</v>
      </c>
      <c r="B62" s="143" t="s">
        <v>1205</v>
      </c>
      <c r="C62" s="143" t="s">
        <v>1229</v>
      </c>
      <c r="D62" s="143" t="s">
        <v>1297</v>
      </c>
      <c r="E62" s="143" t="s">
        <v>1298</v>
      </c>
      <c r="F62" s="143" t="s">
        <v>945</v>
      </c>
      <c r="G62" s="143" t="s">
        <v>204</v>
      </c>
      <c r="H62" s="143" t="s">
        <v>204</v>
      </c>
      <c r="I62" s="143" t="s">
        <v>340</v>
      </c>
      <c r="J62" s="143" t="s">
        <v>1232</v>
      </c>
      <c r="K62" s="143" t="s">
        <v>312</v>
      </c>
      <c r="L62" s="143" t="s">
        <v>1210</v>
      </c>
      <c r="M62" s="144">
        <v>8.52</v>
      </c>
      <c r="N62" s="143" t="s">
        <v>1299</v>
      </c>
      <c r="O62" s="146">
        <v>0.04</v>
      </c>
      <c r="P62" s="146">
        <v>4.8728E-2</v>
      </c>
      <c r="Q62" s="145" t="s">
        <v>3930</v>
      </c>
      <c r="R62" s="144">
        <v>2198397</v>
      </c>
      <c r="S62" s="145" t="s">
        <v>3930</v>
      </c>
      <c r="T62" s="143" t="s">
        <v>1300</v>
      </c>
      <c r="U62" s="144">
        <v>2086.9383000000003</v>
      </c>
      <c r="V62" s="145" t="s">
        <v>3930</v>
      </c>
      <c r="W62" s="145" t="s">
        <v>3930</v>
      </c>
      <c r="X62" s="146">
        <v>1.2704329839618596E-4</v>
      </c>
      <c r="Y62" s="146">
        <v>2.7025152140340493E-2</v>
      </c>
      <c r="Z62" s="147">
        <v>3.0274963689185799E-3</v>
      </c>
      <c r="AA62" s="180"/>
    </row>
    <row r="63" spans="1:27" ht="15" x14ac:dyDescent="0.2">
      <c r="A63" s="142" t="s">
        <v>1205</v>
      </c>
      <c r="B63" s="143" t="s">
        <v>1205</v>
      </c>
      <c r="C63" s="143" t="s">
        <v>1229</v>
      </c>
      <c r="D63" s="143" t="s">
        <v>1310</v>
      </c>
      <c r="E63" s="143" t="s">
        <v>1311</v>
      </c>
      <c r="F63" s="143" t="s">
        <v>945</v>
      </c>
      <c r="G63" s="143" t="s">
        <v>204</v>
      </c>
      <c r="H63" s="143" t="s">
        <v>204</v>
      </c>
      <c r="I63" s="143" t="s">
        <v>340</v>
      </c>
      <c r="J63" s="143" t="s">
        <v>1232</v>
      </c>
      <c r="K63" s="143" t="s">
        <v>312</v>
      </c>
      <c r="L63" s="143" t="s">
        <v>1210</v>
      </c>
      <c r="M63" s="144">
        <v>16.71</v>
      </c>
      <c r="N63" s="143" t="s">
        <v>1312</v>
      </c>
      <c r="O63" s="146">
        <v>2.8000000000000001E-2</v>
      </c>
      <c r="P63" s="146">
        <v>5.4316000000000003E-2</v>
      </c>
      <c r="Q63" s="145" t="s">
        <v>3930</v>
      </c>
      <c r="R63" s="144">
        <v>2888557</v>
      </c>
      <c r="S63" s="145" t="s">
        <v>3930</v>
      </c>
      <c r="T63" s="143" t="s">
        <v>1313</v>
      </c>
      <c r="U63" s="144">
        <v>1868.8963999999999</v>
      </c>
      <c r="V63" s="145" t="s">
        <v>3930</v>
      </c>
      <c r="W63" s="145" t="s">
        <v>3930</v>
      </c>
      <c r="X63" s="146">
        <v>1.6270561280196688E-4</v>
      </c>
      <c r="Y63" s="146">
        <v>2.4201582601761921E-2</v>
      </c>
      <c r="Z63" s="147">
        <v>2.7111856047443571E-3</v>
      </c>
      <c r="AA63" s="180"/>
    </row>
    <row r="64" spans="1:27" ht="15" x14ac:dyDescent="0.2">
      <c r="A64" s="142" t="s">
        <v>1205</v>
      </c>
      <c r="B64" s="143" t="s">
        <v>1205</v>
      </c>
      <c r="C64" s="143" t="s">
        <v>1229</v>
      </c>
      <c r="D64" s="143" t="s">
        <v>1306</v>
      </c>
      <c r="E64" s="143" t="s">
        <v>1307</v>
      </c>
      <c r="F64" s="143" t="s">
        <v>945</v>
      </c>
      <c r="G64" s="143" t="s">
        <v>204</v>
      </c>
      <c r="H64" s="143" t="s">
        <v>204</v>
      </c>
      <c r="I64" s="143" t="s">
        <v>340</v>
      </c>
      <c r="J64" s="143" t="s">
        <v>1232</v>
      </c>
      <c r="K64" s="143" t="s">
        <v>314</v>
      </c>
      <c r="L64" s="143" t="s">
        <v>1210</v>
      </c>
      <c r="M64" s="144">
        <v>0.67</v>
      </c>
      <c r="N64" s="143" t="s">
        <v>1308</v>
      </c>
      <c r="O64" s="143" t="s">
        <v>1270</v>
      </c>
      <c r="P64" s="146">
        <v>4.2719E-2</v>
      </c>
      <c r="Q64" s="145" t="s">
        <v>3930</v>
      </c>
      <c r="R64" s="144">
        <v>1625000</v>
      </c>
      <c r="S64" s="145" t="s">
        <v>3930</v>
      </c>
      <c r="T64" s="143" t="s">
        <v>1309</v>
      </c>
      <c r="U64" s="144">
        <v>1579.825</v>
      </c>
      <c r="V64" s="145" t="s">
        <v>3930</v>
      </c>
      <c r="W64" s="145" t="s">
        <v>3930</v>
      </c>
      <c r="X64" s="146">
        <v>1.3541666666666666E-4</v>
      </c>
      <c r="Y64" s="146">
        <v>2.045820499384066E-2</v>
      </c>
      <c r="Z64" s="147">
        <v>2.2918332156580492E-3</v>
      </c>
      <c r="AA64" s="180"/>
    </row>
    <row r="65" spans="1:27" ht="15" x14ac:dyDescent="0.2">
      <c r="A65" s="142" t="s">
        <v>1205</v>
      </c>
      <c r="B65" s="143" t="s">
        <v>1205</v>
      </c>
      <c r="C65" s="143" t="s">
        <v>1229</v>
      </c>
      <c r="D65" s="143" t="s">
        <v>1336</v>
      </c>
      <c r="E65" s="143" t="s">
        <v>1337</v>
      </c>
      <c r="F65" s="143" t="s">
        <v>945</v>
      </c>
      <c r="G65" s="143" t="s">
        <v>204</v>
      </c>
      <c r="H65" s="143" t="s">
        <v>204</v>
      </c>
      <c r="I65" s="143" t="s">
        <v>340</v>
      </c>
      <c r="J65" s="143" t="s">
        <v>1232</v>
      </c>
      <c r="K65" s="143" t="s">
        <v>312</v>
      </c>
      <c r="L65" s="143" t="s">
        <v>1210</v>
      </c>
      <c r="M65" s="144">
        <v>1.91</v>
      </c>
      <c r="N65" s="143" t="s">
        <v>1338</v>
      </c>
      <c r="O65" s="146">
        <v>6.25E-2</v>
      </c>
      <c r="P65" s="146">
        <v>4.3473999999999999E-2</v>
      </c>
      <c r="Q65" s="145" t="s">
        <v>3930</v>
      </c>
      <c r="R65" s="144">
        <v>990620</v>
      </c>
      <c r="S65" s="145" t="s">
        <v>3930</v>
      </c>
      <c r="T65" s="143" t="s">
        <v>1339</v>
      </c>
      <c r="U65" s="144">
        <v>1084.7288999999998</v>
      </c>
      <c r="V65" s="145" t="s">
        <v>3930</v>
      </c>
      <c r="W65" s="145" t="s">
        <v>3930</v>
      </c>
      <c r="X65" s="146">
        <v>6.6501571718347136E-5</v>
      </c>
      <c r="Y65" s="146">
        <v>1.4046876203974039E-2</v>
      </c>
      <c r="Z65" s="147">
        <v>1.5736032301072705E-3</v>
      </c>
      <c r="AA65" s="180"/>
    </row>
    <row r="66" spans="1:27" ht="15" x14ac:dyDescent="0.2">
      <c r="A66" s="142" t="s">
        <v>1205</v>
      </c>
      <c r="B66" s="143" t="s">
        <v>1205</v>
      </c>
      <c r="C66" s="143" t="s">
        <v>1229</v>
      </c>
      <c r="D66" s="143" t="s">
        <v>1332</v>
      </c>
      <c r="E66" s="143" t="s">
        <v>1333</v>
      </c>
      <c r="F66" s="143" t="s">
        <v>945</v>
      </c>
      <c r="G66" s="143" t="s">
        <v>204</v>
      </c>
      <c r="H66" s="143" t="s">
        <v>204</v>
      </c>
      <c r="I66" s="143" t="s">
        <v>340</v>
      </c>
      <c r="J66" s="143" t="s">
        <v>1232</v>
      </c>
      <c r="K66" s="143" t="s">
        <v>312</v>
      </c>
      <c r="L66" s="143" t="s">
        <v>1210</v>
      </c>
      <c r="M66" s="144">
        <v>0.1</v>
      </c>
      <c r="N66" s="143" t="s">
        <v>1334</v>
      </c>
      <c r="O66" s="143" t="s">
        <v>1270</v>
      </c>
      <c r="P66" s="146">
        <v>4.3596000000000003E-2</v>
      </c>
      <c r="Q66" s="145" t="s">
        <v>3930</v>
      </c>
      <c r="R66" s="144">
        <v>86980</v>
      </c>
      <c r="S66" s="145" t="s">
        <v>3930</v>
      </c>
      <c r="T66" s="143" t="s">
        <v>1335</v>
      </c>
      <c r="U66" s="144">
        <v>86.614699999999999</v>
      </c>
      <c r="V66" s="145" t="s">
        <v>3930</v>
      </c>
      <c r="W66" s="145" t="s">
        <v>3930</v>
      </c>
      <c r="X66" s="146">
        <v>2.1745000000000001E-6</v>
      </c>
      <c r="Y66" s="146">
        <v>1.1216311684830477E-3</v>
      </c>
      <c r="Z66" s="147">
        <v>1.2565088522774724E-4</v>
      </c>
      <c r="AA66" s="180"/>
    </row>
    <row r="67" spans="1:27" ht="15" x14ac:dyDescent="0.2">
      <c r="A67" s="142" t="s">
        <v>1205</v>
      </c>
      <c r="B67" s="143" t="s">
        <v>1205</v>
      </c>
      <c r="C67" s="143" t="s">
        <v>1314</v>
      </c>
      <c r="D67" s="143" t="s">
        <v>1315</v>
      </c>
      <c r="E67" s="143" t="s">
        <v>1316</v>
      </c>
      <c r="F67" s="143" t="s">
        <v>947</v>
      </c>
      <c r="G67" s="143" t="s">
        <v>205</v>
      </c>
      <c r="H67" s="143" t="s">
        <v>224</v>
      </c>
      <c r="I67" s="143" t="s">
        <v>344</v>
      </c>
      <c r="J67" s="143" t="s">
        <v>1317</v>
      </c>
      <c r="K67" s="143" t="s">
        <v>423</v>
      </c>
      <c r="L67" s="143" t="s">
        <v>1211</v>
      </c>
      <c r="M67" s="144">
        <v>7.5</v>
      </c>
      <c r="N67" s="143" t="s">
        <v>1318</v>
      </c>
      <c r="O67" s="146">
        <v>3.875E-2</v>
      </c>
      <c r="P67" s="146">
        <v>3.848E-2</v>
      </c>
      <c r="Q67" s="145" t="s">
        <v>3930</v>
      </c>
      <c r="R67" s="144">
        <v>673300</v>
      </c>
      <c r="S67" s="143" t="s">
        <v>1212</v>
      </c>
      <c r="T67" s="143" t="s">
        <v>1319</v>
      </c>
      <c r="U67" s="144">
        <v>2532.1682999999998</v>
      </c>
      <c r="V67" s="145" t="s">
        <v>3930</v>
      </c>
      <c r="W67" s="145" t="s">
        <v>3930</v>
      </c>
      <c r="X67" s="146">
        <v>1.7718421052631578E-5</v>
      </c>
      <c r="Y67" s="146">
        <v>3.2790731835091631E-2</v>
      </c>
      <c r="Z67" s="147">
        <v>3.6733862236703785E-3</v>
      </c>
      <c r="AA67" s="180"/>
    </row>
    <row r="68" spans="1:27" ht="15" x14ac:dyDescent="0.2">
      <c r="A68" s="142" t="s">
        <v>1205</v>
      </c>
      <c r="B68" s="143" t="s">
        <v>1205</v>
      </c>
      <c r="C68" s="143" t="s">
        <v>1314</v>
      </c>
      <c r="D68" s="143" t="s">
        <v>1324</v>
      </c>
      <c r="E68" s="143" t="s">
        <v>1325</v>
      </c>
      <c r="F68" s="143" t="s">
        <v>947</v>
      </c>
      <c r="G68" s="143" t="s">
        <v>205</v>
      </c>
      <c r="H68" s="143" t="s">
        <v>224</v>
      </c>
      <c r="I68" s="143" t="s">
        <v>344</v>
      </c>
      <c r="J68" s="143" t="s">
        <v>1317</v>
      </c>
      <c r="K68" s="143" t="s">
        <v>423</v>
      </c>
      <c r="L68" s="143" t="s">
        <v>1211</v>
      </c>
      <c r="M68" s="144">
        <v>7.8140000000000001</v>
      </c>
      <c r="N68" s="143" t="s">
        <v>1326</v>
      </c>
      <c r="O68" s="146">
        <v>0.04</v>
      </c>
      <c r="P68" s="146">
        <v>3.8649999999999997E-2</v>
      </c>
      <c r="Q68" s="145" t="s">
        <v>3930</v>
      </c>
      <c r="R68" s="144">
        <v>288000</v>
      </c>
      <c r="S68" s="143" t="s">
        <v>1212</v>
      </c>
      <c r="T68" s="143" t="s">
        <v>1327</v>
      </c>
      <c r="U68" s="144">
        <v>1092.9733999999999</v>
      </c>
      <c r="V68" s="145" t="s">
        <v>3930</v>
      </c>
      <c r="W68" s="145" t="s">
        <v>3930</v>
      </c>
      <c r="X68" s="146">
        <v>6.8571428571428571E-6</v>
      </c>
      <c r="Y68" s="146">
        <v>1.4153639978592E-2</v>
      </c>
      <c r="Z68" s="147">
        <v>1.5855634565773902E-3</v>
      </c>
      <c r="AA68" s="180"/>
    </row>
    <row r="69" spans="1:27" ht="15" x14ac:dyDescent="0.2">
      <c r="A69" s="142" t="s">
        <v>1220</v>
      </c>
      <c r="B69" s="143" t="s">
        <v>1221</v>
      </c>
      <c r="C69" s="143" t="s">
        <v>1229</v>
      </c>
      <c r="D69" s="143" t="s">
        <v>1230</v>
      </c>
      <c r="E69" s="143" t="s">
        <v>1231</v>
      </c>
      <c r="F69" s="143" t="s">
        <v>943</v>
      </c>
      <c r="G69" s="143" t="s">
        <v>204</v>
      </c>
      <c r="H69" s="143" t="s">
        <v>204</v>
      </c>
      <c r="I69" s="143" t="s">
        <v>340</v>
      </c>
      <c r="J69" s="143" t="s">
        <v>1232</v>
      </c>
      <c r="K69" s="143" t="s">
        <v>312</v>
      </c>
      <c r="L69" s="143" t="s">
        <v>1210</v>
      </c>
      <c r="M69" s="144">
        <v>1.07</v>
      </c>
      <c r="N69" s="143" t="s">
        <v>1233</v>
      </c>
      <c r="O69" s="146">
        <v>7.5209999999999999E-3</v>
      </c>
      <c r="P69" s="146">
        <v>1.2971E-2</v>
      </c>
      <c r="Q69" s="145" t="s">
        <v>3930</v>
      </c>
      <c r="R69" s="144">
        <v>8458181</v>
      </c>
      <c r="S69" s="145" t="s">
        <v>3930</v>
      </c>
      <c r="T69" s="143" t="s">
        <v>1234</v>
      </c>
      <c r="U69" s="144">
        <v>9813.1815999999999</v>
      </c>
      <c r="V69" s="145" t="s">
        <v>3930</v>
      </c>
      <c r="W69" s="145" t="s">
        <v>3930</v>
      </c>
      <c r="X69" s="146">
        <v>3.8972893464621724E-4</v>
      </c>
      <c r="Y69" s="146">
        <v>0.13519195234571357</v>
      </c>
      <c r="Z69" s="147">
        <v>3.2490634614154856E-2</v>
      </c>
      <c r="AA69" s="180"/>
    </row>
    <row r="70" spans="1:27" ht="15" x14ac:dyDescent="0.2">
      <c r="A70" s="142" t="s">
        <v>1220</v>
      </c>
      <c r="B70" s="143" t="s">
        <v>1221</v>
      </c>
      <c r="C70" s="143" t="s">
        <v>1229</v>
      </c>
      <c r="D70" s="143" t="s">
        <v>1235</v>
      </c>
      <c r="E70" s="143" t="s">
        <v>1236</v>
      </c>
      <c r="F70" s="143" t="s">
        <v>943</v>
      </c>
      <c r="G70" s="143" t="s">
        <v>204</v>
      </c>
      <c r="H70" s="143" t="s">
        <v>204</v>
      </c>
      <c r="I70" s="143" t="s">
        <v>340</v>
      </c>
      <c r="J70" s="143" t="s">
        <v>1232</v>
      </c>
      <c r="K70" s="143" t="s">
        <v>312</v>
      </c>
      <c r="L70" s="143" t="s">
        <v>1210</v>
      </c>
      <c r="M70" s="144">
        <v>7.14</v>
      </c>
      <c r="N70" s="143" t="s">
        <v>1237</v>
      </c>
      <c r="O70" s="146">
        <v>1E-3</v>
      </c>
      <c r="P70" s="146">
        <v>1.9893000000000001E-2</v>
      </c>
      <c r="Q70" s="145" t="s">
        <v>3930</v>
      </c>
      <c r="R70" s="144">
        <v>7761565</v>
      </c>
      <c r="S70" s="145" t="s">
        <v>3930</v>
      </c>
      <c r="T70" s="143" t="s">
        <v>1238</v>
      </c>
      <c r="U70" s="144">
        <v>7846.9422000000004</v>
      </c>
      <c r="V70" s="145" t="s">
        <v>3930</v>
      </c>
      <c r="W70" s="145" t="s">
        <v>3930</v>
      </c>
      <c r="X70" s="146">
        <v>2.5278612827911657E-4</v>
      </c>
      <c r="Y70" s="146">
        <v>0.10810392405258688</v>
      </c>
      <c r="Z70" s="147">
        <v>2.5980578250450206E-2</v>
      </c>
      <c r="AA70" s="180"/>
    </row>
    <row r="71" spans="1:27" ht="15" x14ac:dyDescent="0.2">
      <c r="A71" s="142" t="s">
        <v>1220</v>
      </c>
      <c r="B71" s="143" t="s">
        <v>1221</v>
      </c>
      <c r="C71" s="143" t="s">
        <v>1229</v>
      </c>
      <c r="D71" s="143" t="s">
        <v>1239</v>
      </c>
      <c r="E71" s="143" t="s">
        <v>1240</v>
      </c>
      <c r="F71" s="143" t="s">
        <v>943</v>
      </c>
      <c r="G71" s="143" t="s">
        <v>204</v>
      </c>
      <c r="H71" s="143" t="s">
        <v>204</v>
      </c>
      <c r="I71" s="143" t="s">
        <v>340</v>
      </c>
      <c r="J71" s="143" t="s">
        <v>1232</v>
      </c>
      <c r="K71" s="143" t="s">
        <v>312</v>
      </c>
      <c r="L71" s="143" t="s">
        <v>1210</v>
      </c>
      <c r="M71" s="144">
        <v>4.6100000000000003</v>
      </c>
      <c r="N71" s="143" t="s">
        <v>1241</v>
      </c>
      <c r="O71" s="146">
        <v>5.0000000000000001E-3</v>
      </c>
      <c r="P71" s="146">
        <v>1.8189E-2</v>
      </c>
      <c r="Q71" s="145" t="s">
        <v>3930</v>
      </c>
      <c r="R71" s="144">
        <v>1586474</v>
      </c>
      <c r="S71" s="145" t="s">
        <v>3930</v>
      </c>
      <c r="T71" s="143" t="s">
        <v>1242</v>
      </c>
      <c r="U71" s="144">
        <v>1726.8769</v>
      </c>
      <c r="V71" s="145" t="s">
        <v>3930</v>
      </c>
      <c r="W71" s="145" t="s">
        <v>3930</v>
      </c>
      <c r="X71" s="146">
        <v>5.8831577562992955E-5</v>
      </c>
      <c r="Y71" s="146">
        <v>2.3790435742728221E-2</v>
      </c>
      <c r="Z71" s="147">
        <v>5.7175470996371049E-3</v>
      </c>
      <c r="AA71" s="180"/>
    </row>
    <row r="72" spans="1:27" ht="15" x14ac:dyDescent="0.2">
      <c r="A72" s="142" t="s">
        <v>1220</v>
      </c>
      <c r="B72" s="143" t="s">
        <v>1221</v>
      </c>
      <c r="C72" s="143" t="s">
        <v>1229</v>
      </c>
      <c r="D72" s="143" t="s">
        <v>1247</v>
      </c>
      <c r="E72" s="143" t="s">
        <v>1248</v>
      </c>
      <c r="F72" s="143" t="s">
        <v>943</v>
      </c>
      <c r="G72" s="143" t="s">
        <v>204</v>
      </c>
      <c r="H72" s="143" t="s">
        <v>204</v>
      </c>
      <c r="I72" s="143" t="s">
        <v>340</v>
      </c>
      <c r="J72" s="143" t="s">
        <v>1232</v>
      </c>
      <c r="K72" s="143" t="s">
        <v>312</v>
      </c>
      <c r="L72" s="143" t="s">
        <v>1210</v>
      </c>
      <c r="M72" s="144">
        <v>9.65</v>
      </c>
      <c r="N72" s="143" t="s">
        <v>1249</v>
      </c>
      <c r="O72" s="146">
        <v>4.011E-2</v>
      </c>
      <c r="P72" s="146">
        <v>2.1597000000000002E-2</v>
      </c>
      <c r="Q72" s="145" t="s">
        <v>3930</v>
      </c>
      <c r="R72" s="144">
        <v>701620</v>
      </c>
      <c r="S72" s="145" t="s">
        <v>3930</v>
      </c>
      <c r="T72" s="143" t="s">
        <v>1250</v>
      </c>
      <c r="U72" s="144">
        <v>1155.077</v>
      </c>
      <c r="V72" s="145" t="s">
        <v>3930</v>
      </c>
      <c r="W72" s="145" t="s">
        <v>3930</v>
      </c>
      <c r="X72" s="146">
        <v>4.4037575735284472E-5</v>
      </c>
      <c r="Y72" s="146">
        <v>1.5912995598823004E-2</v>
      </c>
      <c r="Z72" s="147">
        <v>3.8243646655525603E-3</v>
      </c>
      <c r="AA72" s="180"/>
    </row>
    <row r="73" spans="1:27" ht="15" x14ac:dyDescent="0.2">
      <c r="A73" s="142" t="s">
        <v>1220</v>
      </c>
      <c r="B73" s="143" t="s">
        <v>1221</v>
      </c>
      <c r="C73" s="143" t="s">
        <v>1229</v>
      </c>
      <c r="D73" s="143" t="s">
        <v>1243</v>
      </c>
      <c r="E73" s="143" t="s">
        <v>1244</v>
      </c>
      <c r="F73" s="143" t="s">
        <v>943</v>
      </c>
      <c r="G73" s="143" t="s">
        <v>204</v>
      </c>
      <c r="H73" s="143" t="s">
        <v>204</v>
      </c>
      <c r="I73" s="143" t="s">
        <v>340</v>
      </c>
      <c r="J73" s="143" t="s">
        <v>1232</v>
      </c>
      <c r="K73" s="143" t="s">
        <v>312</v>
      </c>
      <c r="L73" s="143" t="s">
        <v>1210</v>
      </c>
      <c r="M73" s="144">
        <v>2.64</v>
      </c>
      <c r="N73" s="143" t="s">
        <v>1245</v>
      </c>
      <c r="O73" s="146">
        <v>7.4999999999999997E-3</v>
      </c>
      <c r="P73" s="146">
        <v>1.6515999999999999E-2</v>
      </c>
      <c r="Q73" s="145" t="s">
        <v>3930</v>
      </c>
      <c r="R73" s="144">
        <v>1004541</v>
      </c>
      <c r="S73" s="145" t="s">
        <v>3930</v>
      </c>
      <c r="T73" s="143" t="s">
        <v>1246</v>
      </c>
      <c r="U73" s="144">
        <v>1147.6881000000001</v>
      </c>
      <c r="V73" s="145" t="s">
        <v>3930</v>
      </c>
      <c r="W73" s="145" t="s">
        <v>3930</v>
      </c>
      <c r="X73" s="146">
        <v>4.5065589741399124E-5</v>
      </c>
      <c r="Y73" s="146">
        <v>1.5811201737985312E-2</v>
      </c>
      <c r="Z73" s="147">
        <v>3.7999005825871479E-3</v>
      </c>
      <c r="AA73" s="180"/>
    </row>
    <row r="74" spans="1:27" ht="15" x14ac:dyDescent="0.2">
      <c r="A74" s="142" t="s">
        <v>1220</v>
      </c>
      <c r="B74" s="143" t="s">
        <v>1221</v>
      </c>
      <c r="C74" s="143" t="s">
        <v>1229</v>
      </c>
      <c r="D74" s="143" t="s">
        <v>1251</v>
      </c>
      <c r="E74" s="143" t="s">
        <v>1252</v>
      </c>
      <c r="F74" s="143" t="s">
        <v>943</v>
      </c>
      <c r="G74" s="143" t="s">
        <v>204</v>
      </c>
      <c r="H74" s="143" t="s">
        <v>204</v>
      </c>
      <c r="I74" s="143" t="s">
        <v>340</v>
      </c>
      <c r="J74" s="143" t="s">
        <v>1232</v>
      </c>
      <c r="K74" s="143" t="s">
        <v>312</v>
      </c>
      <c r="L74" s="143" t="s">
        <v>1210</v>
      </c>
      <c r="M74" s="144">
        <v>3.97</v>
      </c>
      <c r="N74" s="143" t="s">
        <v>1253</v>
      </c>
      <c r="O74" s="146">
        <v>1.0999999999999999E-2</v>
      </c>
      <c r="P74" s="146">
        <v>1.7901E-2</v>
      </c>
      <c r="Q74" s="145" t="s">
        <v>3930</v>
      </c>
      <c r="R74" s="144">
        <v>184058</v>
      </c>
      <c r="S74" s="145" t="s">
        <v>3930</v>
      </c>
      <c r="T74" s="143" t="s">
        <v>1254</v>
      </c>
      <c r="U74" s="144">
        <v>188.84350000000001</v>
      </c>
      <c r="V74" s="145" t="s">
        <v>3930</v>
      </c>
      <c r="W74" s="145" t="s">
        <v>3930</v>
      </c>
      <c r="X74" s="146">
        <v>9.0223987920069881E-6</v>
      </c>
      <c r="Y74" s="146">
        <v>2.6016152135836883E-3</v>
      </c>
      <c r="Z74" s="147">
        <v>6.2524527417888215E-4</v>
      </c>
      <c r="AA74" s="180"/>
    </row>
    <row r="75" spans="1:27" ht="15" x14ac:dyDescent="0.2">
      <c r="A75" s="142" t="s">
        <v>1220</v>
      </c>
      <c r="B75" s="143" t="s">
        <v>1221</v>
      </c>
      <c r="C75" s="143" t="s">
        <v>1229</v>
      </c>
      <c r="D75" s="143" t="s">
        <v>1255</v>
      </c>
      <c r="E75" s="143" t="s">
        <v>1256</v>
      </c>
      <c r="F75" s="143" t="s">
        <v>945</v>
      </c>
      <c r="G75" s="143" t="s">
        <v>204</v>
      </c>
      <c r="H75" s="143" t="s">
        <v>204</v>
      </c>
      <c r="I75" s="143" t="s">
        <v>340</v>
      </c>
      <c r="J75" s="143" t="s">
        <v>1232</v>
      </c>
      <c r="K75" s="143" t="s">
        <v>312</v>
      </c>
      <c r="L75" s="143" t="s">
        <v>1210</v>
      </c>
      <c r="M75" s="144">
        <v>11.26</v>
      </c>
      <c r="N75" s="143" t="s">
        <v>1257</v>
      </c>
      <c r="O75" s="146">
        <v>1.5041000000000001E-2</v>
      </c>
      <c r="P75" s="146">
        <v>5.0358E-2</v>
      </c>
      <c r="Q75" s="145" t="s">
        <v>3930</v>
      </c>
      <c r="R75" s="144">
        <v>12419168</v>
      </c>
      <c r="S75" s="145" t="s">
        <v>3930</v>
      </c>
      <c r="T75" s="143" t="s">
        <v>1258</v>
      </c>
      <c r="U75" s="144">
        <v>8435.0989000000009</v>
      </c>
      <c r="V75" s="145" t="s">
        <v>3930</v>
      </c>
      <c r="W75" s="145" t="s">
        <v>3930</v>
      </c>
      <c r="X75" s="146">
        <v>3.8714858651528493E-4</v>
      </c>
      <c r="Y75" s="146">
        <v>0.11620670402337621</v>
      </c>
      <c r="Z75" s="147">
        <v>2.7927916526301028E-2</v>
      </c>
      <c r="AA75" s="180"/>
    </row>
    <row r="76" spans="1:27" ht="15" x14ac:dyDescent="0.2">
      <c r="A76" s="142" t="s">
        <v>1220</v>
      </c>
      <c r="B76" s="143" t="s">
        <v>1221</v>
      </c>
      <c r="C76" s="143" t="s">
        <v>1229</v>
      </c>
      <c r="D76" s="143" t="s">
        <v>1259</v>
      </c>
      <c r="E76" s="143" t="s">
        <v>1260</v>
      </c>
      <c r="F76" s="143" t="s">
        <v>945</v>
      </c>
      <c r="G76" s="143" t="s">
        <v>204</v>
      </c>
      <c r="H76" s="143" t="s">
        <v>204</v>
      </c>
      <c r="I76" s="143" t="s">
        <v>340</v>
      </c>
      <c r="J76" s="143" t="s">
        <v>1232</v>
      </c>
      <c r="K76" s="143" t="s">
        <v>312</v>
      </c>
      <c r="L76" s="143" t="s">
        <v>1210</v>
      </c>
      <c r="M76" s="144">
        <v>7.17</v>
      </c>
      <c r="N76" s="143" t="s">
        <v>1261</v>
      </c>
      <c r="O76" s="146">
        <v>1.2999999999999999E-2</v>
      </c>
      <c r="P76" s="146">
        <v>4.7579000000000003E-2</v>
      </c>
      <c r="Q76" s="145" t="s">
        <v>3930</v>
      </c>
      <c r="R76" s="144">
        <v>8689982</v>
      </c>
      <c r="S76" s="145" t="s">
        <v>3930</v>
      </c>
      <c r="T76" s="143" t="s">
        <v>1262</v>
      </c>
      <c r="U76" s="144">
        <v>6863.3477999999996</v>
      </c>
      <c r="V76" s="145" t="s">
        <v>3930</v>
      </c>
      <c r="W76" s="145" t="s">
        <v>3930</v>
      </c>
      <c r="X76" s="146">
        <v>2.8963813589576176E-4</v>
      </c>
      <c r="Y76" s="146">
        <v>9.4553369607652316E-2</v>
      </c>
      <c r="Z76" s="147">
        <v>2.2723978240978264E-2</v>
      </c>
      <c r="AA76" s="180"/>
    </row>
    <row r="77" spans="1:27" ht="15" x14ac:dyDescent="0.2">
      <c r="A77" s="142" t="s">
        <v>1220</v>
      </c>
      <c r="B77" s="143" t="s">
        <v>1221</v>
      </c>
      <c r="C77" s="143" t="s">
        <v>1229</v>
      </c>
      <c r="D77" s="143" t="s">
        <v>1280</v>
      </c>
      <c r="E77" s="143" t="s">
        <v>1281</v>
      </c>
      <c r="F77" s="143" t="s">
        <v>945</v>
      </c>
      <c r="G77" s="143" t="s">
        <v>204</v>
      </c>
      <c r="H77" s="143" t="s">
        <v>204</v>
      </c>
      <c r="I77" s="143" t="s">
        <v>340</v>
      </c>
      <c r="J77" s="143" t="s">
        <v>1232</v>
      </c>
      <c r="K77" s="143" t="s">
        <v>312</v>
      </c>
      <c r="L77" s="143" t="s">
        <v>1210</v>
      </c>
      <c r="M77" s="144">
        <v>3.86</v>
      </c>
      <c r="N77" s="143" t="s">
        <v>1282</v>
      </c>
      <c r="O77" s="146">
        <v>2.2499999999999999E-2</v>
      </c>
      <c r="P77" s="146">
        <v>4.4954000000000001E-2</v>
      </c>
      <c r="Q77" s="145" t="s">
        <v>3930</v>
      </c>
      <c r="R77" s="144">
        <v>6723931</v>
      </c>
      <c r="S77" s="145" t="s">
        <v>3930</v>
      </c>
      <c r="T77" s="143" t="s">
        <v>1283</v>
      </c>
      <c r="U77" s="144">
        <v>6179.2925999999998</v>
      </c>
      <c r="V77" s="145" t="s">
        <v>3930</v>
      </c>
      <c r="W77" s="145" t="s">
        <v>3930</v>
      </c>
      <c r="X77" s="146">
        <v>2.0067530080511106E-4</v>
      </c>
      <c r="Y77" s="146">
        <v>8.5129437484964196E-2</v>
      </c>
      <c r="Z77" s="147">
        <v>2.0459127930629414E-2</v>
      </c>
      <c r="AA77" s="180"/>
    </row>
    <row r="78" spans="1:27" ht="15" x14ac:dyDescent="0.2">
      <c r="A78" s="142" t="s">
        <v>1220</v>
      </c>
      <c r="B78" s="143" t="s">
        <v>1221</v>
      </c>
      <c r="C78" s="143" t="s">
        <v>1229</v>
      </c>
      <c r="D78" s="143" t="s">
        <v>1267</v>
      </c>
      <c r="E78" s="143" t="s">
        <v>1268</v>
      </c>
      <c r="F78" s="143" t="s">
        <v>945</v>
      </c>
      <c r="G78" s="143" t="s">
        <v>204</v>
      </c>
      <c r="H78" s="143" t="s">
        <v>204</v>
      </c>
      <c r="I78" s="143" t="s">
        <v>340</v>
      </c>
      <c r="J78" s="143" t="s">
        <v>1232</v>
      </c>
      <c r="K78" s="143" t="s">
        <v>312</v>
      </c>
      <c r="L78" s="143" t="s">
        <v>1210</v>
      </c>
      <c r="M78" s="144">
        <v>0.5</v>
      </c>
      <c r="N78" s="143" t="s">
        <v>1269</v>
      </c>
      <c r="O78" s="143" t="s">
        <v>1270</v>
      </c>
      <c r="P78" s="146">
        <v>4.2811000000000002E-2</v>
      </c>
      <c r="Q78" s="145" t="s">
        <v>3930</v>
      </c>
      <c r="R78" s="144">
        <v>4683534</v>
      </c>
      <c r="S78" s="145" t="s">
        <v>3930</v>
      </c>
      <c r="T78" s="143" t="s">
        <v>1271</v>
      </c>
      <c r="U78" s="144">
        <v>4585.1797999999999</v>
      </c>
      <c r="V78" s="145" t="s">
        <v>3930</v>
      </c>
      <c r="W78" s="145" t="s">
        <v>3930</v>
      </c>
      <c r="X78" s="146">
        <v>3.9029450000000002E-4</v>
      </c>
      <c r="Y78" s="146">
        <v>6.3168035875895714E-2</v>
      </c>
      <c r="Z78" s="147">
        <v>1.5181151964498764E-2</v>
      </c>
      <c r="AA78" s="180"/>
    </row>
    <row r="79" spans="1:27" ht="15" x14ac:dyDescent="0.2">
      <c r="A79" s="142" t="s">
        <v>1220</v>
      </c>
      <c r="B79" s="143" t="s">
        <v>1221</v>
      </c>
      <c r="C79" s="143" t="s">
        <v>1229</v>
      </c>
      <c r="D79" s="143" t="s">
        <v>1263</v>
      </c>
      <c r="E79" s="143" t="s">
        <v>1264</v>
      </c>
      <c r="F79" s="143" t="s">
        <v>945</v>
      </c>
      <c r="G79" s="143" t="s">
        <v>204</v>
      </c>
      <c r="H79" s="143" t="s">
        <v>204</v>
      </c>
      <c r="I79" s="143" t="s">
        <v>340</v>
      </c>
      <c r="J79" s="143" t="s">
        <v>1232</v>
      </c>
      <c r="K79" s="143" t="s">
        <v>312</v>
      </c>
      <c r="L79" s="143" t="s">
        <v>1210</v>
      </c>
      <c r="M79" s="144">
        <v>11.32</v>
      </c>
      <c r="N79" s="143" t="s">
        <v>1265</v>
      </c>
      <c r="O79" s="146">
        <v>5.5E-2</v>
      </c>
      <c r="P79" s="146">
        <v>5.1729999999999998E-2</v>
      </c>
      <c r="Q79" s="145" t="s">
        <v>3930</v>
      </c>
      <c r="R79" s="144">
        <v>4269819.4400000004</v>
      </c>
      <c r="S79" s="145" t="s">
        <v>3930</v>
      </c>
      <c r="T79" s="143" t="s">
        <v>1266</v>
      </c>
      <c r="U79" s="144">
        <v>4583.2242000000006</v>
      </c>
      <c r="V79" s="145" t="s">
        <v>3930</v>
      </c>
      <c r="W79" s="145" t="s">
        <v>3930</v>
      </c>
      <c r="X79" s="146">
        <v>1.9318768872198276E-4</v>
      </c>
      <c r="Y79" s="146">
        <v>6.3141094434092812E-2</v>
      </c>
      <c r="Z79" s="147">
        <v>1.5174677137214976E-2</v>
      </c>
      <c r="AA79" s="180"/>
    </row>
    <row r="80" spans="1:27" ht="15" x14ac:dyDescent="0.2">
      <c r="A80" s="142" t="s">
        <v>1220</v>
      </c>
      <c r="B80" s="143" t="s">
        <v>1221</v>
      </c>
      <c r="C80" s="143" t="s">
        <v>1229</v>
      </c>
      <c r="D80" s="143" t="s">
        <v>1272</v>
      </c>
      <c r="E80" s="143" t="s">
        <v>1273</v>
      </c>
      <c r="F80" s="143" t="s">
        <v>945</v>
      </c>
      <c r="G80" s="143" t="s">
        <v>204</v>
      </c>
      <c r="H80" s="143" t="s">
        <v>204</v>
      </c>
      <c r="I80" s="143" t="s">
        <v>340</v>
      </c>
      <c r="J80" s="143" t="s">
        <v>1232</v>
      </c>
      <c r="K80" s="143" t="s">
        <v>312</v>
      </c>
      <c r="L80" s="143" t="s">
        <v>1210</v>
      </c>
      <c r="M80" s="144">
        <v>0.42</v>
      </c>
      <c r="N80" s="143" t="s">
        <v>1274</v>
      </c>
      <c r="O80" s="143" t="s">
        <v>1270</v>
      </c>
      <c r="P80" s="146">
        <v>4.3201000000000003E-2</v>
      </c>
      <c r="Q80" s="145" t="s">
        <v>3930</v>
      </c>
      <c r="R80" s="144">
        <v>4126009.32</v>
      </c>
      <c r="S80" s="145" t="s">
        <v>3930</v>
      </c>
      <c r="T80" s="143" t="s">
        <v>1275</v>
      </c>
      <c r="U80" s="144">
        <v>4052.5663999999997</v>
      </c>
      <c r="V80" s="145" t="s">
        <v>3930</v>
      </c>
      <c r="W80" s="145" t="s">
        <v>3930</v>
      </c>
      <c r="X80" s="146">
        <v>3.4383411E-4</v>
      </c>
      <c r="Y80" s="146">
        <v>5.5830451322130416E-2</v>
      </c>
      <c r="Z80" s="147">
        <v>1.3417712835539299E-2</v>
      </c>
      <c r="AA80" s="180"/>
    </row>
    <row r="81" spans="1:27" ht="15" x14ac:dyDescent="0.2">
      <c r="A81" s="142" t="s">
        <v>1220</v>
      </c>
      <c r="B81" s="143" t="s">
        <v>1221</v>
      </c>
      <c r="C81" s="143" t="s">
        <v>1229</v>
      </c>
      <c r="D81" s="143" t="s">
        <v>1276</v>
      </c>
      <c r="E81" s="143" t="s">
        <v>1277</v>
      </c>
      <c r="F81" s="143" t="s">
        <v>945</v>
      </c>
      <c r="G81" s="143" t="s">
        <v>204</v>
      </c>
      <c r="H81" s="143" t="s">
        <v>204</v>
      </c>
      <c r="I81" s="143" t="s">
        <v>340</v>
      </c>
      <c r="J81" s="143" t="s">
        <v>1232</v>
      </c>
      <c r="K81" s="143" t="s">
        <v>312</v>
      </c>
      <c r="L81" s="143" t="s">
        <v>1210</v>
      </c>
      <c r="M81" s="144">
        <v>0.35</v>
      </c>
      <c r="N81" s="143" t="s">
        <v>1278</v>
      </c>
      <c r="O81" s="143" t="s">
        <v>1270</v>
      </c>
      <c r="P81" s="146">
        <v>4.2567000000000001E-2</v>
      </c>
      <c r="Q81" s="145" t="s">
        <v>3930</v>
      </c>
      <c r="R81" s="144">
        <v>3609905</v>
      </c>
      <c r="S81" s="145" t="s">
        <v>3930</v>
      </c>
      <c r="T81" s="143" t="s">
        <v>1279</v>
      </c>
      <c r="U81" s="144">
        <v>3557.9223999999999</v>
      </c>
      <c r="V81" s="145" t="s">
        <v>3930</v>
      </c>
      <c r="W81" s="145" t="s">
        <v>3930</v>
      </c>
      <c r="X81" s="146">
        <v>3.0082541666666667E-4</v>
      </c>
      <c r="Y81" s="146">
        <v>4.901595537686422E-2</v>
      </c>
      <c r="Z81" s="147">
        <v>1.1779987408872629E-2</v>
      </c>
      <c r="AA81" s="180"/>
    </row>
    <row r="82" spans="1:27" ht="15" x14ac:dyDescent="0.2">
      <c r="A82" s="142" t="s">
        <v>1220</v>
      </c>
      <c r="B82" s="143" t="s">
        <v>1221</v>
      </c>
      <c r="C82" s="143" t="s">
        <v>1229</v>
      </c>
      <c r="D82" s="143" t="s">
        <v>1284</v>
      </c>
      <c r="E82" s="143" t="s">
        <v>1285</v>
      </c>
      <c r="F82" s="143" t="s">
        <v>945</v>
      </c>
      <c r="G82" s="143" t="s">
        <v>204</v>
      </c>
      <c r="H82" s="143" t="s">
        <v>204</v>
      </c>
      <c r="I82" s="143" t="s">
        <v>340</v>
      </c>
      <c r="J82" s="143" t="s">
        <v>1232</v>
      </c>
      <c r="K82" s="143" t="s">
        <v>312</v>
      </c>
      <c r="L82" s="143" t="s">
        <v>1210</v>
      </c>
      <c r="M82" s="144">
        <v>14.32</v>
      </c>
      <c r="N82" s="143" t="s">
        <v>1286</v>
      </c>
      <c r="O82" s="146">
        <v>3.7602999999999998E-2</v>
      </c>
      <c r="P82" s="146">
        <v>5.3239000000000002E-2</v>
      </c>
      <c r="Q82" s="145" t="s">
        <v>3930</v>
      </c>
      <c r="R82" s="144">
        <v>2586688</v>
      </c>
      <c r="S82" s="145" t="s">
        <v>3930</v>
      </c>
      <c r="T82" s="143" t="s">
        <v>1287</v>
      </c>
      <c r="U82" s="144">
        <v>2104.5293999999999</v>
      </c>
      <c r="V82" s="145" t="s">
        <v>3930</v>
      </c>
      <c r="W82" s="145" t="s">
        <v>3930</v>
      </c>
      <c r="X82" s="146">
        <v>9.855421995508288E-5</v>
      </c>
      <c r="Y82" s="146">
        <v>2.8993189387714478E-2</v>
      </c>
      <c r="Z82" s="147">
        <v>6.9679230631000694E-3</v>
      </c>
      <c r="AA82" s="180"/>
    </row>
    <row r="83" spans="1:27" ht="15" x14ac:dyDescent="0.2">
      <c r="A83" s="142" t="s">
        <v>1220</v>
      </c>
      <c r="B83" s="143" t="s">
        <v>1221</v>
      </c>
      <c r="C83" s="143" t="s">
        <v>1229</v>
      </c>
      <c r="D83" s="143" t="s">
        <v>1297</v>
      </c>
      <c r="E83" s="143" t="s">
        <v>1298</v>
      </c>
      <c r="F83" s="143" t="s">
        <v>945</v>
      </c>
      <c r="G83" s="143" t="s">
        <v>204</v>
      </c>
      <c r="H83" s="143" t="s">
        <v>204</v>
      </c>
      <c r="I83" s="143" t="s">
        <v>340</v>
      </c>
      <c r="J83" s="143" t="s">
        <v>1232</v>
      </c>
      <c r="K83" s="143" t="s">
        <v>312</v>
      </c>
      <c r="L83" s="143" t="s">
        <v>1210</v>
      </c>
      <c r="M83" s="144">
        <v>8.52</v>
      </c>
      <c r="N83" s="143" t="s">
        <v>1299</v>
      </c>
      <c r="O83" s="146">
        <v>0.04</v>
      </c>
      <c r="P83" s="146">
        <v>4.8728E-2</v>
      </c>
      <c r="Q83" s="145" t="s">
        <v>3930</v>
      </c>
      <c r="R83" s="144">
        <v>1891721</v>
      </c>
      <c r="S83" s="145" t="s">
        <v>3930</v>
      </c>
      <c r="T83" s="143" t="s">
        <v>1300</v>
      </c>
      <c r="U83" s="144">
        <v>1795.8107</v>
      </c>
      <c r="V83" s="145" t="s">
        <v>3930</v>
      </c>
      <c r="W83" s="145" t="s">
        <v>3930</v>
      </c>
      <c r="X83" s="146">
        <v>1.093207803164448E-4</v>
      </c>
      <c r="Y83" s="146">
        <v>2.4740106796202609E-2</v>
      </c>
      <c r="Z83" s="147">
        <v>5.9457812117029787E-3</v>
      </c>
      <c r="AA83" s="180"/>
    </row>
    <row r="84" spans="1:27" ht="15" x14ac:dyDescent="0.2">
      <c r="A84" s="142" t="s">
        <v>1220</v>
      </c>
      <c r="B84" s="143" t="s">
        <v>1221</v>
      </c>
      <c r="C84" s="143" t="s">
        <v>1292</v>
      </c>
      <c r="D84" s="143" t="s">
        <v>1293</v>
      </c>
      <c r="E84" s="143" t="s">
        <v>1294</v>
      </c>
      <c r="F84" s="143" t="s">
        <v>945</v>
      </c>
      <c r="G84" s="143" t="s">
        <v>204</v>
      </c>
      <c r="H84" s="143" t="s">
        <v>204</v>
      </c>
      <c r="I84" s="143" t="s">
        <v>340</v>
      </c>
      <c r="J84" s="143" t="s">
        <v>1232</v>
      </c>
      <c r="K84" s="143" t="s">
        <v>312</v>
      </c>
      <c r="L84" s="143" t="s">
        <v>1210</v>
      </c>
      <c r="M84" s="144">
        <v>5.33</v>
      </c>
      <c r="N84" s="143" t="s">
        <v>1295</v>
      </c>
      <c r="O84" s="146">
        <v>1.0026999999999999E-2</v>
      </c>
      <c r="P84" s="146">
        <v>4.5976999999999997E-2</v>
      </c>
      <c r="Q84" s="145" t="s">
        <v>3930</v>
      </c>
      <c r="R84" s="144">
        <v>2135547</v>
      </c>
      <c r="S84" s="145" t="s">
        <v>3930</v>
      </c>
      <c r="T84" s="143" t="s">
        <v>1296</v>
      </c>
      <c r="U84" s="144">
        <v>1777.6293000000001</v>
      </c>
      <c r="V84" s="145" t="s">
        <v>3930</v>
      </c>
      <c r="W84" s="145" t="s">
        <v>3930</v>
      </c>
      <c r="X84" s="146">
        <v>5.6562613980313095E-5</v>
      </c>
      <c r="Y84" s="146">
        <v>2.4489629213565282E-2</v>
      </c>
      <c r="Z84" s="147">
        <v>5.8855840218902658E-3</v>
      </c>
      <c r="AA84" s="180"/>
    </row>
    <row r="85" spans="1:27" ht="15" x14ac:dyDescent="0.2">
      <c r="A85" s="142" t="s">
        <v>1220</v>
      </c>
      <c r="B85" s="143" t="s">
        <v>1221</v>
      </c>
      <c r="C85" s="143" t="s">
        <v>1229</v>
      </c>
      <c r="D85" s="143" t="s">
        <v>1288</v>
      </c>
      <c r="E85" s="143" t="s">
        <v>1289</v>
      </c>
      <c r="F85" s="143" t="s">
        <v>945</v>
      </c>
      <c r="G85" s="143" t="s">
        <v>204</v>
      </c>
      <c r="H85" s="143" t="s">
        <v>204</v>
      </c>
      <c r="I85" s="143" t="s">
        <v>340</v>
      </c>
      <c r="J85" s="143" t="s">
        <v>1232</v>
      </c>
      <c r="K85" s="143" t="s">
        <v>312</v>
      </c>
      <c r="L85" s="143" t="s">
        <v>1210</v>
      </c>
      <c r="M85" s="144">
        <v>0.6</v>
      </c>
      <c r="N85" s="143" t="s">
        <v>1290</v>
      </c>
      <c r="O85" s="143" t="s">
        <v>1270</v>
      </c>
      <c r="P85" s="146">
        <v>4.2583999999999997E-2</v>
      </c>
      <c r="Q85" s="145" t="s">
        <v>3930</v>
      </c>
      <c r="R85" s="144">
        <v>1042681</v>
      </c>
      <c r="S85" s="145" t="s">
        <v>3930</v>
      </c>
      <c r="T85" s="143" t="s">
        <v>1291</v>
      </c>
      <c r="U85" s="144">
        <v>1016.8225</v>
      </c>
      <c r="V85" s="145" t="s">
        <v>3930</v>
      </c>
      <c r="W85" s="145" t="s">
        <v>3930</v>
      </c>
      <c r="X85" s="146">
        <v>7.447721428571428E-5</v>
      </c>
      <c r="Y85" s="146">
        <v>1.4008323307848581E-2</v>
      </c>
      <c r="Z85" s="147">
        <v>3.3666154401585436E-3</v>
      </c>
      <c r="AA85" s="180"/>
    </row>
    <row r="86" spans="1:27" ht="15" x14ac:dyDescent="0.2">
      <c r="A86" s="142" t="s">
        <v>1220</v>
      </c>
      <c r="B86" s="143" t="s">
        <v>1221</v>
      </c>
      <c r="C86" s="143" t="s">
        <v>1292</v>
      </c>
      <c r="D86" s="143" t="s">
        <v>1301</v>
      </c>
      <c r="E86" s="143" t="s">
        <v>1302</v>
      </c>
      <c r="F86" s="143" t="s">
        <v>945</v>
      </c>
      <c r="G86" s="143" t="s">
        <v>204</v>
      </c>
      <c r="H86" s="143" t="s">
        <v>204</v>
      </c>
      <c r="I86" s="143" t="s">
        <v>340</v>
      </c>
      <c r="J86" s="143" t="s">
        <v>1303</v>
      </c>
      <c r="K86" s="143" t="s">
        <v>413</v>
      </c>
      <c r="L86" s="143" t="s">
        <v>1210</v>
      </c>
      <c r="M86" s="144">
        <v>4.0599999999999996</v>
      </c>
      <c r="N86" s="143" t="s">
        <v>1304</v>
      </c>
      <c r="O86" s="146">
        <v>3.7284200000000003E-2</v>
      </c>
      <c r="P86" s="146">
        <v>4.5536E-2</v>
      </c>
      <c r="Q86" s="145" t="s">
        <v>3930</v>
      </c>
      <c r="R86" s="144">
        <v>851375</v>
      </c>
      <c r="S86" s="145" t="s">
        <v>3930</v>
      </c>
      <c r="T86" s="143" t="s">
        <v>1305</v>
      </c>
      <c r="U86" s="144">
        <v>843.03150000000005</v>
      </c>
      <c r="V86" s="145" t="s">
        <v>3930</v>
      </c>
      <c r="W86" s="145" t="s">
        <v>3930</v>
      </c>
      <c r="X86" s="146">
        <v>2.5825654242576748E-5</v>
      </c>
      <c r="Y86" s="146">
        <v>1.1614080167217914E-2</v>
      </c>
      <c r="Z86" s="147">
        <v>2.7912078237291912E-3</v>
      </c>
      <c r="AA86" s="180"/>
    </row>
    <row r="87" spans="1:27" ht="15" x14ac:dyDescent="0.2">
      <c r="A87" s="142" t="s">
        <v>1220</v>
      </c>
      <c r="B87" s="143" t="s">
        <v>1221</v>
      </c>
      <c r="C87" s="143" t="s">
        <v>1229</v>
      </c>
      <c r="D87" s="143" t="s">
        <v>1310</v>
      </c>
      <c r="E87" s="143" t="s">
        <v>1311</v>
      </c>
      <c r="F87" s="143" t="s">
        <v>945</v>
      </c>
      <c r="G87" s="143" t="s">
        <v>204</v>
      </c>
      <c r="H87" s="143" t="s">
        <v>204</v>
      </c>
      <c r="I87" s="143" t="s">
        <v>340</v>
      </c>
      <c r="J87" s="143" t="s">
        <v>1232</v>
      </c>
      <c r="K87" s="143" t="s">
        <v>312</v>
      </c>
      <c r="L87" s="143" t="s">
        <v>1210</v>
      </c>
      <c r="M87" s="144">
        <v>16.71</v>
      </c>
      <c r="N87" s="143" t="s">
        <v>1312</v>
      </c>
      <c r="O87" s="146">
        <v>2.8000000000000001E-2</v>
      </c>
      <c r="P87" s="146">
        <v>5.4316000000000003E-2</v>
      </c>
      <c r="Q87" s="145" t="s">
        <v>3930</v>
      </c>
      <c r="R87" s="144">
        <v>697512</v>
      </c>
      <c r="S87" s="145" t="s">
        <v>3930</v>
      </c>
      <c r="T87" s="143" t="s">
        <v>1313</v>
      </c>
      <c r="U87" s="144">
        <v>451.2903</v>
      </c>
      <c r="V87" s="145" t="s">
        <v>3930</v>
      </c>
      <c r="W87" s="145" t="s">
        <v>3930</v>
      </c>
      <c r="X87" s="146">
        <v>3.9289208209055773E-5</v>
      </c>
      <c r="Y87" s="146">
        <v>6.2172304941750973E-3</v>
      </c>
      <c r="Z87" s="147">
        <v>1.4941848297424134E-3</v>
      </c>
      <c r="AA87" s="180"/>
    </row>
    <row r="88" spans="1:27" ht="15" x14ac:dyDescent="0.2">
      <c r="A88" s="142" t="s">
        <v>1220</v>
      </c>
      <c r="B88" s="143" t="s">
        <v>1221</v>
      </c>
      <c r="C88" s="143" t="s">
        <v>1229</v>
      </c>
      <c r="D88" s="143" t="s">
        <v>1306</v>
      </c>
      <c r="E88" s="143" t="s">
        <v>1307</v>
      </c>
      <c r="F88" s="143" t="s">
        <v>945</v>
      </c>
      <c r="G88" s="143" t="s">
        <v>204</v>
      </c>
      <c r="H88" s="143" t="s">
        <v>204</v>
      </c>
      <c r="I88" s="143" t="s">
        <v>340</v>
      </c>
      <c r="J88" s="143" t="s">
        <v>1232</v>
      </c>
      <c r="K88" s="143" t="s">
        <v>314</v>
      </c>
      <c r="L88" s="143" t="s">
        <v>1210</v>
      </c>
      <c r="M88" s="144">
        <v>0.67</v>
      </c>
      <c r="N88" s="143" t="s">
        <v>1308</v>
      </c>
      <c r="O88" s="143" t="s">
        <v>1270</v>
      </c>
      <c r="P88" s="146">
        <v>4.2719E-2</v>
      </c>
      <c r="Q88" s="145" t="s">
        <v>3930</v>
      </c>
      <c r="R88" s="144">
        <v>240000</v>
      </c>
      <c r="S88" s="145" t="s">
        <v>3930</v>
      </c>
      <c r="T88" s="143" t="s">
        <v>1309</v>
      </c>
      <c r="U88" s="144">
        <v>233.328</v>
      </c>
      <c r="V88" s="145" t="s">
        <v>3930</v>
      </c>
      <c r="W88" s="145" t="s">
        <v>3930</v>
      </c>
      <c r="X88" s="146">
        <v>2.0000000000000002E-5</v>
      </c>
      <c r="Y88" s="146">
        <v>3.2144587917475819E-3</v>
      </c>
      <c r="Z88" s="147">
        <v>7.725297569329744E-4</v>
      </c>
      <c r="AA88" s="180"/>
    </row>
    <row r="89" spans="1:27" ht="15" x14ac:dyDescent="0.2">
      <c r="A89" s="142" t="s">
        <v>1220</v>
      </c>
      <c r="B89" s="143" t="s">
        <v>1221</v>
      </c>
      <c r="C89" s="143" t="s">
        <v>1314</v>
      </c>
      <c r="D89" s="143" t="s">
        <v>1315</v>
      </c>
      <c r="E89" s="143" t="s">
        <v>1316</v>
      </c>
      <c r="F89" s="143" t="s">
        <v>947</v>
      </c>
      <c r="G89" s="143" t="s">
        <v>205</v>
      </c>
      <c r="H89" s="143" t="s">
        <v>224</v>
      </c>
      <c r="I89" s="143" t="s">
        <v>344</v>
      </c>
      <c r="J89" s="143" t="s">
        <v>1317</v>
      </c>
      <c r="K89" s="143" t="s">
        <v>423</v>
      </c>
      <c r="L89" s="143" t="s">
        <v>1211</v>
      </c>
      <c r="M89" s="144">
        <v>7.5</v>
      </c>
      <c r="N89" s="143" t="s">
        <v>1318</v>
      </c>
      <c r="O89" s="146">
        <v>3.875E-2</v>
      </c>
      <c r="P89" s="146">
        <v>3.848E-2</v>
      </c>
      <c r="Q89" s="145" t="s">
        <v>3930</v>
      </c>
      <c r="R89" s="144">
        <v>509000</v>
      </c>
      <c r="S89" s="143" t="s">
        <v>1212</v>
      </c>
      <c r="T89" s="143" t="s">
        <v>1319</v>
      </c>
      <c r="U89" s="144">
        <v>1914.2636</v>
      </c>
      <c r="V89" s="145" t="s">
        <v>3930</v>
      </c>
      <c r="W89" s="145" t="s">
        <v>3930</v>
      </c>
      <c r="X89" s="146">
        <v>1.3394736842105263E-5</v>
      </c>
      <c r="Y89" s="146">
        <v>2.6371979994521785E-2</v>
      </c>
      <c r="Z89" s="147">
        <v>6.3379687265902266E-3</v>
      </c>
      <c r="AA89" s="180"/>
    </row>
    <row r="90" spans="1:27" ht="15" x14ac:dyDescent="0.2">
      <c r="A90" s="142" t="s">
        <v>1220</v>
      </c>
      <c r="B90" s="143" t="s">
        <v>1221</v>
      </c>
      <c r="C90" s="143" t="s">
        <v>1314</v>
      </c>
      <c r="D90" s="143" t="s">
        <v>1320</v>
      </c>
      <c r="E90" s="143" t="s">
        <v>1321</v>
      </c>
      <c r="F90" s="143" t="s">
        <v>947</v>
      </c>
      <c r="G90" s="143" t="s">
        <v>205</v>
      </c>
      <c r="H90" s="143" t="s">
        <v>224</v>
      </c>
      <c r="I90" s="143" t="s">
        <v>344</v>
      </c>
      <c r="J90" s="143" t="s">
        <v>1317</v>
      </c>
      <c r="K90" s="143" t="s">
        <v>433</v>
      </c>
      <c r="L90" s="143" t="s">
        <v>1211</v>
      </c>
      <c r="M90" s="144">
        <v>8.1869999999999994</v>
      </c>
      <c r="N90" s="143" t="s">
        <v>1322</v>
      </c>
      <c r="O90" s="146">
        <v>3.875E-2</v>
      </c>
      <c r="P90" s="146">
        <v>3.8620000000000002E-2</v>
      </c>
      <c r="Q90" s="145" t="s">
        <v>3930</v>
      </c>
      <c r="R90" s="144">
        <v>392000</v>
      </c>
      <c r="S90" s="143" t="s">
        <v>1212</v>
      </c>
      <c r="T90" s="143" t="s">
        <v>1323</v>
      </c>
      <c r="U90" s="144">
        <v>1472.5778</v>
      </c>
      <c r="V90" s="145" t="s">
        <v>3930</v>
      </c>
      <c r="W90" s="145" t="s">
        <v>3930</v>
      </c>
      <c r="X90" s="146">
        <v>7.8420389301218322E-6</v>
      </c>
      <c r="Y90" s="146">
        <v>2.0287066704212126E-2</v>
      </c>
      <c r="Z90" s="147">
        <v>4.8755836441653532E-3</v>
      </c>
      <c r="AA90" s="180"/>
    </row>
    <row r="91" spans="1:27" ht="15" x14ac:dyDescent="0.2">
      <c r="A91" s="142" t="s">
        <v>1220</v>
      </c>
      <c r="B91" s="143" t="s">
        <v>1221</v>
      </c>
      <c r="C91" s="143" t="s">
        <v>1314</v>
      </c>
      <c r="D91" s="143" t="s">
        <v>1324</v>
      </c>
      <c r="E91" s="143" t="s">
        <v>1325</v>
      </c>
      <c r="F91" s="143" t="s">
        <v>947</v>
      </c>
      <c r="G91" s="143" t="s">
        <v>205</v>
      </c>
      <c r="H91" s="143" t="s">
        <v>224</v>
      </c>
      <c r="I91" s="143" t="s">
        <v>344</v>
      </c>
      <c r="J91" s="143" t="s">
        <v>1317</v>
      </c>
      <c r="K91" s="143" t="s">
        <v>423</v>
      </c>
      <c r="L91" s="143" t="s">
        <v>1211</v>
      </c>
      <c r="M91" s="144">
        <v>7.8140000000000001</v>
      </c>
      <c r="N91" s="143" t="s">
        <v>1326</v>
      </c>
      <c r="O91" s="146">
        <v>0.04</v>
      </c>
      <c r="P91" s="146">
        <v>3.8649999999999997E-2</v>
      </c>
      <c r="Q91" s="145" t="s">
        <v>3930</v>
      </c>
      <c r="R91" s="144">
        <v>222000</v>
      </c>
      <c r="S91" s="143" t="s">
        <v>1212</v>
      </c>
      <c r="T91" s="143" t="s">
        <v>1327</v>
      </c>
      <c r="U91" s="144">
        <v>842.50030000000004</v>
      </c>
      <c r="V91" s="145" t="s">
        <v>3930</v>
      </c>
      <c r="W91" s="145" t="s">
        <v>3930</v>
      </c>
      <c r="X91" s="146">
        <v>5.285714285714286E-6</v>
      </c>
      <c r="Y91" s="146">
        <v>1.1606762326397966E-2</v>
      </c>
      <c r="Z91" s="147">
        <v>2.7894491296048731E-3</v>
      </c>
      <c r="AA91" s="180"/>
    </row>
    <row r="92" spans="1:27" ht="15" x14ac:dyDescent="0.2">
      <c r="A92" s="142" t="s">
        <v>1220</v>
      </c>
      <c r="B92" s="143" t="s">
        <v>1222</v>
      </c>
      <c r="C92" s="143" t="s">
        <v>1229</v>
      </c>
      <c r="D92" s="143" t="s">
        <v>1230</v>
      </c>
      <c r="E92" s="143" t="s">
        <v>1231</v>
      </c>
      <c r="F92" s="143" t="s">
        <v>943</v>
      </c>
      <c r="G92" s="143" t="s">
        <v>204</v>
      </c>
      <c r="H92" s="143" t="s">
        <v>204</v>
      </c>
      <c r="I92" s="143" t="s">
        <v>340</v>
      </c>
      <c r="J92" s="143" t="s">
        <v>1232</v>
      </c>
      <c r="K92" s="143" t="s">
        <v>312</v>
      </c>
      <c r="L92" s="143" t="s">
        <v>1210</v>
      </c>
      <c r="M92" s="144">
        <v>1.07</v>
      </c>
      <c r="N92" s="143" t="s">
        <v>1233</v>
      </c>
      <c r="O92" s="146">
        <v>7.5209999999999999E-3</v>
      </c>
      <c r="P92" s="146">
        <v>1.2971E-2</v>
      </c>
      <c r="Q92" s="145" t="s">
        <v>3930</v>
      </c>
      <c r="R92" s="144">
        <v>832088</v>
      </c>
      <c r="S92" s="145" t="s">
        <v>3930</v>
      </c>
      <c r="T92" s="143" t="s">
        <v>1234</v>
      </c>
      <c r="U92" s="144">
        <v>965.38850000000002</v>
      </c>
      <c r="V92" s="145" t="s">
        <v>3930</v>
      </c>
      <c r="W92" s="145" t="s">
        <v>3930</v>
      </c>
      <c r="X92" s="146">
        <v>3.8340249490038298E-5</v>
      </c>
      <c r="Y92" s="146">
        <v>0.21843567100988015</v>
      </c>
      <c r="Z92" s="147">
        <v>0.12141270499871643</v>
      </c>
      <c r="AA92" s="180"/>
    </row>
    <row r="93" spans="1:27" ht="15" x14ac:dyDescent="0.2">
      <c r="A93" s="142" t="s">
        <v>1220</v>
      </c>
      <c r="B93" s="143" t="s">
        <v>1222</v>
      </c>
      <c r="C93" s="143" t="s">
        <v>1229</v>
      </c>
      <c r="D93" s="143" t="s">
        <v>1235</v>
      </c>
      <c r="E93" s="143" t="s">
        <v>1236</v>
      </c>
      <c r="F93" s="143" t="s">
        <v>943</v>
      </c>
      <c r="G93" s="143" t="s">
        <v>204</v>
      </c>
      <c r="H93" s="143" t="s">
        <v>204</v>
      </c>
      <c r="I93" s="143" t="s">
        <v>340</v>
      </c>
      <c r="J93" s="143" t="s">
        <v>1232</v>
      </c>
      <c r="K93" s="143" t="s">
        <v>312</v>
      </c>
      <c r="L93" s="143" t="s">
        <v>1210</v>
      </c>
      <c r="M93" s="144">
        <v>7.14</v>
      </c>
      <c r="N93" s="143" t="s">
        <v>1237</v>
      </c>
      <c r="O93" s="146">
        <v>1E-3</v>
      </c>
      <c r="P93" s="146">
        <v>1.9893000000000001E-2</v>
      </c>
      <c r="Q93" s="145" t="s">
        <v>3930</v>
      </c>
      <c r="R93" s="144">
        <v>420588</v>
      </c>
      <c r="S93" s="145" t="s">
        <v>3930</v>
      </c>
      <c r="T93" s="143" t="s">
        <v>1238</v>
      </c>
      <c r="U93" s="144">
        <v>425.21449999999999</v>
      </c>
      <c r="V93" s="145" t="s">
        <v>3930</v>
      </c>
      <c r="W93" s="145" t="s">
        <v>3930</v>
      </c>
      <c r="X93" s="146">
        <v>1.3698115279670668E-5</v>
      </c>
      <c r="Y93" s="146">
        <v>9.6212051284636321E-2</v>
      </c>
      <c r="Z93" s="147">
        <v>5.3477370916284829E-2</v>
      </c>
      <c r="AA93" s="180"/>
    </row>
    <row r="94" spans="1:27" ht="15" x14ac:dyDescent="0.2">
      <c r="A94" s="142" t="s">
        <v>1220</v>
      </c>
      <c r="B94" s="143" t="s">
        <v>1222</v>
      </c>
      <c r="C94" s="143" t="s">
        <v>1229</v>
      </c>
      <c r="D94" s="143" t="s">
        <v>1247</v>
      </c>
      <c r="E94" s="143" t="s">
        <v>1248</v>
      </c>
      <c r="F94" s="143" t="s">
        <v>943</v>
      </c>
      <c r="G94" s="143" t="s">
        <v>204</v>
      </c>
      <c r="H94" s="143" t="s">
        <v>204</v>
      </c>
      <c r="I94" s="143" t="s">
        <v>340</v>
      </c>
      <c r="J94" s="143" t="s">
        <v>1232</v>
      </c>
      <c r="K94" s="143" t="s">
        <v>312</v>
      </c>
      <c r="L94" s="143" t="s">
        <v>1210</v>
      </c>
      <c r="M94" s="144">
        <v>9.65</v>
      </c>
      <c r="N94" s="143" t="s">
        <v>1249</v>
      </c>
      <c r="O94" s="146">
        <v>4.011E-2</v>
      </c>
      <c r="P94" s="146">
        <v>2.1597000000000002E-2</v>
      </c>
      <c r="Q94" s="145" t="s">
        <v>3930</v>
      </c>
      <c r="R94" s="144">
        <v>197066</v>
      </c>
      <c r="S94" s="145" t="s">
        <v>3930</v>
      </c>
      <c r="T94" s="143" t="s">
        <v>1250</v>
      </c>
      <c r="U94" s="144">
        <v>324.4298</v>
      </c>
      <c r="V94" s="145" t="s">
        <v>3930</v>
      </c>
      <c r="W94" s="145" t="s">
        <v>3930</v>
      </c>
      <c r="X94" s="146">
        <v>1.2368958837903096E-5</v>
      </c>
      <c r="Y94" s="146">
        <v>7.3407785135127704E-2</v>
      </c>
      <c r="Z94" s="147">
        <v>4.0802116797202463E-2</v>
      </c>
      <c r="AA94" s="180"/>
    </row>
    <row r="95" spans="1:27" ht="15" x14ac:dyDescent="0.2">
      <c r="A95" s="142" t="s">
        <v>1220</v>
      </c>
      <c r="B95" s="143" t="s">
        <v>1222</v>
      </c>
      <c r="C95" s="143" t="s">
        <v>1229</v>
      </c>
      <c r="D95" s="143" t="s">
        <v>1251</v>
      </c>
      <c r="E95" s="143" t="s">
        <v>1252</v>
      </c>
      <c r="F95" s="143" t="s">
        <v>943</v>
      </c>
      <c r="G95" s="143" t="s">
        <v>204</v>
      </c>
      <c r="H95" s="143" t="s">
        <v>204</v>
      </c>
      <c r="I95" s="143" t="s">
        <v>340</v>
      </c>
      <c r="J95" s="143" t="s">
        <v>1232</v>
      </c>
      <c r="K95" s="143" t="s">
        <v>312</v>
      </c>
      <c r="L95" s="143" t="s">
        <v>1210</v>
      </c>
      <c r="M95" s="144">
        <v>3.97</v>
      </c>
      <c r="N95" s="143" t="s">
        <v>1253</v>
      </c>
      <c r="O95" s="146">
        <v>1.0999999999999999E-2</v>
      </c>
      <c r="P95" s="146">
        <v>1.7901E-2</v>
      </c>
      <c r="Q95" s="145" t="s">
        <v>3930</v>
      </c>
      <c r="R95" s="144">
        <v>35418</v>
      </c>
      <c r="S95" s="145" t="s">
        <v>3930</v>
      </c>
      <c r="T95" s="143" t="s">
        <v>1254</v>
      </c>
      <c r="U95" s="144">
        <v>36.338900000000002</v>
      </c>
      <c r="V95" s="145" t="s">
        <v>3930</v>
      </c>
      <c r="W95" s="145" t="s">
        <v>3930</v>
      </c>
      <c r="X95" s="146">
        <v>1.7361664280569358E-6</v>
      </c>
      <c r="Y95" s="146">
        <v>8.2222908549801025E-3</v>
      </c>
      <c r="Z95" s="147">
        <v>4.5701810943881462E-3</v>
      </c>
      <c r="AA95" s="180"/>
    </row>
    <row r="96" spans="1:27" ht="15" x14ac:dyDescent="0.2">
      <c r="A96" s="142" t="s">
        <v>1220</v>
      </c>
      <c r="B96" s="143" t="s">
        <v>1222</v>
      </c>
      <c r="C96" s="143" t="s">
        <v>1229</v>
      </c>
      <c r="D96" s="143" t="s">
        <v>1239</v>
      </c>
      <c r="E96" s="143" t="s">
        <v>1240</v>
      </c>
      <c r="F96" s="143" t="s">
        <v>943</v>
      </c>
      <c r="G96" s="143" t="s">
        <v>204</v>
      </c>
      <c r="H96" s="143" t="s">
        <v>204</v>
      </c>
      <c r="I96" s="143" t="s">
        <v>340</v>
      </c>
      <c r="J96" s="143" t="s">
        <v>1232</v>
      </c>
      <c r="K96" s="143" t="s">
        <v>312</v>
      </c>
      <c r="L96" s="143" t="s">
        <v>1210</v>
      </c>
      <c r="M96" s="144">
        <v>4.6100000000000003</v>
      </c>
      <c r="N96" s="143" t="s">
        <v>1241</v>
      </c>
      <c r="O96" s="146">
        <v>5.0000000000000001E-3</v>
      </c>
      <c r="P96" s="146">
        <v>1.8189E-2</v>
      </c>
      <c r="Q96" s="145" t="s">
        <v>3930</v>
      </c>
      <c r="R96" s="144">
        <v>29403</v>
      </c>
      <c r="S96" s="145" t="s">
        <v>3930</v>
      </c>
      <c r="T96" s="143" t="s">
        <v>1242</v>
      </c>
      <c r="U96" s="144">
        <v>32.005200000000002</v>
      </c>
      <c r="V96" s="145" t="s">
        <v>3930</v>
      </c>
      <c r="W96" s="145" t="s">
        <v>3930</v>
      </c>
      <c r="X96" s="146">
        <v>1.0903581622419793E-6</v>
      </c>
      <c r="Y96" s="146">
        <v>7.2417164894287489E-3</v>
      </c>
      <c r="Z96" s="147">
        <v>4.0251502135637178E-3</v>
      </c>
      <c r="AA96" s="180"/>
    </row>
    <row r="97" spans="1:27" ht="15" x14ac:dyDescent="0.2">
      <c r="A97" s="142" t="s">
        <v>1220</v>
      </c>
      <c r="B97" s="143" t="s">
        <v>1222</v>
      </c>
      <c r="C97" s="143" t="s">
        <v>1229</v>
      </c>
      <c r="D97" s="143" t="s">
        <v>1243</v>
      </c>
      <c r="E97" s="143" t="s">
        <v>1244</v>
      </c>
      <c r="F97" s="143" t="s">
        <v>943</v>
      </c>
      <c r="G97" s="143" t="s">
        <v>204</v>
      </c>
      <c r="H97" s="143" t="s">
        <v>204</v>
      </c>
      <c r="I97" s="143" t="s">
        <v>340</v>
      </c>
      <c r="J97" s="143" t="s">
        <v>1232</v>
      </c>
      <c r="K97" s="143" t="s">
        <v>312</v>
      </c>
      <c r="L97" s="143" t="s">
        <v>1210</v>
      </c>
      <c r="M97" s="144">
        <v>2.64</v>
      </c>
      <c r="N97" s="143" t="s">
        <v>1245</v>
      </c>
      <c r="O97" s="146">
        <v>7.4999999999999997E-3</v>
      </c>
      <c r="P97" s="146">
        <v>1.6515999999999999E-2</v>
      </c>
      <c r="Q97" s="145" t="s">
        <v>3930</v>
      </c>
      <c r="R97" s="144">
        <v>27960</v>
      </c>
      <c r="S97" s="145" t="s">
        <v>3930</v>
      </c>
      <c r="T97" s="143" t="s">
        <v>1246</v>
      </c>
      <c r="U97" s="144">
        <v>31.944299999999998</v>
      </c>
      <c r="V97" s="145" t="s">
        <v>3930</v>
      </c>
      <c r="W97" s="145" t="s">
        <v>3930</v>
      </c>
      <c r="X97" s="146">
        <v>1.2543379405813397E-6</v>
      </c>
      <c r="Y97" s="146">
        <v>7.2279446282900424E-3</v>
      </c>
      <c r="Z97" s="147">
        <v>4.0174954248289535E-3</v>
      </c>
      <c r="AA97" s="180"/>
    </row>
    <row r="98" spans="1:27" ht="15" x14ac:dyDescent="0.2">
      <c r="A98" s="142" t="s">
        <v>1220</v>
      </c>
      <c r="B98" s="143" t="s">
        <v>1222</v>
      </c>
      <c r="C98" s="143" t="s">
        <v>1229</v>
      </c>
      <c r="D98" s="143" t="s">
        <v>1255</v>
      </c>
      <c r="E98" s="143" t="s">
        <v>1256</v>
      </c>
      <c r="F98" s="143" t="s">
        <v>945</v>
      </c>
      <c r="G98" s="143" t="s">
        <v>204</v>
      </c>
      <c r="H98" s="143" t="s">
        <v>204</v>
      </c>
      <c r="I98" s="143" t="s">
        <v>340</v>
      </c>
      <c r="J98" s="143" t="s">
        <v>1232</v>
      </c>
      <c r="K98" s="143" t="s">
        <v>312</v>
      </c>
      <c r="L98" s="143" t="s">
        <v>1210</v>
      </c>
      <c r="M98" s="144">
        <v>11.26</v>
      </c>
      <c r="N98" s="143" t="s">
        <v>1257</v>
      </c>
      <c r="O98" s="146">
        <v>1.5041000000000001E-2</v>
      </c>
      <c r="P98" s="146">
        <v>5.0358E-2</v>
      </c>
      <c r="Q98" s="145" t="s">
        <v>3930</v>
      </c>
      <c r="R98" s="144">
        <v>728435</v>
      </c>
      <c r="S98" s="145" t="s">
        <v>3930</v>
      </c>
      <c r="T98" s="143" t="s">
        <v>1258</v>
      </c>
      <c r="U98" s="144">
        <v>494.75309999999996</v>
      </c>
      <c r="V98" s="145" t="s">
        <v>3930</v>
      </c>
      <c r="W98" s="145" t="s">
        <v>3930</v>
      </c>
      <c r="X98" s="146">
        <v>2.2707848111746422E-5</v>
      </c>
      <c r="Y98" s="146">
        <v>0.11194634612539651</v>
      </c>
      <c r="Z98" s="147">
        <v>6.2222935635783579E-2</v>
      </c>
      <c r="AA98" s="180"/>
    </row>
    <row r="99" spans="1:27" ht="15" x14ac:dyDescent="0.2">
      <c r="A99" s="142" t="s">
        <v>1220</v>
      </c>
      <c r="B99" s="143" t="s">
        <v>1222</v>
      </c>
      <c r="C99" s="143" t="s">
        <v>1229</v>
      </c>
      <c r="D99" s="143" t="s">
        <v>1284</v>
      </c>
      <c r="E99" s="143" t="s">
        <v>1285</v>
      </c>
      <c r="F99" s="143" t="s">
        <v>945</v>
      </c>
      <c r="G99" s="143" t="s">
        <v>204</v>
      </c>
      <c r="H99" s="143" t="s">
        <v>204</v>
      </c>
      <c r="I99" s="143" t="s">
        <v>340</v>
      </c>
      <c r="J99" s="143" t="s">
        <v>1232</v>
      </c>
      <c r="K99" s="143" t="s">
        <v>312</v>
      </c>
      <c r="L99" s="143" t="s">
        <v>1210</v>
      </c>
      <c r="M99" s="144">
        <v>14.32</v>
      </c>
      <c r="N99" s="143" t="s">
        <v>1286</v>
      </c>
      <c r="O99" s="146">
        <v>3.7602999999999998E-2</v>
      </c>
      <c r="P99" s="146">
        <v>5.3239000000000002E-2</v>
      </c>
      <c r="Q99" s="145" t="s">
        <v>3930</v>
      </c>
      <c r="R99" s="144">
        <v>439828</v>
      </c>
      <c r="S99" s="145" t="s">
        <v>3930</v>
      </c>
      <c r="T99" s="143" t="s">
        <v>1287</v>
      </c>
      <c r="U99" s="144">
        <v>357.84409999999997</v>
      </c>
      <c r="V99" s="145" t="s">
        <v>3930</v>
      </c>
      <c r="W99" s="145" t="s">
        <v>3930</v>
      </c>
      <c r="X99" s="146">
        <v>1.6757686065889736E-5</v>
      </c>
      <c r="Y99" s="146">
        <v>8.0968343555027189E-2</v>
      </c>
      <c r="Z99" s="147">
        <v>4.5004488345846173E-2</v>
      </c>
      <c r="AA99" s="180"/>
    </row>
    <row r="100" spans="1:27" ht="15" x14ac:dyDescent="0.2">
      <c r="A100" s="142" t="s">
        <v>1220</v>
      </c>
      <c r="B100" s="143" t="s">
        <v>1222</v>
      </c>
      <c r="C100" s="143" t="s">
        <v>1229</v>
      </c>
      <c r="D100" s="143" t="s">
        <v>1340</v>
      </c>
      <c r="E100" s="143" t="s">
        <v>1341</v>
      </c>
      <c r="F100" s="143" t="s">
        <v>945</v>
      </c>
      <c r="G100" s="143" t="s">
        <v>204</v>
      </c>
      <c r="H100" s="143" t="s">
        <v>204</v>
      </c>
      <c r="I100" s="143" t="s">
        <v>340</v>
      </c>
      <c r="J100" s="143" t="s">
        <v>1232</v>
      </c>
      <c r="K100" s="143" t="s">
        <v>312</v>
      </c>
      <c r="L100" s="143" t="s">
        <v>1210</v>
      </c>
      <c r="M100" s="144">
        <v>2.44</v>
      </c>
      <c r="N100" s="143" t="s">
        <v>1342</v>
      </c>
      <c r="O100" s="146">
        <v>2.0055E-2</v>
      </c>
      <c r="P100" s="146">
        <v>4.3994999999999999E-2</v>
      </c>
      <c r="Q100" s="145" t="s">
        <v>3930</v>
      </c>
      <c r="R100" s="144">
        <v>297882</v>
      </c>
      <c r="S100" s="145" t="s">
        <v>3930</v>
      </c>
      <c r="T100" s="143" t="s">
        <v>1343</v>
      </c>
      <c r="U100" s="144">
        <v>284.29859999999996</v>
      </c>
      <c r="V100" s="145" t="s">
        <v>3930</v>
      </c>
      <c r="W100" s="145" t="s">
        <v>3930</v>
      </c>
      <c r="X100" s="146">
        <v>1.1526538480599313E-5</v>
      </c>
      <c r="Y100" s="146">
        <v>6.4327419912905984E-2</v>
      </c>
      <c r="Z100" s="147">
        <v>3.5754993775082393E-2</v>
      </c>
      <c r="AA100" s="180"/>
    </row>
    <row r="101" spans="1:27" ht="15" x14ac:dyDescent="0.2">
      <c r="A101" s="142" t="s">
        <v>1220</v>
      </c>
      <c r="B101" s="143" t="s">
        <v>1222</v>
      </c>
      <c r="C101" s="143" t="s">
        <v>1229</v>
      </c>
      <c r="D101" s="143" t="s">
        <v>1267</v>
      </c>
      <c r="E101" s="143" t="s">
        <v>1268</v>
      </c>
      <c r="F101" s="143" t="s">
        <v>945</v>
      </c>
      <c r="G101" s="143" t="s">
        <v>204</v>
      </c>
      <c r="H101" s="143" t="s">
        <v>204</v>
      </c>
      <c r="I101" s="143" t="s">
        <v>340</v>
      </c>
      <c r="J101" s="143" t="s">
        <v>1232</v>
      </c>
      <c r="K101" s="143" t="s">
        <v>312</v>
      </c>
      <c r="L101" s="143" t="s">
        <v>1210</v>
      </c>
      <c r="M101" s="144">
        <v>0.5</v>
      </c>
      <c r="N101" s="143" t="s">
        <v>1269</v>
      </c>
      <c r="O101" s="143" t="s">
        <v>1270</v>
      </c>
      <c r="P101" s="146">
        <v>4.2811000000000002E-2</v>
      </c>
      <c r="Q101" s="145" t="s">
        <v>3930</v>
      </c>
      <c r="R101" s="144">
        <v>270605</v>
      </c>
      <c r="S101" s="145" t="s">
        <v>3930</v>
      </c>
      <c r="T101" s="143" t="s">
        <v>1271</v>
      </c>
      <c r="U101" s="144">
        <v>264.92230000000001</v>
      </c>
      <c r="V101" s="145" t="s">
        <v>3930</v>
      </c>
      <c r="W101" s="145" t="s">
        <v>3930</v>
      </c>
      <c r="X101" s="146">
        <v>2.2550416666666667E-5</v>
      </c>
      <c r="Y101" s="146">
        <v>5.9943203609392592E-2</v>
      </c>
      <c r="Z101" s="147">
        <v>3.3318122735439069E-2</v>
      </c>
      <c r="AA101" s="180"/>
    </row>
    <row r="102" spans="1:27" ht="15" x14ac:dyDescent="0.2">
      <c r="A102" s="142" t="s">
        <v>1220</v>
      </c>
      <c r="B102" s="143" t="s">
        <v>1222</v>
      </c>
      <c r="C102" s="143" t="s">
        <v>1229</v>
      </c>
      <c r="D102" s="143" t="s">
        <v>1263</v>
      </c>
      <c r="E102" s="143" t="s">
        <v>1264</v>
      </c>
      <c r="F102" s="143" t="s">
        <v>945</v>
      </c>
      <c r="G102" s="143" t="s">
        <v>204</v>
      </c>
      <c r="H102" s="143" t="s">
        <v>204</v>
      </c>
      <c r="I102" s="143" t="s">
        <v>340</v>
      </c>
      <c r="J102" s="143" t="s">
        <v>1232</v>
      </c>
      <c r="K102" s="143" t="s">
        <v>312</v>
      </c>
      <c r="L102" s="143" t="s">
        <v>1210</v>
      </c>
      <c r="M102" s="144">
        <v>11.32</v>
      </c>
      <c r="N102" s="143" t="s">
        <v>1265</v>
      </c>
      <c r="O102" s="146">
        <v>5.5E-2</v>
      </c>
      <c r="P102" s="146">
        <v>5.1729999999999998E-2</v>
      </c>
      <c r="Q102" s="145" t="s">
        <v>3930</v>
      </c>
      <c r="R102" s="144">
        <v>204409.77</v>
      </c>
      <c r="S102" s="145" t="s">
        <v>3930</v>
      </c>
      <c r="T102" s="143" t="s">
        <v>1266</v>
      </c>
      <c r="U102" s="144">
        <v>219.4134</v>
      </c>
      <c r="V102" s="145" t="s">
        <v>3930</v>
      </c>
      <c r="W102" s="145" t="s">
        <v>3930</v>
      </c>
      <c r="X102" s="146">
        <v>9.2485060723064418E-6</v>
      </c>
      <c r="Y102" s="146">
        <v>4.9646047854269751E-2</v>
      </c>
      <c r="Z102" s="147">
        <v>2.7594673226288089E-2</v>
      </c>
      <c r="AA102" s="180"/>
    </row>
    <row r="103" spans="1:27" ht="15" x14ac:dyDescent="0.2">
      <c r="A103" s="142" t="s">
        <v>1220</v>
      </c>
      <c r="B103" s="143" t="s">
        <v>1222</v>
      </c>
      <c r="C103" s="143" t="s">
        <v>1229</v>
      </c>
      <c r="D103" s="143" t="s">
        <v>1272</v>
      </c>
      <c r="E103" s="143" t="s">
        <v>1273</v>
      </c>
      <c r="F103" s="143" t="s">
        <v>945</v>
      </c>
      <c r="G103" s="143" t="s">
        <v>204</v>
      </c>
      <c r="H103" s="143" t="s">
        <v>204</v>
      </c>
      <c r="I103" s="143" t="s">
        <v>340</v>
      </c>
      <c r="J103" s="143" t="s">
        <v>1232</v>
      </c>
      <c r="K103" s="143" t="s">
        <v>312</v>
      </c>
      <c r="L103" s="143" t="s">
        <v>1210</v>
      </c>
      <c r="M103" s="144">
        <v>0.42</v>
      </c>
      <c r="N103" s="143" t="s">
        <v>1274</v>
      </c>
      <c r="O103" s="143" t="s">
        <v>1270</v>
      </c>
      <c r="P103" s="146">
        <v>4.3201000000000003E-2</v>
      </c>
      <c r="Q103" s="145" t="s">
        <v>3930</v>
      </c>
      <c r="R103" s="144">
        <v>177224.56</v>
      </c>
      <c r="S103" s="145" t="s">
        <v>3930</v>
      </c>
      <c r="T103" s="143" t="s">
        <v>1275</v>
      </c>
      <c r="U103" s="144">
        <v>174.07</v>
      </c>
      <c r="V103" s="145" t="s">
        <v>3930</v>
      </c>
      <c r="W103" s="145" t="s">
        <v>3930</v>
      </c>
      <c r="X103" s="146">
        <v>1.4768713333333333E-5</v>
      </c>
      <c r="Y103" s="146">
        <v>3.9386308443077535E-2</v>
      </c>
      <c r="Z103" s="147">
        <v>2.1892020776091696E-2</v>
      </c>
      <c r="AA103" s="180"/>
    </row>
    <row r="104" spans="1:27" ht="15" x14ac:dyDescent="0.2">
      <c r="A104" s="142" t="s">
        <v>1220</v>
      </c>
      <c r="B104" s="143" t="s">
        <v>1222</v>
      </c>
      <c r="C104" s="143" t="s">
        <v>1229</v>
      </c>
      <c r="D104" s="143" t="s">
        <v>1344</v>
      </c>
      <c r="E104" s="143" t="s">
        <v>1345</v>
      </c>
      <c r="F104" s="143" t="s">
        <v>945</v>
      </c>
      <c r="G104" s="143" t="s">
        <v>204</v>
      </c>
      <c r="H104" s="143" t="s">
        <v>204</v>
      </c>
      <c r="I104" s="143" t="s">
        <v>340</v>
      </c>
      <c r="J104" s="143" t="s">
        <v>1232</v>
      </c>
      <c r="K104" s="143" t="s">
        <v>312</v>
      </c>
      <c r="L104" s="143" t="s">
        <v>1210</v>
      </c>
      <c r="M104" s="144">
        <v>0.85</v>
      </c>
      <c r="N104" s="143" t="s">
        <v>1346</v>
      </c>
      <c r="O104" s="143" t="s">
        <v>1270</v>
      </c>
      <c r="P104" s="146">
        <v>4.2978000000000002E-2</v>
      </c>
      <c r="Q104" s="145" t="s">
        <v>3930</v>
      </c>
      <c r="R104" s="144">
        <v>175000</v>
      </c>
      <c r="S104" s="145" t="s">
        <v>3930</v>
      </c>
      <c r="T104" s="143" t="s">
        <v>1347</v>
      </c>
      <c r="U104" s="144">
        <v>168.84</v>
      </c>
      <c r="V104" s="145" t="s">
        <v>3930</v>
      </c>
      <c r="W104" s="145" t="s">
        <v>3930</v>
      </c>
      <c r="X104" s="146">
        <v>1.4583333333333333E-5</v>
      </c>
      <c r="Y104" s="146">
        <v>3.8202939837169408E-2</v>
      </c>
      <c r="Z104" s="147">
        <v>2.123427113845414E-2</v>
      </c>
      <c r="AA104" s="180"/>
    </row>
    <row r="105" spans="1:27" ht="15" x14ac:dyDescent="0.2">
      <c r="A105" s="142" t="s">
        <v>1220</v>
      </c>
      <c r="B105" s="143" t="s">
        <v>1222</v>
      </c>
      <c r="C105" s="143" t="s">
        <v>1229</v>
      </c>
      <c r="D105" s="143" t="s">
        <v>1276</v>
      </c>
      <c r="E105" s="143" t="s">
        <v>1277</v>
      </c>
      <c r="F105" s="143" t="s">
        <v>945</v>
      </c>
      <c r="G105" s="143" t="s">
        <v>204</v>
      </c>
      <c r="H105" s="143" t="s">
        <v>204</v>
      </c>
      <c r="I105" s="143" t="s">
        <v>340</v>
      </c>
      <c r="J105" s="143" t="s">
        <v>1232</v>
      </c>
      <c r="K105" s="143" t="s">
        <v>312</v>
      </c>
      <c r="L105" s="143" t="s">
        <v>1210</v>
      </c>
      <c r="M105" s="144">
        <v>0.35</v>
      </c>
      <c r="N105" s="143" t="s">
        <v>1278</v>
      </c>
      <c r="O105" s="143" t="s">
        <v>1270</v>
      </c>
      <c r="P105" s="146">
        <v>4.2567000000000001E-2</v>
      </c>
      <c r="Q105" s="145" t="s">
        <v>3930</v>
      </c>
      <c r="R105" s="144">
        <v>155056</v>
      </c>
      <c r="S105" s="145" t="s">
        <v>3930</v>
      </c>
      <c r="T105" s="143" t="s">
        <v>1279</v>
      </c>
      <c r="U105" s="144">
        <v>152.82320000000001</v>
      </c>
      <c r="V105" s="145" t="s">
        <v>3930</v>
      </c>
      <c r="W105" s="145" t="s">
        <v>3930</v>
      </c>
      <c r="X105" s="146">
        <v>1.2921333333333333E-5</v>
      </c>
      <c r="Y105" s="146">
        <v>3.4578863248192919E-2</v>
      </c>
      <c r="Z105" s="147">
        <v>1.9219907185186385E-2</v>
      </c>
      <c r="AA105" s="180"/>
    </row>
    <row r="106" spans="1:27" ht="15" x14ac:dyDescent="0.2">
      <c r="A106" s="142" t="s">
        <v>1220</v>
      </c>
      <c r="B106" s="143" t="s">
        <v>1222</v>
      </c>
      <c r="C106" s="143" t="s">
        <v>1229</v>
      </c>
      <c r="D106" s="143" t="s">
        <v>1348</v>
      </c>
      <c r="E106" s="143" t="s">
        <v>1349</v>
      </c>
      <c r="F106" s="143" t="s">
        <v>945</v>
      </c>
      <c r="G106" s="143" t="s">
        <v>204</v>
      </c>
      <c r="H106" s="143" t="s">
        <v>204</v>
      </c>
      <c r="I106" s="143" t="s">
        <v>340</v>
      </c>
      <c r="J106" s="143" t="s">
        <v>1232</v>
      </c>
      <c r="K106" s="143" t="s">
        <v>312</v>
      </c>
      <c r="L106" s="143" t="s">
        <v>1210</v>
      </c>
      <c r="M106" s="144">
        <v>0.75</v>
      </c>
      <c r="N106" s="143" t="s">
        <v>1350</v>
      </c>
      <c r="O106" s="143" t="s">
        <v>1270</v>
      </c>
      <c r="P106" s="146">
        <v>4.2832000000000002E-2</v>
      </c>
      <c r="Q106" s="145" t="s">
        <v>3930</v>
      </c>
      <c r="R106" s="144">
        <v>146060</v>
      </c>
      <c r="S106" s="145" t="s">
        <v>3930</v>
      </c>
      <c r="T106" s="143" t="s">
        <v>1351</v>
      </c>
      <c r="U106" s="144">
        <v>141.53210000000001</v>
      </c>
      <c r="V106" s="145" t="s">
        <v>3930</v>
      </c>
      <c r="W106" s="145" t="s">
        <v>3930</v>
      </c>
      <c r="X106" s="146">
        <v>1.2171666666666667E-5</v>
      </c>
      <c r="Y106" s="146">
        <v>3.202406911541008E-2</v>
      </c>
      <c r="Z106" s="147">
        <v>1.7799880570751304E-2</v>
      </c>
      <c r="AA106" s="180"/>
    </row>
    <row r="107" spans="1:27" ht="15" x14ac:dyDescent="0.2">
      <c r="A107" s="142" t="s">
        <v>1220</v>
      </c>
      <c r="B107" s="143" t="s">
        <v>1222</v>
      </c>
      <c r="C107" s="143" t="s">
        <v>1229</v>
      </c>
      <c r="D107" s="143" t="s">
        <v>1259</v>
      </c>
      <c r="E107" s="143" t="s">
        <v>1260</v>
      </c>
      <c r="F107" s="143" t="s">
        <v>945</v>
      </c>
      <c r="G107" s="143" t="s">
        <v>204</v>
      </c>
      <c r="H107" s="143" t="s">
        <v>204</v>
      </c>
      <c r="I107" s="143" t="s">
        <v>340</v>
      </c>
      <c r="J107" s="143" t="s">
        <v>1232</v>
      </c>
      <c r="K107" s="143" t="s">
        <v>312</v>
      </c>
      <c r="L107" s="143" t="s">
        <v>1210</v>
      </c>
      <c r="M107" s="144">
        <v>7.17</v>
      </c>
      <c r="N107" s="143" t="s">
        <v>1261</v>
      </c>
      <c r="O107" s="146">
        <v>1.2999999999999999E-2</v>
      </c>
      <c r="P107" s="146">
        <v>4.7579000000000003E-2</v>
      </c>
      <c r="Q107" s="145" t="s">
        <v>3930</v>
      </c>
      <c r="R107" s="144">
        <v>95675</v>
      </c>
      <c r="S107" s="145" t="s">
        <v>3930</v>
      </c>
      <c r="T107" s="143" t="s">
        <v>1262</v>
      </c>
      <c r="U107" s="144">
        <v>75.56410000000001</v>
      </c>
      <c r="V107" s="145" t="s">
        <v>3930</v>
      </c>
      <c r="W107" s="145" t="s">
        <v>3930</v>
      </c>
      <c r="X107" s="146">
        <v>3.1888591543488822E-6</v>
      </c>
      <c r="Y107" s="146">
        <v>1.7097674361489873E-2</v>
      </c>
      <c r="Z107" s="147">
        <v>9.5033694992142231E-3</v>
      </c>
      <c r="AA107" s="180"/>
    </row>
    <row r="108" spans="1:27" ht="15" x14ac:dyDescent="0.2">
      <c r="A108" s="142" t="s">
        <v>1220</v>
      </c>
      <c r="B108" s="143" t="s">
        <v>1222</v>
      </c>
      <c r="C108" s="143" t="s">
        <v>1229</v>
      </c>
      <c r="D108" s="143" t="s">
        <v>1288</v>
      </c>
      <c r="E108" s="143" t="s">
        <v>1289</v>
      </c>
      <c r="F108" s="143" t="s">
        <v>945</v>
      </c>
      <c r="G108" s="143" t="s">
        <v>204</v>
      </c>
      <c r="H108" s="143" t="s">
        <v>204</v>
      </c>
      <c r="I108" s="143" t="s">
        <v>340</v>
      </c>
      <c r="J108" s="143" t="s">
        <v>1232</v>
      </c>
      <c r="K108" s="143" t="s">
        <v>312</v>
      </c>
      <c r="L108" s="143" t="s">
        <v>1210</v>
      </c>
      <c r="M108" s="144">
        <v>0.6</v>
      </c>
      <c r="N108" s="143" t="s">
        <v>1290</v>
      </c>
      <c r="O108" s="143" t="s">
        <v>1270</v>
      </c>
      <c r="P108" s="146">
        <v>4.2583999999999997E-2</v>
      </c>
      <c r="Q108" s="145" t="s">
        <v>3930</v>
      </c>
      <c r="R108" s="144">
        <v>65688</v>
      </c>
      <c r="S108" s="145" t="s">
        <v>3930</v>
      </c>
      <c r="T108" s="143" t="s">
        <v>1291</v>
      </c>
      <c r="U108" s="144">
        <v>64.058900000000008</v>
      </c>
      <c r="V108" s="145" t="s">
        <v>3930</v>
      </c>
      <c r="W108" s="145" t="s">
        <v>3930</v>
      </c>
      <c r="X108" s="146">
        <v>4.6920000000000001E-6</v>
      </c>
      <c r="Y108" s="146">
        <v>1.4494431054049925E-2</v>
      </c>
      <c r="Z108" s="147">
        <v>8.0564134674230899E-3</v>
      </c>
      <c r="AA108" s="180"/>
    </row>
    <row r="109" spans="1:27" ht="15" x14ac:dyDescent="0.2">
      <c r="A109" s="142" t="s">
        <v>1220</v>
      </c>
      <c r="B109" s="143" t="s">
        <v>1222</v>
      </c>
      <c r="C109" s="143" t="s">
        <v>1229</v>
      </c>
      <c r="D109" s="143" t="s">
        <v>1297</v>
      </c>
      <c r="E109" s="143" t="s">
        <v>1298</v>
      </c>
      <c r="F109" s="143" t="s">
        <v>945</v>
      </c>
      <c r="G109" s="143" t="s">
        <v>204</v>
      </c>
      <c r="H109" s="143" t="s">
        <v>204</v>
      </c>
      <c r="I109" s="143" t="s">
        <v>340</v>
      </c>
      <c r="J109" s="143" t="s">
        <v>1232</v>
      </c>
      <c r="K109" s="143" t="s">
        <v>312</v>
      </c>
      <c r="L109" s="143" t="s">
        <v>1210</v>
      </c>
      <c r="M109" s="144">
        <v>8.52</v>
      </c>
      <c r="N109" s="143" t="s">
        <v>1299</v>
      </c>
      <c r="O109" s="146">
        <v>0.04</v>
      </c>
      <c r="P109" s="146">
        <v>4.8728E-2</v>
      </c>
      <c r="Q109" s="145" t="s">
        <v>3930</v>
      </c>
      <c r="R109" s="144">
        <v>51342</v>
      </c>
      <c r="S109" s="145" t="s">
        <v>3930</v>
      </c>
      <c r="T109" s="143" t="s">
        <v>1300</v>
      </c>
      <c r="U109" s="144">
        <v>48.738999999999997</v>
      </c>
      <c r="V109" s="145" t="s">
        <v>3930</v>
      </c>
      <c r="W109" s="145" t="s">
        <v>3930</v>
      </c>
      <c r="X109" s="146">
        <v>2.9670059712858871E-6</v>
      </c>
      <c r="Y109" s="146">
        <v>1.1028024043638772E-2</v>
      </c>
      <c r="Z109" s="147">
        <v>6.1296867116017138E-3</v>
      </c>
      <c r="AA109" s="180"/>
    </row>
    <row r="110" spans="1:27" ht="15" x14ac:dyDescent="0.2">
      <c r="A110" s="142" t="s">
        <v>1220</v>
      </c>
      <c r="B110" s="143" t="s">
        <v>1222</v>
      </c>
      <c r="C110" s="143" t="s">
        <v>1292</v>
      </c>
      <c r="D110" s="143" t="s">
        <v>1301</v>
      </c>
      <c r="E110" s="143" t="s">
        <v>1302</v>
      </c>
      <c r="F110" s="143" t="s">
        <v>945</v>
      </c>
      <c r="G110" s="143" t="s">
        <v>204</v>
      </c>
      <c r="H110" s="143" t="s">
        <v>204</v>
      </c>
      <c r="I110" s="143" t="s">
        <v>340</v>
      </c>
      <c r="J110" s="143" t="s">
        <v>1303</v>
      </c>
      <c r="K110" s="143" t="s">
        <v>413</v>
      </c>
      <c r="L110" s="143" t="s">
        <v>1210</v>
      </c>
      <c r="M110" s="144">
        <v>4.0599999999999996</v>
      </c>
      <c r="N110" s="143" t="s">
        <v>1304</v>
      </c>
      <c r="O110" s="146">
        <v>3.7284200000000003E-2</v>
      </c>
      <c r="P110" s="146">
        <v>4.5536E-2</v>
      </c>
      <c r="Q110" s="145" t="s">
        <v>3930</v>
      </c>
      <c r="R110" s="144">
        <v>46911</v>
      </c>
      <c r="S110" s="145" t="s">
        <v>3930</v>
      </c>
      <c r="T110" s="143" t="s">
        <v>1305</v>
      </c>
      <c r="U110" s="144">
        <v>46.451300000000003</v>
      </c>
      <c r="V110" s="145" t="s">
        <v>3930</v>
      </c>
      <c r="W110" s="145" t="s">
        <v>3930</v>
      </c>
      <c r="X110" s="146">
        <v>1.4230007531035299E-6</v>
      </c>
      <c r="Y110" s="146">
        <v>1.0510395387447169E-2</v>
      </c>
      <c r="Z110" s="147">
        <v>5.8419741093398312E-3</v>
      </c>
      <c r="AA110" s="180"/>
    </row>
    <row r="111" spans="1:27" ht="15" x14ac:dyDescent="0.2">
      <c r="A111" s="142" t="s">
        <v>1220</v>
      </c>
      <c r="B111" s="143" t="s">
        <v>1222</v>
      </c>
      <c r="C111" s="143" t="s">
        <v>1292</v>
      </c>
      <c r="D111" s="143" t="s">
        <v>1293</v>
      </c>
      <c r="E111" s="143" t="s">
        <v>1294</v>
      </c>
      <c r="F111" s="143" t="s">
        <v>945</v>
      </c>
      <c r="G111" s="143" t="s">
        <v>204</v>
      </c>
      <c r="H111" s="143" t="s">
        <v>204</v>
      </c>
      <c r="I111" s="143" t="s">
        <v>340</v>
      </c>
      <c r="J111" s="143" t="s">
        <v>1232</v>
      </c>
      <c r="K111" s="143" t="s">
        <v>312</v>
      </c>
      <c r="L111" s="143" t="s">
        <v>1210</v>
      </c>
      <c r="M111" s="144">
        <v>5.33</v>
      </c>
      <c r="N111" s="143" t="s">
        <v>1295</v>
      </c>
      <c r="O111" s="146">
        <v>1.0026999999999999E-2</v>
      </c>
      <c r="P111" s="146">
        <v>4.5976999999999997E-2</v>
      </c>
      <c r="Q111" s="145" t="s">
        <v>3930</v>
      </c>
      <c r="R111" s="144">
        <v>18921</v>
      </c>
      <c r="S111" s="145" t="s">
        <v>3930</v>
      </c>
      <c r="T111" s="143" t="s">
        <v>1296</v>
      </c>
      <c r="U111" s="144">
        <v>15.749799999999999</v>
      </c>
      <c r="V111" s="145" t="s">
        <v>3930</v>
      </c>
      <c r="W111" s="145" t="s">
        <v>3930</v>
      </c>
      <c r="X111" s="146">
        <v>5.0114617899840373E-7</v>
      </c>
      <c r="Y111" s="146">
        <v>3.563670962131131E-3</v>
      </c>
      <c r="Z111" s="147">
        <v>1.980788802659198E-3</v>
      </c>
      <c r="AA111" s="180"/>
    </row>
    <row r="112" spans="1:27" ht="15" x14ac:dyDescent="0.2">
      <c r="A112" s="142" t="s">
        <v>1220</v>
      </c>
      <c r="B112" s="143" t="s">
        <v>1222</v>
      </c>
      <c r="C112" s="143" t="s">
        <v>1229</v>
      </c>
      <c r="D112" s="143" t="s">
        <v>1306</v>
      </c>
      <c r="E112" s="143" t="s">
        <v>1307</v>
      </c>
      <c r="F112" s="143" t="s">
        <v>945</v>
      </c>
      <c r="G112" s="143" t="s">
        <v>204</v>
      </c>
      <c r="H112" s="143" t="s">
        <v>204</v>
      </c>
      <c r="I112" s="143" t="s">
        <v>340</v>
      </c>
      <c r="J112" s="143" t="s">
        <v>1232</v>
      </c>
      <c r="K112" s="143" t="s">
        <v>314</v>
      </c>
      <c r="L112" s="143" t="s">
        <v>1210</v>
      </c>
      <c r="M112" s="144">
        <v>0.67</v>
      </c>
      <c r="N112" s="143" t="s">
        <v>1308</v>
      </c>
      <c r="O112" s="143" t="s">
        <v>1270</v>
      </c>
      <c r="P112" s="146">
        <v>4.2719E-2</v>
      </c>
      <c r="Q112" s="145" t="s">
        <v>3930</v>
      </c>
      <c r="R112" s="144">
        <v>8800</v>
      </c>
      <c r="S112" s="145" t="s">
        <v>3930</v>
      </c>
      <c r="T112" s="143" t="s">
        <v>1309</v>
      </c>
      <c r="U112" s="144">
        <v>8.5553999999999988</v>
      </c>
      <c r="V112" s="145" t="s">
        <v>3930</v>
      </c>
      <c r="W112" s="145" t="s">
        <v>3930</v>
      </c>
      <c r="X112" s="146">
        <v>7.3333333333333334E-7</v>
      </c>
      <c r="Y112" s="146">
        <v>1.9357966321092493E-3</v>
      </c>
      <c r="Z112" s="147">
        <v>1.0759703501959548E-3</v>
      </c>
      <c r="AA112" s="180"/>
    </row>
    <row r="113" spans="1:27" ht="15" x14ac:dyDescent="0.2">
      <c r="A113" s="142" t="s">
        <v>1220</v>
      </c>
      <c r="B113" s="143" t="s">
        <v>1222</v>
      </c>
      <c r="C113" s="143" t="s">
        <v>1314</v>
      </c>
      <c r="D113" s="143" t="s">
        <v>1315</v>
      </c>
      <c r="E113" s="143" t="s">
        <v>1316</v>
      </c>
      <c r="F113" s="143" t="s">
        <v>947</v>
      </c>
      <c r="G113" s="143" t="s">
        <v>205</v>
      </c>
      <c r="H113" s="143" t="s">
        <v>224</v>
      </c>
      <c r="I113" s="143" t="s">
        <v>344</v>
      </c>
      <c r="J113" s="143" t="s">
        <v>1317</v>
      </c>
      <c r="K113" s="143" t="s">
        <v>423</v>
      </c>
      <c r="L113" s="143" t="s">
        <v>1211</v>
      </c>
      <c r="M113" s="144">
        <v>7.5</v>
      </c>
      <c r="N113" s="143" t="s">
        <v>1318</v>
      </c>
      <c r="O113" s="146">
        <v>3.875E-2</v>
      </c>
      <c r="P113" s="146">
        <v>3.848E-2</v>
      </c>
      <c r="Q113" s="145" t="s">
        <v>3930</v>
      </c>
      <c r="R113" s="144">
        <v>19500</v>
      </c>
      <c r="S113" s="143" t="s">
        <v>1212</v>
      </c>
      <c r="T113" s="143" t="s">
        <v>1319</v>
      </c>
      <c r="U113" s="144">
        <v>73.336199999999991</v>
      </c>
      <c r="V113" s="145" t="s">
        <v>3930</v>
      </c>
      <c r="W113" s="145" t="s">
        <v>3930</v>
      </c>
      <c r="X113" s="146">
        <v>5.1315789473684207E-7</v>
      </c>
      <c r="Y113" s="146">
        <v>1.6593576578608858E-2</v>
      </c>
      <c r="Z113" s="147">
        <v>9.2231777378572986E-3</v>
      </c>
      <c r="AA113" s="180"/>
    </row>
    <row r="114" spans="1:27" ht="15" x14ac:dyDescent="0.2">
      <c r="A114" s="142" t="s">
        <v>1220</v>
      </c>
      <c r="B114" s="143" t="s">
        <v>1222</v>
      </c>
      <c r="C114" s="143" t="s">
        <v>1314</v>
      </c>
      <c r="D114" s="143" t="s">
        <v>1324</v>
      </c>
      <c r="E114" s="143" t="s">
        <v>1325</v>
      </c>
      <c r="F114" s="143" t="s">
        <v>947</v>
      </c>
      <c r="G114" s="143" t="s">
        <v>205</v>
      </c>
      <c r="H114" s="143" t="s">
        <v>224</v>
      </c>
      <c r="I114" s="143" t="s">
        <v>344</v>
      </c>
      <c r="J114" s="143" t="s">
        <v>1317</v>
      </c>
      <c r="K114" s="143" t="s">
        <v>423</v>
      </c>
      <c r="L114" s="143" t="s">
        <v>1211</v>
      </c>
      <c r="M114" s="144">
        <v>7.8140000000000001</v>
      </c>
      <c r="N114" s="143" t="s">
        <v>1326</v>
      </c>
      <c r="O114" s="146">
        <v>0.04</v>
      </c>
      <c r="P114" s="146">
        <v>3.8649999999999997E-2</v>
      </c>
      <c r="Q114" s="145" t="s">
        <v>3930</v>
      </c>
      <c r="R114" s="144">
        <v>3500</v>
      </c>
      <c r="S114" s="143" t="s">
        <v>1212</v>
      </c>
      <c r="T114" s="143" t="s">
        <v>1327</v>
      </c>
      <c r="U114" s="144">
        <v>13.2827</v>
      </c>
      <c r="V114" s="145" t="s">
        <v>3930</v>
      </c>
      <c r="W114" s="145" t="s">
        <v>3930</v>
      </c>
      <c r="X114" s="146">
        <v>8.3333333333333338E-8</v>
      </c>
      <c r="Y114" s="146">
        <v>3.0054298773399828E-3</v>
      </c>
      <c r="Z114" s="147">
        <v>1.6705026674663547E-3</v>
      </c>
      <c r="AA114" s="180"/>
    </row>
    <row r="115" spans="1:27" ht="15" x14ac:dyDescent="0.2">
      <c r="A115" s="142" t="s">
        <v>1220</v>
      </c>
      <c r="B115" s="143" t="s">
        <v>1220</v>
      </c>
      <c r="C115" s="143" t="s">
        <v>1229</v>
      </c>
      <c r="D115" s="143" t="s">
        <v>1230</v>
      </c>
      <c r="E115" s="143" t="s">
        <v>1231</v>
      </c>
      <c r="F115" s="143" t="s">
        <v>943</v>
      </c>
      <c r="G115" s="143" t="s">
        <v>204</v>
      </c>
      <c r="H115" s="143" t="s">
        <v>204</v>
      </c>
      <c r="I115" s="143" t="s">
        <v>340</v>
      </c>
      <c r="J115" s="143" t="s">
        <v>1232</v>
      </c>
      <c r="K115" s="143" t="s">
        <v>312</v>
      </c>
      <c r="L115" s="143" t="s">
        <v>1210</v>
      </c>
      <c r="M115" s="144">
        <v>1.07</v>
      </c>
      <c r="N115" s="143" t="s">
        <v>1233</v>
      </c>
      <c r="O115" s="146">
        <v>7.5209999999999999E-3</v>
      </c>
      <c r="P115" s="146">
        <v>1.2971E-2</v>
      </c>
      <c r="Q115" s="145" t="s">
        <v>3930</v>
      </c>
      <c r="R115" s="144">
        <v>83884279</v>
      </c>
      <c r="S115" s="145" t="s">
        <v>3930</v>
      </c>
      <c r="T115" s="143" t="s">
        <v>1234</v>
      </c>
      <c r="U115" s="144">
        <v>97322.540500000003</v>
      </c>
      <c r="V115" s="145" t="s">
        <v>3930</v>
      </c>
      <c r="W115" s="145" t="s">
        <v>3930</v>
      </c>
      <c r="X115" s="146">
        <v>3.8651491009989093E-3</v>
      </c>
      <c r="Y115" s="146">
        <v>0.1063501430611509</v>
      </c>
      <c r="Z115" s="147">
        <v>1.2422485331260461E-2</v>
      </c>
      <c r="AA115" s="180"/>
    </row>
    <row r="116" spans="1:27" ht="15" x14ac:dyDescent="0.2">
      <c r="A116" s="142" t="s">
        <v>1220</v>
      </c>
      <c r="B116" s="143" t="s">
        <v>1220</v>
      </c>
      <c r="C116" s="143" t="s">
        <v>1229</v>
      </c>
      <c r="D116" s="143" t="s">
        <v>1235</v>
      </c>
      <c r="E116" s="143" t="s">
        <v>1236</v>
      </c>
      <c r="F116" s="143" t="s">
        <v>943</v>
      </c>
      <c r="G116" s="143" t="s">
        <v>204</v>
      </c>
      <c r="H116" s="143" t="s">
        <v>204</v>
      </c>
      <c r="I116" s="143" t="s">
        <v>340</v>
      </c>
      <c r="J116" s="143" t="s">
        <v>1232</v>
      </c>
      <c r="K116" s="143" t="s">
        <v>312</v>
      </c>
      <c r="L116" s="143" t="s">
        <v>1210</v>
      </c>
      <c r="M116" s="144">
        <v>7.14</v>
      </c>
      <c r="N116" s="143" t="s">
        <v>1237</v>
      </c>
      <c r="O116" s="146">
        <v>1E-3</v>
      </c>
      <c r="P116" s="146">
        <v>1.9893000000000001E-2</v>
      </c>
      <c r="Q116" s="145" t="s">
        <v>3930</v>
      </c>
      <c r="R116" s="144">
        <v>85648983</v>
      </c>
      <c r="S116" s="145" t="s">
        <v>3930</v>
      </c>
      <c r="T116" s="143" t="s">
        <v>1238</v>
      </c>
      <c r="U116" s="144">
        <v>86591.121799999994</v>
      </c>
      <c r="V116" s="145" t="s">
        <v>3930</v>
      </c>
      <c r="W116" s="145" t="s">
        <v>3930</v>
      </c>
      <c r="X116" s="146">
        <v>2.7894986131809592E-3</v>
      </c>
      <c r="Y116" s="146">
        <v>9.4623281983021307E-2</v>
      </c>
      <c r="Z116" s="147">
        <v>1.1052700998755797E-2</v>
      </c>
      <c r="AA116" s="180"/>
    </row>
    <row r="117" spans="1:27" ht="15" x14ac:dyDescent="0.2">
      <c r="A117" s="142" t="s">
        <v>1220</v>
      </c>
      <c r="B117" s="143" t="s">
        <v>1220</v>
      </c>
      <c r="C117" s="143" t="s">
        <v>1229</v>
      </c>
      <c r="D117" s="143" t="s">
        <v>1239</v>
      </c>
      <c r="E117" s="143" t="s">
        <v>1240</v>
      </c>
      <c r="F117" s="143" t="s">
        <v>943</v>
      </c>
      <c r="G117" s="143" t="s">
        <v>204</v>
      </c>
      <c r="H117" s="143" t="s">
        <v>204</v>
      </c>
      <c r="I117" s="143" t="s">
        <v>340</v>
      </c>
      <c r="J117" s="143" t="s">
        <v>1232</v>
      </c>
      <c r="K117" s="143" t="s">
        <v>312</v>
      </c>
      <c r="L117" s="143" t="s">
        <v>1210</v>
      </c>
      <c r="M117" s="144">
        <v>4.6100000000000003</v>
      </c>
      <c r="N117" s="143" t="s">
        <v>1241</v>
      </c>
      <c r="O117" s="146">
        <v>5.0000000000000001E-3</v>
      </c>
      <c r="P117" s="146">
        <v>1.8189E-2</v>
      </c>
      <c r="Q117" s="145" t="s">
        <v>3930</v>
      </c>
      <c r="R117" s="144">
        <v>26057149</v>
      </c>
      <c r="S117" s="145" t="s">
        <v>3930</v>
      </c>
      <c r="T117" s="143" t="s">
        <v>1242</v>
      </c>
      <c r="U117" s="144">
        <v>28363.206699999999</v>
      </c>
      <c r="V117" s="145" t="s">
        <v>3930</v>
      </c>
      <c r="W117" s="145" t="s">
        <v>3930</v>
      </c>
      <c r="X117" s="146">
        <v>9.6628320569008017E-4</v>
      </c>
      <c r="Y117" s="146">
        <v>3.0994167162256128E-2</v>
      </c>
      <c r="Z117" s="147">
        <v>3.620348556619937E-3</v>
      </c>
      <c r="AA117" s="180"/>
    </row>
    <row r="118" spans="1:27" ht="15" x14ac:dyDescent="0.2">
      <c r="A118" s="142" t="s">
        <v>1220</v>
      </c>
      <c r="B118" s="143" t="s">
        <v>1220</v>
      </c>
      <c r="C118" s="143" t="s">
        <v>1229</v>
      </c>
      <c r="D118" s="143" t="s">
        <v>1243</v>
      </c>
      <c r="E118" s="143" t="s">
        <v>1244</v>
      </c>
      <c r="F118" s="143" t="s">
        <v>943</v>
      </c>
      <c r="G118" s="143" t="s">
        <v>204</v>
      </c>
      <c r="H118" s="143" t="s">
        <v>204</v>
      </c>
      <c r="I118" s="143" t="s">
        <v>340</v>
      </c>
      <c r="J118" s="143" t="s">
        <v>1232</v>
      </c>
      <c r="K118" s="143" t="s">
        <v>312</v>
      </c>
      <c r="L118" s="143" t="s">
        <v>1210</v>
      </c>
      <c r="M118" s="144">
        <v>2.64</v>
      </c>
      <c r="N118" s="143" t="s">
        <v>1245</v>
      </c>
      <c r="O118" s="146">
        <v>7.4999999999999997E-3</v>
      </c>
      <c r="P118" s="146">
        <v>1.6515999999999999E-2</v>
      </c>
      <c r="Q118" s="145" t="s">
        <v>3930</v>
      </c>
      <c r="R118" s="144">
        <v>16696269</v>
      </c>
      <c r="S118" s="145" t="s">
        <v>3930</v>
      </c>
      <c r="T118" s="143" t="s">
        <v>1246</v>
      </c>
      <c r="U118" s="144">
        <v>19075.487300000001</v>
      </c>
      <c r="V118" s="145" t="s">
        <v>3930</v>
      </c>
      <c r="W118" s="145" t="s">
        <v>3930</v>
      </c>
      <c r="X118" s="146">
        <v>7.4902588243390791E-4</v>
      </c>
      <c r="Y118" s="146">
        <v>2.0844922424318499E-2</v>
      </c>
      <c r="Z118" s="147">
        <v>2.4348415112000936E-3</v>
      </c>
      <c r="AA118" s="180"/>
    </row>
    <row r="119" spans="1:27" ht="15" x14ac:dyDescent="0.2">
      <c r="A119" s="142" t="s">
        <v>1220</v>
      </c>
      <c r="B119" s="143" t="s">
        <v>1220</v>
      </c>
      <c r="C119" s="143" t="s">
        <v>1229</v>
      </c>
      <c r="D119" s="143" t="s">
        <v>1251</v>
      </c>
      <c r="E119" s="143" t="s">
        <v>1252</v>
      </c>
      <c r="F119" s="143" t="s">
        <v>943</v>
      </c>
      <c r="G119" s="143" t="s">
        <v>204</v>
      </c>
      <c r="H119" s="143" t="s">
        <v>204</v>
      </c>
      <c r="I119" s="143" t="s">
        <v>340</v>
      </c>
      <c r="J119" s="143" t="s">
        <v>1232</v>
      </c>
      <c r="K119" s="143" t="s">
        <v>312</v>
      </c>
      <c r="L119" s="143" t="s">
        <v>1210</v>
      </c>
      <c r="M119" s="144">
        <v>3.97</v>
      </c>
      <c r="N119" s="143" t="s">
        <v>1253</v>
      </c>
      <c r="O119" s="146">
        <v>1.0999999999999999E-2</v>
      </c>
      <c r="P119" s="146">
        <v>1.7901E-2</v>
      </c>
      <c r="Q119" s="145" t="s">
        <v>3930</v>
      </c>
      <c r="R119" s="144">
        <v>11526160</v>
      </c>
      <c r="S119" s="145" t="s">
        <v>3930</v>
      </c>
      <c r="T119" s="143" t="s">
        <v>1254</v>
      </c>
      <c r="U119" s="144">
        <v>11825.840199999999</v>
      </c>
      <c r="V119" s="145" t="s">
        <v>3930</v>
      </c>
      <c r="W119" s="145" t="s">
        <v>3930</v>
      </c>
      <c r="X119" s="146">
        <v>5.6500457497353691E-4</v>
      </c>
      <c r="Y119" s="146">
        <v>1.2922800683450916E-2</v>
      </c>
      <c r="Z119" s="147">
        <v>1.5094789466965331E-3</v>
      </c>
      <c r="AA119" s="180"/>
    </row>
    <row r="120" spans="1:27" ht="15" x14ac:dyDescent="0.2">
      <c r="A120" s="142" t="s">
        <v>1220</v>
      </c>
      <c r="B120" s="143" t="s">
        <v>1220</v>
      </c>
      <c r="C120" s="143" t="s">
        <v>1229</v>
      </c>
      <c r="D120" s="143" t="s">
        <v>1247</v>
      </c>
      <c r="E120" s="143" t="s">
        <v>1248</v>
      </c>
      <c r="F120" s="143" t="s">
        <v>943</v>
      </c>
      <c r="G120" s="143" t="s">
        <v>204</v>
      </c>
      <c r="H120" s="143" t="s">
        <v>204</v>
      </c>
      <c r="I120" s="143" t="s">
        <v>340</v>
      </c>
      <c r="J120" s="143" t="s">
        <v>1232</v>
      </c>
      <c r="K120" s="143" t="s">
        <v>312</v>
      </c>
      <c r="L120" s="143" t="s">
        <v>1210</v>
      </c>
      <c r="M120" s="144">
        <v>9.65</v>
      </c>
      <c r="N120" s="143" t="s">
        <v>1249</v>
      </c>
      <c r="O120" s="146">
        <v>4.011E-2</v>
      </c>
      <c r="P120" s="146">
        <v>2.1597000000000002E-2</v>
      </c>
      <c r="Q120" s="145" t="s">
        <v>3930</v>
      </c>
      <c r="R120" s="144">
        <v>4132642</v>
      </c>
      <c r="S120" s="145" t="s">
        <v>3930</v>
      </c>
      <c r="T120" s="143" t="s">
        <v>1250</v>
      </c>
      <c r="U120" s="144">
        <v>6803.5685000000003</v>
      </c>
      <c r="V120" s="145" t="s">
        <v>3930</v>
      </c>
      <c r="W120" s="145" t="s">
        <v>3930</v>
      </c>
      <c r="X120" s="146">
        <v>2.5938761019044139E-4</v>
      </c>
      <c r="Y120" s="146">
        <v>7.4346650039286526E-3</v>
      </c>
      <c r="Z120" s="147">
        <v>8.6842400297509968E-4</v>
      </c>
      <c r="AA120" s="180"/>
    </row>
    <row r="121" spans="1:27" ht="15" x14ac:dyDescent="0.2">
      <c r="A121" s="142" t="s">
        <v>1220</v>
      </c>
      <c r="B121" s="143" t="s">
        <v>1220</v>
      </c>
      <c r="C121" s="143" t="s">
        <v>1229</v>
      </c>
      <c r="D121" s="143" t="s">
        <v>1328</v>
      </c>
      <c r="E121" s="143" t="s">
        <v>1329</v>
      </c>
      <c r="F121" s="143" t="s">
        <v>945</v>
      </c>
      <c r="G121" s="143" t="s">
        <v>204</v>
      </c>
      <c r="H121" s="143" t="s">
        <v>204</v>
      </c>
      <c r="I121" s="143" t="s">
        <v>340</v>
      </c>
      <c r="J121" s="143" t="s">
        <v>1232</v>
      </c>
      <c r="K121" s="143" t="s">
        <v>312</v>
      </c>
      <c r="L121" s="143" t="s">
        <v>1210</v>
      </c>
      <c r="M121" s="144">
        <v>0.18</v>
      </c>
      <c r="N121" s="143" t="s">
        <v>1330</v>
      </c>
      <c r="O121" s="143" t="s">
        <v>1270</v>
      </c>
      <c r="P121" s="146">
        <v>4.2646999999999997E-2</v>
      </c>
      <c r="Q121" s="145" t="s">
        <v>3930</v>
      </c>
      <c r="R121" s="144">
        <v>125101050</v>
      </c>
      <c r="S121" s="145" t="s">
        <v>3930</v>
      </c>
      <c r="T121" s="143" t="s">
        <v>1331</v>
      </c>
      <c r="U121" s="144">
        <v>124187.81229999999</v>
      </c>
      <c r="V121" s="145" t="s">
        <v>3930</v>
      </c>
      <c r="W121" s="145" t="s">
        <v>3930</v>
      </c>
      <c r="X121" s="146">
        <v>3.1275262500000001E-3</v>
      </c>
      <c r="Y121" s="146">
        <v>0.13570742749824313</v>
      </c>
      <c r="Z121" s="147">
        <v>1.5851633847550881E-2</v>
      </c>
      <c r="AA121" s="180"/>
    </row>
    <row r="122" spans="1:27" ht="15" x14ac:dyDescent="0.2">
      <c r="A122" s="142" t="s">
        <v>1220</v>
      </c>
      <c r="B122" s="143" t="s">
        <v>1220</v>
      </c>
      <c r="C122" s="143" t="s">
        <v>1229</v>
      </c>
      <c r="D122" s="143" t="s">
        <v>1255</v>
      </c>
      <c r="E122" s="143" t="s">
        <v>1256</v>
      </c>
      <c r="F122" s="143" t="s">
        <v>945</v>
      </c>
      <c r="G122" s="143" t="s">
        <v>204</v>
      </c>
      <c r="H122" s="143" t="s">
        <v>204</v>
      </c>
      <c r="I122" s="143" t="s">
        <v>340</v>
      </c>
      <c r="J122" s="143" t="s">
        <v>1232</v>
      </c>
      <c r="K122" s="143" t="s">
        <v>312</v>
      </c>
      <c r="L122" s="143" t="s">
        <v>1210</v>
      </c>
      <c r="M122" s="144">
        <v>11.26</v>
      </c>
      <c r="N122" s="143" t="s">
        <v>1257</v>
      </c>
      <c r="O122" s="146">
        <v>1.5041000000000001E-2</v>
      </c>
      <c r="P122" s="146">
        <v>5.0358E-2</v>
      </c>
      <c r="Q122" s="145" t="s">
        <v>3930</v>
      </c>
      <c r="R122" s="144">
        <v>166765661</v>
      </c>
      <c r="S122" s="145" t="s">
        <v>3930</v>
      </c>
      <c r="T122" s="143" t="s">
        <v>1258</v>
      </c>
      <c r="U122" s="144">
        <v>113267.23699999999</v>
      </c>
      <c r="V122" s="145" t="s">
        <v>3930</v>
      </c>
      <c r="W122" s="145" t="s">
        <v>3930</v>
      </c>
      <c r="X122" s="146">
        <v>5.1986646718554077E-3</v>
      </c>
      <c r="Y122" s="146">
        <v>0.12377386361406428</v>
      </c>
      <c r="Z122" s="147">
        <v>1.4457705094529538E-2</v>
      </c>
      <c r="AA122" s="180"/>
    </row>
    <row r="123" spans="1:27" ht="15" x14ac:dyDescent="0.2">
      <c r="A123" s="142" t="s">
        <v>1220</v>
      </c>
      <c r="B123" s="143" t="s">
        <v>1220</v>
      </c>
      <c r="C123" s="143" t="s">
        <v>1229</v>
      </c>
      <c r="D123" s="143" t="s">
        <v>1259</v>
      </c>
      <c r="E123" s="143" t="s">
        <v>1260</v>
      </c>
      <c r="F123" s="143" t="s">
        <v>945</v>
      </c>
      <c r="G123" s="143" t="s">
        <v>204</v>
      </c>
      <c r="H123" s="143" t="s">
        <v>204</v>
      </c>
      <c r="I123" s="143" t="s">
        <v>340</v>
      </c>
      <c r="J123" s="143" t="s">
        <v>1232</v>
      </c>
      <c r="K123" s="143" t="s">
        <v>312</v>
      </c>
      <c r="L123" s="143" t="s">
        <v>1210</v>
      </c>
      <c r="M123" s="144">
        <v>7.17</v>
      </c>
      <c r="N123" s="143" t="s">
        <v>1261</v>
      </c>
      <c r="O123" s="146">
        <v>1.2999999999999999E-2</v>
      </c>
      <c r="P123" s="146">
        <v>4.7579000000000003E-2</v>
      </c>
      <c r="Q123" s="145" t="s">
        <v>3930</v>
      </c>
      <c r="R123" s="144">
        <v>100930833</v>
      </c>
      <c r="S123" s="145" t="s">
        <v>3930</v>
      </c>
      <c r="T123" s="143" t="s">
        <v>1262</v>
      </c>
      <c r="U123" s="144">
        <v>79715.171900000001</v>
      </c>
      <c r="V123" s="145" t="s">
        <v>3930</v>
      </c>
      <c r="W123" s="145" t="s">
        <v>3930</v>
      </c>
      <c r="X123" s="146">
        <v>3.3640366947280719E-3</v>
      </c>
      <c r="Y123" s="146">
        <v>8.7109521523810685E-2</v>
      </c>
      <c r="Z123" s="147">
        <v>1.0175038060084629E-2</v>
      </c>
      <c r="AA123" s="180"/>
    </row>
    <row r="124" spans="1:27" ht="15" x14ac:dyDescent="0.2">
      <c r="A124" s="142" t="s">
        <v>1220</v>
      </c>
      <c r="B124" s="143" t="s">
        <v>1220</v>
      </c>
      <c r="C124" s="143" t="s">
        <v>1229</v>
      </c>
      <c r="D124" s="143" t="s">
        <v>1263</v>
      </c>
      <c r="E124" s="143" t="s">
        <v>1264</v>
      </c>
      <c r="F124" s="143" t="s">
        <v>945</v>
      </c>
      <c r="G124" s="143" t="s">
        <v>204</v>
      </c>
      <c r="H124" s="143" t="s">
        <v>204</v>
      </c>
      <c r="I124" s="143" t="s">
        <v>340</v>
      </c>
      <c r="J124" s="143" t="s">
        <v>1232</v>
      </c>
      <c r="K124" s="143" t="s">
        <v>312</v>
      </c>
      <c r="L124" s="143" t="s">
        <v>1210</v>
      </c>
      <c r="M124" s="144">
        <v>11.32</v>
      </c>
      <c r="N124" s="143" t="s">
        <v>1265</v>
      </c>
      <c r="O124" s="146">
        <v>5.5E-2</v>
      </c>
      <c r="P124" s="146">
        <v>5.1729999999999998E-2</v>
      </c>
      <c r="Q124" s="145" t="s">
        <v>3930</v>
      </c>
      <c r="R124" s="144">
        <v>71234050.560000002</v>
      </c>
      <c r="S124" s="145" t="s">
        <v>3930</v>
      </c>
      <c r="T124" s="143" t="s">
        <v>1266</v>
      </c>
      <c r="U124" s="144">
        <v>76462.6299</v>
      </c>
      <c r="V124" s="145" t="s">
        <v>3930</v>
      </c>
      <c r="W124" s="145" t="s">
        <v>3930</v>
      </c>
      <c r="X124" s="146">
        <v>3.222979748762224E-3</v>
      </c>
      <c r="Y124" s="146">
        <v>8.3555274905453919E-2</v>
      </c>
      <c r="Z124" s="147">
        <v>9.7598756991385659E-3</v>
      </c>
      <c r="AA124" s="180"/>
    </row>
    <row r="125" spans="1:27" ht="15" x14ac:dyDescent="0.2">
      <c r="A125" s="142" t="s">
        <v>1220</v>
      </c>
      <c r="B125" s="143" t="s">
        <v>1220</v>
      </c>
      <c r="C125" s="143" t="s">
        <v>1292</v>
      </c>
      <c r="D125" s="143" t="s">
        <v>1301</v>
      </c>
      <c r="E125" s="143" t="s">
        <v>1302</v>
      </c>
      <c r="F125" s="143" t="s">
        <v>945</v>
      </c>
      <c r="G125" s="143" t="s">
        <v>204</v>
      </c>
      <c r="H125" s="143" t="s">
        <v>204</v>
      </c>
      <c r="I125" s="143" t="s">
        <v>340</v>
      </c>
      <c r="J125" s="143" t="s">
        <v>1303</v>
      </c>
      <c r="K125" s="143" t="s">
        <v>413</v>
      </c>
      <c r="L125" s="143" t="s">
        <v>1210</v>
      </c>
      <c r="M125" s="144">
        <v>4.0599999999999996</v>
      </c>
      <c r="N125" s="143" t="s">
        <v>1304</v>
      </c>
      <c r="O125" s="146">
        <v>3.7284200000000003E-2</v>
      </c>
      <c r="P125" s="146">
        <v>4.5536E-2</v>
      </c>
      <c r="Q125" s="145" t="s">
        <v>3930</v>
      </c>
      <c r="R125" s="144">
        <v>45235131</v>
      </c>
      <c r="S125" s="145" t="s">
        <v>3930</v>
      </c>
      <c r="T125" s="143" t="s">
        <v>1305</v>
      </c>
      <c r="U125" s="144">
        <v>44791.826700000005</v>
      </c>
      <c r="V125" s="145" t="s">
        <v>3930</v>
      </c>
      <c r="W125" s="145" t="s">
        <v>3930</v>
      </c>
      <c r="X125" s="146">
        <v>1.3721648542929555E-3</v>
      </c>
      <c r="Y125" s="146">
        <v>4.8946699859769148E-2</v>
      </c>
      <c r="Z125" s="147">
        <v>5.7173374996963601E-3</v>
      </c>
      <c r="AA125" s="180"/>
    </row>
    <row r="126" spans="1:27" ht="15" x14ac:dyDescent="0.2">
      <c r="A126" s="142" t="s">
        <v>1220</v>
      </c>
      <c r="B126" s="143" t="s">
        <v>1220</v>
      </c>
      <c r="C126" s="143" t="s">
        <v>1229</v>
      </c>
      <c r="D126" s="143" t="s">
        <v>1306</v>
      </c>
      <c r="E126" s="143" t="s">
        <v>1307</v>
      </c>
      <c r="F126" s="143" t="s">
        <v>945</v>
      </c>
      <c r="G126" s="143" t="s">
        <v>204</v>
      </c>
      <c r="H126" s="143" t="s">
        <v>204</v>
      </c>
      <c r="I126" s="143" t="s">
        <v>340</v>
      </c>
      <c r="J126" s="143" t="s">
        <v>1232</v>
      </c>
      <c r="K126" s="143" t="s">
        <v>314</v>
      </c>
      <c r="L126" s="143" t="s">
        <v>1210</v>
      </c>
      <c r="M126" s="144">
        <v>0.67</v>
      </c>
      <c r="N126" s="143" t="s">
        <v>1308</v>
      </c>
      <c r="O126" s="143" t="s">
        <v>1270</v>
      </c>
      <c r="P126" s="146">
        <v>4.2719E-2</v>
      </c>
      <c r="Q126" s="145" t="s">
        <v>3930</v>
      </c>
      <c r="R126" s="144">
        <v>45500000</v>
      </c>
      <c r="S126" s="145" t="s">
        <v>3930</v>
      </c>
      <c r="T126" s="143" t="s">
        <v>1309</v>
      </c>
      <c r="U126" s="144">
        <v>44235.1</v>
      </c>
      <c r="V126" s="145" t="s">
        <v>3930</v>
      </c>
      <c r="W126" s="145" t="s">
        <v>3930</v>
      </c>
      <c r="X126" s="146">
        <v>3.7916666666666667E-3</v>
      </c>
      <c r="Y126" s="146">
        <v>4.8338331380974764E-2</v>
      </c>
      <c r="Z126" s="147">
        <v>5.6462755501183615E-3</v>
      </c>
      <c r="AA126" s="180"/>
    </row>
    <row r="127" spans="1:27" ht="15" x14ac:dyDescent="0.2">
      <c r="A127" s="142" t="s">
        <v>1220</v>
      </c>
      <c r="B127" s="143" t="s">
        <v>1220</v>
      </c>
      <c r="C127" s="143" t="s">
        <v>1229</v>
      </c>
      <c r="D127" s="143" t="s">
        <v>1280</v>
      </c>
      <c r="E127" s="143" t="s">
        <v>1281</v>
      </c>
      <c r="F127" s="143" t="s">
        <v>945</v>
      </c>
      <c r="G127" s="143" t="s">
        <v>204</v>
      </c>
      <c r="H127" s="143" t="s">
        <v>204</v>
      </c>
      <c r="I127" s="143" t="s">
        <v>340</v>
      </c>
      <c r="J127" s="143" t="s">
        <v>1232</v>
      </c>
      <c r="K127" s="143" t="s">
        <v>312</v>
      </c>
      <c r="L127" s="143" t="s">
        <v>1210</v>
      </c>
      <c r="M127" s="144">
        <v>3.86</v>
      </c>
      <c r="N127" s="143" t="s">
        <v>1282</v>
      </c>
      <c r="O127" s="146">
        <v>2.2499999999999999E-2</v>
      </c>
      <c r="P127" s="146">
        <v>4.4954000000000001E-2</v>
      </c>
      <c r="Q127" s="145" t="s">
        <v>3930</v>
      </c>
      <c r="R127" s="144">
        <v>37920898</v>
      </c>
      <c r="S127" s="145" t="s">
        <v>3930</v>
      </c>
      <c r="T127" s="143" t="s">
        <v>1283</v>
      </c>
      <c r="U127" s="144">
        <v>34849.3053</v>
      </c>
      <c r="V127" s="145" t="s">
        <v>3930</v>
      </c>
      <c r="W127" s="145" t="s">
        <v>3930</v>
      </c>
      <c r="X127" s="146">
        <v>1.1317468327604692E-3</v>
      </c>
      <c r="Y127" s="146">
        <v>3.8081913822989061E-2</v>
      </c>
      <c r="Z127" s="147">
        <v>4.4482499245947615E-3</v>
      </c>
      <c r="AA127" s="180"/>
    </row>
    <row r="128" spans="1:27" ht="15" x14ac:dyDescent="0.2">
      <c r="A128" s="142" t="s">
        <v>1220</v>
      </c>
      <c r="B128" s="143" t="s">
        <v>1220</v>
      </c>
      <c r="C128" s="143" t="s">
        <v>1292</v>
      </c>
      <c r="D128" s="143" t="s">
        <v>1293</v>
      </c>
      <c r="E128" s="143" t="s">
        <v>1294</v>
      </c>
      <c r="F128" s="143" t="s">
        <v>945</v>
      </c>
      <c r="G128" s="143" t="s">
        <v>204</v>
      </c>
      <c r="H128" s="143" t="s">
        <v>204</v>
      </c>
      <c r="I128" s="143" t="s">
        <v>340</v>
      </c>
      <c r="J128" s="143" t="s">
        <v>1232</v>
      </c>
      <c r="K128" s="143" t="s">
        <v>312</v>
      </c>
      <c r="L128" s="143" t="s">
        <v>1210</v>
      </c>
      <c r="M128" s="144">
        <v>5.33</v>
      </c>
      <c r="N128" s="143" t="s">
        <v>1295</v>
      </c>
      <c r="O128" s="146">
        <v>1.0026999999999999E-2</v>
      </c>
      <c r="P128" s="146">
        <v>4.5976999999999997E-2</v>
      </c>
      <c r="Q128" s="145" t="s">
        <v>3930</v>
      </c>
      <c r="R128" s="144">
        <v>41549244</v>
      </c>
      <c r="S128" s="145" t="s">
        <v>3930</v>
      </c>
      <c r="T128" s="143" t="s">
        <v>1296</v>
      </c>
      <c r="U128" s="144">
        <v>34585.590700000001</v>
      </c>
      <c r="V128" s="145" t="s">
        <v>3930</v>
      </c>
      <c r="W128" s="145" t="s">
        <v>3930</v>
      </c>
      <c r="X128" s="146">
        <v>1.1004833185810662E-3</v>
      </c>
      <c r="Y128" s="146">
        <v>3.7793737202675107E-2</v>
      </c>
      <c r="Z128" s="147">
        <v>4.414588758416509E-3</v>
      </c>
      <c r="AA128" s="180"/>
    </row>
    <row r="129" spans="1:27" ht="15" x14ac:dyDescent="0.2">
      <c r="A129" s="142" t="s">
        <v>1220</v>
      </c>
      <c r="B129" s="143" t="s">
        <v>1220</v>
      </c>
      <c r="C129" s="143" t="s">
        <v>1229</v>
      </c>
      <c r="D129" s="143" t="s">
        <v>1284</v>
      </c>
      <c r="E129" s="143" t="s">
        <v>1285</v>
      </c>
      <c r="F129" s="143" t="s">
        <v>945</v>
      </c>
      <c r="G129" s="143" t="s">
        <v>204</v>
      </c>
      <c r="H129" s="143" t="s">
        <v>204</v>
      </c>
      <c r="I129" s="143" t="s">
        <v>340</v>
      </c>
      <c r="J129" s="143" t="s">
        <v>1232</v>
      </c>
      <c r="K129" s="143" t="s">
        <v>312</v>
      </c>
      <c r="L129" s="143" t="s">
        <v>1210</v>
      </c>
      <c r="M129" s="144">
        <v>14.32</v>
      </c>
      <c r="N129" s="143" t="s">
        <v>1286</v>
      </c>
      <c r="O129" s="146">
        <v>3.7602999999999998E-2</v>
      </c>
      <c r="P129" s="146">
        <v>5.3239000000000002E-2</v>
      </c>
      <c r="Q129" s="145" t="s">
        <v>3930</v>
      </c>
      <c r="R129" s="144">
        <v>37226392</v>
      </c>
      <c r="S129" s="145" t="s">
        <v>3930</v>
      </c>
      <c r="T129" s="143" t="s">
        <v>1287</v>
      </c>
      <c r="U129" s="144">
        <v>30287.392500000002</v>
      </c>
      <c r="V129" s="145" t="s">
        <v>3930</v>
      </c>
      <c r="W129" s="145" t="s">
        <v>3930</v>
      </c>
      <c r="X129" s="146">
        <v>1.4183457863113516E-3</v>
      </c>
      <c r="Y129" s="146">
        <v>3.3096839768392193E-2</v>
      </c>
      <c r="Z129" s="147">
        <v>3.8659563090340482E-3</v>
      </c>
      <c r="AA129" s="180"/>
    </row>
    <row r="130" spans="1:27" ht="15" x14ac:dyDescent="0.2">
      <c r="A130" s="142" t="s">
        <v>1220</v>
      </c>
      <c r="B130" s="143" t="s">
        <v>1220</v>
      </c>
      <c r="C130" s="143" t="s">
        <v>1229</v>
      </c>
      <c r="D130" s="143" t="s">
        <v>1297</v>
      </c>
      <c r="E130" s="143" t="s">
        <v>1298</v>
      </c>
      <c r="F130" s="143" t="s">
        <v>945</v>
      </c>
      <c r="G130" s="143" t="s">
        <v>204</v>
      </c>
      <c r="H130" s="143" t="s">
        <v>204</v>
      </c>
      <c r="I130" s="143" t="s">
        <v>340</v>
      </c>
      <c r="J130" s="143" t="s">
        <v>1232</v>
      </c>
      <c r="K130" s="143" t="s">
        <v>312</v>
      </c>
      <c r="L130" s="143" t="s">
        <v>1210</v>
      </c>
      <c r="M130" s="144">
        <v>8.52</v>
      </c>
      <c r="N130" s="143" t="s">
        <v>1299</v>
      </c>
      <c r="O130" s="146">
        <v>0.04</v>
      </c>
      <c r="P130" s="146">
        <v>4.8728E-2</v>
      </c>
      <c r="Q130" s="145" t="s">
        <v>3930</v>
      </c>
      <c r="R130" s="144">
        <v>24943577</v>
      </c>
      <c r="S130" s="145" t="s">
        <v>3930</v>
      </c>
      <c r="T130" s="143" t="s">
        <v>1300</v>
      </c>
      <c r="U130" s="144">
        <v>23678.937600000001</v>
      </c>
      <c r="V130" s="145" t="s">
        <v>3930</v>
      </c>
      <c r="W130" s="145" t="s">
        <v>3930</v>
      </c>
      <c r="X130" s="146">
        <v>1.4414658935029666E-3</v>
      </c>
      <c r="Y130" s="146">
        <v>2.5875387072406761E-2</v>
      </c>
      <c r="Z130" s="147">
        <v>3.0224370846669646E-3</v>
      </c>
      <c r="AA130" s="180"/>
    </row>
    <row r="131" spans="1:27" ht="15" x14ac:dyDescent="0.2">
      <c r="A131" s="142" t="s">
        <v>1220</v>
      </c>
      <c r="B131" s="143" t="s">
        <v>1220</v>
      </c>
      <c r="C131" s="143" t="s">
        <v>1229</v>
      </c>
      <c r="D131" s="143" t="s">
        <v>1340</v>
      </c>
      <c r="E131" s="143" t="s">
        <v>1341</v>
      </c>
      <c r="F131" s="143" t="s">
        <v>945</v>
      </c>
      <c r="G131" s="143" t="s">
        <v>204</v>
      </c>
      <c r="H131" s="143" t="s">
        <v>204</v>
      </c>
      <c r="I131" s="143" t="s">
        <v>340</v>
      </c>
      <c r="J131" s="143" t="s">
        <v>1232</v>
      </c>
      <c r="K131" s="143" t="s">
        <v>312</v>
      </c>
      <c r="L131" s="143" t="s">
        <v>1210</v>
      </c>
      <c r="M131" s="144">
        <v>2.44</v>
      </c>
      <c r="N131" s="143" t="s">
        <v>1342</v>
      </c>
      <c r="O131" s="146">
        <v>2.0055E-2</v>
      </c>
      <c r="P131" s="146">
        <v>4.3994999999999999E-2</v>
      </c>
      <c r="Q131" s="145" t="s">
        <v>3930</v>
      </c>
      <c r="R131" s="144">
        <v>6507397</v>
      </c>
      <c r="S131" s="145" t="s">
        <v>3930</v>
      </c>
      <c r="T131" s="143" t="s">
        <v>1343</v>
      </c>
      <c r="U131" s="144">
        <v>6210.6597000000002</v>
      </c>
      <c r="V131" s="145" t="s">
        <v>3930</v>
      </c>
      <c r="W131" s="145" t="s">
        <v>3930</v>
      </c>
      <c r="X131" s="146">
        <v>2.5180360655909564E-4</v>
      </c>
      <c r="Y131" s="146">
        <v>6.7867581743543621E-3</v>
      </c>
      <c r="Z131" s="147">
        <v>7.9274368083597315E-4</v>
      </c>
      <c r="AA131" s="180"/>
    </row>
    <row r="132" spans="1:27" ht="15" x14ac:dyDescent="0.2">
      <c r="A132" s="142" t="s">
        <v>1220</v>
      </c>
      <c r="B132" s="143" t="s">
        <v>1220</v>
      </c>
      <c r="C132" s="143" t="s">
        <v>1229</v>
      </c>
      <c r="D132" s="143" t="s">
        <v>1336</v>
      </c>
      <c r="E132" s="143" t="s">
        <v>1337</v>
      </c>
      <c r="F132" s="143" t="s">
        <v>945</v>
      </c>
      <c r="G132" s="143" t="s">
        <v>204</v>
      </c>
      <c r="H132" s="143" t="s">
        <v>204</v>
      </c>
      <c r="I132" s="143" t="s">
        <v>340</v>
      </c>
      <c r="J132" s="143" t="s">
        <v>1232</v>
      </c>
      <c r="K132" s="143" t="s">
        <v>312</v>
      </c>
      <c r="L132" s="143" t="s">
        <v>1210</v>
      </c>
      <c r="M132" s="144">
        <v>1.91</v>
      </c>
      <c r="N132" s="143" t="s">
        <v>1338</v>
      </c>
      <c r="O132" s="146">
        <v>6.25E-2</v>
      </c>
      <c r="P132" s="146">
        <v>4.3473999999999999E-2</v>
      </c>
      <c r="Q132" s="145" t="s">
        <v>3930</v>
      </c>
      <c r="R132" s="144">
        <v>5284864</v>
      </c>
      <c r="S132" s="145" t="s">
        <v>3930</v>
      </c>
      <c r="T132" s="143" t="s">
        <v>1339</v>
      </c>
      <c r="U132" s="144">
        <v>5786.9260999999997</v>
      </c>
      <c r="V132" s="145" t="s">
        <v>3930</v>
      </c>
      <c r="W132" s="145" t="s">
        <v>3930</v>
      </c>
      <c r="X132" s="146">
        <v>3.5477959491804213E-4</v>
      </c>
      <c r="Y132" s="146">
        <v>6.3237191852679262E-3</v>
      </c>
      <c r="Z132" s="147">
        <v>7.3865729332241344E-4</v>
      </c>
      <c r="AA132" s="180"/>
    </row>
    <row r="133" spans="1:27" ht="15" x14ac:dyDescent="0.2">
      <c r="A133" s="142" t="s">
        <v>1220</v>
      </c>
      <c r="B133" s="143" t="s">
        <v>1220</v>
      </c>
      <c r="C133" s="143" t="s">
        <v>1229</v>
      </c>
      <c r="D133" s="143" t="s">
        <v>1310</v>
      </c>
      <c r="E133" s="143" t="s">
        <v>1311</v>
      </c>
      <c r="F133" s="143" t="s">
        <v>945</v>
      </c>
      <c r="G133" s="143" t="s">
        <v>204</v>
      </c>
      <c r="H133" s="143" t="s">
        <v>204</v>
      </c>
      <c r="I133" s="143" t="s">
        <v>340</v>
      </c>
      <c r="J133" s="143" t="s">
        <v>1232</v>
      </c>
      <c r="K133" s="143" t="s">
        <v>312</v>
      </c>
      <c r="L133" s="143" t="s">
        <v>1210</v>
      </c>
      <c r="M133" s="144">
        <v>16.71</v>
      </c>
      <c r="N133" s="143" t="s">
        <v>1312</v>
      </c>
      <c r="O133" s="146">
        <v>2.8000000000000001E-2</v>
      </c>
      <c r="P133" s="146">
        <v>5.4316000000000003E-2</v>
      </c>
      <c r="Q133" s="145" t="s">
        <v>3930</v>
      </c>
      <c r="R133" s="144">
        <v>6500000</v>
      </c>
      <c r="S133" s="145" t="s">
        <v>3930</v>
      </c>
      <c r="T133" s="143" t="s">
        <v>1313</v>
      </c>
      <c r="U133" s="144">
        <v>4205.5</v>
      </c>
      <c r="V133" s="145" t="s">
        <v>3930</v>
      </c>
      <c r="W133" s="145" t="s">
        <v>3930</v>
      </c>
      <c r="X133" s="146">
        <v>3.6612969147321124E-4</v>
      </c>
      <c r="Y133" s="146">
        <v>4.5956006117922046E-3</v>
      </c>
      <c r="Z133" s="147">
        <v>5.3680022936588288E-4</v>
      </c>
      <c r="AA133" s="180"/>
    </row>
    <row r="134" spans="1:27" ht="15" x14ac:dyDescent="0.2">
      <c r="A134" s="142" t="s">
        <v>1220</v>
      </c>
      <c r="B134" s="143" t="s">
        <v>1220</v>
      </c>
      <c r="C134" s="143" t="s">
        <v>1229</v>
      </c>
      <c r="D134" s="143" t="s">
        <v>1332</v>
      </c>
      <c r="E134" s="143" t="s">
        <v>1333</v>
      </c>
      <c r="F134" s="143" t="s">
        <v>945</v>
      </c>
      <c r="G134" s="143" t="s">
        <v>204</v>
      </c>
      <c r="H134" s="143" t="s">
        <v>204</v>
      </c>
      <c r="I134" s="143" t="s">
        <v>340</v>
      </c>
      <c r="J134" s="143" t="s">
        <v>1232</v>
      </c>
      <c r="K134" s="143" t="s">
        <v>312</v>
      </c>
      <c r="L134" s="143" t="s">
        <v>1210</v>
      </c>
      <c r="M134" s="144">
        <v>0.1</v>
      </c>
      <c r="N134" s="143" t="s">
        <v>1334</v>
      </c>
      <c r="O134" s="143" t="s">
        <v>1270</v>
      </c>
      <c r="P134" s="146">
        <v>4.3596000000000003E-2</v>
      </c>
      <c r="Q134" s="145" t="s">
        <v>3930</v>
      </c>
      <c r="R134" s="144">
        <v>2471133</v>
      </c>
      <c r="S134" s="145" t="s">
        <v>3930</v>
      </c>
      <c r="T134" s="143" t="s">
        <v>1335</v>
      </c>
      <c r="U134" s="144">
        <v>2460.7542000000003</v>
      </c>
      <c r="V134" s="145" t="s">
        <v>3930</v>
      </c>
      <c r="W134" s="145" t="s">
        <v>3930</v>
      </c>
      <c r="X134" s="146">
        <v>6.1778325000000006E-5</v>
      </c>
      <c r="Y134" s="146">
        <v>2.6890128872305557E-3</v>
      </c>
      <c r="Z134" s="147">
        <v>3.1409664515434296E-4</v>
      </c>
      <c r="AA134" s="180"/>
    </row>
    <row r="135" spans="1:27" ht="15" x14ac:dyDescent="0.2">
      <c r="A135" s="142" t="s">
        <v>1220</v>
      </c>
      <c r="B135" s="143" t="s">
        <v>1220</v>
      </c>
      <c r="C135" s="143" t="s">
        <v>1314</v>
      </c>
      <c r="D135" s="143" t="s">
        <v>1315</v>
      </c>
      <c r="E135" s="143" t="s">
        <v>1316</v>
      </c>
      <c r="F135" s="143" t="s">
        <v>947</v>
      </c>
      <c r="G135" s="143" t="s">
        <v>205</v>
      </c>
      <c r="H135" s="143" t="s">
        <v>224</v>
      </c>
      <c r="I135" s="143" t="s">
        <v>344</v>
      </c>
      <c r="J135" s="143" t="s">
        <v>1317</v>
      </c>
      <c r="K135" s="143" t="s">
        <v>423</v>
      </c>
      <c r="L135" s="143" t="s">
        <v>1211</v>
      </c>
      <c r="M135" s="144">
        <v>7.5</v>
      </c>
      <c r="N135" s="143" t="s">
        <v>1318</v>
      </c>
      <c r="O135" s="146">
        <v>3.875E-2</v>
      </c>
      <c r="P135" s="146">
        <v>3.848E-2</v>
      </c>
      <c r="Q135" s="145" t="s">
        <v>3930</v>
      </c>
      <c r="R135" s="144">
        <v>7488000</v>
      </c>
      <c r="S135" s="143" t="s">
        <v>1212</v>
      </c>
      <c r="T135" s="143" t="s">
        <v>1319</v>
      </c>
      <c r="U135" s="144">
        <v>28161.111199999999</v>
      </c>
      <c r="V135" s="145" t="s">
        <v>3930</v>
      </c>
      <c r="W135" s="145" t="s">
        <v>3930</v>
      </c>
      <c r="X135" s="146">
        <v>1.9705263157894737E-4</v>
      </c>
      <c r="Y135" s="146">
        <v>3.0773325330078299E-2</v>
      </c>
      <c r="Z135" s="147">
        <v>3.5945525930058553E-3</v>
      </c>
      <c r="AA135" s="180"/>
    </row>
    <row r="136" spans="1:27" ht="15" x14ac:dyDescent="0.2">
      <c r="A136" s="148" t="s">
        <v>1220</v>
      </c>
      <c r="B136" s="149" t="s">
        <v>1220</v>
      </c>
      <c r="C136" s="149" t="s">
        <v>1314</v>
      </c>
      <c r="D136" s="149" t="s">
        <v>1324</v>
      </c>
      <c r="E136" s="149" t="s">
        <v>1325</v>
      </c>
      <c r="F136" s="149" t="s">
        <v>947</v>
      </c>
      <c r="G136" s="149" t="s">
        <v>205</v>
      </c>
      <c r="H136" s="149" t="s">
        <v>224</v>
      </c>
      <c r="I136" s="149" t="s">
        <v>344</v>
      </c>
      <c r="J136" s="149" t="s">
        <v>1317</v>
      </c>
      <c r="K136" s="149" t="s">
        <v>423</v>
      </c>
      <c r="L136" s="149" t="s">
        <v>1211</v>
      </c>
      <c r="M136" s="150">
        <v>7.8140000000000001</v>
      </c>
      <c r="N136" s="149" t="s">
        <v>1326</v>
      </c>
      <c r="O136" s="152">
        <v>0.04</v>
      </c>
      <c r="P136" s="152">
        <v>3.8649999999999997E-2</v>
      </c>
      <c r="Q136" s="151" t="s">
        <v>3930</v>
      </c>
      <c r="R136" s="150">
        <v>3227000</v>
      </c>
      <c r="S136" s="149" t="s">
        <v>1212</v>
      </c>
      <c r="T136" s="149" t="s">
        <v>1327</v>
      </c>
      <c r="U136" s="150">
        <v>12246.615400000001</v>
      </c>
      <c r="V136" s="151" t="s">
        <v>3930</v>
      </c>
      <c r="W136" s="151" t="s">
        <v>3930</v>
      </c>
      <c r="X136" s="152">
        <v>7.6833333333333335E-5</v>
      </c>
      <c r="Y136" s="152">
        <v>1.3382606844371193E-2</v>
      </c>
      <c r="Z136" s="153">
        <v>1.5631877159077883E-3</v>
      </c>
      <c r="AA136" s="180"/>
    </row>
    <row r="137" spans="1:27" x14ac:dyDescent="0.2">
      <c r="A137" s="180" t="s">
        <v>3946</v>
      </c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spans="1:27" x14ac:dyDescent="0.2">
      <c r="A138" s="4" t="s">
        <v>3945</v>
      </c>
    </row>
    <row r="139" spans="1:27" x14ac:dyDescent="0.2">
      <c r="A139" s="181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7:Z137"/>
    <mergeCell ref="AA2:AA13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3952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56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85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80" t="s">
        <v>3947</v>
      </c>
    </row>
    <row r="3" spans="1:37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45" t="s">
        <v>3930</v>
      </c>
      <c r="X3" s="145" t="s">
        <v>3930</v>
      </c>
      <c r="Y3" s="145" t="s">
        <v>3930</v>
      </c>
      <c r="Z3" s="145" t="s">
        <v>3930</v>
      </c>
      <c r="AA3" s="145" t="s">
        <v>3930</v>
      </c>
      <c r="AB3" s="145" t="s">
        <v>3930</v>
      </c>
      <c r="AC3" s="145" t="s">
        <v>3930</v>
      </c>
      <c r="AD3" s="145" t="s">
        <v>3930</v>
      </c>
      <c r="AE3" s="145" t="s">
        <v>3930</v>
      </c>
      <c r="AF3" s="145" t="s">
        <v>3930</v>
      </c>
      <c r="AG3" s="145" t="s">
        <v>3930</v>
      </c>
      <c r="AH3" s="145" t="s">
        <v>3930</v>
      </c>
      <c r="AI3" s="145" t="s">
        <v>3930</v>
      </c>
      <c r="AJ3" s="156" t="s">
        <v>3930</v>
      </c>
      <c r="AK3" s="180"/>
    </row>
    <row r="4" spans="1:37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45" t="s">
        <v>3930</v>
      </c>
      <c r="X4" s="145" t="s">
        <v>3930</v>
      </c>
      <c r="Y4" s="145" t="s">
        <v>3930</v>
      </c>
      <c r="Z4" s="145" t="s">
        <v>3930</v>
      </c>
      <c r="AA4" s="145" t="s">
        <v>3930</v>
      </c>
      <c r="AB4" s="145" t="s">
        <v>3930</v>
      </c>
      <c r="AC4" s="145" t="s">
        <v>3930</v>
      </c>
      <c r="AD4" s="145" t="s">
        <v>3930</v>
      </c>
      <c r="AE4" s="145" t="s">
        <v>3930</v>
      </c>
      <c r="AF4" s="145" t="s">
        <v>3930</v>
      </c>
      <c r="AG4" s="145" t="s">
        <v>3930</v>
      </c>
      <c r="AH4" s="145" t="s">
        <v>3930</v>
      </c>
      <c r="AI4" s="145" t="s">
        <v>3930</v>
      </c>
      <c r="AJ4" s="156" t="s">
        <v>3930</v>
      </c>
      <c r="AK4" s="180"/>
    </row>
    <row r="5" spans="1:37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45" t="s">
        <v>3930</v>
      </c>
      <c r="X5" s="145" t="s">
        <v>3930</v>
      </c>
      <c r="Y5" s="145" t="s">
        <v>3930</v>
      </c>
      <c r="Z5" s="145" t="s">
        <v>3930</v>
      </c>
      <c r="AA5" s="145" t="s">
        <v>3930</v>
      </c>
      <c r="AB5" s="145" t="s">
        <v>3930</v>
      </c>
      <c r="AC5" s="145" t="s">
        <v>3930</v>
      </c>
      <c r="AD5" s="145" t="s">
        <v>3930</v>
      </c>
      <c r="AE5" s="145" t="s">
        <v>3930</v>
      </c>
      <c r="AF5" s="145" t="s">
        <v>3930</v>
      </c>
      <c r="AG5" s="145" t="s">
        <v>3930</v>
      </c>
      <c r="AH5" s="145" t="s">
        <v>3930</v>
      </c>
      <c r="AI5" s="145" t="s">
        <v>3930</v>
      </c>
      <c r="AJ5" s="156" t="s">
        <v>3930</v>
      </c>
      <c r="AK5" s="180"/>
    </row>
    <row r="6" spans="1:37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45" t="s">
        <v>3930</v>
      </c>
      <c r="X6" s="145" t="s">
        <v>3930</v>
      </c>
      <c r="Y6" s="145" t="s">
        <v>3930</v>
      </c>
      <c r="Z6" s="145" t="s">
        <v>3930</v>
      </c>
      <c r="AA6" s="145" t="s">
        <v>3930</v>
      </c>
      <c r="AB6" s="145" t="s">
        <v>3930</v>
      </c>
      <c r="AC6" s="145" t="s">
        <v>3930</v>
      </c>
      <c r="AD6" s="145" t="s">
        <v>3930</v>
      </c>
      <c r="AE6" s="145" t="s">
        <v>3930</v>
      </c>
      <c r="AF6" s="145" t="s">
        <v>3930</v>
      </c>
      <c r="AG6" s="145" t="s">
        <v>3930</v>
      </c>
      <c r="AH6" s="145" t="s">
        <v>3930</v>
      </c>
      <c r="AI6" s="145" t="s">
        <v>3930</v>
      </c>
      <c r="AJ6" s="156" t="s">
        <v>3930</v>
      </c>
      <c r="AK6" s="180"/>
    </row>
    <row r="7" spans="1:37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45" t="s">
        <v>3930</v>
      </c>
      <c r="Z7" s="145" t="s">
        <v>3930</v>
      </c>
      <c r="AA7" s="145" t="s">
        <v>3930</v>
      </c>
      <c r="AB7" s="145" t="s">
        <v>3930</v>
      </c>
      <c r="AC7" s="145" t="s">
        <v>3930</v>
      </c>
      <c r="AD7" s="145" t="s">
        <v>3930</v>
      </c>
      <c r="AE7" s="145" t="s">
        <v>3930</v>
      </c>
      <c r="AF7" s="145" t="s">
        <v>3930</v>
      </c>
      <c r="AG7" s="145" t="s">
        <v>3930</v>
      </c>
      <c r="AH7" s="145" t="s">
        <v>3930</v>
      </c>
      <c r="AI7" s="145" t="s">
        <v>3930</v>
      </c>
      <c r="AJ7" s="156" t="s">
        <v>3930</v>
      </c>
      <c r="AK7" s="180"/>
    </row>
    <row r="8" spans="1:37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1" t="s">
        <v>3930</v>
      </c>
      <c r="X8" s="151" t="s">
        <v>3930</v>
      </c>
      <c r="Y8" s="151" t="s">
        <v>3930</v>
      </c>
      <c r="Z8" s="151" t="s">
        <v>3930</v>
      </c>
      <c r="AA8" s="151" t="s">
        <v>3930</v>
      </c>
      <c r="AB8" s="151" t="s">
        <v>3930</v>
      </c>
      <c r="AC8" s="151" t="s">
        <v>3930</v>
      </c>
      <c r="AD8" s="151" t="s">
        <v>3930</v>
      </c>
      <c r="AE8" s="151" t="s">
        <v>3930</v>
      </c>
      <c r="AF8" s="151" t="s">
        <v>3930</v>
      </c>
      <c r="AG8" s="151" t="s">
        <v>3930</v>
      </c>
      <c r="AH8" s="151" t="s">
        <v>3930</v>
      </c>
      <c r="AI8" s="151" t="s">
        <v>3930</v>
      </c>
      <c r="AJ8" s="159" t="s">
        <v>3930</v>
      </c>
      <c r="AK8" s="180"/>
    </row>
    <row r="9" spans="1:37" x14ac:dyDescent="0.2">
      <c r="A9" s="182" t="s">
        <v>3946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7" x14ac:dyDescent="0.2">
      <c r="A10" s="16" t="s">
        <v>3945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9"/>
      <c r="U10" s="16"/>
      <c r="V10" s="16"/>
      <c r="W10" s="16"/>
      <c r="X10" s="16"/>
      <c r="Y10" s="16"/>
      <c r="Z10" s="16"/>
      <c r="AB10" s="99"/>
      <c r="AC10" s="99"/>
      <c r="AD10" s="99"/>
      <c r="AG10" s="16"/>
    </row>
    <row r="11" spans="1:37" x14ac:dyDescent="0.2">
      <c r="A11" s="18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9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9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9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9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9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9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9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9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9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9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9"/>
      <c r="X21" s="16"/>
      <c r="Y21" s="16"/>
      <c r="AG21" s="16"/>
    </row>
    <row r="22" spans="1:33" x14ac:dyDescent="0.2">
      <c r="T22" s="98"/>
    </row>
    <row r="23" spans="1:33" x14ac:dyDescent="0.2">
      <c r="T23" s="98"/>
    </row>
    <row r="24" spans="1:33" x14ac:dyDescent="0.2">
      <c r="T24" s="98"/>
    </row>
    <row r="25" spans="1:33" x14ac:dyDescent="0.2">
      <c r="T25" s="98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>
      <formula1>Stock_Exchange_Gov_Bonds</formula1>
    </dataValidation>
    <dataValidation type="list" allowBlank="1" showInputMessage="1" showErrorMessage="1" sqref="J10:J21">
      <formula1>israel_abroad</formula1>
    </dataValidation>
    <dataValidation type="list" allowBlank="1" showInputMessage="1" showErrorMessage="1" sqref="N1048573:N1048576 N10:N21">
      <formula1>Holding_interest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AG10:AG21">
      <formula1>In_the_books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T10:T21">
      <formula1>Underlying_Interest_Rates</formula1>
    </dataValidation>
    <dataValidation type="list" allowBlank="1" showInputMessage="1" showErrorMessage="1" sqref="Y10:Y21">
      <formula1>Yes_No_Bad_Debt</formula1>
    </dataValidation>
    <dataValidation type="list" allowBlank="1" showInputMessage="1" showErrorMessage="1" sqref="X10:X21">
      <formula1>Subordination_Risk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M10:M21">
      <formula1>Industry_Sector</formula1>
    </dataValidation>
    <dataValidation type="list" allowBlank="1" showInputMessage="1" showErrorMessage="1" sqref="L10:L21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84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3.75" style="2" bestFit="1" customWidth="1"/>
    <col min="7" max="7" width="13.62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1" style="2" bestFit="1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3953</v>
      </c>
    </row>
    <row r="2" spans="1:3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62</v>
      </c>
      <c r="W2" s="140" t="s">
        <v>74</v>
      </c>
      <c r="X2" s="140" t="s">
        <v>86</v>
      </c>
      <c r="Y2" s="140" t="s">
        <v>87</v>
      </c>
      <c r="Z2" s="140" t="s">
        <v>76</v>
      </c>
      <c r="AA2" s="140" t="s">
        <v>61</v>
      </c>
      <c r="AB2" s="140" t="s">
        <v>77</v>
      </c>
      <c r="AC2" s="140" t="s">
        <v>75</v>
      </c>
      <c r="AD2" s="140" t="s">
        <v>63</v>
      </c>
      <c r="AE2" s="140" t="s">
        <v>78</v>
      </c>
      <c r="AF2" s="140" t="s">
        <v>88</v>
      </c>
      <c r="AG2" s="140" t="s">
        <v>17</v>
      </c>
      <c r="AH2" s="140" t="s">
        <v>79</v>
      </c>
      <c r="AI2" s="140" t="s">
        <v>64</v>
      </c>
      <c r="AJ2" s="141" t="s">
        <v>65</v>
      </c>
      <c r="AK2" s="177" t="s">
        <v>3947</v>
      </c>
    </row>
    <row r="3" spans="1:37" ht="15" x14ac:dyDescent="0.2">
      <c r="A3" s="142" t="s">
        <v>1205</v>
      </c>
      <c r="B3" s="143" t="s">
        <v>1206</v>
      </c>
      <c r="C3" s="143" t="s">
        <v>1352</v>
      </c>
      <c r="D3" s="143" t="s">
        <v>1353</v>
      </c>
      <c r="E3" s="143" t="s">
        <v>309</v>
      </c>
      <c r="F3" s="143" t="s">
        <v>1354</v>
      </c>
      <c r="G3" s="143" t="s">
        <v>1355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445</v>
      </c>
      <c r="O3" s="143" t="s">
        <v>339</v>
      </c>
      <c r="P3" s="143" t="s">
        <v>1356</v>
      </c>
      <c r="Q3" s="143" t="s">
        <v>413</v>
      </c>
      <c r="R3" s="143" t="s">
        <v>407</v>
      </c>
      <c r="S3" s="143" t="s">
        <v>1210</v>
      </c>
      <c r="T3" s="144">
        <v>5.12</v>
      </c>
      <c r="U3" s="143" t="s">
        <v>1295</v>
      </c>
      <c r="V3" s="146">
        <v>2.64E-2</v>
      </c>
      <c r="W3" s="146">
        <v>5.7553E-2</v>
      </c>
      <c r="X3" s="143" t="s">
        <v>412</v>
      </c>
      <c r="Y3" s="145" t="s">
        <v>3930</v>
      </c>
      <c r="Z3" s="144">
        <v>53030.11</v>
      </c>
      <c r="AA3" s="145" t="s">
        <v>3930</v>
      </c>
      <c r="AB3" s="143" t="s">
        <v>1357</v>
      </c>
      <c r="AC3" s="145" t="s">
        <v>3930</v>
      </c>
      <c r="AD3" s="144">
        <v>45.473300000000002</v>
      </c>
      <c r="AE3" s="145" t="s">
        <v>3930</v>
      </c>
      <c r="AF3" s="145" t="s">
        <v>3930</v>
      </c>
      <c r="AG3" s="145" t="s">
        <v>3930</v>
      </c>
      <c r="AH3" s="146">
        <v>3.2411080071510517E-5</v>
      </c>
      <c r="AI3" s="146">
        <v>4.3737127737751978E-2</v>
      </c>
      <c r="AJ3" s="147">
        <v>2.9581246442453826E-3</v>
      </c>
      <c r="AK3" s="177"/>
    </row>
    <row r="4" spans="1:37" ht="15" x14ac:dyDescent="0.2">
      <c r="A4" s="142" t="s">
        <v>1205</v>
      </c>
      <c r="B4" s="143" t="s">
        <v>1206</v>
      </c>
      <c r="C4" s="143" t="s">
        <v>1358</v>
      </c>
      <c r="D4" s="143" t="s">
        <v>1359</v>
      </c>
      <c r="E4" s="143" t="s">
        <v>309</v>
      </c>
      <c r="F4" s="143" t="s">
        <v>1360</v>
      </c>
      <c r="G4" s="143" t="s">
        <v>1361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1303</v>
      </c>
      <c r="Q4" s="143" t="s">
        <v>413</v>
      </c>
      <c r="R4" s="143" t="s">
        <v>407</v>
      </c>
      <c r="S4" s="143" t="s">
        <v>1210</v>
      </c>
      <c r="T4" s="144">
        <v>0.68</v>
      </c>
      <c r="U4" s="143" t="s">
        <v>1362</v>
      </c>
      <c r="V4" s="146">
        <v>2.98E-2</v>
      </c>
      <c r="W4" s="146">
        <v>4.4567000000000002E-2</v>
      </c>
      <c r="X4" s="143" t="s">
        <v>412</v>
      </c>
      <c r="Y4" s="145" t="s">
        <v>3930</v>
      </c>
      <c r="Z4" s="144">
        <v>38189</v>
      </c>
      <c r="AA4" s="145" t="s">
        <v>3930</v>
      </c>
      <c r="AB4" s="143" t="s">
        <v>1363</v>
      </c>
      <c r="AC4" s="145" t="s">
        <v>3930</v>
      </c>
      <c r="AD4" s="144">
        <v>38.169899999999998</v>
      </c>
      <c r="AE4" s="145" t="s">
        <v>3930</v>
      </c>
      <c r="AF4" s="145" t="s">
        <v>3930</v>
      </c>
      <c r="AG4" s="145" t="s">
        <v>3930</v>
      </c>
      <c r="AH4" s="146">
        <v>1.5022554089888287E-5</v>
      </c>
      <c r="AI4" s="146">
        <v>3.6712561505788464E-2</v>
      </c>
      <c r="AJ4" s="147">
        <v>2.4830238875038924E-3</v>
      </c>
      <c r="AK4" s="177"/>
    </row>
    <row r="5" spans="1:37" ht="15" x14ac:dyDescent="0.2">
      <c r="A5" s="142" t="s">
        <v>1205</v>
      </c>
      <c r="B5" s="143" t="s">
        <v>1206</v>
      </c>
      <c r="C5" s="143" t="s">
        <v>1364</v>
      </c>
      <c r="D5" s="143" t="s">
        <v>1365</v>
      </c>
      <c r="E5" s="143" t="s">
        <v>309</v>
      </c>
      <c r="F5" s="143" t="s">
        <v>1366</v>
      </c>
      <c r="G5" s="143" t="s">
        <v>1367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445</v>
      </c>
      <c r="O5" s="143" t="s">
        <v>339</v>
      </c>
      <c r="P5" s="143" t="s">
        <v>1368</v>
      </c>
      <c r="Q5" s="143" t="s">
        <v>415</v>
      </c>
      <c r="R5" s="143" t="s">
        <v>407</v>
      </c>
      <c r="S5" s="143" t="s">
        <v>1210</v>
      </c>
      <c r="T5" s="144">
        <v>0.82</v>
      </c>
      <c r="U5" s="143" t="s">
        <v>1369</v>
      </c>
      <c r="V5" s="146">
        <v>3.61E-2</v>
      </c>
      <c r="W5" s="146">
        <v>5.1797000000000003E-2</v>
      </c>
      <c r="X5" s="143" t="s">
        <v>412</v>
      </c>
      <c r="Y5" s="145" t="s">
        <v>3930</v>
      </c>
      <c r="Z5" s="144">
        <v>33647</v>
      </c>
      <c r="AA5" s="145" t="s">
        <v>3930</v>
      </c>
      <c r="AB5" s="143" t="s">
        <v>1370</v>
      </c>
      <c r="AC5" s="145" t="s">
        <v>3930</v>
      </c>
      <c r="AD5" s="144">
        <v>33.441800000000001</v>
      </c>
      <c r="AE5" s="145" t="s">
        <v>3930</v>
      </c>
      <c r="AF5" s="145" t="s">
        <v>3930</v>
      </c>
      <c r="AG5" s="145" t="s">
        <v>3930</v>
      </c>
      <c r="AH5" s="146">
        <v>4.3839739413680781E-5</v>
      </c>
      <c r="AI5" s="146">
        <v>3.2164932262870136E-2</v>
      </c>
      <c r="AJ5" s="147">
        <v>2.1754487258008044E-3</v>
      </c>
      <c r="AK5" s="177"/>
    </row>
    <row r="6" spans="1:37" ht="15" x14ac:dyDescent="0.2">
      <c r="A6" s="142" t="s">
        <v>1205</v>
      </c>
      <c r="B6" s="143" t="s">
        <v>1206</v>
      </c>
      <c r="C6" s="143" t="s">
        <v>1371</v>
      </c>
      <c r="D6" s="143" t="s">
        <v>1372</v>
      </c>
      <c r="E6" s="143" t="s">
        <v>309</v>
      </c>
      <c r="F6" s="143" t="s">
        <v>1373</v>
      </c>
      <c r="G6" s="143" t="s">
        <v>1374</v>
      </c>
      <c r="H6" s="143" t="s">
        <v>321</v>
      </c>
      <c r="I6" s="143" t="s">
        <v>951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440</v>
      </c>
      <c r="O6" s="143" t="s">
        <v>339</v>
      </c>
      <c r="P6" s="143" t="s">
        <v>1375</v>
      </c>
      <c r="Q6" s="143" t="s">
        <v>413</v>
      </c>
      <c r="R6" s="143" t="s">
        <v>407</v>
      </c>
      <c r="S6" s="143" t="s">
        <v>1210</v>
      </c>
      <c r="T6" s="144">
        <v>3.24</v>
      </c>
      <c r="U6" s="143" t="s">
        <v>1376</v>
      </c>
      <c r="V6" s="146">
        <v>2.5000000000000001E-2</v>
      </c>
      <c r="W6" s="146">
        <v>6.1240999999999997E-2</v>
      </c>
      <c r="X6" s="143" t="s">
        <v>412</v>
      </c>
      <c r="Y6" s="145" t="s">
        <v>3930</v>
      </c>
      <c r="Z6" s="144">
        <v>27000</v>
      </c>
      <c r="AA6" s="145" t="s">
        <v>3930</v>
      </c>
      <c r="AB6" s="143" t="s">
        <v>1377</v>
      </c>
      <c r="AC6" s="145" t="s">
        <v>3930</v>
      </c>
      <c r="AD6" s="144">
        <v>24.140700000000002</v>
      </c>
      <c r="AE6" s="145" t="s">
        <v>3930</v>
      </c>
      <c r="AF6" s="145" t="s">
        <v>3930</v>
      </c>
      <c r="AG6" s="145" t="s">
        <v>3930</v>
      </c>
      <c r="AH6" s="146">
        <v>3.5262298608197077E-5</v>
      </c>
      <c r="AI6" s="146">
        <v>2.3218997320881174E-2</v>
      </c>
      <c r="AJ6" s="147">
        <v>1.5703977774077856E-3</v>
      </c>
      <c r="AK6" s="177"/>
    </row>
    <row r="7" spans="1:37" ht="15" x14ac:dyDescent="0.2">
      <c r="A7" s="142" t="s">
        <v>1205</v>
      </c>
      <c r="B7" s="143" t="s">
        <v>1206</v>
      </c>
      <c r="C7" s="143" t="s">
        <v>1352</v>
      </c>
      <c r="D7" s="143" t="s">
        <v>1353</v>
      </c>
      <c r="E7" s="143" t="s">
        <v>309</v>
      </c>
      <c r="F7" s="143" t="s">
        <v>1378</v>
      </c>
      <c r="G7" s="143" t="s">
        <v>1379</v>
      </c>
      <c r="H7" s="143" t="s">
        <v>321</v>
      </c>
      <c r="I7" s="143" t="s">
        <v>951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445</v>
      </c>
      <c r="O7" s="143" t="s">
        <v>339</v>
      </c>
      <c r="P7" s="143" t="s">
        <v>1356</v>
      </c>
      <c r="Q7" s="143" t="s">
        <v>413</v>
      </c>
      <c r="R7" s="143" t="s">
        <v>407</v>
      </c>
      <c r="S7" s="143" t="s">
        <v>1210</v>
      </c>
      <c r="T7" s="144">
        <v>7.65</v>
      </c>
      <c r="U7" s="143" t="s">
        <v>1380</v>
      </c>
      <c r="V7" s="146">
        <v>5.3100000000000001E-2</v>
      </c>
      <c r="W7" s="146">
        <v>6.0852000000000003E-2</v>
      </c>
      <c r="X7" s="143" t="s">
        <v>412</v>
      </c>
      <c r="Y7" s="145" t="s">
        <v>3930</v>
      </c>
      <c r="Z7" s="144">
        <v>24238.2</v>
      </c>
      <c r="AA7" s="145" t="s">
        <v>3930</v>
      </c>
      <c r="AB7" s="143" t="s">
        <v>1381</v>
      </c>
      <c r="AC7" s="145" t="s">
        <v>3930</v>
      </c>
      <c r="AD7" s="144">
        <v>23.200800000000001</v>
      </c>
      <c r="AE7" s="145" t="s">
        <v>3930</v>
      </c>
      <c r="AF7" s="145" t="s">
        <v>3930</v>
      </c>
      <c r="AG7" s="145" t="s">
        <v>3930</v>
      </c>
      <c r="AH7" s="146">
        <v>1.9034526416499415E-5</v>
      </c>
      <c r="AI7" s="146">
        <v>2.2314987969116323E-2</v>
      </c>
      <c r="AJ7" s="147">
        <v>1.5092558487901076E-3</v>
      </c>
      <c r="AK7" s="177"/>
    </row>
    <row r="8" spans="1:37" ht="15" x14ac:dyDescent="0.2">
      <c r="A8" s="142" t="s">
        <v>1205</v>
      </c>
      <c r="B8" s="143" t="s">
        <v>1206</v>
      </c>
      <c r="C8" s="143" t="s">
        <v>1382</v>
      </c>
      <c r="D8" s="143" t="s">
        <v>1383</v>
      </c>
      <c r="E8" s="143" t="s">
        <v>309</v>
      </c>
      <c r="F8" s="143" t="s">
        <v>1384</v>
      </c>
      <c r="G8" s="143" t="s">
        <v>1385</v>
      </c>
      <c r="H8" s="143" t="s">
        <v>321</v>
      </c>
      <c r="I8" s="143" t="s">
        <v>951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484</v>
      </c>
      <c r="O8" s="143" t="s">
        <v>339</v>
      </c>
      <c r="P8" s="143" t="s">
        <v>1368</v>
      </c>
      <c r="Q8" s="143" t="s">
        <v>415</v>
      </c>
      <c r="R8" s="143" t="s">
        <v>407</v>
      </c>
      <c r="S8" s="143" t="s">
        <v>1210</v>
      </c>
      <c r="T8" s="144">
        <v>0.65</v>
      </c>
      <c r="U8" s="143" t="s">
        <v>1386</v>
      </c>
      <c r="V8" s="146">
        <v>3.6499999999999998E-2</v>
      </c>
      <c r="W8" s="146">
        <v>5.0511E-2</v>
      </c>
      <c r="X8" s="143" t="s">
        <v>412</v>
      </c>
      <c r="Y8" s="145" t="s">
        <v>3930</v>
      </c>
      <c r="Z8" s="144">
        <v>19102.91</v>
      </c>
      <c r="AA8" s="145" t="s">
        <v>3930</v>
      </c>
      <c r="AB8" s="143" t="s">
        <v>1387</v>
      </c>
      <c r="AC8" s="145" t="s">
        <v>3930</v>
      </c>
      <c r="AD8" s="144">
        <v>19.169799999999999</v>
      </c>
      <c r="AE8" s="145" t="s">
        <v>3930</v>
      </c>
      <c r="AF8" s="145" t="s">
        <v>3930</v>
      </c>
      <c r="AG8" s="145" t="s">
        <v>3930</v>
      </c>
      <c r="AH8" s="146">
        <v>1.7937326354045738E-5</v>
      </c>
      <c r="AI8" s="146">
        <v>1.8437859820445258E-2</v>
      </c>
      <c r="AJ8" s="147">
        <v>1.2470294768561821E-3</v>
      </c>
      <c r="AK8" s="177"/>
    </row>
    <row r="9" spans="1:37" ht="15" x14ac:dyDescent="0.2">
      <c r="A9" s="142" t="s">
        <v>1205</v>
      </c>
      <c r="B9" s="143" t="s">
        <v>1206</v>
      </c>
      <c r="C9" s="143" t="s">
        <v>1388</v>
      </c>
      <c r="D9" s="143" t="s">
        <v>1389</v>
      </c>
      <c r="E9" s="143" t="s">
        <v>309</v>
      </c>
      <c r="F9" s="143" t="s">
        <v>1390</v>
      </c>
      <c r="G9" s="143" t="s">
        <v>1391</v>
      </c>
      <c r="H9" s="143" t="s">
        <v>321</v>
      </c>
      <c r="I9" s="143" t="s">
        <v>951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445</v>
      </c>
      <c r="O9" s="143" t="s">
        <v>339</v>
      </c>
      <c r="P9" s="143" t="s">
        <v>1356</v>
      </c>
      <c r="Q9" s="143" t="s">
        <v>413</v>
      </c>
      <c r="R9" s="143" t="s">
        <v>407</v>
      </c>
      <c r="S9" s="143" t="s">
        <v>1210</v>
      </c>
      <c r="T9" s="144">
        <v>5.16</v>
      </c>
      <c r="U9" s="143" t="s">
        <v>1392</v>
      </c>
      <c r="V9" s="146">
        <v>5.2499999999999998E-2</v>
      </c>
      <c r="W9" s="146">
        <v>5.6903000000000002E-2</v>
      </c>
      <c r="X9" s="143" t="s">
        <v>412</v>
      </c>
      <c r="Y9" s="145" t="s">
        <v>3930</v>
      </c>
      <c r="Z9" s="144">
        <v>19000</v>
      </c>
      <c r="AA9" s="145" t="s">
        <v>3930</v>
      </c>
      <c r="AB9" s="143" t="s">
        <v>1393</v>
      </c>
      <c r="AC9" s="145" t="s">
        <v>3930</v>
      </c>
      <c r="AD9" s="144">
        <v>19.0627</v>
      </c>
      <c r="AE9" s="145" t="s">
        <v>3930</v>
      </c>
      <c r="AF9" s="145" t="s">
        <v>3930</v>
      </c>
      <c r="AG9" s="145" t="s">
        <v>3930</v>
      </c>
      <c r="AH9" s="146">
        <v>3.8000000000000002E-5</v>
      </c>
      <c r="AI9" s="146">
        <v>1.8334877622801393E-2</v>
      </c>
      <c r="AJ9" s="147">
        <v>1.2400643606602707E-3</v>
      </c>
      <c r="AK9" s="177"/>
    </row>
    <row r="10" spans="1:37" ht="15" x14ac:dyDescent="0.2">
      <c r="A10" s="142" t="s">
        <v>1205</v>
      </c>
      <c r="B10" s="143" t="s">
        <v>1206</v>
      </c>
      <c r="C10" s="143" t="s">
        <v>1394</v>
      </c>
      <c r="D10" s="143" t="s">
        <v>1395</v>
      </c>
      <c r="E10" s="143" t="s">
        <v>309</v>
      </c>
      <c r="F10" s="143" t="s">
        <v>1396</v>
      </c>
      <c r="G10" s="143" t="s">
        <v>1397</v>
      </c>
      <c r="H10" s="143" t="s">
        <v>321</v>
      </c>
      <c r="I10" s="143" t="s">
        <v>951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463</v>
      </c>
      <c r="O10" s="143" t="s">
        <v>339</v>
      </c>
      <c r="P10" s="143" t="s">
        <v>1398</v>
      </c>
      <c r="Q10" s="143" t="s">
        <v>413</v>
      </c>
      <c r="R10" s="143" t="s">
        <v>407</v>
      </c>
      <c r="S10" s="143" t="s">
        <v>1210</v>
      </c>
      <c r="T10" s="144">
        <v>0.99</v>
      </c>
      <c r="U10" s="143" t="s">
        <v>1399</v>
      </c>
      <c r="V10" s="146">
        <v>3.3500000000000002E-2</v>
      </c>
      <c r="W10" s="146">
        <v>5.7232999999999999E-2</v>
      </c>
      <c r="X10" s="143" t="s">
        <v>412</v>
      </c>
      <c r="Y10" s="145" t="s">
        <v>3930</v>
      </c>
      <c r="Z10" s="144">
        <v>6200.18</v>
      </c>
      <c r="AA10" s="145" t="s">
        <v>3930</v>
      </c>
      <c r="AB10" s="143" t="s">
        <v>1400</v>
      </c>
      <c r="AC10" s="144">
        <v>6.4078999999999997</v>
      </c>
      <c r="AD10" s="144">
        <v>12.469200000000001</v>
      </c>
      <c r="AE10" s="145" t="s">
        <v>3930</v>
      </c>
      <c r="AF10" s="145" t="s">
        <v>3930</v>
      </c>
      <c r="AG10" s="145" t="s">
        <v>3930</v>
      </c>
      <c r="AH10" s="146">
        <v>9.0227483075561868E-5</v>
      </c>
      <c r="AI10" s="146">
        <v>1.8156360035417731E-2</v>
      </c>
      <c r="AJ10" s="147">
        <v>1.2279904705356792E-3</v>
      </c>
      <c r="AK10" s="177"/>
    </row>
    <row r="11" spans="1:37" ht="15" x14ac:dyDescent="0.2">
      <c r="A11" s="142" t="s">
        <v>1205</v>
      </c>
      <c r="B11" s="143" t="s">
        <v>1206</v>
      </c>
      <c r="C11" s="143" t="s">
        <v>1401</v>
      </c>
      <c r="D11" s="143" t="s">
        <v>1402</v>
      </c>
      <c r="E11" s="143" t="s">
        <v>309</v>
      </c>
      <c r="F11" s="143" t="s">
        <v>1403</v>
      </c>
      <c r="G11" s="143" t="s">
        <v>1404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484</v>
      </c>
      <c r="O11" s="143" t="s">
        <v>339</v>
      </c>
      <c r="P11" s="143" t="s">
        <v>1405</v>
      </c>
      <c r="Q11" s="143" t="s">
        <v>415</v>
      </c>
      <c r="R11" s="143" t="s">
        <v>407</v>
      </c>
      <c r="S11" s="143" t="s">
        <v>1210</v>
      </c>
      <c r="T11" s="144">
        <v>4.55</v>
      </c>
      <c r="U11" s="143" t="s">
        <v>1406</v>
      </c>
      <c r="V11" s="146">
        <v>5.5E-2</v>
      </c>
      <c r="W11" s="146">
        <v>6.1679999999999999E-2</v>
      </c>
      <c r="X11" s="143" t="s">
        <v>412</v>
      </c>
      <c r="Y11" s="145" t="s">
        <v>3930</v>
      </c>
      <c r="Z11" s="144">
        <v>12671.97</v>
      </c>
      <c r="AA11" s="145" t="s">
        <v>3930</v>
      </c>
      <c r="AB11" s="143" t="s">
        <v>1407</v>
      </c>
      <c r="AC11" s="145" t="s">
        <v>3930</v>
      </c>
      <c r="AD11" s="144">
        <v>12.375399999999999</v>
      </c>
      <c r="AE11" s="145" t="s">
        <v>3930</v>
      </c>
      <c r="AF11" s="145" t="s">
        <v>3930</v>
      </c>
      <c r="AG11" s="145" t="s">
        <v>3930</v>
      </c>
      <c r="AH11" s="146">
        <v>1.2556735544563777E-5</v>
      </c>
      <c r="AI11" s="146">
        <v>1.1902945865001756E-2</v>
      </c>
      <c r="AJ11" s="147">
        <v>8.0504594891329115E-4</v>
      </c>
      <c r="AK11" s="177"/>
    </row>
    <row r="12" spans="1:37" ht="15" x14ac:dyDescent="0.2">
      <c r="A12" s="142" t="s">
        <v>1205</v>
      </c>
      <c r="B12" s="143" t="s">
        <v>1206</v>
      </c>
      <c r="C12" s="143" t="s">
        <v>1408</v>
      </c>
      <c r="D12" s="143" t="s">
        <v>1409</v>
      </c>
      <c r="E12" s="143" t="s">
        <v>309</v>
      </c>
      <c r="F12" s="143" t="s">
        <v>1410</v>
      </c>
      <c r="G12" s="143" t="s">
        <v>1411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475</v>
      </c>
      <c r="O12" s="143" t="s">
        <v>339</v>
      </c>
      <c r="P12" s="143" t="s">
        <v>1412</v>
      </c>
      <c r="Q12" s="143" t="s">
        <v>413</v>
      </c>
      <c r="R12" s="143" t="s">
        <v>407</v>
      </c>
      <c r="S12" s="143" t="s">
        <v>1210</v>
      </c>
      <c r="T12" s="144">
        <v>2.83</v>
      </c>
      <c r="U12" s="143" t="s">
        <v>1413</v>
      </c>
      <c r="V12" s="146">
        <v>5.0900000000000001E-2</v>
      </c>
      <c r="W12" s="146">
        <v>5.2837000000000002E-2</v>
      </c>
      <c r="X12" s="143" t="s">
        <v>412</v>
      </c>
      <c r="Y12" s="145" t="s">
        <v>3930</v>
      </c>
      <c r="Z12" s="144">
        <v>7990.68</v>
      </c>
      <c r="AA12" s="145" t="s">
        <v>3930</v>
      </c>
      <c r="AB12" s="143" t="s">
        <v>1414</v>
      </c>
      <c r="AC12" s="144">
        <v>2.0861999999999998</v>
      </c>
      <c r="AD12" s="144">
        <v>10.0297</v>
      </c>
      <c r="AE12" s="145" t="s">
        <v>3930</v>
      </c>
      <c r="AF12" s="145" t="s">
        <v>3930</v>
      </c>
      <c r="AG12" s="145" t="s">
        <v>3930</v>
      </c>
      <c r="AH12" s="146">
        <v>1.5479346286626542E-5</v>
      </c>
      <c r="AI12" s="146">
        <v>1.1653362429684677E-2</v>
      </c>
      <c r="AJ12" s="147">
        <v>7.8816557864220898E-4</v>
      </c>
      <c r="AK12" s="177"/>
    </row>
    <row r="13" spans="1:37" ht="15" x14ac:dyDescent="0.2">
      <c r="A13" s="142" t="s">
        <v>1205</v>
      </c>
      <c r="B13" s="143" t="s">
        <v>1206</v>
      </c>
      <c r="C13" s="143" t="s">
        <v>1415</v>
      </c>
      <c r="D13" s="143" t="s">
        <v>1416</v>
      </c>
      <c r="E13" s="143" t="s">
        <v>309</v>
      </c>
      <c r="F13" s="143" t="s">
        <v>1417</v>
      </c>
      <c r="G13" s="143" t="s">
        <v>1418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451</v>
      </c>
      <c r="O13" s="143" t="s">
        <v>339</v>
      </c>
      <c r="P13" s="143" t="s">
        <v>1398</v>
      </c>
      <c r="Q13" s="143" t="s">
        <v>413</v>
      </c>
      <c r="R13" s="143" t="s">
        <v>407</v>
      </c>
      <c r="S13" s="143" t="s">
        <v>1210</v>
      </c>
      <c r="T13" s="144">
        <v>1.21</v>
      </c>
      <c r="U13" s="143" t="s">
        <v>1419</v>
      </c>
      <c r="V13" s="146">
        <v>0.04</v>
      </c>
      <c r="W13" s="146">
        <v>5.4871000000000003E-2</v>
      </c>
      <c r="X13" s="143" t="s">
        <v>412</v>
      </c>
      <c r="Y13" s="145" t="s">
        <v>3930</v>
      </c>
      <c r="Z13" s="144">
        <v>9399.81</v>
      </c>
      <c r="AA13" s="145" t="s">
        <v>3930</v>
      </c>
      <c r="AB13" s="143" t="s">
        <v>1420</v>
      </c>
      <c r="AC13" s="145" t="s">
        <v>3930</v>
      </c>
      <c r="AD13" s="144">
        <v>9.3387000000000011</v>
      </c>
      <c r="AE13" s="145" t="s">
        <v>3930</v>
      </c>
      <c r="AF13" s="145" t="s">
        <v>3930</v>
      </c>
      <c r="AG13" s="145" t="s">
        <v>3930</v>
      </c>
      <c r="AH13" s="146">
        <v>7.1341606637562958E-5</v>
      </c>
      <c r="AI13" s="146">
        <v>8.9821550802564928E-3</v>
      </c>
      <c r="AJ13" s="147">
        <v>6.0750066764000694E-4</v>
      </c>
      <c r="AK13" s="177"/>
    </row>
    <row r="14" spans="1:37" ht="15" x14ac:dyDescent="0.2">
      <c r="A14" s="142" t="s">
        <v>1205</v>
      </c>
      <c r="B14" s="143" t="s">
        <v>1206</v>
      </c>
      <c r="C14" s="143" t="s">
        <v>1421</v>
      </c>
      <c r="D14" s="143" t="s">
        <v>1422</v>
      </c>
      <c r="E14" s="143" t="s">
        <v>309</v>
      </c>
      <c r="F14" s="143" t="s">
        <v>1423</v>
      </c>
      <c r="G14" s="143" t="s">
        <v>1424</v>
      </c>
      <c r="H14" s="143" t="s">
        <v>321</v>
      </c>
      <c r="I14" s="143" t="s">
        <v>951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445</v>
      </c>
      <c r="O14" s="143" t="s">
        <v>339</v>
      </c>
      <c r="P14" s="143" t="s">
        <v>1425</v>
      </c>
      <c r="Q14" s="143" t="s">
        <v>415</v>
      </c>
      <c r="R14" s="143" t="s">
        <v>407</v>
      </c>
      <c r="S14" s="143" t="s">
        <v>1210</v>
      </c>
      <c r="T14" s="144">
        <v>3.03</v>
      </c>
      <c r="U14" s="143" t="s">
        <v>1426</v>
      </c>
      <c r="V14" s="146">
        <v>4.36E-2</v>
      </c>
      <c r="W14" s="146">
        <v>4.9925999999999998E-2</v>
      </c>
      <c r="X14" s="143" t="s">
        <v>412</v>
      </c>
      <c r="Y14" s="145" t="s">
        <v>3930</v>
      </c>
      <c r="Z14" s="144">
        <v>5973</v>
      </c>
      <c r="AA14" s="145" t="s">
        <v>3930</v>
      </c>
      <c r="AB14" s="143" t="s">
        <v>1427</v>
      </c>
      <c r="AC14" s="145" t="s">
        <v>3930</v>
      </c>
      <c r="AD14" s="144">
        <v>5.9461000000000004</v>
      </c>
      <c r="AE14" s="145" t="s">
        <v>3930</v>
      </c>
      <c r="AF14" s="145" t="s">
        <v>3930</v>
      </c>
      <c r="AG14" s="145" t="s">
        <v>3930</v>
      </c>
      <c r="AH14" s="146">
        <v>1.9910000000000001E-5</v>
      </c>
      <c r="AI14" s="146">
        <v>5.719095932517862E-3</v>
      </c>
      <c r="AJ14" s="147">
        <v>3.8680634728059454E-4</v>
      </c>
      <c r="AK14" s="177"/>
    </row>
    <row r="15" spans="1:37" ht="15" x14ac:dyDescent="0.2">
      <c r="A15" s="142" t="s">
        <v>1205</v>
      </c>
      <c r="B15" s="143" t="s">
        <v>1206</v>
      </c>
      <c r="C15" s="143" t="s">
        <v>1428</v>
      </c>
      <c r="D15" s="143" t="s">
        <v>1429</v>
      </c>
      <c r="E15" s="143" t="s">
        <v>309</v>
      </c>
      <c r="F15" s="143" t="s">
        <v>1430</v>
      </c>
      <c r="G15" s="143" t="s">
        <v>1431</v>
      </c>
      <c r="H15" s="143" t="s">
        <v>321</v>
      </c>
      <c r="I15" s="143" t="s">
        <v>951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445</v>
      </c>
      <c r="O15" s="143" t="s">
        <v>339</v>
      </c>
      <c r="P15" s="143" t="s">
        <v>1368</v>
      </c>
      <c r="Q15" s="143" t="s">
        <v>415</v>
      </c>
      <c r="R15" s="143" t="s">
        <v>407</v>
      </c>
      <c r="S15" s="143" t="s">
        <v>1210</v>
      </c>
      <c r="T15" s="144">
        <v>1.48</v>
      </c>
      <c r="U15" s="143" t="s">
        <v>1432</v>
      </c>
      <c r="V15" s="146">
        <v>2.9399999999999999E-2</v>
      </c>
      <c r="W15" s="146">
        <v>5.4391000000000002E-2</v>
      </c>
      <c r="X15" s="143" t="s">
        <v>412</v>
      </c>
      <c r="Y15" s="145" t="s">
        <v>3930</v>
      </c>
      <c r="Z15" s="144">
        <v>4283.46</v>
      </c>
      <c r="AA15" s="145" t="s">
        <v>3930</v>
      </c>
      <c r="AB15" s="143" t="s">
        <v>1433</v>
      </c>
      <c r="AC15" s="145" t="s">
        <v>3930</v>
      </c>
      <c r="AD15" s="144">
        <v>4.1369999999999996</v>
      </c>
      <c r="AE15" s="145" t="s">
        <v>3930</v>
      </c>
      <c r="AF15" s="145" t="s">
        <v>3930</v>
      </c>
      <c r="AG15" s="145" t="s">
        <v>3930</v>
      </c>
      <c r="AH15" s="146">
        <v>3.9935647021933186E-5</v>
      </c>
      <c r="AI15" s="146">
        <v>3.9790144760454083E-3</v>
      </c>
      <c r="AJ15" s="147">
        <v>2.6911736984592475E-4</v>
      </c>
      <c r="AK15" s="177"/>
    </row>
    <row r="16" spans="1:37" ht="15" x14ac:dyDescent="0.2">
      <c r="A16" s="142" t="s">
        <v>1205</v>
      </c>
      <c r="B16" s="143" t="s">
        <v>1206</v>
      </c>
      <c r="C16" s="143" t="s">
        <v>1434</v>
      </c>
      <c r="D16" s="143" t="s">
        <v>1435</v>
      </c>
      <c r="E16" s="143" t="s">
        <v>309</v>
      </c>
      <c r="F16" s="143" t="s">
        <v>1436</v>
      </c>
      <c r="G16" s="143" t="s">
        <v>1437</v>
      </c>
      <c r="H16" s="143" t="s">
        <v>321</v>
      </c>
      <c r="I16" s="143" t="s">
        <v>951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484</v>
      </c>
      <c r="O16" s="143" t="s">
        <v>339</v>
      </c>
      <c r="P16" s="143" t="s">
        <v>1398</v>
      </c>
      <c r="Q16" s="143" t="s">
        <v>413</v>
      </c>
      <c r="R16" s="143" t="s">
        <v>407</v>
      </c>
      <c r="S16" s="143" t="s">
        <v>1210</v>
      </c>
      <c r="T16" s="144">
        <v>0.75</v>
      </c>
      <c r="U16" s="143" t="s">
        <v>1438</v>
      </c>
      <c r="V16" s="146">
        <v>4.1399999999999999E-2</v>
      </c>
      <c r="W16" s="146">
        <v>5.2513999999999998E-2</v>
      </c>
      <c r="X16" s="143" t="s">
        <v>412</v>
      </c>
      <c r="Y16" s="145" t="s">
        <v>3930</v>
      </c>
      <c r="Z16" s="144">
        <v>1891.87</v>
      </c>
      <c r="AA16" s="145" t="s">
        <v>3930</v>
      </c>
      <c r="AB16" s="143" t="s">
        <v>1439</v>
      </c>
      <c r="AC16" s="145" t="s">
        <v>3930</v>
      </c>
      <c r="AD16" s="144">
        <v>1.8942999999999999</v>
      </c>
      <c r="AE16" s="145" t="s">
        <v>3930</v>
      </c>
      <c r="AF16" s="145" t="s">
        <v>3930</v>
      </c>
      <c r="AG16" s="145" t="s">
        <v>3930</v>
      </c>
      <c r="AH16" s="146">
        <v>1.6807450732506508E-5</v>
      </c>
      <c r="AI16" s="146">
        <v>1.8220030895233095E-3</v>
      </c>
      <c r="AJ16" s="147">
        <v>1.2322967967459748E-4</v>
      </c>
      <c r="AK16" s="177"/>
    </row>
    <row r="17" spans="1:37" ht="15" x14ac:dyDescent="0.2">
      <c r="A17" s="142" t="s">
        <v>1205</v>
      </c>
      <c r="B17" s="143" t="s">
        <v>1206</v>
      </c>
      <c r="C17" s="143" t="s">
        <v>1440</v>
      </c>
      <c r="D17" s="143" t="s">
        <v>1441</v>
      </c>
      <c r="E17" s="143" t="s">
        <v>309</v>
      </c>
      <c r="F17" s="143" t="s">
        <v>1442</v>
      </c>
      <c r="G17" s="143" t="s">
        <v>1443</v>
      </c>
      <c r="H17" s="143" t="s">
        <v>321</v>
      </c>
      <c r="I17" s="143" t="s">
        <v>951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465</v>
      </c>
      <c r="O17" s="143" t="s">
        <v>339</v>
      </c>
      <c r="P17" s="143" t="s">
        <v>1444</v>
      </c>
      <c r="Q17" s="143" t="s">
        <v>415</v>
      </c>
      <c r="R17" s="143" t="s">
        <v>407</v>
      </c>
      <c r="S17" s="143" t="s">
        <v>1210</v>
      </c>
      <c r="T17" s="144">
        <v>0.62</v>
      </c>
      <c r="U17" s="143" t="s">
        <v>1445</v>
      </c>
      <c r="V17" s="146">
        <v>3.5000000000000003E-2</v>
      </c>
      <c r="W17" s="146">
        <v>5.9777999999999998E-2</v>
      </c>
      <c r="X17" s="143" t="s">
        <v>412</v>
      </c>
      <c r="Y17" s="145" t="s">
        <v>3930</v>
      </c>
      <c r="Z17" s="144">
        <v>1126.1300000000001</v>
      </c>
      <c r="AA17" s="145" t="s">
        <v>3930</v>
      </c>
      <c r="AB17" s="143" t="s">
        <v>1446</v>
      </c>
      <c r="AC17" s="145" t="s">
        <v>3930</v>
      </c>
      <c r="AD17" s="144">
        <v>1.1154999999999999</v>
      </c>
      <c r="AE17" s="145" t="s">
        <v>3930</v>
      </c>
      <c r="AF17" s="145" t="s">
        <v>3930</v>
      </c>
      <c r="AG17" s="145" t="s">
        <v>3930</v>
      </c>
      <c r="AH17" s="146">
        <v>1.1747652827039432E-5</v>
      </c>
      <c r="AI17" s="146">
        <v>1.0729523967451672E-3</v>
      </c>
      <c r="AJ17" s="147">
        <v>7.2568252445494563E-5</v>
      </c>
      <c r="AK17" s="177"/>
    </row>
    <row r="18" spans="1:37" ht="15" x14ac:dyDescent="0.2">
      <c r="A18" s="142" t="s">
        <v>1205</v>
      </c>
      <c r="B18" s="143" t="s">
        <v>1206</v>
      </c>
      <c r="C18" s="143" t="s">
        <v>1421</v>
      </c>
      <c r="D18" s="143" t="s">
        <v>1422</v>
      </c>
      <c r="E18" s="143" t="s">
        <v>309</v>
      </c>
      <c r="F18" s="143" t="s">
        <v>1447</v>
      </c>
      <c r="G18" s="143" t="s">
        <v>1448</v>
      </c>
      <c r="H18" s="143" t="s">
        <v>321</v>
      </c>
      <c r="I18" s="143" t="s">
        <v>951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445</v>
      </c>
      <c r="O18" s="143" t="s">
        <v>339</v>
      </c>
      <c r="P18" s="143" t="s">
        <v>1425</v>
      </c>
      <c r="Q18" s="143" t="s">
        <v>415</v>
      </c>
      <c r="R18" s="143" t="s">
        <v>407</v>
      </c>
      <c r="S18" s="143" t="s">
        <v>1210</v>
      </c>
      <c r="T18" s="144">
        <v>4.7300000000000004</v>
      </c>
      <c r="U18" s="143" t="s">
        <v>1449</v>
      </c>
      <c r="V18" s="146">
        <v>3.95E-2</v>
      </c>
      <c r="W18" s="146">
        <v>5.4330999999999997E-2</v>
      </c>
      <c r="X18" s="143" t="s">
        <v>412</v>
      </c>
      <c r="Y18" s="145" t="s">
        <v>3930</v>
      </c>
      <c r="Z18" s="144">
        <v>1164</v>
      </c>
      <c r="AA18" s="145" t="s">
        <v>3930</v>
      </c>
      <c r="AB18" s="143" t="s">
        <v>1450</v>
      </c>
      <c r="AC18" s="145" t="s">
        <v>3930</v>
      </c>
      <c r="AD18" s="144">
        <v>1.101</v>
      </c>
      <c r="AE18" s="145" t="s">
        <v>3930</v>
      </c>
      <c r="AF18" s="145" t="s">
        <v>3930</v>
      </c>
      <c r="AG18" s="145" t="s">
        <v>3930</v>
      </c>
      <c r="AH18" s="146">
        <v>4.8497984706660503E-6</v>
      </c>
      <c r="AI18" s="146">
        <v>1.0589898757954919E-3</v>
      </c>
      <c r="AJ18" s="147">
        <v>7.162390883050734E-5</v>
      </c>
      <c r="AK18" s="177"/>
    </row>
    <row r="19" spans="1:37" ht="15" x14ac:dyDescent="0.2">
      <c r="A19" s="142" t="s">
        <v>1205</v>
      </c>
      <c r="B19" s="143" t="s">
        <v>1206</v>
      </c>
      <c r="C19" s="143" t="s">
        <v>1421</v>
      </c>
      <c r="D19" s="143" t="s">
        <v>1422</v>
      </c>
      <c r="E19" s="143" t="s">
        <v>309</v>
      </c>
      <c r="F19" s="143" t="s">
        <v>1451</v>
      </c>
      <c r="G19" s="143" t="s">
        <v>1452</v>
      </c>
      <c r="H19" s="143" t="s">
        <v>321</v>
      </c>
      <c r="I19" s="143" t="s">
        <v>951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445</v>
      </c>
      <c r="O19" s="143" t="s">
        <v>339</v>
      </c>
      <c r="P19" s="143" t="s">
        <v>1425</v>
      </c>
      <c r="Q19" s="143" t="s">
        <v>415</v>
      </c>
      <c r="R19" s="143" t="s">
        <v>407</v>
      </c>
      <c r="S19" s="143" t="s">
        <v>1210</v>
      </c>
      <c r="T19" s="144">
        <v>3.91</v>
      </c>
      <c r="U19" s="143" t="s">
        <v>1453</v>
      </c>
      <c r="V19" s="146">
        <v>3.95E-2</v>
      </c>
      <c r="W19" s="146">
        <v>5.1232E-2</v>
      </c>
      <c r="X19" s="143" t="s">
        <v>412</v>
      </c>
      <c r="Y19" s="145" t="s">
        <v>3930</v>
      </c>
      <c r="Z19" s="144">
        <v>822</v>
      </c>
      <c r="AA19" s="145" t="s">
        <v>3930</v>
      </c>
      <c r="AB19" s="143" t="s">
        <v>1454</v>
      </c>
      <c r="AC19" s="145" t="s">
        <v>3930</v>
      </c>
      <c r="AD19" s="144">
        <v>0.79549999999999998</v>
      </c>
      <c r="AE19" s="145" t="s">
        <v>3930</v>
      </c>
      <c r="AF19" s="145" t="s">
        <v>3930</v>
      </c>
      <c r="AG19" s="145" t="s">
        <v>3930</v>
      </c>
      <c r="AH19" s="146">
        <v>3.4248576828930353E-6</v>
      </c>
      <c r="AI19" s="146">
        <v>7.6515784915418006E-4</v>
      </c>
      <c r="AJ19" s="147">
        <v>5.1750821496379952E-5</v>
      </c>
      <c r="AK19" s="177"/>
    </row>
    <row r="20" spans="1:37" ht="15" x14ac:dyDescent="0.2">
      <c r="A20" s="142" t="s">
        <v>1205</v>
      </c>
      <c r="B20" s="143" t="s">
        <v>1206</v>
      </c>
      <c r="C20" s="143" t="s">
        <v>1455</v>
      </c>
      <c r="D20" s="143" t="s">
        <v>1456</v>
      </c>
      <c r="E20" s="143" t="s">
        <v>309</v>
      </c>
      <c r="F20" s="143" t="s">
        <v>1457</v>
      </c>
      <c r="G20" s="143" t="s">
        <v>1458</v>
      </c>
      <c r="H20" s="143" t="s">
        <v>321</v>
      </c>
      <c r="I20" s="143" t="s">
        <v>951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464</v>
      </c>
      <c r="O20" s="143" t="s">
        <v>339</v>
      </c>
      <c r="P20" s="143" t="s">
        <v>1412</v>
      </c>
      <c r="Q20" s="143" t="s">
        <v>413</v>
      </c>
      <c r="R20" s="143" t="s">
        <v>407</v>
      </c>
      <c r="S20" s="143" t="s">
        <v>1210</v>
      </c>
      <c r="T20" s="144">
        <v>5.14</v>
      </c>
      <c r="U20" s="143" t="s">
        <v>1459</v>
      </c>
      <c r="V20" s="146">
        <v>2.5499999999999998E-2</v>
      </c>
      <c r="W20" s="146">
        <v>5.9679000000000003E-2</v>
      </c>
      <c r="X20" s="143" t="s">
        <v>412</v>
      </c>
      <c r="Y20" s="145" t="s">
        <v>3930</v>
      </c>
      <c r="Z20" s="144">
        <v>463.45</v>
      </c>
      <c r="AA20" s="145" t="s">
        <v>3930</v>
      </c>
      <c r="AB20" s="143" t="s">
        <v>1460</v>
      </c>
      <c r="AC20" s="145" t="s">
        <v>3930</v>
      </c>
      <c r="AD20" s="144">
        <v>0.3921</v>
      </c>
      <c r="AE20" s="145" t="s">
        <v>3930</v>
      </c>
      <c r="AF20" s="145" t="s">
        <v>3930</v>
      </c>
      <c r="AG20" s="145" t="s">
        <v>3930</v>
      </c>
      <c r="AH20" s="146">
        <v>2.6728527670169747E-7</v>
      </c>
      <c r="AI20" s="146">
        <v>3.7715353611558115E-4</v>
      </c>
      <c r="AJ20" s="147">
        <v>2.5508469064025811E-5</v>
      </c>
      <c r="AK20" s="177"/>
    </row>
    <row r="21" spans="1:37" ht="15" x14ac:dyDescent="0.2">
      <c r="A21" s="142" t="s">
        <v>1205</v>
      </c>
      <c r="B21" s="143" t="s">
        <v>1206</v>
      </c>
      <c r="C21" s="143" t="s">
        <v>1461</v>
      </c>
      <c r="D21" s="143" t="s">
        <v>1462</v>
      </c>
      <c r="E21" s="143" t="s">
        <v>309</v>
      </c>
      <c r="F21" s="143" t="s">
        <v>1463</v>
      </c>
      <c r="G21" s="143" t="s">
        <v>1464</v>
      </c>
      <c r="H21" s="143" t="s">
        <v>321</v>
      </c>
      <c r="I21" s="143" t="s">
        <v>951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464</v>
      </c>
      <c r="O21" s="143" t="s">
        <v>339</v>
      </c>
      <c r="P21" s="143" t="s">
        <v>1425</v>
      </c>
      <c r="Q21" s="143" t="s">
        <v>415</v>
      </c>
      <c r="R21" s="143" t="s">
        <v>407</v>
      </c>
      <c r="S21" s="143" t="s">
        <v>1210</v>
      </c>
      <c r="T21" s="144">
        <v>1.35</v>
      </c>
      <c r="U21" s="143" t="s">
        <v>1465</v>
      </c>
      <c r="V21" s="146">
        <v>3.85E-2</v>
      </c>
      <c r="W21" s="146">
        <v>5.4038999999999997E-2</v>
      </c>
      <c r="X21" s="143" t="s">
        <v>412</v>
      </c>
      <c r="Y21" s="145" t="s">
        <v>3930</v>
      </c>
      <c r="Z21" s="144">
        <v>0.3</v>
      </c>
      <c r="AA21" s="145" t="s">
        <v>3930</v>
      </c>
      <c r="AB21" s="143" t="s">
        <v>1466</v>
      </c>
      <c r="AC21" s="145" t="s">
        <v>3930</v>
      </c>
      <c r="AD21" s="144">
        <v>2.9999999999999997E-4</v>
      </c>
      <c r="AE21" s="145" t="s">
        <v>3930</v>
      </c>
      <c r="AF21" s="145" t="s">
        <v>3930</v>
      </c>
      <c r="AG21" s="145" t="s">
        <v>3930</v>
      </c>
      <c r="AH21" s="146">
        <v>6.4158384913431243E-10</v>
      </c>
      <c r="AI21" s="146">
        <v>2.8932494020862138E-7</v>
      </c>
      <c r="AJ21" s="147">
        <v>1.9568254252032293E-8</v>
      </c>
      <c r="AK21" s="177"/>
    </row>
    <row r="22" spans="1:37" ht="15" x14ac:dyDescent="0.2">
      <c r="A22" s="142" t="s">
        <v>1205</v>
      </c>
      <c r="B22" s="143" t="s">
        <v>1206</v>
      </c>
      <c r="C22" s="143" t="s">
        <v>1467</v>
      </c>
      <c r="D22" s="143" t="s">
        <v>1468</v>
      </c>
      <c r="E22" s="143" t="s">
        <v>309</v>
      </c>
      <c r="F22" s="143" t="s">
        <v>1469</v>
      </c>
      <c r="G22" s="143" t="s">
        <v>1470</v>
      </c>
      <c r="H22" s="143" t="s">
        <v>321</v>
      </c>
      <c r="I22" s="143" t="s">
        <v>951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465</v>
      </c>
      <c r="O22" s="143" t="s">
        <v>339</v>
      </c>
      <c r="P22" s="143" t="s">
        <v>1471</v>
      </c>
      <c r="Q22" s="143" t="s">
        <v>415</v>
      </c>
      <c r="R22" s="143" t="s">
        <v>407</v>
      </c>
      <c r="S22" s="143" t="s">
        <v>1210</v>
      </c>
      <c r="T22" s="144">
        <v>0.25</v>
      </c>
      <c r="U22" s="143" t="s">
        <v>1472</v>
      </c>
      <c r="V22" s="146">
        <v>3.7999999999999999E-2</v>
      </c>
      <c r="W22" s="146">
        <v>9.3542E-2</v>
      </c>
      <c r="X22" s="143" t="s">
        <v>412</v>
      </c>
      <c r="Y22" s="145" t="s">
        <v>3930</v>
      </c>
      <c r="Z22" s="144">
        <v>0.14000000000000001</v>
      </c>
      <c r="AA22" s="145" t="s">
        <v>3930</v>
      </c>
      <c r="AB22" s="143" t="s">
        <v>1473</v>
      </c>
      <c r="AC22" s="145" t="s">
        <v>3930</v>
      </c>
      <c r="AD22" s="144">
        <v>1E-4</v>
      </c>
      <c r="AE22" s="145" t="s">
        <v>3930</v>
      </c>
      <c r="AF22" s="145" t="s">
        <v>3930</v>
      </c>
      <c r="AG22" s="145" t="s">
        <v>3930</v>
      </c>
      <c r="AH22" s="146">
        <v>4.1897158898590247E-10</v>
      </c>
      <c r="AI22" s="146">
        <v>1.3438542816378638E-7</v>
      </c>
      <c r="AJ22" s="147">
        <v>9.0890478511151626E-9</v>
      </c>
      <c r="AK22" s="177"/>
    </row>
    <row r="23" spans="1:37" ht="15" x14ac:dyDescent="0.2">
      <c r="A23" s="142" t="s">
        <v>1205</v>
      </c>
      <c r="B23" s="143" t="s">
        <v>1206</v>
      </c>
      <c r="C23" s="143" t="s">
        <v>1474</v>
      </c>
      <c r="D23" s="143" t="s">
        <v>1475</v>
      </c>
      <c r="E23" s="143" t="s">
        <v>313</v>
      </c>
      <c r="F23" s="143" t="s">
        <v>1476</v>
      </c>
      <c r="G23" s="143" t="s">
        <v>1477</v>
      </c>
      <c r="H23" s="143" t="s">
        <v>321</v>
      </c>
      <c r="I23" s="143" t="s">
        <v>754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440</v>
      </c>
      <c r="O23" s="143" t="s">
        <v>339</v>
      </c>
      <c r="P23" s="143" t="s">
        <v>1478</v>
      </c>
      <c r="Q23" s="143" t="s">
        <v>415</v>
      </c>
      <c r="R23" s="143" t="s">
        <v>407</v>
      </c>
      <c r="S23" s="143" t="s">
        <v>1210</v>
      </c>
      <c r="T23" s="144">
        <v>10.4</v>
      </c>
      <c r="U23" s="143" t="s">
        <v>1479</v>
      </c>
      <c r="V23" s="146">
        <v>3.2000000000000001E-2</v>
      </c>
      <c r="W23" s="146">
        <v>3.4784000000000002E-2</v>
      </c>
      <c r="X23" s="143" t="s">
        <v>412</v>
      </c>
      <c r="Y23" s="145" t="s">
        <v>3930</v>
      </c>
      <c r="Z23" s="144">
        <v>56521</v>
      </c>
      <c r="AA23" s="145" t="s">
        <v>3930</v>
      </c>
      <c r="AB23" s="143" t="s">
        <v>1480</v>
      </c>
      <c r="AC23" s="145" t="s">
        <v>3930</v>
      </c>
      <c r="AD23" s="144">
        <v>58.1997</v>
      </c>
      <c r="AE23" s="145" t="s">
        <v>3930</v>
      </c>
      <c r="AF23" s="145" t="s">
        <v>3930</v>
      </c>
      <c r="AG23" s="145" t="s">
        <v>3930</v>
      </c>
      <c r="AH23" s="146">
        <v>1.1478086117833507E-5</v>
      </c>
      <c r="AI23" s="146">
        <v>5.5977584233947587E-2</v>
      </c>
      <c r="AJ23" s="147">
        <v>3.7859978469695723E-3</v>
      </c>
      <c r="AK23" s="177"/>
    </row>
    <row r="24" spans="1:37" ht="15" x14ac:dyDescent="0.2">
      <c r="A24" s="142" t="s">
        <v>1205</v>
      </c>
      <c r="B24" s="143" t="s">
        <v>1206</v>
      </c>
      <c r="C24" s="143" t="s">
        <v>1474</v>
      </c>
      <c r="D24" s="143" t="s">
        <v>1475</v>
      </c>
      <c r="E24" s="143" t="s">
        <v>313</v>
      </c>
      <c r="F24" s="143" t="s">
        <v>1481</v>
      </c>
      <c r="G24" s="143" t="s">
        <v>1482</v>
      </c>
      <c r="H24" s="143" t="s">
        <v>321</v>
      </c>
      <c r="I24" s="143" t="s">
        <v>754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440</v>
      </c>
      <c r="O24" s="143" t="s">
        <v>339</v>
      </c>
      <c r="P24" s="143" t="s">
        <v>1478</v>
      </c>
      <c r="Q24" s="143" t="s">
        <v>415</v>
      </c>
      <c r="R24" s="143" t="s">
        <v>407</v>
      </c>
      <c r="S24" s="143" t="s">
        <v>1210</v>
      </c>
      <c r="T24" s="144">
        <v>7.64</v>
      </c>
      <c r="U24" s="143" t="s">
        <v>1483</v>
      </c>
      <c r="V24" s="146">
        <v>0.03</v>
      </c>
      <c r="W24" s="146">
        <v>3.2599000000000003E-2</v>
      </c>
      <c r="X24" s="143" t="s">
        <v>412</v>
      </c>
      <c r="Y24" s="145" t="s">
        <v>3930</v>
      </c>
      <c r="Z24" s="144">
        <v>55000</v>
      </c>
      <c r="AA24" s="145" t="s">
        <v>3930</v>
      </c>
      <c r="AB24" s="143" t="s">
        <v>1484</v>
      </c>
      <c r="AC24" s="145" t="s">
        <v>3930</v>
      </c>
      <c r="AD24" s="144">
        <v>57.040500000000002</v>
      </c>
      <c r="AE24" s="145" t="s">
        <v>3930</v>
      </c>
      <c r="AF24" s="145" t="s">
        <v>3930</v>
      </c>
      <c r="AG24" s="145" t="s">
        <v>3930</v>
      </c>
      <c r="AH24" s="146">
        <v>1.3481039775440193E-5</v>
      </c>
      <c r="AI24" s="146">
        <v>5.4862668302150419E-2</v>
      </c>
      <c r="AJ24" s="147">
        <v>3.7105914253616834E-3</v>
      </c>
      <c r="AK24" s="177"/>
    </row>
    <row r="25" spans="1:37" ht="15" x14ac:dyDescent="0.2">
      <c r="A25" s="142" t="s">
        <v>1205</v>
      </c>
      <c r="B25" s="143" t="s">
        <v>1206</v>
      </c>
      <c r="C25" s="143" t="s">
        <v>1358</v>
      </c>
      <c r="D25" s="143" t="s">
        <v>1359</v>
      </c>
      <c r="E25" s="143" t="s">
        <v>309</v>
      </c>
      <c r="F25" s="143" t="s">
        <v>1485</v>
      </c>
      <c r="G25" s="143" t="s">
        <v>1486</v>
      </c>
      <c r="H25" s="143" t="s">
        <v>321</v>
      </c>
      <c r="I25" s="143" t="s">
        <v>754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448</v>
      </c>
      <c r="O25" s="143" t="s">
        <v>339</v>
      </c>
      <c r="P25" s="143" t="s">
        <v>1303</v>
      </c>
      <c r="Q25" s="143" t="s">
        <v>413</v>
      </c>
      <c r="R25" s="143" t="s">
        <v>407</v>
      </c>
      <c r="S25" s="143" t="s">
        <v>1210</v>
      </c>
      <c r="T25" s="144">
        <v>1.72</v>
      </c>
      <c r="U25" s="143" t="s">
        <v>1487</v>
      </c>
      <c r="V25" s="146">
        <v>3.8E-3</v>
      </c>
      <c r="W25" s="146">
        <v>2.1166000000000001E-2</v>
      </c>
      <c r="X25" s="143" t="s">
        <v>412</v>
      </c>
      <c r="Y25" s="145" t="s">
        <v>3930</v>
      </c>
      <c r="Z25" s="144">
        <v>36210</v>
      </c>
      <c r="AA25" s="145" t="s">
        <v>3930</v>
      </c>
      <c r="AB25" s="143" t="s">
        <v>1488</v>
      </c>
      <c r="AC25" s="145" t="s">
        <v>3930</v>
      </c>
      <c r="AD25" s="144">
        <v>39.972199999999994</v>
      </c>
      <c r="AE25" s="145" t="s">
        <v>3930</v>
      </c>
      <c r="AF25" s="145" t="s">
        <v>3930</v>
      </c>
      <c r="AG25" s="145" t="s">
        <v>3930</v>
      </c>
      <c r="AH25" s="146">
        <v>1.207E-5</v>
      </c>
      <c r="AI25" s="146">
        <v>3.844606187354449E-2</v>
      </c>
      <c r="AJ25" s="147">
        <v>2.6002677584186563E-3</v>
      </c>
      <c r="AK25" s="177"/>
    </row>
    <row r="26" spans="1:37" ht="15" x14ac:dyDescent="0.2">
      <c r="A26" s="142" t="s">
        <v>1205</v>
      </c>
      <c r="B26" s="143" t="s">
        <v>1206</v>
      </c>
      <c r="C26" s="143" t="s">
        <v>1358</v>
      </c>
      <c r="D26" s="143" t="s">
        <v>1359</v>
      </c>
      <c r="E26" s="143" t="s">
        <v>309</v>
      </c>
      <c r="F26" s="143" t="s">
        <v>1489</v>
      </c>
      <c r="G26" s="143" t="s">
        <v>1490</v>
      </c>
      <c r="H26" s="143" t="s">
        <v>321</v>
      </c>
      <c r="I26" s="143" t="s">
        <v>754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448</v>
      </c>
      <c r="O26" s="143" t="s">
        <v>339</v>
      </c>
      <c r="P26" s="143" t="s">
        <v>1303</v>
      </c>
      <c r="Q26" s="143" t="s">
        <v>413</v>
      </c>
      <c r="R26" s="143" t="s">
        <v>407</v>
      </c>
      <c r="S26" s="143" t="s">
        <v>1210</v>
      </c>
      <c r="T26" s="144">
        <v>2.96</v>
      </c>
      <c r="U26" s="143" t="s">
        <v>1491</v>
      </c>
      <c r="V26" s="146">
        <v>1.2200000000000001E-2</v>
      </c>
      <c r="W26" s="146">
        <v>2.2668000000000001E-2</v>
      </c>
      <c r="X26" s="143" t="s">
        <v>412</v>
      </c>
      <c r="Y26" s="145" t="s">
        <v>3930</v>
      </c>
      <c r="Z26" s="144">
        <v>32635</v>
      </c>
      <c r="AA26" s="145" t="s">
        <v>3930</v>
      </c>
      <c r="AB26" s="143" t="s">
        <v>1492</v>
      </c>
      <c r="AC26" s="145" t="s">
        <v>3930</v>
      </c>
      <c r="AD26" s="144">
        <v>36.890599999999999</v>
      </c>
      <c r="AE26" s="145" t="s">
        <v>3930</v>
      </c>
      <c r="AF26" s="145" t="s">
        <v>3930</v>
      </c>
      <c r="AG26" s="145" t="s">
        <v>3930</v>
      </c>
      <c r="AH26" s="146">
        <v>1.0822015564336526E-5</v>
      </c>
      <c r="AI26" s="146">
        <v>3.5482104306904454E-2</v>
      </c>
      <c r="AJ26" s="147">
        <v>2.3998029273728915E-3</v>
      </c>
      <c r="AK26" s="177"/>
    </row>
    <row r="27" spans="1:37" ht="15" x14ac:dyDescent="0.2">
      <c r="A27" s="142" t="s">
        <v>1205</v>
      </c>
      <c r="B27" s="143" t="s">
        <v>1206</v>
      </c>
      <c r="C27" s="143" t="s">
        <v>1493</v>
      </c>
      <c r="D27" s="143" t="s">
        <v>1494</v>
      </c>
      <c r="E27" s="143" t="s">
        <v>309</v>
      </c>
      <c r="F27" s="143" t="s">
        <v>1495</v>
      </c>
      <c r="G27" s="143" t="s">
        <v>1496</v>
      </c>
      <c r="H27" s="143" t="s">
        <v>321</v>
      </c>
      <c r="I27" s="143" t="s">
        <v>754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448</v>
      </c>
      <c r="O27" s="143" t="s">
        <v>339</v>
      </c>
      <c r="P27" s="143" t="s">
        <v>1303</v>
      </c>
      <c r="Q27" s="143" t="s">
        <v>413</v>
      </c>
      <c r="R27" s="143" t="s">
        <v>407</v>
      </c>
      <c r="S27" s="143" t="s">
        <v>1210</v>
      </c>
      <c r="T27" s="144">
        <v>5.14</v>
      </c>
      <c r="U27" s="143" t="s">
        <v>1497</v>
      </c>
      <c r="V27" s="146">
        <v>1E-3</v>
      </c>
      <c r="W27" s="146">
        <v>2.6318999999999999E-2</v>
      </c>
      <c r="X27" s="143" t="s">
        <v>412</v>
      </c>
      <c r="Y27" s="145" t="s">
        <v>3930</v>
      </c>
      <c r="Z27" s="144">
        <v>37000</v>
      </c>
      <c r="AA27" s="145" t="s">
        <v>3930</v>
      </c>
      <c r="AB27" s="143" t="s">
        <v>1498</v>
      </c>
      <c r="AC27" s="145" t="s">
        <v>3930</v>
      </c>
      <c r="AD27" s="144">
        <v>36.667000000000002</v>
      </c>
      <c r="AE27" s="145" t="s">
        <v>3930</v>
      </c>
      <c r="AF27" s="145" t="s">
        <v>3930</v>
      </c>
      <c r="AG27" s="145" t="s">
        <v>3930</v>
      </c>
      <c r="AH27" s="146">
        <v>1.4878373319296728E-5</v>
      </c>
      <c r="AI27" s="146">
        <v>3.5267037607225556E-2</v>
      </c>
      <c r="AJ27" s="147">
        <v>2.3852570681136536E-3</v>
      </c>
      <c r="AK27" s="177"/>
    </row>
    <row r="28" spans="1:37" ht="15" x14ac:dyDescent="0.2">
      <c r="A28" s="142" t="s">
        <v>1205</v>
      </c>
      <c r="B28" s="143" t="s">
        <v>1206</v>
      </c>
      <c r="C28" s="143" t="s">
        <v>1352</v>
      </c>
      <c r="D28" s="143" t="s">
        <v>1353</v>
      </c>
      <c r="E28" s="143" t="s">
        <v>309</v>
      </c>
      <c r="F28" s="143" t="s">
        <v>1499</v>
      </c>
      <c r="G28" s="143" t="s">
        <v>1500</v>
      </c>
      <c r="H28" s="143" t="s">
        <v>321</v>
      </c>
      <c r="I28" s="143" t="s">
        <v>754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445</v>
      </c>
      <c r="O28" s="143" t="s">
        <v>339</v>
      </c>
      <c r="P28" s="143" t="s">
        <v>1356</v>
      </c>
      <c r="Q28" s="143" t="s">
        <v>413</v>
      </c>
      <c r="R28" s="143" t="s">
        <v>407</v>
      </c>
      <c r="S28" s="143" t="s">
        <v>1210</v>
      </c>
      <c r="T28" s="144">
        <v>6.79</v>
      </c>
      <c r="U28" s="143" t="s">
        <v>1501</v>
      </c>
      <c r="V28" s="146">
        <v>2.5000000000000001E-2</v>
      </c>
      <c r="W28" s="146">
        <v>6.0318999999999998E-2</v>
      </c>
      <c r="X28" s="143" t="s">
        <v>412</v>
      </c>
      <c r="Y28" s="145" t="s">
        <v>3930</v>
      </c>
      <c r="Z28" s="144">
        <v>40000</v>
      </c>
      <c r="AA28" s="145" t="s">
        <v>3930</v>
      </c>
      <c r="AB28" s="143" t="s">
        <v>1502</v>
      </c>
      <c r="AC28" s="145" t="s">
        <v>3930</v>
      </c>
      <c r="AD28" s="144">
        <v>31.707999999999998</v>
      </c>
      <c r="AE28" s="145" t="s">
        <v>3930</v>
      </c>
      <c r="AF28" s="145" t="s">
        <v>3930</v>
      </c>
      <c r="AG28" s="145" t="s">
        <v>3930</v>
      </c>
      <c r="AH28" s="146">
        <v>2.999293768293555E-5</v>
      </c>
      <c r="AI28" s="146">
        <v>3.049737443613898E-2</v>
      </c>
      <c r="AJ28" s="147">
        <v>2.0626648243856254E-3</v>
      </c>
      <c r="AK28" s="177"/>
    </row>
    <row r="29" spans="1:37" ht="15" x14ac:dyDescent="0.2">
      <c r="A29" s="142" t="s">
        <v>1205</v>
      </c>
      <c r="B29" s="143" t="s">
        <v>1206</v>
      </c>
      <c r="C29" s="143" t="s">
        <v>1503</v>
      </c>
      <c r="D29" s="143" t="s">
        <v>1504</v>
      </c>
      <c r="E29" s="143" t="s">
        <v>309</v>
      </c>
      <c r="F29" s="143" t="s">
        <v>1505</v>
      </c>
      <c r="G29" s="143" t="s">
        <v>1506</v>
      </c>
      <c r="H29" s="143" t="s">
        <v>321</v>
      </c>
      <c r="I29" s="143" t="s">
        <v>754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464</v>
      </c>
      <c r="O29" s="143" t="s">
        <v>339</v>
      </c>
      <c r="P29" s="143" t="s">
        <v>1412</v>
      </c>
      <c r="Q29" s="143" t="s">
        <v>413</v>
      </c>
      <c r="R29" s="143" t="s">
        <v>407</v>
      </c>
      <c r="S29" s="143" t="s">
        <v>1210</v>
      </c>
      <c r="T29" s="144">
        <v>1.5</v>
      </c>
      <c r="U29" s="143" t="s">
        <v>1507</v>
      </c>
      <c r="V29" s="146">
        <v>2.1499999999999998E-2</v>
      </c>
      <c r="W29" s="146">
        <v>2.5753000000000002E-2</v>
      </c>
      <c r="X29" s="143" t="s">
        <v>412</v>
      </c>
      <c r="Y29" s="145" t="s">
        <v>3930</v>
      </c>
      <c r="Z29" s="144">
        <v>25966.83</v>
      </c>
      <c r="AA29" s="145" t="s">
        <v>3930</v>
      </c>
      <c r="AB29" s="143" t="s">
        <v>1508</v>
      </c>
      <c r="AC29" s="145" t="s">
        <v>3930</v>
      </c>
      <c r="AD29" s="144">
        <v>30.6097</v>
      </c>
      <c r="AE29" s="145" t="s">
        <v>3930</v>
      </c>
      <c r="AF29" s="145" t="s">
        <v>3930</v>
      </c>
      <c r="AG29" s="145" t="s">
        <v>3930</v>
      </c>
      <c r="AH29" s="146">
        <v>2.1767977938971034E-5</v>
      </c>
      <c r="AI29" s="146">
        <v>2.9441007253752153E-2</v>
      </c>
      <c r="AJ29" s="147">
        <v>1.9912182992656577E-3</v>
      </c>
      <c r="AK29" s="177"/>
    </row>
    <row r="30" spans="1:37" ht="15" x14ac:dyDescent="0.2">
      <c r="A30" s="142" t="s">
        <v>1205</v>
      </c>
      <c r="B30" s="143" t="s">
        <v>1206</v>
      </c>
      <c r="C30" s="143" t="s">
        <v>1503</v>
      </c>
      <c r="D30" s="143" t="s">
        <v>1504</v>
      </c>
      <c r="E30" s="143" t="s">
        <v>309</v>
      </c>
      <c r="F30" s="143" t="s">
        <v>1509</v>
      </c>
      <c r="G30" s="143" t="s">
        <v>1510</v>
      </c>
      <c r="H30" s="143" t="s">
        <v>321</v>
      </c>
      <c r="I30" s="143" t="s">
        <v>754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464</v>
      </c>
      <c r="O30" s="143" t="s">
        <v>339</v>
      </c>
      <c r="P30" s="143" t="s">
        <v>1412</v>
      </c>
      <c r="Q30" s="143" t="s">
        <v>413</v>
      </c>
      <c r="R30" s="143" t="s">
        <v>407</v>
      </c>
      <c r="S30" s="143" t="s">
        <v>1210</v>
      </c>
      <c r="T30" s="144">
        <v>0.76</v>
      </c>
      <c r="U30" s="143" t="s">
        <v>1511</v>
      </c>
      <c r="V30" s="146">
        <v>3.2533699999999999E-2</v>
      </c>
      <c r="W30" s="146">
        <v>2.5586000000000001E-2</v>
      </c>
      <c r="X30" s="143" t="s">
        <v>412</v>
      </c>
      <c r="Y30" s="145" t="s">
        <v>3930</v>
      </c>
      <c r="Z30" s="144">
        <v>25587.72</v>
      </c>
      <c r="AA30" s="145" t="s">
        <v>3930</v>
      </c>
      <c r="AB30" s="143" t="s">
        <v>1512</v>
      </c>
      <c r="AC30" s="145" t="s">
        <v>3930</v>
      </c>
      <c r="AD30" s="144">
        <v>29.9376</v>
      </c>
      <c r="AE30" s="145" t="s">
        <v>3930</v>
      </c>
      <c r="AF30" s="145" t="s">
        <v>3930</v>
      </c>
      <c r="AG30" s="145" t="s">
        <v>3930</v>
      </c>
      <c r="AH30" s="146">
        <v>3.3275317414051182E-5</v>
      </c>
      <c r="AI30" s="146">
        <v>2.8794600259691119E-2</v>
      </c>
      <c r="AJ30" s="147">
        <v>1.9474990941360983E-3</v>
      </c>
      <c r="AK30" s="177"/>
    </row>
    <row r="31" spans="1:37" ht="15" x14ac:dyDescent="0.2">
      <c r="A31" s="142" t="s">
        <v>1205</v>
      </c>
      <c r="B31" s="143" t="s">
        <v>1206</v>
      </c>
      <c r="C31" s="143" t="s">
        <v>1513</v>
      </c>
      <c r="D31" s="143" t="s">
        <v>1514</v>
      </c>
      <c r="E31" s="143" t="s">
        <v>309</v>
      </c>
      <c r="F31" s="143" t="s">
        <v>1515</v>
      </c>
      <c r="G31" s="143" t="s">
        <v>1516</v>
      </c>
      <c r="H31" s="143" t="s">
        <v>321</v>
      </c>
      <c r="I31" s="143" t="s">
        <v>754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465</v>
      </c>
      <c r="O31" s="143" t="s">
        <v>339</v>
      </c>
      <c r="P31" s="143" t="s">
        <v>1405</v>
      </c>
      <c r="Q31" s="143" t="s">
        <v>415</v>
      </c>
      <c r="R31" s="143" t="s">
        <v>407</v>
      </c>
      <c r="S31" s="143" t="s">
        <v>1210</v>
      </c>
      <c r="T31" s="144">
        <v>1.86</v>
      </c>
      <c r="U31" s="143" t="s">
        <v>1517</v>
      </c>
      <c r="V31" s="146">
        <v>0.04</v>
      </c>
      <c r="W31" s="146">
        <v>4.0134000000000003E-2</v>
      </c>
      <c r="X31" s="143" t="s">
        <v>412</v>
      </c>
      <c r="Y31" s="145" t="s">
        <v>3930</v>
      </c>
      <c r="Z31" s="144">
        <v>25182</v>
      </c>
      <c r="AA31" s="145" t="s">
        <v>3930</v>
      </c>
      <c r="AB31" s="143" t="s">
        <v>1518</v>
      </c>
      <c r="AC31" s="145" t="s">
        <v>3930</v>
      </c>
      <c r="AD31" s="144">
        <v>29.261500000000002</v>
      </c>
      <c r="AE31" s="145" t="s">
        <v>3930</v>
      </c>
      <c r="AF31" s="145" t="s">
        <v>3930</v>
      </c>
      <c r="AG31" s="145" t="s">
        <v>3930</v>
      </c>
      <c r="AH31" s="146">
        <v>1.2146997569782873E-5</v>
      </c>
      <c r="AI31" s="146">
        <v>2.8144267506783456E-2</v>
      </c>
      <c r="AJ31" s="147">
        <v>1.9035143735373656E-3</v>
      </c>
      <c r="AK31" s="177"/>
    </row>
    <row r="32" spans="1:37" ht="15" x14ac:dyDescent="0.2">
      <c r="A32" s="142" t="s">
        <v>1205</v>
      </c>
      <c r="B32" s="143" t="s">
        <v>1206</v>
      </c>
      <c r="C32" s="143" t="s">
        <v>1352</v>
      </c>
      <c r="D32" s="143" t="s">
        <v>1353</v>
      </c>
      <c r="E32" s="143" t="s">
        <v>309</v>
      </c>
      <c r="F32" s="143" t="s">
        <v>1519</v>
      </c>
      <c r="G32" s="143" t="s">
        <v>1520</v>
      </c>
      <c r="H32" s="143" t="s">
        <v>321</v>
      </c>
      <c r="I32" s="143" t="s">
        <v>754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445</v>
      </c>
      <c r="O32" s="143" t="s">
        <v>339</v>
      </c>
      <c r="P32" s="143" t="s">
        <v>1356</v>
      </c>
      <c r="Q32" s="143" t="s">
        <v>413</v>
      </c>
      <c r="R32" s="143" t="s">
        <v>407</v>
      </c>
      <c r="S32" s="143" t="s">
        <v>1210</v>
      </c>
      <c r="T32" s="144">
        <v>0.82</v>
      </c>
      <c r="U32" s="143" t="s">
        <v>1369</v>
      </c>
      <c r="V32" s="146">
        <v>2.4799999999999999E-2</v>
      </c>
      <c r="W32" s="146">
        <v>2.6313E-2</v>
      </c>
      <c r="X32" s="143" t="s">
        <v>412</v>
      </c>
      <c r="Y32" s="145" t="s">
        <v>3930</v>
      </c>
      <c r="Z32" s="144">
        <v>25234.55</v>
      </c>
      <c r="AA32" s="145" t="s">
        <v>3930</v>
      </c>
      <c r="AB32" s="143" t="s">
        <v>1521</v>
      </c>
      <c r="AC32" s="145" t="s">
        <v>3930</v>
      </c>
      <c r="AD32" s="144">
        <v>29.256900000000002</v>
      </c>
      <c r="AE32" s="145" t="s">
        <v>3930</v>
      </c>
      <c r="AF32" s="145" t="s">
        <v>3930</v>
      </c>
      <c r="AG32" s="145" t="s">
        <v>3930</v>
      </c>
      <c r="AH32" s="146">
        <v>5.9587654437230309E-5</v>
      </c>
      <c r="AI32" s="146">
        <v>2.8139894372960127E-2</v>
      </c>
      <c r="AJ32" s="147">
        <v>1.9032186002297781E-3</v>
      </c>
      <c r="AK32" s="177"/>
    </row>
    <row r="33" spans="1:37" ht="15" x14ac:dyDescent="0.2">
      <c r="A33" s="142" t="s">
        <v>1205</v>
      </c>
      <c r="B33" s="143" t="s">
        <v>1206</v>
      </c>
      <c r="C33" s="143" t="s">
        <v>1522</v>
      </c>
      <c r="D33" s="143" t="s">
        <v>1523</v>
      </c>
      <c r="E33" s="143" t="s">
        <v>309</v>
      </c>
      <c r="F33" s="143" t="s">
        <v>1524</v>
      </c>
      <c r="G33" s="143" t="s">
        <v>1525</v>
      </c>
      <c r="H33" s="143" t="s">
        <v>321</v>
      </c>
      <c r="I33" s="143" t="s">
        <v>754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448</v>
      </c>
      <c r="O33" s="143" t="s">
        <v>339</v>
      </c>
      <c r="P33" s="143" t="s">
        <v>1356</v>
      </c>
      <c r="Q33" s="143" t="s">
        <v>413</v>
      </c>
      <c r="R33" s="143" t="s">
        <v>407</v>
      </c>
      <c r="S33" s="143" t="s">
        <v>1210</v>
      </c>
      <c r="T33" s="144">
        <v>1.23</v>
      </c>
      <c r="U33" s="143" t="s">
        <v>1526</v>
      </c>
      <c r="V33" s="146">
        <v>2E-3</v>
      </c>
      <c r="W33" s="146">
        <v>2.0126999999999999E-2</v>
      </c>
      <c r="X33" s="143" t="s">
        <v>412</v>
      </c>
      <c r="Y33" s="145" t="s">
        <v>3930</v>
      </c>
      <c r="Z33" s="144">
        <v>25628.25</v>
      </c>
      <c r="AA33" s="145" t="s">
        <v>3930</v>
      </c>
      <c r="AB33" s="143" t="s">
        <v>1527</v>
      </c>
      <c r="AC33" s="145" t="s">
        <v>3930</v>
      </c>
      <c r="AD33" s="144">
        <v>28.665200000000002</v>
      </c>
      <c r="AE33" s="145" t="s">
        <v>3930</v>
      </c>
      <c r="AF33" s="145" t="s">
        <v>3930</v>
      </c>
      <c r="AG33" s="145" t="s">
        <v>3930</v>
      </c>
      <c r="AH33" s="146">
        <v>6.1279279370355849E-5</v>
      </c>
      <c r="AI33" s="146">
        <v>2.7570747611187926E-2</v>
      </c>
      <c r="AJ33" s="147">
        <v>1.8647248273353687E-3</v>
      </c>
      <c r="AK33" s="177"/>
    </row>
    <row r="34" spans="1:37" ht="15" x14ac:dyDescent="0.2">
      <c r="A34" s="142" t="s">
        <v>1205</v>
      </c>
      <c r="B34" s="143" t="s">
        <v>1206</v>
      </c>
      <c r="C34" s="143" t="s">
        <v>1493</v>
      </c>
      <c r="D34" s="143" t="s">
        <v>1494</v>
      </c>
      <c r="E34" s="143" t="s">
        <v>309</v>
      </c>
      <c r="F34" s="143" t="s">
        <v>1528</v>
      </c>
      <c r="G34" s="143" t="s">
        <v>1529</v>
      </c>
      <c r="H34" s="143" t="s">
        <v>321</v>
      </c>
      <c r="I34" s="143" t="s">
        <v>754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448</v>
      </c>
      <c r="O34" s="143" t="s">
        <v>339</v>
      </c>
      <c r="P34" s="143" t="s">
        <v>1303</v>
      </c>
      <c r="Q34" s="143" t="s">
        <v>413</v>
      </c>
      <c r="R34" s="143" t="s">
        <v>407</v>
      </c>
      <c r="S34" s="143" t="s">
        <v>1210</v>
      </c>
      <c r="T34" s="144">
        <v>5.04</v>
      </c>
      <c r="U34" s="143" t="s">
        <v>1530</v>
      </c>
      <c r="V34" s="146">
        <v>2.0251999999999999E-2</v>
      </c>
      <c r="W34" s="146">
        <v>2.6082999999999999E-2</v>
      </c>
      <c r="X34" s="143" t="s">
        <v>412</v>
      </c>
      <c r="Y34" s="145" t="s">
        <v>3930</v>
      </c>
      <c r="Z34" s="144">
        <v>28000</v>
      </c>
      <c r="AA34" s="145" t="s">
        <v>3930</v>
      </c>
      <c r="AB34" s="143" t="s">
        <v>1531</v>
      </c>
      <c r="AC34" s="145" t="s">
        <v>3930</v>
      </c>
      <c r="AD34" s="144">
        <v>28.378</v>
      </c>
      <c r="AE34" s="145" t="s">
        <v>3930</v>
      </c>
      <c r="AF34" s="145" t="s">
        <v>3930</v>
      </c>
      <c r="AG34" s="145" t="s">
        <v>3930</v>
      </c>
      <c r="AH34" s="146">
        <v>7.8474984417110244E-6</v>
      </c>
      <c r="AI34" s="146">
        <v>2.7294515319438373E-2</v>
      </c>
      <c r="AJ34" s="147">
        <v>1.8460420835882199E-3</v>
      </c>
      <c r="AK34" s="177"/>
    </row>
    <row r="35" spans="1:37" ht="15" x14ac:dyDescent="0.2">
      <c r="A35" s="142" t="s">
        <v>1205</v>
      </c>
      <c r="B35" s="143" t="s">
        <v>1206</v>
      </c>
      <c r="C35" s="143" t="s">
        <v>1532</v>
      </c>
      <c r="D35" s="143" t="s">
        <v>1533</v>
      </c>
      <c r="E35" s="143" t="s">
        <v>309</v>
      </c>
      <c r="F35" s="143" t="s">
        <v>1534</v>
      </c>
      <c r="G35" s="143" t="s">
        <v>1535</v>
      </c>
      <c r="H35" s="143" t="s">
        <v>321</v>
      </c>
      <c r="I35" s="143" t="s">
        <v>754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464</v>
      </c>
      <c r="O35" s="143" t="s">
        <v>339</v>
      </c>
      <c r="P35" s="143" t="s">
        <v>1412</v>
      </c>
      <c r="Q35" s="143" t="s">
        <v>413</v>
      </c>
      <c r="R35" s="143" t="s">
        <v>407</v>
      </c>
      <c r="S35" s="143" t="s">
        <v>1210</v>
      </c>
      <c r="T35" s="144">
        <v>2.1800000000000002</v>
      </c>
      <c r="U35" s="143" t="s">
        <v>1304</v>
      </c>
      <c r="V35" s="146">
        <v>2.3400000000000001E-2</v>
      </c>
      <c r="W35" s="146">
        <v>2.7172000000000002E-2</v>
      </c>
      <c r="X35" s="143" t="s">
        <v>412</v>
      </c>
      <c r="Y35" s="145" t="s">
        <v>3930</v>
      </c>
      <c r="Z35" s="144">
        <v>22941.84</v>
      </c>
      <c r="AA35" s="145" t="s">
        <v>3930</v>
      </c>
      <c r="AB35" s="143" t="s">
        <v>1536</v>
      </c>
      <c r="AC35" s="145" t="s">
        <v>3930</v>
      </c>
      <c r="AD35" s="144">
        <v>26.582699999999999</v>
      </c>
      <c r="AE35" s="145" t="s">
        <v>3930</v>
      </c>
      <c r="AF35" s="145" t="s">
        <v>3930</v>
      </c>
      <c r="AG35" s="145" t="s">
        <v>3930</v>
      </c>
      <c r="AH35" s="146">
        <v>1.0875192557596201E-5</v>
      </c>
      <c r="AI35" s="146">
        <v>2.5567770299018387E-2</v>
      </c>
      <c r="AJ35" s="147">
        <v>1.7292551050317058E-3</v>
      </c>
      <c r="AK35" s="177"/>
    </row>
    <row r="36" spans="1:37" ht="15" x14ac:dyDescent="0.2">
      <c r="A36" s="142" t="s">
        <v>1205</v>
      </c>
      <c r="B36" s="143" t="s">
        <v>1206</v>
      </c>
      <c r="C36" s="143" t="s">
        <v>1513</v>
      </c>
      <c r="D36" s="143" t="s">
        <v>1514</v>
      </c>
      <c r="E36" s="143" t="s">
        <v>309</v>
      </c>
      <c r="F36" s="143" t="s">
        <v>1537</v>
      </c>
      <c r="G36" s="143" t="s">
        <v>1538</v>
      </c>
      <c r="H36" s="143" t="s">
        <v>321</v>
      </c>
      <c r="I36" s="143" t="s">
        <v>754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465</v>
      </c>
      <c r="O36" s="143" t="s">
        <v>339</v>
      </c>
      <c r="P36" s="143" t="s">
        <v>1405</v>
      </c>
      <c r="Q36" s="143" t="s">
        <v>415</v>
      </c>
      <c r="R36" s="143" t="s">
        <v>407</v>
      </c>
      <c r="S36" s="143" t="s">
        <v>1210</v>
      </c>
      <c r="T36" s="144">
        <v>2.23</v>
      </c>
      <c r="U36" s="143" t="s">
        <v>1539</v>
      </c>
      <c r="V36" s="146">
        <v>3.2800000000000003E-2</v>
      </c>
      <c r="W36" s="146">
        <v>4.3984000000000002E-2</v>
      </c>
      <c r="X36" s="143" t="s">
        <v>412</v>
      </c>
      <c r="Y36" s="145" t="s">
        <v>3930</v>
      </c>
      <c r="Z36" s="144">
        <v>20936</v>
      </c>
      <c r="AA36" s="145" t="s">
        <v>3930</v>
      </c>
      <c r="AB36" s="143" t="s">
        <v>1540</v>
      </c>
      <c r="AC36" s="145" t="s">
        <v>3930</v>
      </c>
      <c r="AD36" s="144">
        <v>24.088999999999999</v>
      </c>
      <c r="AE36" s="145" t="s">
        <v>3930</v>
      </c>
      <c r="AF36" s="145" t="s">
        <v>3930</v>
      </c>
      <c r="AG36" s="145" t="s">
        <v>3930</v>
      </c>
      <c r="AH36" s="146">
        <v>1.3076887221763435E-5</v>
      </c>
      <c r="AI36" s="146">
        <v>2.3169234316039282E-2</v>
      </c>
      <c r="AJ36" s="147">
        <v>1.5670320975241603E-3</v>
      </c>
      <c r="AK36" s="177"/>
    </row>
    <row r="37" spans="1:37" ht="15" x14ac:dyDescent="0.2">
      <c r="A37" s="142" t="s">
        <v>1205</v>
      </c>
      <c r="B37" s="143" t="s">
        <v>1206</v>
      </c>
      <c r="C37" s="143" t="s">
        <v>1541</v>
      </c>
      <c r="D37" s="143" t="s">
        <v>1542</v>
      </c>
      <c r="E37" s="143" t="s">
        <v>309</v>
      </c>
      <c r="F37" s="143" t="s">
        <v>1543</v>
      </c>
      <c r="G37" s="143" t="s">
        <v>1544</v>
      </c>
      <c r="H37" s="143" t="s">
        <v>321</v>
      </c>
      <c r="I37" s="143" t="s">
        <v>754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465</v>
      </c>
      <c r="O37" s="143" t="s">
        <v>339</v>
      </c>
      <c r="P37" s="143" t="s">
        <v>1444</v>
      </c>
      <c r="Q37" s="143" t="s">
        <v>415</v>
      </c>
      <c r="R37" s="143" t="s">
        <v>407</v>
      </c>
      <c r="S37" s="143" t="s">
        <v>1210</v>
      </c>
      <c r="T37" s="144">
        <v>1.46</v>
      </c>
      <c r="U37" s="143" t="s">
        <v>1545</v>
      </c>
      <c r="V37" s="146">
        <v>2.5700000000000001E-2</v>
      </c>
      <c r="W37" s="146">
        <v>3.1085000000000002E-2</v>
      </c>
      <c r="X37" s="143" t="s">
        <v>412</v>
      </c>
      <c r="Y37" s="145" t="s">
        <v>3930</v>
      </c>
      <c r="Z37" s="144">
        <v>19550</v>
      </c>
      <c r="AA37" s="145" t="s">
        <v>3930</v>
      </c>
      <c r="AB37" s="143" t="s">
        <v>1546</v>
      </c>
      <c r="AC37" s="145" t="s">
        <v>3930</v>
      </c>
      <c r="AD37" s="144">
        <v>22.85</v>
      </c>
      <c r="AE37" s="145" t="s">
        <v>3930</v>
      </c>
      <c r="AF37" s="145" t="s">
        <v>3930</v>
      </c>
      <c r="AG37" s="145" t="s">
        <v>3930</v>
      </c>
      <c r="AH37" s="146">
        <v>1.5244688161910909E-5</v>
      </c>
      <c r="AI37" s="146">
        <v>2.1977615294586639E-2</v>
      </c>
      <c r="AJ37" s="147">
        <v>1.4864379255646687E-3</v>
      </c>
      <c r="AK37" s="177"/>
    </row>
    <row r="38" spans="1:37" ht="15" x14ac:dyDescent="0.2">
      <c r="A38" s="142" t="s">
        <v>1205</v>
      </c>
      <c r="B38" s="143" t="s">
        <v>1206</v>
      </c>
      <c r="C38" s="143" t="s">
        <v>1474</v>
      </c>
      <c r="D38" s="143" t="s">
        <v>1475</v>
      </c>
      <c r="E38" s="143" t="s">
        <v>313</v>
      </c>
      <c r="F38" s="143" t="s">
        <v>1547</v>
      </c>
      <c r="G38" s="143" t="s">
        <v>1548</v>
      </c>
      <c r="H38" s="143" t="s">
        <v>321</v>
      </c>
      <c r="I38" s="143" t="s">
        <v>754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440</v>
      </c>
      <c r="O38" s="143" t="s">
        <v>339</v>
      </c>
      <c r="P38" s="143" t="s">
        <v>1478</v>
      </c>
      <c r="Q38" s="143" t="s">
        <v>415</v>
      </c>
      <c r="R38" s="143" t="s">
        <v>407</v>
      </c>
      <c r="S38" s="143" t="s">
        <v>1210</v>
      </c>
      <c r="T38" s="144">
        <v>0.9</v>
      </c>
      <c r="U38" s="143" t="s">
        <v>1549</v>
      </c>
      <c r="V38" s="146">
        <v>4.4999999999999998E-2</v>
      </c>
      <c r="W38" s="146">
        <v>2.6144000000000001E-2</v>
      </c>
      <c r="X38" s="143" t="s">
        <v>412</v>
      </c>
      <c r="Y38" s="145" t="s">
        <v>3930</v>
      </c>
      <c r="Z38" s="144">
        <v>18844</v>
      </c>
      <c r="AA38" s="145" t="s">
        <v>3930</v>
      </c>
      <c r="AB38" s="143" t="s">
        <v>1550</v>
      </c>
      <c r="AC38" s="145" t="s">
        <v>3930</v>
      </c>
      <c r="AD38" s="144">
        <v>22.499700000000001</v>
      </c>
      <c r="AE38" s="145" t="s">
        <v>3930</v>
      </c>
      <c r="AF38" s="145" t="s">
        <v>3930</v>
      </c>
      <c r="AG38" s="145" t="s">
        <v>3930</v>
      </c>
      <c r="AH38" s="146">
        <v>6.3756844630451679E-6</v>
      </c>
      <c r="AI38" s="146">
        <v>2.1640686057344389E-2</v>
      </c>
      <c r="AJ38" s="147">
        <v>1.4636499938552711E-3</v>
      </c>
      <c r="AK38" s="177"/>
    </row>
    <row r="39" spans="1:37" ht="15" x14ac:dyDescent="0.2">
      <c r="A39" s="142" t="s">
        <v>1205</v>
      </c>
      <c r="B39" s="143" t="s">
        <v>1206</v>
      </c>
      <c r="C39" s="143" t="s">
        <v>1474</v>
      </c>
      <c r="D39" s="143" t="s">
        <v>1475</v>
      </c>
      <c r="E39" s="143" t="s">
        <v>313</v>
      </c>
      <c r="F39" s="143" t="s">
        <v>1551</v>
      </c>
      <c r="G39" s="143" t="s">
        <v>1552</v>
      </c>
      <c r="H39" s="143" t="s">
        <v>321</v>
      </c>
      <c r="I39" s="143" t="s">
        <v>754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440</v>
      </c>
      <c r="O39" s="143" t="s">
        <v>339</v>
      </c>
      <c r="P39" s="143" t="s">
        <v>1478</v>
      </c>
      <c r="Q39" s="143" t="s">
        <v>415</v>
      </c>
      <c r="R39" s="143" t="s">
        <v>407</v>
      </c>
      <c r="S39" s="143" t="s">
        <v>1210</v>
      </c>
      <c r="T39" s="144">
        <v>5.8</v>
      </c>
      <c r="U39" s="143" t="s">
        <v>1553</v>
      </c>
      <c r="V39" s="146">
        <v>2.3900000000000001E-2</v>
      </c>
      <c r="W39" s="146">
        <v>2.9045000000000001E-2</v>
      </c>
      <c r="X39" s="143" t="s">
        <v>412</v>
      </c>
      <c r="Y39" s="145" t="s">
        <v>3930</v>
      </c>
      <c r="Z39" s="144">
        <v>20000</v>
      </c>
      <c r="AA39" s="145" t="s">
        <v>3930</v>
      </c>
      <c r="AB39" s="143" t="s">
        <v>1554</v>
      </c>
      <c r="AC39" s="145" t="s">
        <v>3930</v>
      </c>
      <c r="AD39" s="144">
        <v>22.347999999999999</v>
      </c>
      <c r="AE39" s="145" t="s">
        <v>3930</v>
      </c>
      <c r="AF39" s="145" t="s">
        <v>3930</v>
      </c>
      <c r="AG39" s="145" t="s">
        <v>3930</v>
      </c>
      <c r="AH39" s="146">
        <v>5.1425145044621602E-6</v>
      </c>
      <c r="AI39" s="146">
        <v>2.1494743405412953E-2</v>
      </c>
      <c r="AJ39" s="147">
        <v>1.4537792826848101E-3</v>
      </c>
      <c r="AK39" s="177"/>
    </row>
    <row r="40" spans="1:37" ht="15" x14ac:dyDescent="0.2">
      <c r="A40" s="142" t="s">
        <v>1205</v>
      </c>
      <c r="B40" s="143" t="s">
        <v>1206</v>
      </c>
      <c r="C40" s="143" t="s">
        <v>1555</v>
      </c>
      <c r="D40" s="143" t="s">
        <v>1556</v>
      </c>
      <c r="E40" s="143" t="s">
        <v>309</v>
      </c>
      <c r="F40" s="143" t="s">
        <v>1557</v>
      </c>
      <c r="G40" s="143" t="s">
        <v>1558</v>
      </c>
      <c r="H40" s="143" t="s">
        <v>321</v>
      </c>
      <c r="I40" s="143" t="s">
        <v>754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464</v>
      </c>
      <c r="O40" s="143" t="s">
        <v>339</v>
      </c>
      <c r="P40" s="143" t="s">
        <v>1412</v>
      </c>
      <c r="Q40" s="143" t="s">
        <v>413</v>
      </c>
      <c r="R40" s="143" t="s">
        <v>407</v>
      </c>
      <c r="S40" s="143" t="s">
        <v>1210</v>
      </c>
      <c r="T40" s="144">
        <v>2.1800000000000002</v>
      </c>
      <c r="U40" s="143" t="s">
        <v>1559</v>
      </c>
      <c r="V40" s="146">
        <v>3.2000000000000001E-2</v>
      </c>
      <c r="W40" s="146">
        <v>2.6786000000000001E-2</v>
      </c>
      <c r="X40" s="143" t="s">
        <v>412</v>
      </c>
      <c r="Y40" s="145" t="s">
        <v>3930</v>
      </c>
      <c r="Z40" s="144">
        <v>18967.2</v>
      </c>
      <c r="AA40" s="145" t="s">
        <v>3930</v>
      </c>
      <c r="AB40" s="143" t="s">
        <v>1560</v>
      </c>
      <c r="AC40" s="145" t="s">
        <v>3930</v>
      </c>
      <c r="AD40" s="144">
        <v>22.261800000000001</v>
      </c>
      <c r="AE40" s="145" t="s">
        <v>3930</v>
      </c>
      <c r="AF40" s="145" t="s">
        <v>3930</v>
      </c>
      <c r="AG40" s="145" t="s">
        <v>3930</v>
      </c>
      <c r="AH40" s="146">
        <v>1.8027358106979128E-5</v>
      </c>
      <c r="AI40" s="146">
        <v>2.1411837099013096E-2</v>
      </c>
      <c r="AJ40" s="147">
        <v>1.4481719828731883E-3</v>
      </c>
      <c r="AK40" s="177"/>
    </row>
    <row r="41" spans="1:37" ht="15" x14ac:dyDescent="0.2">
      <c r="A41" s="142" t="s">
        <v>1205</v>
      </c>
      <c r="B41" s="143" t="s">
        <v>1206</v>
      </c>
      <c r="C41" s="143" t="s">
        <v>1522</v>
      </c>
      <c r="D41" s="143" t="s">
        <v>1523</v>
      </c>
      <c r="E41" s="143" t="s">
        <v>309</v>
      </c>
      <c r="F41" s="143" t="s">
        <v>1561</v>
      </c>
      <c r="G41" s="143" t="s">
        <v>1562</v>
      </c>
      <c r="H41" s="143" t="s">
        <v>321</v>
      </c>
      <c r="I41" s="143" t="s">
        <v>754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448</v>
      </c>
      <c r="O41" s="143" t="s">
        <v>339</v>
      </c>
      <c r="P41" s="143" t="s">
        <v>1356</v>
      </c>
      <c r="Q41" s="143" t="s">
        <v>413</v>
      </c>
      <c r="R41" s="143" t="s">
        <v>407</v>
      </c>
      <c r="S41" s="143" t="s">
        <v>1210</v>
      </c>
      <c r="T41" s="144">
        <v>4.5</v>
      </c>
      <c r="U41" s="143" t="s">
        <v>1563</v>
      </c>
      <c r="V41" s="146">
        <v>2.5899999999999999E-2</v>
      </c>
      <c r="W41" s="146">
        <v>2.6100000000000002E-2</v>
      </c>
      <c r="X41" s="143" t="s">
        <v>412</v>
      </c>
      <c r="Y41" s="145" t="s">
        <v>3930</v>
      </c>
      <c r="Z41" s="144">
        <v>19000</v>
      </c>
      <c r="AA41" s="145" t="s">
        <v>3930</v>
      </c>
      <c r="AB41" s="143" t="s">
        <v>1564</v>
      </c>
      <c r="AC41" s="145" t="s">
        <v>3930</v>
      </c>
      <c r="AD41" s="144">
        <v>19.974700000000002</v>
      </c>
      <c r="AE41" s="145" t="s">
        <v>3930</v>
      </c>
      <c r="AF41" s="145" t="s">
        <v>3930</v>
      </c>
      <c r="AG41" s="145" t="s">
        <v>3930</v>
      </c>
      <c r="AH41" s="146">
        <v>4.2222222222222222E-5</v>
      </c>
      <c r="AI41" s="146">
        <v>1.9212057056564442E-2</v>
      </c>
      <c r="AJ41" s="147">
        <v>1.2993916698516321E-3</v>
      </c>
      <c r="AK41" s="177"/>
    </row>
    <row r="42" spans="1:37" ht="15" x14ac:dyDescent="0.2">
      <c r="A42" s="142" t="s">
        <v>1205</v>
      </c>
      <c r="B42" s="143" t="s">
        <v>1206</v>
      </c>
      <c r="C42" s="143" t="s">
        <v>1455</v>
      </c>
      <c r="D42" s="143" t="s">
        <v>1456</v>
      </c>
      <c r="E42" s="143" t="s">
        <v>309</v>
      </c>
      <c r="F42" s="143" t="s">
        <v>1565</v>
      </c>
      <c r="G42" s="143" t="s">
        <v>1566</v>
      </c>
      <c r="H42" s="143" t="s">
        <v>321</v>
      </c>
      <c r="I42" s="143" t="s">
        <v>754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464</v>
      </c>
      <c r="O42" s="143" t="s">
        <v>339</v>
      </c>
      <c r="P42" s="143" t="s">
        <v>1412</v>
      </c>
      <c r="Q42" s="143" t="s">
        <v>413</v>
      </c>
      <c r="R42" s="143" t="s">
        <v>407</v>
      </c>
      <c r="S42" s="143" t="s">
        <v>1210</v>
      </c>
      <c r="T42" s="144">
        <v>5.14</v>
      </c>
      <c r="U42" s="143" t="s">
        <v>1567</v>
      </c>
      <c r="V42" s="146">
        <v>5.8999999999999999E-3</v>
      </c>
      <c r="W42" s="146">
        <v>3.3244999999999997E-2</v>
      </c>
      <c r="X42" s="143" t="s">
        <v>412</v>
      </c>
      <c r="Y42" s="145" t="s">
        <v>3930</v>
      </c>
      <c r="Z42" s="144">
        <v>20000</v>
      </c>
      <c r="AA42" s="145" t="s">
        <v>3930</v>
      </c>
      <c r="AB42" s="143" t="s">
        <v>1568</v>
      </c>
      <c r="AC42" s="145" t="s">
        <v>3930</v>
      </c>
      <c r="AD42" s="144">
        <v>19.507999999999999</v>
      </c>
      <c r="AE42" s="145" t="s">
        <v>3930</v>
      </c>
      <c r="AF42" s="145" t="s">
        <v>3930</v>
      </c>
      <c r="AG42" s="145" t="s">
        <v>3930</v>
      </c>
      <c r="AH42" s="146">
        <v>1.4280399936880632E-5</v>
      </c>
      <c r="AI42" s="146">
        <v>1.8763175870449074E-2</v>
      </c>
      <c r="AJ42" s="147">
        <v>1.2690319602029388E-3</v>
      </c>
      <c r="AK42" s="177"/>
    </row>
    <row r="43" spans="1:37" ht="15" x14ac:dyDescent="0.2">
      <c r="A43" s="142" t="s">
        <v>1205</v>
      </c>
      <c r="B43" s="143" t="s">
        <v>1206</v>
      </c>
      <c r="C43" s="143" t="s">
        <v>1569</v>
      </c>
      <c r="D43" s="143" t="s">
        <v>1570</v>
      </c>
      <c r="E43" s="143" t="s">
        <v>309</v>
      </c>
      <c r="F43" s="143" t="s">
        <v>1571</v>
      </c>
      <c r="G43" s="143" t="s">
        <v>1572</v>
      </c>
      <c r="H43" s="143" t="s">
        <v>321</v>
      </c>
      <c r="I43" s="143" t="s">
        <v>754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448</v>
      </c>
      <c r="O43" s="143" t="s">
        <v>339</v>
      </c>
      <c r="P43" s="143" t="s">
        <v>1303</v>
      </c>
      <c r="Q43" s="143" t="s">
        <v>413</v>
      </c>
      <c r="R43" s="143" t="s">
        <v>407</v>
      </c>
      <c r="S43" s="143" t="s">
        <v>1210</v>
      </c>
      <c r="T43" s="144">
        <v>3.92</v>
      </c>
      <c r="U43" s="143" t="s">
        <v>1573</v>
      </c>
      <c r="V43" s="146">
        <v>1.3899999999999999E-2</v>
      </c>
      <c r="W43" s="146">
        <v>2.4587000000000001E-2</v>
      </c>
      <c r="X43" s="143" t="s">
        <v>412</v>
      </c>
      <c r="Y43" s="145" t="s">
        <v>3930</v>
      </c>
      <c r="Z43" s="144">
        <v>18000</v>
      </c>
      <c r="AA43" s="145" t="s">
        <v>3930</v>
      </c>
      <c r="AB43" s="143" t="s">
        <v>1574</v>
      </c>
      <c r="AC43" s="145" t="s">
        <v>3930</v>
      </c>
      <c r="AD43" s="144">
        <v>18.691200000000002</v>
      </c>
      <c r="AE43" s="145" t="s">
        <v>3930</v>
      </c>
      <c r="AF43" s="145" t="s">
        <v>3930</v>
      </c>
      <c r="AG43" s="145" t="s">
        <v>3930</v>
      </c>
      <c r="AH43" s="146">
        <v>1.0000000000000001E-5</v>
      </c>
      <c r="AI43" s="146">
        <v>1.7977561658280589E-2</v>
      </c>
      <c r="AJ43" s="147">
        <v>1.2158975894271667E-3</v>
      </c>
      <c r="AK43" s="177"/>
    </row>
    <row r="44" spans="1:37" ht="15" x14ac:dyDescent="0.2">
      <c r="A44" s="142" t="s">
        <v>1205</v>
      </c>
      <c r="B44" s="143" t="s">
        <v>1206</v>
      </c>
      <c r="C44" s="143" t="s">
        <v>1575</v>
      </c>
      <c r="D44" s="143" t="s">
        <v>1576</v>
      </c>
      <c r="E44" s="143" t="s">
        <v>309</v>
      </c>
      <c r="F44" s="143" t="s">
        <v>1577</v>
      </c>
      <c r="G44" s="143" t="s">
        <v>1578</v>
      </c>
      <c r="H44" s="143" t="s">
        <v>321</v>
      </c>
      <c r="I44" s="143" t="s">
        <v>754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464</v>
      </c>
      <c r="O44" s="143" t="s">
        <v>339</v>
      </c>
      <c r="P44" s="143" t="s">
        <v>1356</v>
      </c>
      <c r="Q44" s="143" t="s">
        <v>413</v>
      </c>
      <c r="R44" s="143" t="s">
        <v>407</v>
      </c>
      <c r="S44" s="143" t="s">
        <v>1210</v>
      </c>
      <c r="T44" s="144">
        <v>1.19</v>
      </c>
      <c r="U44" s="143" t="s">
        <v>1579</v>
      </c>
      <c r="V44" s="146">
        <v>1.95E-2</v>
      </c>
      <c r="W44" s="146">
        <v>2.6029E-2</v>
      </c>
      <c r="X44" s="143" t="s">
        <v>412</v>
      </c>
      <c r="Y44" s="145" t="s">
        <v>3930</v>
      </c>
      <c r="Z44" s="144">
        <v>14792</v>
      </c>
      <c r="AA44" s="145" t="s">
        <v>3930</v>
      </c>
      <c r="AB44" s="143" t="s">
        <v>1580</v>
      </c>
      <c r="AC44" s="145" t="s">
        <v>3930</v>
      </c>
      <c r="AD44" s="144">
        <v>17.186799999999998</v>
      </c>
      <c r="AE44" s="145" t="s">
        <v>3930</v>
      </c>
      <c r="AF44" s="145" t="s">
        <v>3930</v>
      </c>
      <c r="AG44" s="145" t="s">
        <v>3930</v>
      </c>
      <c r="AH44" s="146">
        <v>2.9287819892262721E-5</v>
      </c>
      <c r="AI44" s="146">
        <v>1.6530624173518336E-2</v>
      </c>
      <c r="AJ44" s="147">
        <v>1.1180351632975435E-3</v>
      </c>
      <c r="AK44" s="177"/>
    </row>
    <row r="45" spans="1:37" ht="15" x14ac:dyDescent="0.2">
      <c r="A45" s="142" t="s">
        <v>1205</v>
      </c>
      <c r="B45" s="143" t="s">
        <v>1206</v>
      </c>
      <c r="C45" s="143" t="s">
        <v>1569</v>
      </c>
      <c r="D45" s="143" t="s">
        <v>1570</v>
      </c>
      <c r="E45" s="143" t="s">
        <v>309</v>
      </c>
      <c r="F45" s="143" t="s">
        <v>1581</v>
      </c>
      <c r="G45" s="143" t="s">
        <v>1582</v>
      </c>
      <c r="H45" s="143" t="s">
        <v>321</v>
      </c>
      <c r="I45" s="143" t="s">
        <v>754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448</v>
      </c>
      <c r="O45" s="143" t="s">
        <v>339</v>
      </c>
      <c r="P45" s="143" t="s">
        <v>1303</v>
      </c>
      <c r="Q45" s="143" t="s">
        <v>413</v>
      </c>
      <c r="R45" s="143" t="s">
        <v>407</v>
      </c>
      <c r="S45" s="143" t="s">
        <v>1210</v>
      </c>
      <c r="T45" s="144">
        <v>3.56</v>
      </c>
      <c r="U45" s="143" t="s">
        <v>1583</v>
      </c>
      <c r="V45" s="146">
        <v>1E-3</v>
      </c>
      <c r="W45" s="146">
        <v>2.3969000000000001E-2</v>
      </c>
      <c r="X45" s="143" t="s">
        <v>412</v>
      </c>
      <c r="Y45" s="145" t="s">
        <v>3930</v>
      </c>
      <c r="Z45" s="144">
        <v>16000</v>
      </c>
      <c r="AA45" s="145" t="s">
        <v>3930</v>
      </c>
      <c r="AB45" s="143" t="s">
        <v>1584</v>
      </c>
      <c r="AC45" s="145" t="s">
        <v>3930</v>
      </c>
      <c r="AD45" s="144">
        <v>16.596799999999998</v>
      </c>
      <c r="AE45" s="145" t="s">
        <v>3930</v>
      </c>
      <c r="AF45" s="145" t="s">
        <v>3930</v>
      </c>
      <c r="AG45" s="145" t="s">
        <v>3930</v>
      </c>
      <c r="AH45" s="146">
        <v>1.4225259207583305E-5</v>
      </c>
      <c r="AI45" s="146">
        <v>1.5963126783200183E-2</v>
      </c>
      <c r="AJ45" s="147">
        <v>1.0796529442841979E-3</v>
      </c>
      <c r="AK45" s="177"/>
    </row>
    <row r="46" spans="1:37" ht="15" x14ac:dyDescent="0.2">
      <c r="A46" s="142" t="s">
        <v>1205</v>
      </c>
      <c r="B46" s="143" t="s">
        <v>1206</v>
      </c>
      <c r="C46" s="143" t="s">
        <v>1585</v>
      </c>
      <c r="D46" s="143" t="s">
        <v>1586</v>
      </c>
      <c r="E46" s="143" t="s">
        <v>309</v>
      </c>
      <c r="F46" s="143" t="s">
        <v>1587</v>
      </c>
      <c r="G46" s="143" t="s">
        <v>1588</v>
      </c>
      <c r="H46" s="143" t="s">
        <v>321</v>
      </c>
      <c r="I46" s="143" t="s">
        <v>754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448</v>
      </c>
      <c r="O46" s="143" t="s">
        <v>339</v>
      </c>
      <c r="P46" s="143" t="s">
        <v>1303</v>
      </c>
      <c r="Q46" s="143" t="s">
        <v>413</v>
      </c>
      <c r="R46" s="143" t="s">
        <v>407</v>
      </c>
      <c r="S46" s="143" t="s">
        <v>1210</v>
      </c>
      <c r="T46" s="144">
        <v>2.73</v>
      </c>
      <c r="U46" s="143" t="s">
        <v>1589</v>
      </c>
      <c r="V46" s="146">
        <v>1.4999999999999999E-2</v>
      </c>
      <c r="W46" s="146">
        <v>2.2589000000000001E-2</v>
      </c>
      <c r="X46" s="143" t="s">
        <v>412</v>
      </c>
      <c r="Y46" s="145" t="s">
        <v>3930</v>
      </c>
      <c r="Z46" s="144">
        <v>14334.74</v>
      </c>
      <c r="AA46" s="145" t="s">
        <v>3930</v>
      </c>
      <c r="AB46" s="143" t="s">
        <v>1590</v>
      </c>
      <c r="AC46" s="145" t="s">
        <v>3930</v>
      </c>
      <c r="AD46" s="144">
        <v>16.3688</v>
      </c>
      <c r="AE46" s="145" t="s">
        <v>3930</v>
      </c>
      <c r="AF46" s="145" t="s">
        <v>3930</v>
      </c>
      <c r="AG46" s="145" t="s">
        <v>3930</v>
      </c>
      <c r="AH46" s="146">
        <v>5.1353212501552488E-5</v>
      </c>
      <c r="AI46" s="146">
        <v>1.57438700185847E-2</v>
      </c>
      <c r="AJ46" s="147">
        <v>1.0648236934308836E-3</v>
      </c>
      <c r="AK46" s="177"/>
    </row>
    <row r="47" spans="1:37" ht="15" x14ac:dyDescent="0.2">
      <c r="A47" s="142" t="s">
        <v>1205</v>
      </c>
      <c r="B47" s="143" t="s">
        <v>1206</v>
      </c>
      <c r="C47" s="143" t="s">
        <v>1493</v>
      </c>
      <c r="D47" s="143" t="s">
        <v>1494</v>
      </c>
      <c r="E47" s="143" t="s">
        <v>309</v>
      </c>
      <c r="F47" s="143" t="s">
        <v>1591</v>
      </c>
      <c r="G47" s="143" t="s">
        <v>1592</v>
      </c>
      <c r="H47" s="143" t="s">
        <v>321</v>
      </c>
      <c r="I47" s="143" t="s">
        <v>754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448</v>
      </c>
      <c r="O47" s="143" t="s">
        <v>339</v>
      </c>
      <c r="P47" s="143" t="s">
        <v>1303</v>
      </c>
      <c r="Q47" s="143" t="s">
        <v>413</v>
      </c>
      <c r="R47" s="143" t="s">
        <v>407</v>
      </c>
      <c r="S47" s="143" t="s">
        <v>1210</v>
      </c>
      <c r="T47" s="144">
        <v>1.74</v>
      </c>
      <c r="U47" s="143" t="s">
        <v>1419</v>
      </c>
      <c r="V47" s="146">
        <v>8.3000000000000001E-3</v>
      </c>
      <c r="W47" s="146">
        <v>2.0445000000000001E-2</v>
      </c>
      <c r="X47" s="143" t="s">
        <v>412</v>
      </c>
      <c r="Y47" s="145" t="s">
        <v>3930</v>
      </c>
      <c r="Z47" s="144">
        <v>12834.5</v>
      </c>
      <c r="AA47" s="145" t="s">
        <v>3930</v>
      </c>
      <c r="AB47" s="143" t="s">
        <v>1593</v>
      </c>
      <c r="AC47" s="145" t="s">
        <v>3930</v>
      </c>
      <c r="AD47" s="144">
        <v>14.528700000000001</v>
      </c>
      <c r="AE47" s="145" t="s">
        <v>3930</v>
      </c>
      <c r="AF47" s="145" t="s">
        <v>3930</v>
      </c>
      <c r="AG47" s="145" t="s">
        <v>3930</v>
      </c>
      <c r="AH47" s="146">
        <v>8.438487048866891E-6</v>
      </c>
      <c r="AI47" s="146">
        <v>1.3973943518705321E-2</v>
      </c>
      <c r="AJ47" s="147">
        <v>9.4511617104420069E-4</v>
      </c>
      <c r="AK47" s="177"/>
    </row>
    <row r="48" spans="1:37" ht="15" x14ac:dyDescent="0.2">
      <c r="A48" s="142" t="s">
        <v>1205</v>
      </c>
      <c r="B48" s="143" t="s">
        <v>1206</v>
      </c>
      <c r="C48" s="143" t="s">
        <v>1358</v>
      </c>
      <c r="D48" s="143" t="s">
        <v>1359</v>
      </c>
      <c r="E48" s="143" t="s">
        <v>309</v>
      </c>
      <c r="F48" s="143" t="s">
        <v>1594</v>
      </c>
      <c r="G48" s="143" t="s">
        <v>1595</v>
      </c>
      <c r="H48" s="143" t="s">
        <v>321</v>
      </c>
      <c r="I48" s="143" t="s">
        <v>754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448</v>
      </c>
      <c r="O48" s="143" t="s">
        <v>339</v>
      </c>
      <c r="P48" s="143" t="s">
        <v>1303</v>
      </c>
      <c r="Q48" s="143" t="s">
        <v>413</v>
      </c>
      <c r="R48" s="143" t="s">
        <v>407</v>
      </c>
      <c r="S48" s="143" t="s">
        <v>1210</v>
      </c>
      <c r="T48" s="144">
        <v>4.38</v>
      </c>
      <c r="U48" s="143" t="s">
        <v>1596</v>
      </c>
      <c r="V48" s="146">
        <v>1.9900000000000001E-2</v>
      </c>
      <c r="W48" s="146">
        <v>2.5611999999999999E-2</v>
      </c>
      <c r="X48" s="143" t="s">
        <v>412</v>
      </c>
      <c r="Y48" s="145" t="s">
        <v>3930</v>
      </c>
      <c r="Z48" s="144">
        <v>14000</v>
      </c>
      <c r="AA48" s="145" t="s">
        <v>3930</v>
      </c>
      <c r="AB48" s="143" t="s">
        <v>1597</v>
      </c>
      <c r="AC48" s="145" t="s">
        <v>3930</v>
      </c>
      <c r="AD48" s="144">
        <v>14.35</v>
      </c>
      <c r="AE48" s="145" t="s">
        <v>3930</v>
      </c>
      <c r="AF48" s="145" t="s">
        <v>3930</v>
      </c>
      <c r="AG48" s="145" t="s">
        <v>3930</v>
      </c>
      <c r="AH48" s="146">
        <v>5.185185185185185E-6</v>
      </c>
      <c r="AI48" s="146">
        <v>1.3802110608004112E-2</v>
      </c>
      <c r="AJ48" s="147">
        <v>9.3349439352635689E-4</v>
      </c>
      <c r="AK48" s="177"/>
    </row>
    <row r="49" spans="1:37" ht="15" x14ac:dyDescent="0.2">
      <c r="A49" s="142" t="s">
        <v>1205</v>
      </c>
      <c r="B49" s="143" t="s">
        <v>1206</v>
      </c>
      <c r="C49" s="143" t="s">
        <v>1364</v>
      </c>
      <c r="D49" s="143" t="s">
        <v>1365</v>
      </c>
      <c r="E49" s="143" t="s">
        <v>309</v>
      </c>
      <c r="F49" s="143" t="s">
        <v>1598</v>
      </c>
      <c r="G49" s="143" t="s">
        <v>1599</v>
      </c>
      <c r="H49" s="143" t="s">
        <v>321</v>
      </c>
      <c r="I49" s="143" t="s">
        <v>754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445</v>
      </c>
      <c r="O49" s="143" t="s">
        <v>339</v>
      </c>
      <c r="P49" s="143" t="s">
        <v>1368</v>
      </c>
      <c r="Q49" s="143" t="s">
        <v>415</v>
      </c>
      <c r="R49" s="143" t="s">
        <v>407</v>
      </c>
      <c r="S49" s="143" t="s">
        <v>1210</v>
      </c>
      <c r="T49" s="144">
        <v>5.05</v>
      </c>
      <c r="U49" s="143" t="s">
        <v>1600</v>
      </c>
      <c r="V49" s="146">
        <v>4.6899999999999997E-2</v>
      </c>
      <c r="W49" s="146">
        <v>5.6607999999999999E-2</v>
      </c>
      <c r="X49" s="143" t="s">
        <v>412</v>
      </c>
      <c r="Y49" s="145" t="s">
        <v>3930</v>
      </c>
      <c r="Z49" s="144">
        <v>14000</v>
      </c>
      <c r="AA49" s="145" t="s">
        <v>3930</v>
      </c>
      <c r="AB49" s="143" t="s">
        <v>1601</v>
      </c>
      <c r="AC49" s="145" t="s">
        <v>3930</v>
      </c>
      <c r="AD49" s="144">
        <v>13.420399999999999</v>
      </c>
      <c r="AE49" s="145" t="s">
        <v>3930</v>
      </c>
      <c r="AF49" s="145" t="s">
        <v>3930</v>
      </c>
      <c r="AG49" s="145" t="s">
        <v>3930</v>
      </c>
      <c r="AH49" s="146">
        <v>2.8E-5</v>
      </c>
      <c r="AI49" s="146">
        <v>1.2908003150080723E-2</v>
      </c>
      <c r="AJ49" s="147">
        <v>8.7302217135060069E-4</v>
      </c>
      <c r="AK49" s="177"/>
    </row>
    <row r="50" spans="1:37" ht="15" x14ac:dyDescent="0.2">
      <c r="A50" s="142" t="s">
        <v>1205</v>
      </c>
      <c r="B50" s="143" t="s">
        <v>1206</v>
      </c>
      <c r="C50" s="143" t="s">
        <v>1569</v>
      </c>
      <c r="D50" s="143" t="s">
        <v>1570</v>
      </c>
      <c r="E50" s="143" t="s">
        <v>309</v>
      </c>
      <c r="F50" s="143" t="s">
        <v>1602</v>
      </c>
      <c r="G50" s="143" t="s">
        <v>1603</v>
      </c>
      <c r="H50" s="143" t="s">
        <v>321</v>
      </c>
      <c r="I50" s="143" t="s">
        <v>754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448</v>
      </c>
      <c r="O50" s="143" t="s">
        <v>339</v>
      </c>
      <c r="P50" s="143" t="s">
        <v>1303</v>
      </c>
      <c r="Q50" s="143" t="s">
        <v>413</v>
      </c>
      <c r="R50" s="143" t="s">
        <v>407</v>
      </c>
      <c r="S50" s="143" t="s">
        <v>1210</v>
      </c>
      <c r="T50" s="144">
        <v>3.01</v>
      </c>
      <c r="U50" s="143" t="s">
        <v>1604</v>
      </c>
      <c r="V50" s="146">
        <v>1.7500000000000002E-2</v>
      </c>
      <c r="W50" s="146">
        <v>2.3508000000000001E-2</v>
      </c>
      <c r="X50" s="143" t="s">
        <v>412</v>
      </c>
      <c r="Y50" s="145" t="s">
        <v>3930</v>
      </c>
      <c r="Z50" s="144">
        <v>10217.77</v>
      </c>
      <c r="AA50" s="145" t="s">
        <v>3930</v>
      </c>
      <c r="AB50" s="143" t="s">
        <v>1605</v>
      </c>
      <c r="AC50" s="145" t="s">
        <v>3930</v>
      </c>
      <c r="AD50" s="144">
        <v>11.6769</v>
      </c>
      <c r="AE50" s="145" t="s">
        <v>3930</v>
      </c>
      <c r="AF50" s="145" t="s">
        <v>3930</v>
      </c>
      <c r="AG50" s="145" t="s">
        <v>3930</v>
      </c>
      <c r="AH50" s="146">
        <v>3.9293223516876816E-6</v>
      </c>
      <c r="AI50" s="146">
        <v>1.1231039551423459E-2</v>
      </c>
      <c r="AJ50" s="147">
        <v>7.596021182909974E-4</v>
      </c>
      <c r="AK50" s="177"/>
    </row>
    <row r="51" spans="1:37" ht="15" x14ac:dyDescent="0.2">
      <c r="A51" s="142" t="s">
        <v>1205</v>
      </c>
      <c r="B51" s="143" t="s">
        <v>1206</v>
      </c>
      <c r="C51" s="143" t="s">
        <v>1358</v>
      </c>
      <c r="D51" s="143" t="s">
        <v>1359</v>
      </c>
      <c r="E51" s="143" t="s">
        <v>309</v>
      </c>
      <c r="F51" s="143" t="s">
        <v>1606</v>
      </c>
      <c r="G51" s="143" t="s">
        <v>1607</v>
      </c>
      <c r="H51" s="143" t="s">
        <v>321</v>
      </c>
      <c r="I51" s="143" t="s">
        <v>754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448</v>
      </c>
      <c r="O51" s="143" t="s">
        <v>339</v>
      </c>
      <c r="P51" s="143" t="s">
        <v>1209</v>
      </c>
      <c r="Q51" s="143" t="s">
        <v>415</v>
      </c>
      <c r="R51" s="143" t="s">
        <v>407</v>
      </c>
      <c r="S51" s="143" t="s">
        <v>1210</v>
      </c>
      <c r="T51" s="144">
        <v>0.42</v>
      </c>
      <c r="U51" s="143" t="s">
        <v>1608</v>
      </c>
      <c r="V51" s="146">
        <v>9.4999999999999998E-3</v>
      </c>
      <c r="W51" s="146">
        <v>3.0602000000000001E-2</v>
      </c>
      <c r="X51" s="143" t="s">
        <v>412</v>
      </c>
      <c r="Y51" s="145" t="s">
        <v>3930</v>
      </c>
      <c r="Z51" s="144">
        <v>6413.26</v>
      </c>
      <c r="AA51" s="145" t="s">
        <v>3930</v>
      </c>
      <c r="AB51" s="143" t="s">
        <v>1609</v>
      </c>
      <c r="AC51" s="145" t="s">
        <v>3930</v>
      </c>
      <c r="AD51" s="144">
        <v>7.4444999999999997</v>
      </c>
      <c r="AE51" s="145" t="s">
        <v>3930</v>
      </c>
      <c r="AF51" s="145" t="s">
        <v>3930</v>
      </c>
      <c r="AG51" s="145" t="s">
        <v>3930</v>
      </c>
      <c r="AH51" s="146">
        <v>3.9903713561066057E-5</v>
      </c>
      <c r="AI51" s="146">
        <v>7.1602774158503772E-3</v>
      </c>
      <c r="AJ51" s="147">
        <v>4.842794709900014E-4</v>
      </c>
      <c r="AK51" s="177"/>
    </row>
    <row r="52" spans="1:37" ht="15" x14ac:dyDescent="0.2">
      <c r="A52" s="142" t="s">
        <v>1205</v>
      </c>
      <c r="B52" s="143" t="s">
        <v>1206</v>
      </c>
      <c r="C52" s="143" t="s">
        <v>1610</v>
      </c>
      <c r="D52" s="143" t="s">
        <v>1611</v>
      </c>
      <c r="E52" s="143" t="s">
        <v>309</v>
      </c>
      <c r="F52" s="143" t="s">
        <v>1612</v>
      </c>
      <c r="G52" s="143" t="s">
        <v>1613</v>
      </c>
      <c r="H52" s="143" t="s">
        <v>321</v>
      </c>
      <c r="I52" s="143" t="s">
        <v>754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440</v>
      </c>
      <c r="O52" s="143" t="s">
        <v>339</v>
      </c>
      <c r="P52" s="143" t="s">
        <v>1356</v>
      </c>
      <c r="Q52" s="143" t="s">
        <v>413</v>
      </c>
      <c r="R52" s="143" t="s">
        <v>407</v>
      </c>
      <c r="S52" s="143" t="s">
        <v>1210</v>
      </c>
      <c r="T52" s="144">
        <v>3.07</v>
      </c>
      <c r="U52" s="143" t="s">
        <v>1614</v>
      </c>
      <c r="V52" s="146">
        <v>1.23E-2</v>
      </c>
      <c r="W52" s="146">
        <v>2.589E-2</v>
      </c>
      <c r="X52" s="143" t="s">
        <v>412</v>
      </c>
      <c r="Y52" s="145" t="s">
        <v>3930</v>
      </c>
      <c r="Z52" s="144">
        <v>5729.28</v>
      </c>
      <c r="AA52" s="145" t="s">
        <v>3930</v>
      </c>
      <c r="AB52" s="143" t="s">
        <v>1615</v>
      </c>
      <c r="AC52" s="145" t="s">
        <v>3930</v>
      </c>
      <c r="AD52" s="144">
        <v>6.4024999999999999</v>
      </c>
      <c r="AE52" s="145" t="s">
        <v>3930</v>
      </c>
      <c r="AF52" s="145" t="s">
        <v>3930</v>
      </c>
      <c r="AG52" s="145" t="s">
        <v>3930</v>
      </c>
      <c r="AH52" s="146">
        <v>5.1388706217798269E-6</v>
      </c>
      <c r="AI52" s="146">
        <v>6.1580212282419736E-3</v>
      </c>
      <c r="AJ52" s="147">
        <v>4.1649269847515344E-4</v>
      </c>
      <c r="AK52" s="177"/>
    </row>
    <row r="53" spans="1:37" ht="15" x14ac:dyDescent="0.2">
      <c r="A53" s="142" t="s">
        <v>1205</v>
      </c>
      <c r="B53" s="143" t="s">
        <v>1206</v>
      </c>
      <c r="C53" s="143" t="s">
        <v>1513</v>
      </c>
      <c r="D53" s="143" t="s">
        <v>1514</v>
      </c>
      <c r="E53" s="143" t="s">
        <v>309</v>
      </c>
      <c r="F53" s="143" t="s">
        <v>1616</v>
      </c>
      <c r="G53" s="143" t="s">
        <v>1617</v>
      </c>
      <c r="H53" s="143" t="s">
        <v>321</v>
      </c>
      <c r="I53" s="143" t="s">
        <v>754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465</v>
      </c>
      <c r="O53" s="143" t="s">
        <v>339</v>
      </c>
      <c r="P53" s="143" t="s">
        <v>1405</v>
      </c>
      <c r="Q53" s="143" t="s">
        <v>415</v>
      </c>
      <c r="R53" s="143" t="s">
        <v>407</v>
      </c>
      <c r="S53" s="143" t="s">
        <v>1210</v>
      </c>
      <c r="T53" s="144">
        <v>5.6</v>
      </c>
      <c r="U53" s="143" t="s">
        <v>1618</v>
      </c>
      <c r="V53" s="146">
        <v>1.7899999999999999E-2</v>
      </c>
      <c r="W53" s="146">
        <v>5.3422999999999998E-2</v>
      </c>
      <c r="X53" s="143" t="s">
        <v>412</v>
      </c>
      <c r="Y53" s="145" t="s">
        <v>3930</v>
      </c>
      <c r="Z53" s="144">
        <v>5786.55</v>
      </c>
      <c r="AA53" s="145" t="s">
        <v>3930</v>
      </c>
      <c r="AB53" s="143" t="s">
        <v>1619</v>
      </c>
      <c r="AC53" s="145" t="s">
        <v>3930</v>
      </c>
      <c r="AD53" s="144">
        <v>5.4648000000000003</v>
      </c>
      <c r="AE53" s="145" t="s">
        <v>3930</v>
      </c>
      <c r="AF53" s="145" t="s">
        <v>3930</v>
      </c>
      <c r="AG53" s="145" t="s">
        <v>3930</v>
      </c>
      <c r="AH53" s="146">
        <v>8.5450200076595733E-6</v>
      </c>
      <c r="AI53" s="146">
        <v>5.2561686414098882E-3</v>
      </c>
      <c r="AJ53" s="147">
        <v>3.5549664087894969E-4</v>
      </c>
      <c r="AK53" s="177"/>
    </row>
    <row r="54" spans="1:37" ht="15" x14ac:dyDescent="0.2">
      <c r="A54" s="142" t="s">
        <v>1205</v>
      </c>
      <c r="B54" s="143" t="s">
        <v>1206</v>
      </c>
      <c r="C54" s="143" t="s">
        <v>1620</v>
      </c>
      <c r="D54" s="143" t="s">
        <v>1621</v>
      </c>
      <c r="E54" s="143" t="s">
        <v>309</v>
      </c>
      <c r="F54" s="143" t="s">
        <v>1622</v>
      </c>
      <c r="G54" s="143" t="s">
        <v>1623</v>
      </c>
      <c r="H54" s="143" t="s">
        <v>321</v>
      </c>
      <c r="I54" s="143" t="s">
        <v>754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445</v>
      </c>
      <c r="O54" s="143" t="s">
        <v>339</v>
      </c>
      <c r="P54" s="143" t="s">
        <v>1624</v>
      </c>
      <c r="Q54" s="143" t="s">
        <v>415</v>
      </c>
      <c r="R54" s="143" t="s">
        <v>407</v>
      </c>
      <c r="S54" s="143" t="s">
        <v>1210</v>
      </c>
      <c r="T54" s="144">
        <v>4.51</v>
      </c>
      <c r="U54" s="143" t="s">
        <v>1406</v>
      </c>
      <c r="V54" s="146">
        <v>5.1700000000000003E-2</v>
      </c>
      <c r="W54" s="146">
        <v>5.7583000000000002E-2</v>
      </c>
      <c r="X54" s="143" t="s">
        <v>412</v>
      </c>
      <c r="Y54" s="145" t="s">
        <v>3930</v>
      </c>
      <c r="Z54" s="144">
        <v>4888</v>
      </c>
      <c r="AA54" s="145" t="s">
        <v>3930</v>
      </c>
      <c r="AB54" s="143" t="s">
        <v>1625</v>
      </c>
      <c r="AC54" s="145" t="s">
        <v>3930</v>
      </c>
      <c r="AD54" s="144">
        <v>4.8654999999999999</v>
      </c>
      <c r="AE54" s="145" t="s">
        <v>3930</v>
      </c>
      <c r="AF54" s="145" t="s">
        <v>3930</v>
      </c>
      <c r="AG54" s="145" t="s">
        <v>3930</v>
      </c>
      <c r="AH54" s="146">
        <v>8.0103045816713479E-6</v>
      </c>
      <c r="AI54" s="146">
        <v>4.679747662392003E-3</v>
      </c>
      <c r="AJ54" s="147">
        <v>3.1651088228691783E-4</v>
      </c>
      <c r="AK54" s="177"/>
    </row>
    <row r="55" spans="1:37" ht="15" x14ac:dyDescent="0.2">
      <c r="A55" s="142" t="s">
        <v>1205</v>
      </c>
      <c r="B55" s="143" t="s">
        <v>1206</v>
      </c>
      <c r="C55" s="143" t="s">
        <v>1610</v>
      </c>
      <c r="D55" s="143" t="s">
        <v>1611</v>
      </c>
      <c r="E55" s="143" t="s">
        <v>309</v>
      </c>
      <c r="F55" s="143" t="s">
        <v>1626</v>
      </c>
      <c r="G55" s="143" t="s">
        <v>1627</v>
      </c>
      <c r="H55" s="143" t="s">
        <v>321</v>
      </c>
      <c r="I55" s="143" t="s">
        <v>754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440</v>
      </c>
      <c r="O55" s="143" t="s">
        <v>339</v>
      </c>
      <c r="P55" s="143" t="s">
        <v>1356</v>
      </c>
      <c r="Q55" s="143" t="s">
        <v>413</v>
      </c>
      <c r="R55" s="143" t="s">
        <v>407</v>
      </c>
      <c r="S55" s="143" t="s">
        <v>1210</v>
      </c>
      <c r="T55" s="144">
        <v>2.09</v>
      </c>
      <c r="U55" s="143" t="s">
        <v>1628</v>
      </c>
      <c r="V55" s="146">
        <v>1.9400000000000001E-2</v>
      </c>
      <c r="W55" s="146">
        <v>2.4282000000000001E-2</v>
      </c>
      <c r="X55" s="143" t="s">
        <v>412</v>
      </c>
      <c r="Y55" s="145" t="s">
        <v>3930</v>
      </c>
      <c r="Z55" s="144">
        <v>4060.67</v>
      </c>
      <c r="AA55" s="145" t="s">
        <v>3930</v>
      </c>
      <c r="AB55" s="143" t="s">
        <v>1629</v>
      </c>
      <c r="AC55" s="145" t="s">
        <v>3930</v>
      </c>
      <c r="AD55" s="144">
        <v>4.7054999999999998</v>
      </c>
      <c r="AE55" s="145" t="s">
        <v>3930</v>
      </c>
      <c r="AF55" s="145" t="s">
        <v>3930</v>
      </c>
      <c r="AG55" s="145" t="s">
        <v>3930</v>
      </c>
      <c r="AH55" s="146">
        <v>1.347924100720068E-5</v>
      </c>
      <c r="AI55" s="146">
        <v>4.5258461421631762E-3</v>
      </c>
      <c r="AJ55" s="147">
        <v>3.0610187960833634E-4</v>
      </c>
      <c r="AK55" s="177"/>
    </row>
    <row r="56" spans="1:37" ht="15" x14ac:dyDescent="0.2">
      <c r="A56" s="142" t="s">
        <v>1205</v>
      </c>
      <c r="B56" s="143" t="s">
        <v>1206</v>
      </c>
      <c r="C56" s="143" t="s">
        <v>1630</v>
      </c>
      <c r="D56" s="143" t="s">
        <v>1631</v>
      </c>
      <c r="E56" s="143" t="s">
        <v>309</v>
      </c>
      <c r="F56" s="143" t="s">
        <v>1632</v>
      </c>
      <c r="G56" s="143" t="s">
        <v>1633</v>
      </c>
      <c r="H56" s="143" t="s">
        <v>321</v>
      </c>
      <c r="I56" s="143" t="s">
        <v>754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445</v>
      </c>
      <c r="O56" s="143" t="s">
        <v>339</v>
      </c>
      <c r="P56" s="143" t="s">
        <v>1412</v>
      </c>
      <c r="Q56" s="143" t="s">
        <v>413</v>
      </c>
      <c r="R56" s="143" t="s">
        <v>407</v>
      </c>
      <c r="S56" s="143" t="s">
        <v>1210</v>
      </c>
      <c r="T56" s="144">
        <v>4.54</v>
      </c>
      <c r="U56" s="143" t="s">
        <v>1634</v>
      </c>
      <c r="V56" s="146">
        <v>4.4000000000000003E-3</v>
      </c>
      <c r="W56" s="146">
        <v>2.6984000000000001E-2</v>
      </c>
      <c r="X56" s="143" t="s">
        <v>412</v>
      </c>
      <c r="Y56" s="145" t="s">
        <v>3930</v>
      </c>
      <c r="Z56" s="144">
        <v>2622.4</v>
      </c>
      <c r="AA56" s="145" t="s">
        <v>3930</v>
      </c>
      <c r="AB56" s="143" t="s">
        <v>1635</v>
      </c>
      <c r="AC56" s="145" t="s">
        <v>3930</v>
      </c>
      <c r="AD56" s="144">
        <v>2.7324999999999999</v>
      </c>
      <c r="AE56" s="145" t="s">
        <v>3930</v>
      </c>
      <c r="AF56" s="145" t="s">
        <v>3930</v>
      </c>
      <c r="AG56" s="145" t="s">
        <v>3930</v>
      </c>
      <c r="AH56" s="146">
        <v>3.0743397232639614E-6</v>
      </c>
      <c r="AI56" s="146">
        <v>2.6282111750859957E-3</v>
      </c>
      <c r="AJ56" s="147">
        <v>1.7775690013115163E-4</v>
      </c>
      <c r="AK56" s="177"/>
    </row>
    <row r="57" spans="1:37" ht="15" x14ac:dyDescent="0.2">
      <c r="A57" s="142" t="s">
        <v>1205</v>
      </c>
      <c r="B57" s="143" t="s">
        <v>1206</v>
      </c>
      <c r="C57" s="143" t="s">
        <v>1620</v>
      </c>
      <c r="D57" s="143" t="s">
        <v>1621</v>
      </c>
      <c r="E57" s="143" t="s">
        <v>309</v>
      </c>
      <c r="F57" s="143" t="s">
        <v>1636</v>
      </c>
      <c r="G57" s="143" t="s">
        <v>1637</v>
      </c>
      <c r="H57" s="143" t="s">
        <v>321</v>
      </c>
      <c r="I57" s="143" t="s">
        <v>754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445</v>
      </c>
      <c r="O57" s="143" t="s">
        <v>339</v>
      </c>
      <c r="P57" s="143" t="s">
        <v>1624</v>
      </c>
      <c r="Q57" s="143" t="s">
        <v>415</v>
      </c>
      <c r="R57" s="143" t="s">
        <v>407</v>
      </c>
      <c r="S57" s="143" t="s">
        <v>1210</v>
      </c>
      <c r="T57" s="144">
        <v>5.3</v>
      </c>
      <c r="U57" s="143" t="s">
        <v>1638</v>
      </c>
      <c r="V57" s="146">
        <v>5.3999999999999999E-2</v>
      </c>
      <c r="W57" s="146">
        <v>5.9711E-2</v>
      </c>
      <c r="X57" s="143" t="s">
        <v>412</v>
      </c>
      <c r="Y57" s="145" t="s">
        <v>3930</v>
      </c>
      <c r="Z57" s="144">
        <v>2650</v>
      </c>
      <c r="AA57" s="145" t="s">
        <v>3930</v>
      </c>
      <c r="AB57" s="143" t="s">
        <v>1639</v>
      </c>
      <c r="AC57" s="145" t="s">
        <v>3930</v>
      </c>
      <c r="AD57" s="144">
        <v>2.6234999999999999</v>
      </c>
      <c r="AE57" s="145" t="s">
        <v>3930</v>
      </c>
      <c r="AF57" s="145" t="s">
        <v>3930</v>
      </c>
      <c r="AG57" s="145" t="s">
        <v>3930</v>
      </c>
      <c r="AH57" s="146">
        <v>4.6368667871531126E-6</v>
      </c>
      <c r="AI57" s="146">
        <v>2.523333601400612E-3</v>
      </c>
      <c r="AJ57" s="147">
        <v>1.7066359173633432E-4</v>
      </c>
      <c r="AK57" s="177"/>
    </row>
    <row r="58" spans="1:37" ht="15" x14ac:dyDescent="0.2">
      <c r="A58" s="142" t="s">
        <v>1205</v>
      </c>
      <c r="B58" s="143" t="s">
        <v>1206</v>
      </c>
      <c r="C58" s="143" t="s">
        <v>1358</v>
      </c>
      <c r="D58" s="143" t="s">
        <v>1359</v>
      </c>
      <c r="E58" s="143" t="s">
        <v>309</v>
      </c>
      <c r="F58" s="143" t="s">
        <v>1640</v>
      </c>
      <c r="G58" s="143" t="s">
        <v>1641</v>
      </c>
      <c r="H58" s="143" t="s">
        <v>321</v>
      </c>
      <c r="I58" s="143" t="s">
        <v>754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448</v>
      </c>
      <c r="O58" s="143" t="s">
        <v>339</v>
      </c>
      <c r="P58" s="143" t="s">
        <v>1209</v>
      </c>
      <c r="Q58" s="143" t="s">
        <v>415</v>
      </c>
      <c r="R58" s="143" t="s">
        <v>407</v>
      </c>
      <c r="S58" s="143" t="s">
        <v>1210</v>
      </c>
      <c r="T58" s="144">
        <v>2.16</v>
      </c>
      <c r="U58" s="143" t="s">
        <v>1642</v>
      </c>
      <c r="V58" s="146">
        <v>5.0000000000000001E-3</v>
      </c>
      <c r="W58" s="146">
        <v>2.1333999999999999E-2</v>
      </c>
      <c r="X58" s="143" t="s">
        <v>412</v>
      </c>
      <c r="Y58" s="145" t="s">
        <v>3930</v>
      </c>
      <c r="Z58" s="144">
        <v>2035</v>
      </c>
      <c r="AA58" s="145" t="s">
        <v>3930</v>
      </c>
      <c r="AB58" s="143" t="s">
        <v>1643</v>
      </c>
      <c r="AC58" s="145" t="s">
        <v>3930</v>
      </c>
      <c r="AD58" s="144">
        <v>2.2531999999999996</v>
      </c>
      <c r="AE58" s="145" t="s">
        <v>3930</v>
      </c>
      <c r="AF58" s="145" t="s">
        <v>3930</v>
      </c>
      <c r="AG58" s="145" t="s">
        <v>3930</v>
      </c>
      <c r="AH58" s="146">
        <v>2.6662642734510892E-6</v>
      </c>
      <c r="AI58" s="146">
        <v>2.1671256530066676E-3</v>
      </c>
      <c r="AJ58" s="147">
        <v>1.4657176026220892E-4</v>
      </c>
      <c r="AK58" s="177"/>
    </row>
    <row r="59" spans="1:37" ht="15" x14ac:dyDescent="0.2">
      <c r="A59" s="142" t="s">
        <v>1205</v>
      </c>
      <c r="B59" s="143" t="s">
        <v>1206</v>
      </c>
      <c r="C59" s="143" t="s">
        <v>1644</v>
      </c>
      <c r="D59" s="143" t="s">
        <v>1645</v>
      </c>
      <c r="E59" s="143" t="s">
        <v>309</v>
      </c>
      <c r="F59" s="143" t="s">
        <v>1646</v>
      </c>
      <c r="G59" s="143" t="s">
        <v>1647</v>
      </c>
      <c r="H59" s="143" t="s">
        <v>321</v>
      </c>
      <c r="I59" s="143" t="s">
        <v>754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464</v>
      </c>
      <c r="O59" s="143" t="s">
        <v>339</v>
      </c>
      <c r="P59" s="143" t="s">
        <v>1425</v>
      </c>
      <c r="Q59" s="143" t="s">
        <v>415</v>
      </c>
      <c r="R59" s="143" t="s">
        <v>407</v>
      </c>
      <c r="S59" s="143" t="s">
        <v>1210</v>
      </c>
      <c r="T59" s="144">
        <v>2.91</v>
      </c>
      <c r="U59" s="143" t="s">
        <v>1648</v>
      </c>
      <c r="V59" s="146">
        <v>1.9599999999999999E-2</v>
      </c>
      <c r="W59" s="146">
        <v>2.8162E-2</v>
      </c>
      <c r="X59" s="143" t="s">
        <v>412</v>
      </c>
      <c r="Y59" s="145" t="s">
        <v>3930</v>
      </c>
      <c r="Z59" s="144">
        <v>1048</v>
      </c>
      <c r="AA59" s="145" t="s">
        <v>3930</v>
      </c>
      <c r="AB59" s="143" t="s">
        <v>1649</v>
      </c>
      <c r="AC59" s="145" t="s">
        <v>3930</v>
      </c>
      <c r="AD59" s="144">
        <v>1.1995</v>
      </c>
      <c r="AE59" s="145" t="s">
        <v>3930</v>
      </c>
      <c r="AF59" s="145" t="s">
        <v>3930</v>
      </c>
      <c r="AG59" s="145" t="s">
        <v>3930</v>
      </c>
      <c r="AH59" s="146">
        <v>9.152098642632601E-7</v>
      </c>
      <c r="AI59" s="146">
        <v>1.1537417979382396E-3</v>
      </c>
      <c r="AJ59" s="147">
        <v>7.8032377115409132E-5</v>
      </c>
      <c r="AK59" s="177"/>
    </row>
    <row r="60" spans="1:37" ht="15" x14ac:dyDescent="0.2">
      <c r="A60" s="142" t="s">
        <v>1205</v>
      </c>
      <c r="B60" s="143" t="s">
        <v>1206</v>
      </c>
      <c r="C60" s="143" t="s">
        <v>1644</v>
      </c>
      <c r="D60" s="143" t="s">
        <v>1645</v>
      </c>
      <c r="E60" s="143" t="s">
        <v>309</v>
      </c>
      <c r="F60" s="143" t="s">
        <v>1650</v>
      </c>
      <c r="G60" s="143" t="s">
        <v>1651</v>
      </c>
      <c r="H60" s="143" t="s">
        <v>321</v>
      </c>
      <c r="I60" s="143" t="s">
        <v>754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464</v>
      </c>
      <c r="O60" s="143" t="s">
        <v>339</v>
      </c>
      <c r="P60" s="143" t="s">
        <v>1425</v>
      </c>
      <c r="Q60" s="143" t="s">
        <v>415</v>
      </c>
      <c r="R60" s="143" t="s">
        <v>407</v>
      </c>
      <c r="S60" s="143" t="s">
        <v>1210</v>
      </c>
      <c r="T60" s="144">
        <v>0.28000000000000003</v>
      </c>
      <c r="U60" s="143" t="s">
        <v>1652</v>
      </c>
      <c r="V60" s="146">
        <v>2.75E-2</v>
      </c>
      <c r="W60" s="146">
        <v>4.6851999999999998E-2</v>
      </c>
      <c r="X60" s="143" t="s">
        <v>412</v>
      </c>
      <c r="Y60" s="145" t="s">
        <v>3930</v>
      </c>
      <c r="Z60" s="144">
        <v>196.92</v>
      </c>
      <c r="AA60" s="145" t="s">
        <v>3930</v>
      </c>
      <c r="AB60" s="143" t="s">
        <v>1653</v>
      </c>
      <c r="AC60" s="145" t="s">
        <v>3930</v>
      </c>
      <c r="AD60" s="144">
        <v>0.22989999999999999</v>
      </c>
      <c r="AE60" s="145" t="s">
        <v>3930</v>
      </c>
      <c r="AF60" s="145" t="s">
        <v>3930</v>
      </c>
      <c r="AG60" s="145" t="s">
        <v>3930</v>
      </c>
      <c r="AH60" s="146">
        <v>1.4244664099434641E-6</v>
      </c>
      <c r="AI60" s="146">
        <v>2.2110731890394043E-4</v>
      </c>
      <c r="AJ60" s="147">
        <v>1.4954411569834536E-5</v>
      </c>
      <c r="AK60" s="177"/>
    </row>
    <row r="61" spans="1:37" ht="15" x14ac:dyDescent="0.2">
      <c r="A61" s="142" t="s">
        <v>1205</v>
      </c>
      <c r="B61" s="143" t="s">
        <v>1215</v>
      </c>
      <c r="C61" s="143" t="s">
        <v>1352</v>
      </c>
      <c r="D61" s="143" t="s">
        <v>1353</v>
      </c>
      <c r="E61" s="143" t="s">
        <v>309</v>
      </c>
      <c r="F61" s="143" t="s">
        <v>1354</v>
      </c>
      <c r="G61" s="143" t="s">
        <v>1355</v>
      </c>
      <c r="H61" s="143" t="s">
        <v>321</v>
      </c>
      <c r="I61" s="143" t="s">
        <v>951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445</v>
      </c>
      <c r="O61" s="143" t="s">
        <v>339</v>
      </c>
      <c r="P61" s="143" t="s">
        <v>1356</v>
      </c>
      <c r="Q61" s="143" t="s">
        <v>413</v>
      </c>
      <c r="R61" s="143" t="s">
        <v>407</v>
      </c>
      <c r="S61" s="143" t="s">
        <v>1210</v>
      </c>
      <c r="T61" s="144">
        <v>5.12</v>
      </c>
      <c r="U61" s="143" t="s">
        <v>1295</v>
      </c>
      <c r="V61" s="146">
        <v>2.64E-2</v>
      </c>
      <c r="W61" s="146">
        <v>5.7553E-2</v>
      </c>
      <c r="X61" s="143" t="s">
        <v>412</v>
      </c>
      <c r="Y61" s="145" t="s">
        <v>3930</v>
      </c>
      <c r="Z61" s="144">
        <v>13685.58</v>
      </c>
      <c r="AA61" s="145" t="s">
        <v>3930</v>
      </c>
      <c r="AB61" s="143" t="s">
        <v>1357</v>
      </c>
      <c r="AC61" s="145" t="s">
        <v>3930</v>
      </c>
      <c r="AD61" s="144">
        <v>11.7354</v>
      </c>
      <c r="AE61" s="145" t="s">
        <v>3930</v>
      </c>
      <c r="AF61" s="145" t="s">
        <v>3930</v>
      </c>
      <c r="AG61" s="145" t="s">
        <v>3930</v>
      </c>
      <c r="AH61" s="146">
        <v>8.3643882542401456E-6</v>
      </c>
      <c r="AI61" s="146">
        <v>3.8222238973009998E-2</v>
      </c>
      <c r="AJ61" s="147">
        <v>3.3475098998690949E-3</v>
      </c>
      <c r="AK61" s="177"/>
    </row>
    <row r="62" spans="1:37" ht="15" x14ac:dyDescent="0.2">
      <c r="A62" s="142" t="s">
        <v>1205</v>
      </c>
      <c r="B62" s="143" t="s">
        <v>1215</v>
      </c>
      <c r="C62" s="143" t="s">
        <v>1358</v>
      </c>
      <c r="D62" s="143" t="s">
        <v>1359</v>
      </c>
      <c r="E62" s="143" t="s">
        <v>309</v>
      </c>
      <c r="F62" s="143" t="s">
        <v>1360</v>
      </c>
      <c r="G62" s="143" t="s">
        <v>1361</v>
      </c>
      <c r="H62" s="143" t="s">
        <v>321</v>
      </c>
      <c r="I62" s="143" t="s">
        <v>951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448</v>
      </c>
      <c r="O62" s="143" t="s">
        <v>339</v>
      </c>
      <c r="P62" s="143" t="s">
        <v>1303</v>
      </c>
      <c r="Q62" s="143" t="s">
        <v>413</v>
      </c>
      <c r="R62" s="143" t="s">
        <v>407</v>
      </c>
      <c r="S62" s="143" t="s">
        <v>1210</v>
      </c>
      <c r="T62" s="144">
        <v>0.68</v>
      </c>
      <c r="U62" s="143" t="s">
        <v>1362</v>
      </c>
      <c r="V62" s="146">
        <v>2.98E-2</v>
      </c>
      <c r="W62" s="146">
        <v>4.4567000000000002E-2</v>
      </c>
      <c r="X62" s="143" t="s">
        <v>412</v>
      </c>
      <c r="Y62" s="145" t="s">
        <v>3930</v>
      </c>
      <c r="Z62" s="144">
        <v>11063</v>
      </c>
      <c r="AA62" s="145" t="s">
        <v>3930</v>
      </c>
      <c r="AB62" s="143" t="s">
        <v>1363</v>
      </c>
      <c r="AC62" s="145" t="s">
        <v>3930</v>
      </c>
      <c r="AD62" s="144">
        <v>11.057499999999999</v>
      </c>
      <c r="AE62" s="145" t="s">
        <v>3930</v>
      </c>
      <c r="AF62" s="145" t="s">
        <v>3930</v>
      </c>
      <c r="AG62" s="145" t="s">
        <v>3930</v>
      </c>
      <c r="AH62" s="146">
        <v>4.3518949408582083E-6</v>
      </c>
      <c r="AI62" s="146">
        <v>3.601426019220242E-2</v>
      </c>
      <c r="AJ62" s="147">
        <v>3.1541347594783542E-3</v>
      </c>
      <c r="AK62" s="177"/>
    </row>
    <row r="63" spans="1:37" ht="15" x14ac:dyDescent="0.2">
      <c r="A63" s="142" t="s">
        <v>1205</v>
      </c>
      <c r="B63" s="143" t="s">
        <v>1215</v>
      </c>
      <c r="C63" s="143" t="s">
        <v>1388</v>
      </c>
      <c r="D63" s="143" t="s">
        <v>1389</v>
      </c>
      <c r="E63" s="143" t="s">
        <v>309</v>
      </c>
      <c r="F63" s="143" t="s">
        <v>1390</v>
      </c>
      <c r="G63" s="143" t="s">
        <v>1391</v>
      </c>
      <c r="H63" s="143" t="s">
        <v>321</v>
      </c>
      <c r="I63" s="143" t="s">
        <v>951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445</v>
      </c>
      <c r="O63" s="143" t="s">
        <v>339</v>
      </c>
      <c r="P63" s="143" t="s">
        <v>1356</v>
      </c>
      <c r="Q63" s="143" t="s">
        <v>413</v>
      </c>
      <c r="R63" s="143" t="s">
        <v>407</v>
      </c>
      <c r="S63" s="143" t="s">
        <v>1210</v>
      </c>
      <c r="T63" s="144">
        <v>5.16</v>
      </c>
      <c r="U63" s="143" t="s">
        <v>1392</v>
      </c>
      <c r="V63" s="146">
        <v>5.2499999999999998E-2</v>
      </c>
      <c r="W63" s="146">
        <v>5.6903000000000002E-2</v>
      </c>
      <c r="X63" s="143" t="s">
        <v>412</v>
      </c>
      <c r="Y63" s="145" t="s">
        <v>3930</v>
      </c>
      <c r="Z63" s="144">
        <v>10000</v>
      </c>
      <c r="AA63" s="145" t="s">
        <v>3930</v>
      </c>
      <c r="AB63" s="143" t="s">
        <v>1393</v>
      </c>
      <c r="AC63" s="145" t="s">
        <v>3930</v>
      </c>
      <c r="AD63" s="144">
        <v>10.032999999999999</v>
      </c>
      <c r="AE63" s="145" t="s">
        <v>3930</v>
      </c>
      <c r="AF63" s="145" t="s">
        <v>3930</v>
      </c>
      <c r="AG63" s="145" t="s">
        <v>3930</v>
      </c>
      <c r="AH63" s="146">
        <v>2.0000000000000002E-5</v>
      </c>
      <c r="AI63" s="146">
        <v>3.2677558385842735E-2</v>
      </c>
      <c r="AJ63" s="147">
        <v>2.8619058731070616E-3</v>
      </c>
      <c r="AK63" s="177"/>
    </row>
    <row r="64" spans="1:37" ht="15" x14ac:dyDescent="0.2">
      <c r="A64" s="142" t="s">
        <v>1205</v>
      </c>
      <c r="B64" s="143" t="s">
        <v>1215</v>
      </c>
      <c r="C64" s="143" t="s">
        <v>1434</v>
      </c>
      <c r="D64" s="143" t="s">
        <v>1435</v>
      </c>
      <c r="E64" s="143" t="s">
        <v>309</v>
      </c>
      <c r="F64" s="143" t="s">
        <v>1654</v>
      </c>
      <c r="G64" s="143" t="s">
        <v>1655</v>
      </c>
      <c r="H64" s="143" t="s">
        <v>321</v>
      </c>
      <c r="I64" s="143" t="s">
        <v>951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484</v>
      </c>
      <c r="O64" s="143" t="s">
        <v>339</v>
      </c>
      <c r="P64" s="143" t="s">
        <v>1398</v>
      </c>
      <c r="Q64" s="143" t="s">
        <v>413</v>
      </c>
      <c r="R64" s="143" t="s">
        <v>407</v>
      </c>
      <c r="S64" s="143" t="s">
        <v>1210</v>
      </c>
      <c r="T64" s="144">
        <v>3.24</v>
      </c>
      <c r="U64" s="143" t="s">
        <v>1656</v>
      </c>
      <c r="V64" s="146">
        <v>4.7300000000000002E-2</v>
      </c>
      <c r="W64" s="146">
        <v>5.6408E-2</v>
      </c>
      <c r="X64" s="143" t="s">
        <v>412</v>
      </c>
      <c r="Y64" s="145" t="s">
        <v>3930</v>
      </c>
      <c r="Z64" s="144">
        <v>8000</v>
      </c>
      <c r="AA64" s="145" t="s">
        <v>3930</v>
      </c>
      <c r="AB64" s="143" t="s">
        <v>1657</v>
      </c>
      <c r="AC64" s="145" t="s">
        <v>3930</v>
      </c>
      <c r="AD64" s="144">
        <v>7.8751999999999995</v>
      </c>
      <c r="AE64" s="145" t="s">
        <v>3930</v>
      </c>
      <c r="AF64" s="145" t="s">
        <v>3930</v>
      </c>
      <c r="AG64" s="145" t="s">
        <v>3930</v>
      </c>
      <c r="AH64" s="146">
        <v>2.0257523770938048E-5</v>
      </c>
      <c r="AI64" s="146">
        <v>2.564958714244879E-2</v>
      </c>
      <c r="AJ64" s="147">
        <v>2.2463950096574033E-3</v>
      </c>
      <c r="AK64" s="177"/>
    </row>
    <row r="65" spans="1:37" ht="15" x14ac:dyDescent="0.2">
      <c r="A65" s="142" t="s">
        <v>1205</v>
      </c>
      <c r="B65" s="143" t="s">
        <v>1215</v>
      </c>
      <c r="C65" s="143" t="s">
        <v>1401</v>
      </c>
      <c r="D65" s="143" t="s">
        <v>1402</v>
      </c>
      <c r="E65" s="143" t="s">
        <v>309</v>
      </c>
      <c r="F65" s="143" t="s">
        <v>1403</v>
      </c>
      <c r="G65" s="143" t="s">
        <v>1404</v>
      </c>
      <c r="H65" s="143" t="s">
        <v>321</v>
      </c>
      <c r="I65" s="143" t="s">
        <v>951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484</v>
      </c>
      <c r="O65" s="143" t="s">
        <v>339</v>
      </c>
      <c r="P65" s="143" t="s">
        <v>1405</v>
      </c>
      <c r="Q65" s="143" t="s">
        <v>415</v>
      </c>
      <c r="R65" s="143" t="s">
        <v>407</v>
      </c>
      <c r="S65" s="143" t="s">
        <v>1210</v>
      </c>
      <c r="T65" s="144">
        <v>4.55</v>
      </c>
      <c r="U65" s="143" t="s">
        <v>1406</v>
      </c>
      <c r="V65" s="146">
        <v>5.5E-2</v>
      </c>
      <c r="W65" s="146">
        <v>6.1679999999999999E-2</v>
      </c>
      <c r="X65" s="143" t="s">
        <v>412</v>
      </c>
      <c r="Y65" s="145" t="s">
        <v>3930</v>
      </c>
      <c r="Z65" s="144">
        <v>6060</v>
      </c>
      <c r="AA65" s="145" t="s">
        <v>3930</v>
      </c>
      <c r="AB65" s="143" t="s">
        <v>1407</v>
      </c>
      <c r="AC65" s="145" t="s">
        <v>3930</v>
      </c>
      <c r="AD65" s="144">
        <v>5.9181999999999997</v>
      </c>
      <c r="AE65" s="145" t="s">
        <v>3930</v>
      </c>
      <c r="AF65" s="145" t="s">
        <v>3930</v>
      </c>
      <c r="AG65" s="145" t="s">
        <v>3930</v>
      </c>
      <c r="AH65" s="146">
        <v>6.0048924831779504E-6</v>
      </c>
      <c r="AI65" s="146">
        <v>1.9275610019820685E-2</v>
      </c>
      <c r="AJ65" s="147">
        <v>1.6881610575698912E-3</v>
      </c>
      <c r="AK65" s="177"/>
    </row>
    <row r="66" spans="1:37" ht="15" x14ac:dyDescent="0.2">
      <c r="A66" s="142" t="s">
        <v>1205</v>
      </c>
      <c r="B66" s="143" t="s">
        <v>1215</v>
      </c>
      <c r="C66" s="143" t="s">
        <v>1658</v>
      </c>
      <c r="D66" s="143" t="s">
        <v>1659</v>
      </c>
      <c r="E66" s="143" t="s">
        <v>309</v>
      </c>
      <c r="F66" s="143" t="s">
        <v>1660</v>
      </c>
      <c r="G66" s="143" t="s">
        <v>1661</v>
      </c>
      <c r="H66" s="143" t="s">
        <v>321</v>
      </c>
      <c r="I66" s="143" t="s">
        <v>951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447</v>
      </c>
      <c r="O66" s="143" t="s">
        <v>339</v>
      </c>
      <c r="P66" s="143" t="s">
        <v>1405</v>
      </c>
      <c r="Q66" s="143" t="s">
        <v>415</v>
      </c>
      <c r="R66" s="143" t="s">
        <v>407</v>
      </c>
      <c r="S66" s="143" t="s">
        <v>1210</v>
      </c>
      <c r="T66" s="144">
        <v>2.2400000000000002</v>
      </c>
      <c r="U66" s="143" t="s">
        <v>1426</v>
      </c>
      <c r="V66" s="146">
        <v>4.53E-2</v>
      </c>
      <c r="W66" s="146">
        <v>6.3292000000000001E-2</v>
      </c>
      <c r="X66" s="143" t="s">
        <v>412</v>
      </c>
      <c r="Y66" s="145" t="s">
        <v>3930</v>
      </c>
      <c r="Z66" s="144">
        <v>5581</v>
      </c>
      <c r="AA66" s="145" t="s">
        <v>3930</v>
      </c>
      <c r="AB66" s="143" t="s">
        <v>1662</v>
      </c>
      <c r="AC66" s="145" t="s">
        <v>3930</v>
      </c>
      <c r="AD66" s="144">
        <v>5.4376000000000007</v>
      </c>
      <c r="AE66" s="145" t="s">
        <v>3930</v>
      </c>
      <c r="AF66" s="145" t="s">
        <v>3930</v>
      </c>
      <c r="AG66" s="145" t="s">
        <v>3930</v>
      </c>
      <c r="AH66" s="146">
        <v>7.9728571428571432E-6</v>
      </c>
      <c r="AI66" s="146">
        <v>1.7710201893776301E-2</v>
      </c>
      <c r="AJ66" s="147">
        <v>1.5510623595326202E-3</v>
      </c>
      <c r="AK66" s="177"/>
    </row>
    <row r="67" spans="1:37" ht="15" x14ac:dyDescent="0.2">
      <c r="A67" s="142" t="s">
        <v>1205</v>
      </c>
      <c r="B67" s="143" t="s">
        <v>1215</v>
      </c>
      <c r="C67" s="143" t="s">
        <v>1352</v>
      </c>
      <c r="D67" s="143" t="s">
        <v>1353</v>
      </c>
      <c r="E67" s="143" t="s">
        <v>309</v>
      </c>
      <c r="F67" s="143" t="s">
        <v>1378</v>
      </c>
      <c r="G67" s="143" t="s">
        <v>1379</v>
      </c>
      <c r="H67" s="143" t="s">
        <v>321</v>
      </c>
      <c r="I67" s="143" t="s">
        <v>951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445</v>
      </c>
      <c r="O67" s="143" t="s">
        <v>339</v>
      </c>
      <c r="P67" s="143" t="s">
        <v>1356</v>
      </c>
      <c r="Q67" s="143" t="s">
        <v>413</v>
      </c>
      <c r="R67" s="143" t="s">
        <v>407</v>
      </c>
      <c r="S67" s="143" t="s">
        <v>1210</v>
      </c>
      <c r="T67" s="144">
        <v>7.65</v>
      </c>
      <c r="U67" s="143" t="s">
        <v>1380</v>
      </c>
      <c r="V67" s="146">
        <v>5.3100000000000001E-2</v>
      </c>
      <c r="W67" s="146">
        <v>6.0852000000000003E-2</v>
      </c>
      <c r="X67" s="143" t="s">
        <v>412</v>
      </c>
      <c r="Y67" s="145" t="s">
        <v>3930</v>
      </c>
      <c r="Z67" s="144">
        <v>5524.34</v>
      </c>
      <c r="AA67" s="145" t="s">
        <v>3930</v>
      </c>
      <c r="AB67" s="143" t="s">
        <v>1381</v>
      </c>
      <c r="AC67" s="145" t="s">
        <v>3930</v>
      </c>
      <c r="AD67" s="144">
        <v>5.2878999999999996</v>
      </c>
      <c r="AE67" s="145" t="s">
        <v>3930</v>
      </c>
      <c r="AF67" s="145" t="s">
        <v>3930</v>
      </c>
      <c r="AG67" s="145" t="s">
        <v>3930</v>
      </c>
      <c r="AH67" s="146">
        <v>4.3383252743076792E-6</v>
      </c>
      <c r="AI67" s="146">
        <v>1.7222725379987591E-2</v>
      </c>
      <c r="AJ67" s="147">
        <v>1.5083690872464608E-3</v>
      </c>
      <c r="AK67" s="177"/>
    </row>
    <row r="68" spans="1:37" ht="15" x14ac:dyDescent="0.2">
      <c r="A68" s="142" t="s">
        <v>1205</v>
      </c>
      <c r="B68" s="143" t="s">
        <v>1215</v>
      </c>
      <c r="C68" s="143" t="s">
        <v>1421</v>
      </c>
      <c r="D68" s="143" t="s">
        <v>1422</v>
      </c>
      <c r="E68" s="143" t="s">
        <v>309</v>
      </c>
      <c r="F68" s="143" t="s">
        <v>1423</v>
      </c>
      <c r="G68" s="143" t="s">
        <v>1424</v>
      </c>
      <c r="H68" s="143" t="s">
        <v>321</v>
      </c>
      <c r="I68" s="143" t="s">
        <v>951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445</v>
      </c>
      <c r="O68" s="143" t="s">
        <v>339</v>
      </c>
      <c r="P68" s="143" t="s">
        <v>1425</v>
      </c>
      <c r="Q68" s="143" t="s">
        <v>415</v>
      </c>
      <c r="R68" s="143" t="s">
        <v>407</v>
      </c>
      <c r="S68" s="143" t="s">
        <v>1210</v>
      </c>
      <c r="T68" s="144">
        <v>3.03</v>
      </c>
      <c r="U68" s="143" t="s">
        <v>1426</v>
      </c>
      <c r="V68" s="146">
        <v>4.36E-2</v>
      </c>
      <c r="W68" s="146">
        <v>4.9925999999999998E-2</v>
      </c>
      <c r="X68" s="143" t="s">
        <v>412</v>
      </c>
      <c r="Y68" s="145" t="s">
        <v>3930</v>
      </c>
      <c r="Z68" s="144">
        <v>4972</v>
      </c>
      <c r="AA68" s="145" t="s">
        <v>3930</v>
      </c>
      <c r="AB68" s="143" t="s">
        <v>1427</v>
      </c>
      <c r="AC68" s="145" t="s">
        <v>3930</v>
      </c>
      <c r="AD68" s="144">
        <v>4.9496000000000002</v>
      </c>
      <c r="AE68" s="145" t="s">
        <v>3930</v>
      </c>
      <c r="AF68" s="145" t="s">
        <v>3930</v>
      </c>
      <c r="AG68" s="145" t="s">
        <v>3930</v>
      </c>
      <c r="AH68" s="146">
        <v>1.6573333333333333E-5</v>
      </c>
      <c r="AI68" s="146">
        <v>1.6120970059113449E-2</v>
      </c>
      <c r="AJ68" s="147">
        <v>1.4118771772235036E-3</v>
      </c>
      <c r="AK68" s="177"/>
    </row>
    <row r="69" spans="1:37" ht="15" x14ac:dyDescent="0.2">
      <c r="A69" s="142" t="s">
        <v>1205</v>
      </c>
      <c r="B69" s="143" t="s">
        <v>1215</v>
      </c>
      <c r="C69" s="143" t="s">
        <v>1364</v>
      </c>
      <c r="D69" s="143" t="s">
        <v>1365</v>
      </c>
      <c r="E69" s="143" t="s">
        <v>309</v>
      </c>
      <c r="F69" s="143" t="s">
        <v>1366</v>
      </c>
      <c r="G69" s="143" t="s">
        <v>1367</v>
      </c>
      <c r="H69" s="143" t="s">
        <v>321</v>
      </c>
      <c r="I69" s="143" t="s">
        <v>951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445</v>
      </c>
      <c r="O69" s="143" t="s">
        <v>339</v>
      </c>
      <c r="P69" s="143" t="s">
        <v>1368</v>
      </c>
      <c r="Q69" s="143" t="s">
        <v>415</v>
      </c>
      <c r="R69" s="143" t="s">
        <v>407</v>
      </c>
      <c r="S69" s="143" t="s">
        <v>1210</v>
      </c>
      <c r="T69" s="144">
        <v>0.82</v>
      </c>
      <c r="U69" s="143" t="s">
        <v>1369</v>
      </c>
      <c r="V69" s="146">
        <v>3.61E-2</v>
      </c>
      <c r="W69" s="146">
        <v>5.1797000000000003E-2</v>
      </c>
      <c r="X69" s="143" t="s">
        <v>412</v>
      </c>
      <c r="Y69" s="145" t="s">
        <v>3930</v>
      </c>
      <c r="Z69" s="144">
        <v>2529</v>
      </c>
      <c r="AA69" s="145" t="s">
        <v>3930</v>
      </c>
      <c r="AB69" s="143" t="s">
        <v>1370</v>
      </c>
      <c r="AC69" s="145" t="s">
        <v>3930</v>
      </c>
      <c r="AD69" s="144">
        <v>2.5135999999999998</v>
      </c>
      <c r="AE69" s="145" t="s">
        <v>3930</v>
      </c>
      <c r="AF69" s="145" t="s">
        <v>3930</v>
      </c>
      <c r="AG69" s="145" t="s">
        <v>3930</v>
      </c>
      <c r="AH69" s="146">
        <v>3.2951140065146579E-6</v>
      </c>
      <c r="AI69" s="146">
        <v>8.1867269742184508E-3</v>
      </c>
      <c r="AJ69" s="147">
        <v>7.1699487863788726E-4</v>
      </c>
      <c r="AK69" s="177"/>
    </row>
    <row r="70" spans="1:37" ht="15" x14ac:dyDescent="0.2">
      <c r="A70" s="142" t="s">
        <v>1205</v>
      </c>
      <c r="B70" s="143" t="s">
        <v>1215</v>
      </c>
      <c r="C70" s="143" t="s">
        <v>1461</v>
      </c>
      <c r="D70" s="143" t="s">
        <v>1462</v>
      </c>
      <c r="E70" s="143" t="s">
        <v>309</v>
      </c>
      <c r="F70" s="143" t="s">
        <v>1663</v>
      </c>
      <c r="G70" s="143" t="s">
        <v>1664</v>
      </c>
      <c r="H70" s="143" t="s">
        <v>321</v>
      </c>
      <c r="I70" s="143" t="s">
        <v>951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464</v>
      </c>
      <c r="O70" s="143" t="s">
        <v>339</v>
      </c>
      <c r="P70" s="143" t="s">
        <v>1425</v>
      </c>
      <c r="Q70" s="143" t="s">
        <v>415</v>
      </c>
      <c r="R70" s="143" t="s">
        <v>407</v>
      </c>
      <c r="S70" s="143" t="s">
        <v>1210</v>
      </c>
      <c r="T70" s="144">
        <v>1.33</v>
      </c>
      <c r="U70" s="143" t="s">
        <v>1465</v>
      </c>
      <c r="V70" s="146">
        <v>6.7400000000000002E-2</v>
      </c>
      <c r="W70" s="146">
        <v>6.1572000000000002E-2</v>
      </c>
      <c r="X70" s="143" t="s">
        <v>412</v>
      </c>
      <c r="Y70" s="145" t="s">
        <v>3930</v>
      </c>
      <c r="Z70" s="144">
        <v>2468.25</v>
      </c>
      <c r="AA70" s="145" t="s">
        <v>3930</v>
      </c>
      <c r="AB70" s="143" t="s">
        <v>1665</v>
      </c>
      <c r="AC70" s="145" t="s">
        <v>3930</v>
      </c>
      <c r="AD70" s="144">
        <v>2.5055000000000001</v>
      </c>
      <c r="AE70" s="145" t="s">
        <v>3930</v>
      </c>
      <c r="AF70" s="145" t="s">
        <v>3930</v>
      </c>
      <c r="AG70" s="145" t="s">
        <v>3930</v>
      </c>
      <c r="AH70" s="146">
        <v>2.3517509039162906E-6</v>
      </c>
      <c r="AI70" s="146">
        <v>8.1604998381832709E-3</v>
      </c>
      <c r="AJ70" s="147">
        <v>7.1469790180236036E-4</v>
      </c>
      <c r="AK70" s="177"/>
    </row>
    <row r="71" spans="1:37" ht="15" x14ac:dyDescent="0.2">
      <c r="A71" s="142" t="s">
        <v>1205</v>
      </c>
      <c r="B71" s="143" t="s">
        <v>1215</v>
      </c>
      <c r="C71" s="143" t="s">
        <v>1666</v>
      </c>
      <c r="D71" s="143" t="s">
        <v>1667</v>
      </c>
      <c r="E71" s="143" t="s">
        <v>309</v>
      </c>
      <c r="F71" s="143" t="s">
        <v>1668</v>
      </c>
      <c r="G71" s="143" t="s">
        <v>1669</v>
      </c>
      <c r="H71" s="143" t="s">
        <v>321</v>
      </c>
      <c r="I71" s="143" t="s">
        <v>951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451</v>
      </c>
      <c r="O71" s="143" t="s">
        <v>339</v>
      </c>
      <c r="P71" s="143" t="s">
        <v>1398</v>
      </c>
      <c r="Q71" s="143" t="s">
        <v>413</v>
      </c>
      <c r="R71" s="143" t="s">
        <v>407</v>
      </c>
      <c r="S71" s="143" t="s">
        <v>1210</v>
      </c>
      <c r="T71" s="144">
        <v>2.33</v>
      </c>
      <c r="U71" s="143" t="s">
        <v>1539</v>
      </c>
      <c r="V71" s="146">
        <v>2.1999999999999999E-2</v>
      </c>
      <c r="W71" s="146">
        <v>5.6347000000000001E-2</v>
      </c>
      <c r="X71" s="143" t="s">
        <v>412</v>
      </c>
      <c r="Y71" s="145" t="s">
        <v>3930</v>
      </c>
      <c r="Z71" s="144">
        <v>2481.75</v>
      </c>
      <c r="AA71" s="145" t="s">
        <v>3930</v>
      </c>
      <c r="AB71" s="143" t="s">
        <v>1670</v>
      </c>
      <c r="AC71" s="145" t="s">
        <v>3930</v>
      </c>
      <c r="AD71" s="144">
        <v>2.3094999999999999</v>
      </c>
      <c r="AE71" s="145" t="s">
        <v>3930</v>
      </c>
      <c r="AF71" s="145" t="s">
        <v>3930</v>
      </c>
      <c r="AG71" s="145" t="s">
        <v>3930</v>
      </c>
      <c r="AH71" s="146">
        <v>2.2899653979238756E-6</v>
      </c>
      <c r="AI71" s="146">
        <v>7.5221132169535614E-3</v>
      </c>
      <c r="AJ71" s="147">
        <v>6.5878789778560333E-4</v>
      </c>
      <c r="AK71" s="177"/>
    </row>
    <row r="72" spans="1:37" ht="15" x14ac:dyDescent="0.2">
      <c r="A72" s="142" t="s">
        <v>1205</v>
      </c>
      <c r="B72" s="143" t="s">
        <v>1215</v>
      </c>
      <c r="C72" s="143" t="s">
        <v>1382</v>
      </c>
      <c r="D72" s="143" t="s">
        <v>1383</v>
      </c>
      <c r="E72" s="143" t="s">
        <v>309</v>
      </c>
      <c r="F72" s="143" t="s">
        <v>1384</v>
      </c>
      <c r="G72" s="143" t="s">
        <v>1385</v>
      </c>
      <c r="H72" s="143" t="s">
        <v>321</v>
      </c>
      <c r="I72" s="143" t="s">
        <v>951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484</v>
      </c>
      <c r="O72" s="143" t="s">
        <v>339</v>
      </c>
      <c r="P72" s="143" t="s">
        <v>1368</v>
      </c>
      <c r="Q72" s="143" t="s">
        <v>415</v>
      </c>
      <c r="R72" s="143" t="s">
        <v>407</v>
      </c>
      <c r="S72" s="143" t="s">
        <v>1210</v>
      </c>
      <c r="T72" s="144">
        <v>0.65</v>
      </c>
      <c r="U72" s="143" t="s">
        <v>1386</v>
      </c>
      <c r="V72" s="146">
        <v>3.6499999999999998E-2</v>
      </c>
      <c r="W72" s="146">
        <v>5.0511E-2</v>
      </c>
      <c r="X72" s="143" t="s">
        <v>412</v>
      </c>
      <c r="Y72" s="145" t="s">
        <v>3930</v>
      </c>
      <c r="Z72" s="144">
        <v>2117.58</v>
      </c>
      <c r="AA72" s="145" t="s">
        <v>3930</v>
      </c>
      <c r="AB72" s="143" t="s">
        <v>1387</v>
      </c>
      <c r="AC72" s="145" t="s">
        <v>3930</v>
      </c>
      <c r="AD72" s="144">
        <v>2.125</v>
      </c>
      <c r="AE72" s="145" t="s">
        <v>3930</v>
      </c>
      <c r="AF72" s="145" t="s">
        <v>3930</v>
      </c>
      <c r="AG72" s="145" t="s">
        <v>3930</v>
      </c>
      <c r="AH72" s="146">
        <v>1.9883736844700712E-6</v>
      </c>
      <c r="AI72" s="146">
        <v>6.9211138035479205E-3</v>
      </c>
      <c r="AJ72" s="147">
        <v>6.0615227150500944E-4</v>
      </c>
      <c r="AK72" s="177"/>
    </row>
    <row r="73" spans="1:37" ht="15" x14ac:dyDescent="0.2">
      <c r="A73" s="142" t="s">
        <v>1205</v>
      </c>
      <c r="B73" s="143" t="s">
        <v>1215</v>
      </c>
      <c r="C73" s="143" t="s">
        <v>1671</v>
      </c>
      <c r="D73" s="143" t="s">
        <v>1672</v>
      </c>
      <c r="E73" s="143" t="s">
        <v>309</v>
      </c>
      <c r="F73" s="143" t="s">
        <v>1673</v>
      </c>
      <c r="G73" s="143" t="s">
        <v>1674</v>
      </c>
      <c r="H73" s="143" t="s">
        <v>321</v>
      </c>
      <c r="I73" s="143" t="s">
        <v>951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464</v>
      </c>
      <c r="O73" s="143" t="s">
        <v>339</v>
      </c>
      <c r="P73" s="143" t="s">
        <v>1444</v>
      </c>
      <c r="Q73" s="143" t="s">
        <v>415</v>
      </c>
      <c r="R73" s="143" t="s">
        <v>407</v>
      </c>
      <c r="S73" s="143" t="s">
        <v>1210</v>
      </c>
      <c r="T73" s="144">
        <v>3.1</v>
      </c>
      <c r="U73" s="143" t="s">
        <v>1675</v>
      </c>
      <c r="V73" s="146">
        <v>3.04E-2</v>
      </c>
      <c r="W73" s="146">
        <v>5.9735000000000003E-2</v>
      </c>
      <c r="X73" s="143" t="s">
        <v>412</v>
      </c>
      <c r="Y73" s="145" t="s">
        <v>3930</v>
      </c>
      <c r="Z73" s="144">
        <v>2074</v>
      </c>
      <c r="AA73" s="145" t="s">
        <v>3930</v>
      </c>
      <c r="AB73" s="143" t="s">
        <v>1676</v>
      </c>
      <c r="AC73" s="145" t="s">
        <v>3930</v>
      </c>
      <c r="AD73" s="144">
        <v>1.9164000000000001</v>
      </c>
      <c r="AE73" s="145" t="s">
        <v>3930</v>
      </c>
      <c r="AF73" s="145" t="s">
        <v>3930</v>
      </c>
      <c r="AG73" s="145" t="s">
        <v>3930</v>
      </c>
      <c r="AH73" s="146">
        <v>3.8265460053513751E-6</v>
      </c>
      <c r="AI73" s="146">
        <v>6.2416514132590207E-3</v>
      </c>
      <c r="AJ73" s="147">
        <v>5.4664484495977456E-4</v>
      </c>
      <c r="AK73" s="177"/>
    </row>
    <row r="74" spans="1:37" ht="15" x14ac:dyDescent="0.2">
      <c r="A74" s="142" t="s">
        <v>1205</v>
      </c>
      <c r="B74" s="143" t="s">
        <v>1215</v>
      </c>
      <c r="C74" s="143" t="s">
        <v>1677</v>
      </c>
      <c r="D74" s="143" t="s">
        <v>1678</v>
      </c>
      <c r="E74" s="143" t="s">
        <v>309</v>
      </c>
      <c r="F74" s="143" t="s">
        <v>1679</v>
      </c>
      <c r="G74" s="143" t="s">
        <v>1680</v>
      </c>
      <c r="H74" s="143" t="s">
        <v>321</v>
      </c>
      <c r="I74" s="143" t="s">
        <v>951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445</v>
      </c>
      <c r="O74" s="143" t="s">
        <v>339</v>
      </c>
      <c r="P74" s="143" t="s">
        <v>1425</v>
      </c>
      <c r="Q74" s="143" t="s">
        <v>415</v>
      </c>
      <c r="R74" s="143" t="s">
        <v>407</v>
      </c>
      <c r="S74" s="143" t="s">
        <v>1210</v>
      </c>
      <c r="T74" s="144">
        <v>1.97</v>
      </c>
      <c r="U74" s="143" t="s">
        <v>1432</v>
      </c>
      <c r="V74" s="146">
        <v>1.84E-2</v>
      </c>
      <c r="W74" s="146">
        <v>5.3180999999999999E-2</v>
      </c>
      <c r="X74" s="143" t="s">
        <v>412</v>
      </c>
      <c r="Y74" s="145" t="s">
        <v>3930</v>
      </c>
      <c r="Z74" s="144">
        <v>2000</v>
      </c>
      <c r="AA74" s="145" t="s">
        <v>3930</v>
      </c>
      <c r="AB74" s="143" t="s">
        <v>1681</v>
      </c>
      <c r="AC74" s="145" t="s">
        <v>3930</v>
      </c>
      <c r="AD74" s="144">
        <v>1.8732</v>
      </c>
      <c r="AE74" s="145" t="s">
        <v>3930</v>
      </c>
      <c r="AF74" s="145" t="s">
        <v>3930</v>
      </c>
      <c r="AG74" s="145" t="s">
        <v>3930</v>
      </c>
      <c r="AH74" s="146">
        <v>6.6666666666666666E-6</v>
      </c>
      <c r="AI74" s="146">
        <v>6.101026848236879E-3</v>
      </c>
      <c r="AJ74" s="147">
        <v>5.343289227054866E-4</v>
      </c>
      <c r="AK74" s="177"/>
    </row>
    <row r="75" spans="1:37" ht="15" x14ac:dyDescent="0.2">
      <c r="A75" s="142" t="s">
        <v>1205</v>
      </c>
      <c r="B75" s="143" t="s">
        <v>1215</v>
      </c>
      <c r="C75" s="143" t="s">
        <v>1682</v>
      </c>
      <c r="D75" s="143" t="s">
        <v>1683</v>
      </c>
      <c r="E75" s="143" t="s">
        <v>309</v>
      </c>
      <c r="F75" s="143" t="s">
        <v>1684</v>
      </c>
      <c r="G75" s="143" t="s">
        <v>1685</v>
      </c>
      <c r="H75" s="143" t="s">
        <v>321</v>
      </c>
      <c r="I75" s="143" t="s">
        <v>951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443</v>
      </c>
      <c r="O75" s="143" t="s">
        <v>339</v>
      </c>
      <c r="P75" s="143" t="s">
        <v>1624</v>
      </c>
      <c r="Q75" s="143" t="s">
        <v>415</v>
      </c>
      <c r="R75" s="143" t="s">
        <v>407</v>
      </c>
      <c r="S75" s="143" t="s">
        <v>1210</v>
      </c>
      <c r="T75" s="144">
        <v>0.96</v>
      </c>
      <c r="U75" s="143" t="s">
        <v>1686</v>
      </c>
      <c r="V75" s="146">
        <v>4.7500000000000001E-2</v>
      </c>
      <c r="W75" s="146">
        <v>6.4082E-2</v>
      </c>
      <c r="X75" s="143" t="s">
        <v>412</v>
      </c>
      <c r="Y75" s="145" t="s">
        <v>3930</v>
      </c>
      <c r="Z75" s="144">
        <v>1381.55</v>
      </c>
      <c r="AA75" s="145" t="s">
        <v>3930</v>
      </c>
      <c r="AB75" s="143" t="s">
        <v>1687</v>
      </c>
      <c r="AC75" s="145" t="s">
        <v>3930</v>
      </c>
      <c r="AD75" s="144">
        <v>1.3633</v>
      </c>
      <c r="AE75" s="145" t="s">
        <v>3930</v>
      </c>
      <c r="AF75" s="145" t="s">
        <v>3930</v>
      </c>
      <c r="AG75" s="145" t="s">
        <v>3930</v>
      </c>
      <c r="AH75" s="146">
        <v>2.1891342839942302E-6</v>
      </c>
      <c r="AI75" s="146">
        <v>4.4403227151958479E-3</v>
      </c>
      <c r="AJ75" s="147">
        <v>3.8888418489109726E-4</v>
      </c>
      <c r="AK75" s="177"/>
    </row>
    <row r="76" spans="1:37" ht="15" x14ac:dyDescent="0.2">
      <c r="A76" s="142" t="s">
        <v>1205</v>
      </c>
      <c r="B76" s="143" t="s">
        <v>1215</v>
      </c>
      <c r="C76" s="143" t="s">
        <v>1394</v>
      </c>
      <c r="D76" s="143" t="s">
        <v>1395</v>
      </c>
      <c r="E76" s="143" t="s">
        <v>309</v>
      </c>
      <c r="F76" s="143" t="s">
        <v>1688</v>
      </c>
      <c r="G76" s="143" t="s">
        <v>1689</v>
      </c>
      <c r="H76" s="143" t="s">
        <v>321</v>
      </c>
      <c r="I76" s="143" t="s">
        <v>951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463</v>
      </c>
      <c r="O76" s="143" t="s">
        <v>339</v>
      </c>
      <c r="P76" s="143" t="s">
        <v>1398</v>
      </c>
      <c r="Q76" s="143" t="s">
        <v>413</v>
      </c>
      <c r="R76" s="143" t="s">
        <v>407</v>
      </c>
      <c r="S76" s="143" t="s">
        <v>1210</v>
      </c>
      <c r="T76" s="144">
        <v>3.02</v>
      </c>
      <c r="U76" s="143" t="s">
        <v>1690</v>
      </c>
      <c r="V76" s="146">
        <v>2.6200000000000001E-2</v>
      </c>
      <c r="W76" s="146">
        <v>5.7479000000000002E-2</v>
      </c>
      <c r="X76" s="143" t="s">
        <v>412</v>
      </c>
      <c r="Y76" s="145" t="s">
        <v>3930</v>
      </c>
      <c r="Z76" s="144">
        <v>1336.85</v>
      </c>
      <c r="AA76" s="145" t="s">
        <v>3930</v>
      </c>
      <c r="AB76" s="143" t="s">
        <v>1691</v>
      </c>
      <c r="AC76" s="145" t="s">
        <v>3930</v>
      </c>
      <c r="AD76" s="144">
        <v>1.2275</v>
      </c>
      <c r="AE76" s="145" t="s">
        <v>3930</v>
      </c>
      <c r="AF76" s="145" t="s">
        <v>3930</v>
      </c>
      <c r="AG76" s="145" t="s">
        <v>3930</v>
      </c>
      <c r="AH76" s="146">
        <v>3.1115757724724557E-6</v>
      </c>
      <c r="AI76" s="146">
        <v>3.9979628650248329E-3</v>
      </c>
      <c r="AJ76" s="147">
        <v>3.5014223733544178E-4</v>
      </c>
      <c r="AK76" s="177"/>
    </row>
    <row r="77" spans="1:37" ht="15" x14ac:dyDescent="0.2">
      <c r="A77" s="142" t="s">
        <v>1205</v>
      </c>
      <c r="B77" s="143" t="s">
        <v>1215</v>
      </c>
      <c r="C77" s="143" t="s">
        <v>1428</v>
      </c>
      <c r="D77" s="143" t="s">
        <v>1429</v>
      </c>
      <c r="E77" s="143" t="s">
        <v>309</v>
      </c>
      <c r="F77" s="143" t="s">
        <v>1430</v>
      </c>
      <c r="G77" s="143" t="s">
        <v>1431</v>
      </c>
      <c r="H77" s="143" t="s">
        <v>321</v>
      </c>
      <c r="I77" s="143" t="s">
        <v>951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445</v>
      </c>
      <c r="O77" s="143" t="s">
        <v>339</v>
      </c>
      <c r="P77" s="143" t="s">
        <v>1368</v>
      </c>
      <c r="Q77" s="143" t="s">
        <v>415</v>
      </c>
      <c r="R77" s="143" t="s">
        <v>407</v>
      </c>
      <c r="S77" s="143" t="s">
        <v>1210</v>
      </c>
      <c r="T77" s="144">
        <v>1.48</v>
      </c>
      <c r="U77" s="143" t="s">
        <v>1432</v>
      </c>
      <c r="V77" s="146">
        <v>2.9399999999999999E-2</v>
      </c>
      <c r="W77" s="146">
        <v>5.4391000000000002E-2</v>
      </c>
      <c r="X77" s="143" t="s">
        <v>412</v>
      </c>
      <c r="Y77" s="145" t="s">
        <v>3930</v>
      </c>
      <c r="Z77" s="144">
        <v>1112.6300000000001</v>
      </c>
      <c r="AA77" s="145" t="s">
        <v>3930</v>
      </c>
      <c r="AB77" s="143" t="s">
        <v>1433</v>
      </c>
      <c r="AC77" s="145" t="s">
        <v>3930</v>
      </c>
      <c r="AD77" s="144">
        <v>1.0746</v>
      </c>
      <c r="AE77" s="145" t="s">
        <v>3930</v>
      </c>
      <c r="AF77" s="145" t="s">
        <v>3930</v>
      </c>
      <c r="AG77" s="145" t="s">
        <v>3930</v>
      </c>
      <c r="AH77" s="146">
        <v>1.0373296107822536E-5</v>
      </c>
      <c r="AI77" s="146">
        <v>3.4999090102392372E-3</v>
      </c>
      <c r="AJ77" s="147">
        <v>3.0652259980609557E-4</v>
      </c>
      <c r="AK77" s="177"/>
    </row>
    <row r="78" spans="1:37" ht="15" x14ac:dyDescent="0.2">
      <c r="A78" s="142" t="s">
        <v>1205</v>
      </c>
      <c r="B78" s="143" t="s">
        <v>1215</v>
      </c>
      <c r="C78" s="143" t="s">
        <v>1692</v>
      </c>
      <c r="D78" s="143" t="s">
        <v>1693</v>
      </c>
      <c r="E78" s="143" t="s">
        <v>309</v>
      </c>
      <c r="F78" s="143" t="s">
        <v>1694</v>
      </c>
      <c r="G78" s="143" t="s">
        <v>1695</v>
      </c>
      <c r="H78" s="143" t="s">
        <v>321</v>
      </c>
      <c r="I78" s="143" t="s">
        <v>951</v>
      </c>
      <c r="J78" s="143" t="s">
        <v>204</v>
      </c>
      <c r="K78" s="143" t="s">
        <v>224</v>
      </c>
      <c r="L78" s="143" t="s">
        <v>325</v>
      </c>
      <c r="M78" s="143" t="s">
        <v>340</v>
      </c>
      <c r="N78" s="143" t="s">
        <v>465</v>
      </c>
      <c r="O78" s="143" t="s">
        <v>339</v>
      </c>
      <c r="P78" s="143" t="s">
        <v>1412</v>
      </c>
      <c r="Q78" s="143" t="s">
        <v>413</v>
      </c>
      <c r="R78" s="143" t="s">
        <v>407</v>
      </c>
      <c r="S78" s="143" t="s">
        <v>1210</v>
      </c>
      <c r="T78" s="144">
        <v>0.25</v>
      </c>
      <c r="U78" s="143" t="s">
        <v>1696</v>
      </c>
      <c r="V78" s="146">
        <v>3.3799999999999997E-2</v>
      </c>
      <c r="W78" s="146">
        <v>6.0142000000000001E-2</v>
      </c>
      <c r="X78" s="143" t="s">
        <v>412</v>
      </c>
      <c r="Y78" s="145" t="s">
        <v>3930</v>
      </c>
      <c r="Z78" s="144">
        <v>500</v>
      </c>
      <c r="AA78" s="145" t="s">
        <v>3930</v>
      </c>
      <c r="AB78" s="143" t="s">
        <v>1697</v>
      </c>
      <c r="AC78" s="145" t="s">
        <v>3930</v>
      </c>
      <c r="AD78" s="144">
        <v>0.50119999999999998</v>
      </c>
      <c r="AE78" s="145" t="s">
        <v>3930</v>
      </c>
      <c r="AF78" s="145" t="s">
        <v>3930</v>
      </c>
      <c r="AG78" s="145" t="s">
        <v>3930</v>
      </c>
      <c r="AH78" s="146">
        <v>2.443407625142176E-6</v>
      </c>
      <c r="AI78" s="146">
        <v>1.6324122658212278E-3</v>
      </c>
      <c r="AJ78" s="147">
        <v>1.4296693148622139E-4</v>
      </c>
      <c r="AK78" s="177"/>
    </row>
    <row r="79" spans="1:37" ht="15" x14ac:dyDescent="0.2">
      <c r="A79" s="142" t="s">
        <v>1205</v>
      </c>
      <c r="B79" s="143" t="s">
        <v>1215</v>
      </c>
      <c r="C79" s="143" t="s">
        <v>1575</v>
      </c>
      <c r="D79" s="143" t="s">
        <v>1576</v>
      </c>
      <c r="E79" s="143" t="s">
        <v>309</v>
      </c>
      <c r="F79" s="143" t="s">
        <v>1698</v>
      </c>
      <c r="G79" s="143" t="s">
        <v>1699</v>
      </c>
      <c r="H79" s="143" t="s">
        <v>321</v>
      </c>
      <c r="I79" s="143" t="s">
        <v>754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464</v>
      </c>
      <c r="O79" s="143" t="s">
        <v>339</v>
      </c>
      <c r="P79" s="143" t="s">
        <v>1425</v>
      </c>
      <c r="Q79" s="143" t="s">
        <v>415</v>
      </c>
      <c r="R79" s="143" t="s">
        <v>407</v>
      </c>
      <c r="S79" s="143" t="s">
        <v>1210</v>
      </c>
      <c r="T79" s="144">
        <v>4.25</v>
      </c>
      <c r="U79" s="143" t="s">
        <v>1700</v>
      </c>
      <c r="V79" s="146">
        <v>1.3299999999999999E-2</v>
      </c>
      <c r="W79" s="146">
        <v>3.1257E-2</v>
      </c>
      <c r="X79" s="143" t="s">
        <v>412</v>
      </c>
      <c r="Y79" s="145" t="s">
        <v>3930</v>
      </c>
      <c r="Z79" s="144">
        <v>20187.5</v>
      </c>
      <c r="AA79" s="145" t="s">
        <v>3930</v>
      </c>
      <c r="AB79" s="143" t="s">
        <v>1701</v>
      </c>
      <c r="AC79" s="145" t="s">
        <v>3930</v>
      </c>
      <c r="AD79" s="144">
        <v>21.552199999999999</v>
      </c>
      <c r="AE79" s="145" t="s">
        <v>3930</v>
      </c>
      <c r="AF79" s="145" t="s">
        <v>3930</v>
      </c>
      <c r="AG79" s="145" t="s">
        <v>3930</v>
      </c>
      <c r="AH79" s="146">
        <v>1.7E-5</v>
      </c>
      <c r="AI79" s="146">
        <v>7.0195600209747841E-2</v>
      </c>
      <c r="AJ79" s="147">
        <v>6.1477420722347437E-3</v>
      </c>
      <c r="AK79" s="177"/>
    </row>
    <row r="80" spans="1:37" ht="15" x14ac:dyDescent="0.2">
      <c r="A80" s="142" t="s">
        <v>1205</v>
      </c>
      <c r="B80" s="143" t="s">
        <v>1215</v>
      </c>
      <c r="C80" s="143" t="s">
        <v>1569</v>
      </c>
      <c r="D80" s="143" t="s">
        <v>1570</v>
      </c>
      <c r="E80" s="143" t="s">
        <v>309</v>
      </c>
      <c r="F80" s="143" t="s">
        <v>1581</v>
      </c>
      <c r="G80" s="143" t="s">
        <v>1582</v>
      </c>
      <c r="H80" s="143" t="s">
        <v>321</v>
      </c>
      <c r="I80" s="143" t="s">
        <v>754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448</v>
      </c>
      <c r="O80" s="143" t="s">
        <v>339</v>
      </c>
      <c r="P80" s="143" t="s">
        <v>1303</v>
      </c>
      <c r="Q80" s="143" t="s">
        <v>413</v>
      </c>
      <c r="R80" s="143" t="s">
        <v>407</v>
      </c>
      <c r="S80" s="143" t="s">
        <v>1210</v>
      </c>
      <c r="T80" s="144">
        <v>3.56</v>
      </c>
      <c r="U80" s="143" t="s">
        <v>1583</v>
      </c>
      <c r="V80" s="146">
        <v>1E-3</v>
      </c>
      <c r="W80" s="146">
        <v>2.3969000000000001E-2</v>
      </c>
      <c r="X80" s="143" t="s">
        <v>412</v>
      </c>
      <c r="Y80" s="145" t="s">
        <v>3930</v>
      </c>
      <c r="Z80" s="144">
        <v>17920</v>
      </c>
      <c r="AA80" s="145" t="s">
        <v>3930</v>
      </c>
      <c r="AB80" s="143" t="s">
        <v>1584</v>
      </c>
      <c r="AC80" s="145" t="s">
        <v>3930</v>
      </c>
      <c r="AD80" s="144">
        <v>18.5884</v>
      </c>
      <c r="AE80" s="145" t="s">
        <v>3930</v>
      </c>
      <c r="AF80" s="145" t="s">
        <v>3930</v>
      </c>
      <c r="AG80" s="145" t="s">
        <v>3930</v>
      </c>
      <c r="AH80" s="146">
        <v>1.5932290312493303E-5</v>
      </c>
      <c r="AI80" s="146">
        <v>6.0542614286886599E-2</v>
      </c>
      <c r="AJ80" s="147">
        <v>5.3023319966268587E-3</v>
      </c>
      <c r="AK80" s="177"/>
    </row>
    <row r="81" spans="1:37" ht="15" x14ac:dyDescent="0.2">
      <c r="A81" s="142" t="s">
        <v>1205</v>
      </c>
      <c r="B81" s="143" t="s">
        <v>1215</v>
      </c>
      <c r="C81" s="143" t="s">
        <v>1569</v>
      </c>
      <c r="D81" s="143" t="s">
        <v>1570</v>
      </c>
      <c r="E81" s="143" t="s">
        <v>309</v>
      </c>
      <c r="F81" s="143" t="s">
        <v>1602</v>
      </c>
      <c r="G81" s="143" t="s">
        <v>1603</v>
      </c>
      <c r="H81" s="143" t="s">
        <v>321</v>
      </c>
      <c r="I81" s="143" t="s">
        <v>754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448</v>
      </c>
      <c r="O81" s="143" t="s">
        <v>339</v>
      </c>
      <c r="P81" s="143" t="s">
        <v>1303</v>
      </c>
      <c r="Q81" s="143" t="s">
        <v>413</v>
      </c>
      <c r="R81" s="143" t="s">
        <v>407</v>
      </c>
      <c r="S81" s="143" t="s">
        <v>1210</v>
      </c>
      <c r="T81" s="144">
        <v>3.01</v>
      </c>
      <c r="U81" s="143" t="s">
        <v>1604</v>
      </c>
      <c r="V81" s="146">
        <v>1.7500000000000002E-2</v>
      </c>
      <c r="W81" s="146">
        <v>2.3508000000000001E-2</v>
      </c>
      <c r="X81" s="143" t="s">
        <v>412</v>
      </c>
      <c r="Y81" s="145" t="s">
        <v>3930</v>
      </c>
      <c r="Z81" s="144">
        <v>14118.88</v>
      </c>
      <c r="AA81" s="145" t="s">
        <v>3930</v>
      </c>
      <c r="AB81" s="143" t="s">
        <v>1605</v>
      </c>
      <c r="AC81" s="145" t="s">
        <v>3930</v>
      </c>
      <c r="AD81" s="144">
        <v>16.135100000000001</v>
      </c>
      <c r="AE81" s="145" t="s">
        <v>3930</v>
      </c>
      <c r="AF81" s="145" t="s">
        <v>3930</v>
      </c>
      <c r="AG81" s="145" t="s">
        <v>3930</v>
      </c>
      <c r="AH81" s="146">
        <v>5.4295243252486765E-6</v>
      </c>
      <c r="AI81" s="146">
        <v>5.2552002052248172E-2</v>
      </c>
      <c r="AJ81" s="147">
        <v>4.6025128787474641E-3</v>
      </c>
      <c r="AK81" s="177"/>
    </row>
    <row r="82" spans="1:37" ht="15" x14ac:dyDescent="0.2">
      <c r="A82" s="142" t="s">
        <v>1205</v>
      </c>
      <c r="B82" s="143" t="s">
        <v>1215</v>
      </c>
      <c r="C82" s="143" t="s">
        <v>1474</v>
      </c>
      <c r="D82" s="143" t="s">
        <v>1475</v>
      </c>
      <c r="E82" s="143" t="s">
        <v>313</v>
      </c>
      <c r="F82" s="143" t="s">
        <v>1476</v>
      </c>
      <c r="G82" s="143" t="s">
        <v>1477</v>
      </c>
      <c r="H82" s="143" t="s">
        <v>321</v>
      </c>
      <c r="I82" s="143" t="s">
        <v>754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440</v>
      </c>
      <c r="O82" s="143" t="s">
        <v>339</v>
      </c>
      <c r="P82" s="143" t="s">
        <v>1478</v>
      </c>
      <c r="Q82" s="143" t="s">
        <v>415</v>
      </c>
      <c r="R82" s="143" t="s">
        <v>407</v>
      </c>
      <c r="S82" s="143" t="s">
        <v>1210</v>
      </c>
      <c r="T82" s="144">
        <v>10.4</v>
      </c>
      <c r="U82" s="143" t="s">
        <v>1479</v>
      </c>
      <c r="V82" s="146">
        <v>3.2000000000000001E-2</v>
      </c>
      <c r="W82" s="146">
        <v>3.4784000000000002E-2</v>
      </c>
      <c r="X82" s="143" t="s">
        <v>412</v>
      </c>
      <c r="Y82" s="145" t="s">
        <v>3930</v>
      </c>
      <c r="Z82" s="144">
        <v>12100</v>
      </c>
      <c r="AA82" s="145" t="s">
        <v>3930</v>
      </c>
      <c r="AB82" s="143" t="s">
        <v>1480</v>
      </c>
      <c r="AC82" s="145" t="s">
        <v>3930</v>
      </c>
      <c r="AD82" s="144">
        <v>12.4594</v>
      </c>
      <c r="AE82" s="145" t="s">
        <v>3930</v>
      </c>
      <c r="AF82" s="145" t="s">
        <v>3930</v>
      </c>
      <c r="AG82" s="145" t="s">
        <v>3930</v>
      </c>
      <c r="AH82" s="146">
        <v>2.4572254918664819E-6</v>
      </c>
      <c r="AI82" s="146">
        <v>4.0580264190752259E-2</v>
      </c>
      <c r="AJ82" s="147">
        <v>3.5540261315871553E-3</v>
      </c>
      <c r="AK82" s="177"/>
    </row>
    <row r="83" spans="1:37" ht="15" x14ac:dyDescent="0.2">
      <c r="A83" s="142" t="s">
        <v>1205</v>
      </c>
      <c r="B83" s="143" t="s">
        <v>1215</v>
      </c>
      <c r="C83" s="143" t="s">
        <v>1493</v>
      </c>
      <c r="D83" s="143" t="s">
        <v>1494</v>
      </c>
      <c r="E83" s="143" t="s">
        <v>309</v>
      </c>
      <c r="F83" s="143" t="s">
        <v>1495</v>
      </c>
      <c r="G83" s="143" t="s">
        <v>1496</v>
      </c>
      <c r="H83" s="143" t="s">
        <v>321</v>
      </c>
      <c r="I83" s="143" t="s">
        <v>754</v>
      </c>
      <c r="J83" s="143" t="s">
        <v>204</v>
      </c>
      <c r="K83" s="143" t="s">
        <v>204</v>
      </c>
      <c r="L83" s="143" t="s">
        <v>325</v>
      </c>
      <c r="M83" s="143" t="s">
        <v>340</v>
      </c>
      <c r="N83" s="143" t="s">
        <v>448</v>
      </c>
      <c r="O83" s="143" t="s">
        <v>339</v>
      </c>
      <c r="P83" s="143" t="s">
        <v>1303</v>
      </c>
      <c r="Q83" s="143" t="s">
        <v>413</v>
      </c>
      <c r="R83" s="143" t="s">
        <v>407</v>
      </c>
      <c r="S83" s="143" t="s">
        <v>1210</v>
      </c>
      <c r="T83" s="144">
        <v>5.14</v>
      </c>
      <c r="U83" s="143" t="s">
        <v>1497</v>
      </c>
      <c r="V83" s="146">
        <v>1E-3</v>
      </c>
      <c r="W83" s="146">
        <v>2.6318999999999999E-2</v>
      </c>
      <c r="X83" s="143" t="s">
        <v>412</v>
      </c>
      <c r="Y83" s="145" t="s">
        <v>3930</v>
      </c>
      <c r="Z83" s="144">
        <v>11600</v>
      </c>
      <c r="AA83" s="145" t="s">
        <v>3930</v>
      </c>
      <c r="AB83" s="143" t="s">
        <v>1498</v>
      </c>
      <c r="AC83" s="145" t="s">
        <v>3930</v>
      </c>
      <c r="AD83" s="144">
        <v>11.4956</v>
      </c>
      <c r="AE83" s="145" t="s">
        <v>3930</v>
      </c>
      <c r="AF83" s="145" t="s">
        <v>3930</v>
      </c>
      <c r="AG83" s="145" t="s">
        <v>3930</v>
      </c>
      <c r="AH83" s="146">
        <v>4.6645710946984335E-6</v>
      </c>
      <c r="AI83" s="146">
        <v>3.7441257867068048E-2</v>
      </c>
      <c r="AJ83" s="147">
        <v>3.2791114477115054E-3</v>
      </c>
      <c r="AK83" s="177"/>
    </row>
    <row r="84" spans="1:37" ht="15" x14ac:dyDescent="0.2">
      <c r="A84" s="142" t="s">
        <v>1205</v>
      </c>
      <c r="B84" s="143" t="s">
        <v>1215</v>
      </c>
      <c r="C84" s="143" t="s">
        <v>1575</v>
      </c>
      <c r="D84" s="143" t="s">
        <v>1576</v>
      </c>
      <c r="E84" s="143" t="s">
        <v>309</v>
      </c>
      <c r="F84" s="143" t="s">
        <v>1702</v>
      </c>
      <c r="G84" s="143" t="s">
        <v>1703</v>
      </c>
      <c r="H84" s="143" t="s">
        <v>321</v>
      </c>
      <c r="I84" s="143" t="s">
        <v>754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464</v>
      </c>
      <c r="O84" s="143" t="s">
        <v>339</v>
      </c>
      <c r="P84" s="143" t="s">
        <v>1425</v>
      </c>
      <c r="Q84" s="143" t="s">
        <v>415</v>
      </c>
      <c r="R84" s="143" t="s">
        <v>407</v>
      </c>
      <c r="S84" s="143" t="s">
        <v>1210</v>
      </c>
      <c r="T84" s="144">
        <v>4.47</v>
      </c>
      <c r="U84" s="143" t="s">
        <v>1704</v>
      </c>
      <c r="V84" s="146">
        <v>1.17E-2</v>
      </c>
      <c r="W84" s="146">
        <v>3.1536000000000002E-2</v>
      </c>
      <c r="X84" s="143" t="s">
        <v>412</v>
      </c>
      <c r="Y84" s="145" t="s">
        <v>3930</v>
      </c>
      <c r="Z84" s="144">
        <v>10873.42</v>
      </c>
      <c r="AA84" s="145" t="s">
        <v>3930</v>
      </c>
      <c r="AB84" s="143" t="s">
        <v>1705</v>
      </c>
      <c r="AC84" s="145" t="s">
        <v>3930</v>
      </c>
      <c r="AD84" s="144">
        <v>11.448600000000001</v>
      </c>
      <c r="AE84" s="145" t="s">
        <v>3930</v>
      </c>
      <c r="AF84" s="145" t="s">
        <v>3930</v>
      </c>
      <c r="AG84" s="145" t="s">
        <v>3930</v>
      </c>
      <c r="AH84" s="146">
        <v>1.5791271762154787E-5</v>
      </c>
      <c r="AI84" s="146">
        <v>3.7288256405661378E-2</v>
      </c>
      <c r="AJ84" s="147">
        <v>3.2657115548607768E-3</v>
      </c>
      <c r="AK84" s="177"/>
    </row>
    <row r="85" spans="1:37" ht="15" x14ac:dyDescent="0.2">
      <c r="A85" s="142" t="s">
        <v>1205</v>
      </c>
      <c r="B85" s="143" t="s">
        <v>1215</v>
      </c>
      <c r="C85" s="143" t="s">
        <v>1706</v>
      </c>
      <c r="D85" s="143" t="s">
        <v>1707</v>
      </c>
      <c r="E85" s="143" t="s">
        <v>309</v>
      </c>
      <c r="F85" s="143" t="s">
        <v>1708</v>
      </c>
      <c r="G85" s="143" t="s">
        <v>1709</v>
      </c>
      <c r="H85" s="143" t="s">
        <v>321</v>
      </c>
      <c r="I85" s="143" t="s">
        <v>754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464</v>
      </c>
      <c r="O85" s="143" t="s">
        <v>339</v>
      </c>
      <c r="P85" s="143" t="s">
        <v>1478</v>
      </c>
      <c r="Q85" s="143" t="s">
        <v>415</v>
      </c>
      <c r="R85" s="143" t="s">
        <v>407</v>
      </c>
      <c r="S85" s="143" t="s">
        <v>1210</v>
      </c>
      <c r="T85" s="144">
        <v>5.47</v>
      </c>
      <c r="U85" s="143" t="s">
        <v>1710</v>
      </c>
      <c r="V85" s="146">
        <v>2.4799999999999999E-2</v>
      </c>
      <c r="W85" s="146">
        <v>3.1758000000000002E-2</v>
      </c>
      <c r="X85" s="143" t="s">
        <v>412</v>
      </c>
      <c r="Y85" s="145" t="s">
        <v>3930</v>
      </c>
      <c r="Z85" s="144">
        <v>10160</v>
      </c>
      <c r="AA85" s="145" t="s">
        <v>3930</v>
      </c>
      <c r="AB85" s="143" t="s">
        <v>1711</v>
      </c>
      <c r="AC85" s="145" t="s">
        <v>3930</v>
      </c>
      <c r="AD85" s="144">
        <v>11.366</v>
      </c>
      <c r="AE85" s="145" t="s">
        <v>3930</v>
      </c>
      <c r="AF85" s="145" t="s">
        <v>3930</v>
      </c>
      <c r="AG85" s="145" t="s">
        <v>3930</v>
      </c>
      <c r="AH85" s="146">
        <v>3.0839371192506276E-6</v>
      </c>
      <c r="AI85" s="146">
        <v>3.7019123611384576E-2</v>
      </c>
      <c r="AJ85" s="147">
        <v>3.2421408610074629E-3</v>
      </c>
      <c r="AK85" s="177"/>
    </row>
    <row r="86" spans="1:37" ht="15" x14ac:dyDescent="0.2">
      <c r="A86" s="142" t="s">
        <v>1205</v>
      </c>
      <c r="B86" s="143" t="s">
        <v>1215</v>
      </c>
      <c r="C86" s="143" t="s">
        <v>1522</v>
      </c>
      <c r="D86" s="143" t="s">
        <v>1523</v>
      </c>
      <c r="E86" s="143" t="s">
        <v>309</v>
      </c>
      <c r="F86" s="143" t="s">
        <v>1561</v>
      </c>
      <c r="G86" s="143" t="s">
        <v>1562</v>
      </c>
      <c r="H86" s="143" t="s">
        <v>321</v>
      </c>
      <c r="I86" s="143" t="s">
        <v>754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448</v>
      </c>
      <c r="O86" s="143" t="s">
        <v>339</v>
      </c>
      <c r="P86" s="143" t="s">
        <v>1356</v>
      </c>
      <c r="Q86" s="143" t="s">
        <v>413</v>
      </c>
      <c r="R86" s="143" t="s">
        <v>407</v>
      </c>
      <c r="S86" s="143" t="s">
        <v>1210</v>
      </c>
      <c r="T86" s="144">
        <v>4.5</v>
      </c>
      <c r="U86" s="143" t="s">
        <v>1563</v>
      </c>
      <c r="V86" s="146">
        <v>2.5899999999999999E-2</v>
      </c>
      <c r="W86" s="146">
        <v>2.6100000000000002E-2</v>
      </c>
      <c r="X86" s="143" t="s">
        <v>412</v>
      </c>
      <c r="Y86" s="145" t="s">
        <v>3930</v>
      </c>
      <c r="Z86" s="144">
        <v>10000</v>
      </c>
      <c r="AA86" s="145" t="s">
        <v>3930</v>
      </c>
      <c r="AB86" s="143" t="s">
        <v>1564</v>
      </c>
      <c r="AC86" s="145" t="s">
        <v>3930</v>
      </c>
      <c r="AD86" s="144">
        <v>10.513</v>
      </c>
      <c r="AE86" s="145" t="s">
        <v>3930</v>
      </c>
      <c r="AF86" s="145" t="s">
        <v>3930</v>
      </c>
      <c r="AG86" s="145" t="s">
        <v>3930</v>
      </c>
      <c r="AH86" s="146">
        <v>2.2222222222222223E-5</v>
      </c>
      <c r="AI86" s="146">
        <v>3.4240922088145588E-2</v>
      </c>
      <c r="AJ86" s="147">
        <v>2.9988255201808568E-3</v>
      </c>
      <c r="AK86" s="177"/>
    </row>
    <row r="87" spans="1:37" ht="15" x14ac:dyDescent="0.2">
      <c r="A87" s="142" t="s">
        <v>1205</v>
      </c>
      <c r="B87" s="143" t="s">
        <v>1215</v>
      </c>
      <c r="C87" s="143" t="s">
        <v>1541</v>
      </c>
      <c r="D87" s="143" t="s">
        <v>1542</v>
      </c>
      <c r="E87" s="143" t="s">
        <v>309</v>
      </c>
      <c r="F87" s="143" t="s">
        <v>1712</v>
      </c>
      <c r="G87" s="143" t="s">
        <v>1713</v>
      </c>
      <c r="H87" s="143" t="s">
        <v>321</v>
      </c>
      <c r="I87" s="143" t="s">
        <v>754</v>
      </c>
      <c r="J87" s="143" t="s">
        <v>204</v>
      </c>
      <c r="K87" s="143" t="s">
        <v>293</v>
      </c>
      <c r="L87" s="143" t="s">
        <v>325</v>
      </c>
      <c r="M87" s="143" t="s">
        <v>340</v>
      </c>
      <c r="N87" s="143" t="s">
        <v>465</v>
      </c>
      <c r="O87" s="143" t="s">
        <v>339</v>
      </c>
      <c r="P87" s="143" t="s">
        <v>1444</v>
      </c>
      <c r="Q87" s="143" t="s">
        <v>415</v>
      </c>
      <c r="R87" s="143" t="s">
        <v>407</v>
      </c>
      <c r="S87" s="143" t="s">
        <v>1210</v>
      </c>
      <c r="T87" s="144">
        <v>5.16</v>
      </c>
      <c r="U87" s="143" t="s">
        <v>1700</v>
      </c>
      <c r="V87" s="146">
        <v>1.54E-2</v>
      </c>
      <c r="W87" s="146">
        <v>3.6589000000000003E-2</v>
      </c>
      <c r="X87" s="143" t="s">
        <v>412</v>
      </c>
      <c r="Y87" s="145" t="s">
        <v>3930</v>
      </c>
      <c r="Z87" s="144">
        <v>10000</v>
      </c>
      <c r="AA87" s="145" t="s">
        <v>3930</v>
      </c>
      <c r="AB87" s="143" t="s">
        <v>1714</v>
      </c>
      <c r="AC87" s="145" t="s">
        <v>3930</v>
      </c>
      <c r="AD87" s="144">
        <v>10.074</v>
      </c>
      <c r="AE87" s="145" t="s">
        <v>3930</v>
      </c>
      <c r="AF87" s="145" t="s">
        <v>3930</v>
      </c>
      <c r="AG87" s="145" t="s">
        <v>3930</v>
      </c>
      <c r="AH87" s="146">
        <v>1.6766117688086498E-5</v>
      </c>
      <c r="AI87" s="146">
        <v>3.2811095702081107E-2</v>
      </c>
      <c r="AJ87" s="147">
        <v>2.8736010929612814E-3</v>
      </c>
      <c r="AK87" s="177"/>
    </row>
    <row r="88" spans="1:37" ht="15" x14ac:dyDescent="0.2">
      <c r="A88" s="142" t="s">
        <v>1205</v>
      </c>
      <c r="B88" s="143" t="s">
        <v>1215</v>
      </c>
      <c r="C88" s="143" t="s">
        <v>1358</v>
      </c>
      <c r="D88" s="143" t="s">
        <v>1359</v>
      </c>
      <c r="E88" s="143" t="s">
        <v>309</v>
      </c>
      <c r="F88" s="143" t="s">
        <v>1489</v>
      </c>
      <c r="G88" s="143" t="s">
        <v>1490</v>
      </c>
      <c r="H88" s="143" t="s">
        <v>321</v>
      </c>
      <c r="I88" s="143" t="s">
        <v>754</v>
      </c>
      <c r="J88" s="143" t="s">
        <v>204</v>
      </c>
      <c r="K88" s="143" t="s">
        <v>204</v>
      </c>
      <c r="L88" s="143" t="s">
        <v>325</v>
      </c>
      <c r="M88" s="143" t="s">
        <v>340</v>
      </c>
      <c r="N88" s="143" t="s">
        <v>448</v>
      </c>
      <c r="O88" s="143" t="s">
        <v>339</v>
      </c>
      <c r="P88" s="143" t="s">
        <v>1303</v>
      </c>
      <c r="Q88" s="143" t="s">
        <v>413</v>
      </c>
      <c r="R88" s="143" t="s">
        <v>407</v>
      </c>
      <c r="S88" s="143" t="s">
        <v>1210</v>
      </c>
      <c r="T88" s="144">
        <v>2.96</v>
      </c>
      <c r="U88" s="143" t="s">
        <v>1491</v>
      </c>
      <c r="V88" s="146">
        <v>1.2200000000000001E-2</v>
      </c>
      <c r="W88" s="146">
        <v>2.2668000000000001E-2</v>
      </c>
      <c r="X88" s="143" t="s">
        <v>412</v>
      </c>
      <c r="Y88" s="145" t="s">
        <v>3930</v>
      </c>
      <c r="Z88" s="144">
        <v>7500</v>
      </c>
      <c r="AA88" s="145" t="s">
        <v>3930</v>
      </c>
      <c r="AB88" s="143" t="s">
        <v>1492</v>
      </c>
      <c r="AC88" s="145" t="s">
        <v>3930</v>
      </c>
      <c r="AD88" s="144">
        <v>8.4779999999999998</v>
      </c>
      <c r="AE88" s="145" t="s">
        <v>3930</v>
      </c>
      <c r="AF88" s="145" t="s">
        <v>3930</v>
      </c>
      <c r="AG88" s="145" t="s">
        <v>3930</v>
      </c>
      <c r="AH88" s="146">
        <v>2.4870573535322184E-6</v>
      </c>
      <c r="AI88" s="146">
        <v>2.7612911391924122E-2</v>
      </c>
      <c r="AJ88" s="147">
        <v>2.4183432664409117E-3</v>
      </c>
      <c r="AK88" s="177"/>
    </row>
    <row r="89" spans="1:37" ht="15" x14ac:dyDescent="0.2">
      <c r="A89" s="142" t="s">
        <v>1205</v>
      </c>
      <c r="B89" s="143" t="s">
        <v>1215</v>
      </c>
      <c r="C89" s="143" t="s">
        <v>1371</v>
      </c>
      <c r="D89" s="143" t="s">
        <v>1372</v>
      </c>
      <c r="E89" s="143" t="s">
        <v>309</v>
      </c>
      <c r="F89" s="143" t="s">
        <v>1715</v>
      </c>
      <c r="G89" s="143" t="s">
        <v>1716</v>
      </c>
      <c r="H89" s="143" t="s">
        <v>321</v>
      </c>
      <c r="I89" s="143" t="s">
        <v>754</v>
      </c>
      <c r="J89" s="143" t="s">
        <v>204</v>
      </c>
      <c r="K89" s="143" t="s">
        <v>204</v>
      </c>
      <c r="L89" s="143" t="s">
        <v>325</v>
      </c>
      <c r="M89" s="143" t="s">
        <v>340</v>
      </c>
      <c r="N89" s="143" t="s">
        <v>440</v>
      </c>
      <c r="O89" s="143" t="s">
        <v>339</v>
      </c>
      <c r="P89" s="143" t="s">
        <v>1375</v>
      </c>
      <c r="Q89" s="143" t="s">
        <v>413</v>
      </c>
      <c r="R89" s="143" t="s">
        <v>407</v>
      </c>
      <c r="S89" s="143" t="s">
        <v>1210</v>
      </c>
      <c r="T89" s="144">
        <v>3.02</v>
      </c>
      <c r="U89" s="143" t="s">
        <v>1717</v>
      </c>
      <c r="V89" s="146">
        <v>2.75E-2</v>
      </c>
      <c r="W89" s="146">
        <v>3.1179999999999999E-2</v>
      </c>
      <c r="X89" s="143" t="s">
        <v>412</v>
      </c>
      <c r="Y89" s="145" t="s">
        <v>3930</v>
      </c>
      <c r="Z89" s="144">
        <v>7307.52</v>
      </c>
      <c r="AA89" s="145" t="s">
        <v>3930</v>
      </c>
      <c r="AB89" s="143" t="s">
        <v>1718</v>
      </c>
      <c r="AC89" s="145" t="s">
        <v>3930</v>
      </c>
      <c r="AD89" s="144">
        <v>8.3049999999999997</v>
      </c>
      <c r="AE89" s="145" t="s">
        <v>3930</v>
      </c>
      <c r="AF89" s="145" t="s">
        <v>3930</v>
      </c>
      <c r="AG89" s="145" t="s">
        <v>3930</v>
      </c>
      <c r="AH89" s="146">
        <v>9.2137459003986396E-6</v>
      </c>
      <c r="AI89" s="146">
        <v>2.704943759288532E-2</v>
      </c>
      <c r="AJ89" s="147">
        <v>2.3689941395639859E-3</v>
      </c>
      <c r="AK89" s="177"/>
    </row>
    <row r="90" spans="1:37" ht="15" x14ac:dyDescent="0.2">
      <c r="A90" s="142" t="s">
        <v>1205</v>
      </c>
      <c r="B90" s="143" t="s">
        <v>1215</v>
      </c>
      <c r="C90" s="143" t="s">
        <v>1474</v>
      </c>
      <c r="D90" s="143" t="s">
        <v>1475</v>
      </c>
      <c r="E90" s="143" t="s">
        <v>313</v>
      </c>
      <c r="F90" s="143" t="s">
        <v>1481</v>
      </c>
      <c r="G90" s="143" t="s">
        <v>1482</v>
      </c>
      <c r="H90" s="143" t="s">
        <v>321</v>
      </c>
      <c r="I90" s="143" t="s">
        <v>754</v>
      </c>
      <c r="J90" s="143" t="s">
        <v>204</v>
      </c>
      <c r="K90" s="143" t="s">
        <v>204</v>
      </c>
      <c r="L90" s="143" t="s">
        <v>325</v>
      </c>
      <c r="M90" s="143" t="s">
        <v>340</v>
      </c>
      <c r="N90" s="143" t="s">
        <v>440</v>
      </c>
      <c r="O90" s="143" t="s">
        <v>339</v>
      </c>
      <c r="P90" s="143" t="s">
        <v>1478</v>
      </c>
      <c r="Q90" s="143" t="s">
        <v>415</v>
      </c>
      <c r="R90" s="143" t="s">
        <v>407</v>
      </c>
      <c r="S90" s="143" t="s">
        <v>1210</v>
      </c>
      <c r="T90" s="144">
        <v>7.64</v>
      </c>
      <c r="U90" s="143" t="s">
        <v>1483</v>
      </c>
      <c r="V90" s="146">
        <v>0.03</v>
      </c>
      <c r="W90" s="146">
        <v>3.2599000000000003E-2</v>
      </c>
      <c r="X90" s="143" t="s">
        <v>412</v>
      </c>
      <c r="Y90" s="145" t="s">
        <v>3930</v>
      </c>
      <c r="Z90" s="144">
        <v>7000</v>
      </c>
      <c r="AA90" s="145" t="s">
        <v>3930</v>
      </c>
      <c r="AB90" s="143" t="s">
        <v>1484</v>
      </c>
      <c r="AC90" s="145" t="s">
        <v>3930</v>
      </c>
      <c r="AD90" s="144">
        <v>7.2596999999999996</v>
      </c>
      <c r="AE90" s="145" t="s">
        <v>3930</v>
      </c>
      <c r="AF90" s="145" t="s">
        <v>3930</v>
      </c>
      <c r="AG90" s="145" t="s">
        <v>3930</v>
      </c>
      <c r="AH90" s="146">
        <v>1.7157686986923881E-6</v>
      </c>
      <c r="AI90" s="146">
        <v>2.3644898895016694E-2</v>
      </c>
      <c r="AJ90" s="147">
        <v>2.0708240872117346E-3</v>
      </c>
      <c r="AK90" s="177"/>
    </row>
    <row r="91" spans="1:37" ht="15" x14ac:dyDescent="0.2">
      <c r="A91" s="142" t="s">
        <v>1205</v>
      </c>
      <c r="B91" s="143" t="s">
        <v>1215</v>
      </c>
      <c r="C91" s="143" t="s">
        <v>1358</v>
      </c>
      <c r="D91" s="143" t="s">
        <v>1359</v>
      </c>
      <c r="E91" s="143" t="s">
        <v>309</v>
      </c>
      <c r="F91" s="143" t="s">
        <v>1594</v>
      </c>
      <c r="G91" s="143" t="s">
        <v>1595</v>
      </c>
      <c r="H91" s="143" t="s">
        <v>321</v>
      </c>
      <c r="I91" s="143" t="s">
        <v>754</v>
      </c>
      <c r="J91" s="143" t="s">
        <v>204</v>
      </c>
      <c r="K91" s="143" t="s">
        <v>204</v>
      </c>
      <c r="L91" s="143" t="s">
        <v>325</v>
      </c>
      <c r="M91" s="143" t="s">
        <v>340</v>
      </c>
      <c r="N91" s="143" t="s">
        <v>448</v>
      </c>
      <c r="O91" s="143" t="s">
        <v>339</v>
      </c>
      <c r="P91" s="143" t="s">
        <v>1303</v>
      </c>
      <c r="Q91" s="143" t="s">
        <v>413</v>
      </c>
      <c r="R91" s="143" t="s">
        <v>407</v>
      </c>
      <c r="S91" s="143" t="s">
        <v>1210</v>
      </c>
      <c r="T91" s="144">
        <v>4.38</v>
      </c>
      <c r="U91" s="143" t="s">
        <v>1596</v>
      </c>
      <c r="V91" s="146">
        <v>1.9900000000000001E-2</v>
      </c>
      <c r="W91" s="146">
        <v>2.5611999999999999E-2</v>
      </c>
      <c r="X91" s="143" t="s">
        <v>412</v>
      </c>
      <c r="Y91" s="145" t="s">
        <v>3930</v>
      </c>
      <c r="Z91" s="144">
        <v>7000</v>
      </c>
      <c r="AA91" s="145" t="s">
        <v>3930</v>
      </c>
      <c r="AB91" s="143" t="s">
        <v>1597</v>
      </c>
      <c r="AC91" s="145" t="s">
        <v>3930</v>
      </c>
      <c r="AD91" s="144">
        <v>7.1749999999999998</v>
      </c>
      <c r="AE91" s="145" t="s">
        <v>3930</v>
      </c>
      <c r="AF91" s="145" t="s">
        <v>3930</v>
      </c>
      <c r="AG91" s="145" t="s">
        <v>3930</v>
      </c>
      <c r="AH91" s="146">
        <v>2.5925925925925925E-6</v>
      </c>
      <c r="AI91" s="146">
        <v>2.3369030341714503E-2</v>
      </c>
      <c r="AJ91" s="147">
        <v>2.0466634744885043E-3</v>
      </c>
      <c r="AK91" s="177"/>
    </row>
    <row r="92" spans="1:37" ht="15" x14ac:dyDescent="0.2">
      <c r="A92" s="142" t="s">
        <v>1205</v>
      </c>
      <c r="B92" s="143" t="s">
        <v>1215</v>
      </c>
      <c r="C92" s="143" t="s">
        <v>1493</v>
      </c>
      <c r="D92" s="143" t="s">
        <v>1494</v>
      </c>
      <c r="E92" s="143" t="s">
        <v>309</v>
      </c>
      <c r="F92" s="143" t="s">
        <v>1528</v>
      </c>
      <c r="G92" s="143" t="s">
        <v>1529</v>
      </c>
      <c r="H92" s="143" t="s">
        <v>321</v>
      </c>
      <c r="I92" s="143" t="s">
        <v>754</v>
      </c>
      <c r="J92" s="143" t="s">
        <v>204</v>
      </c>
      <c r="K92" s="143" t="s">
        <v>204</v>
      </c>
      <c r="L92" s="143" t="s">
        <v>325</v>
      </c>
      <c r="M92" s="143" t="s">
        <v>340</v>
      </c>
      <c r="N92" s="143" t="s">
        <v>448</v>
      </c>
      <c r="O92" s="143" t="s">
        <v>339</v>
      </c>
      <c r="P92" s="143" t="s">
        <v>1303</v>
      </c>
      <c r="Q92" s="143" t="s">
        <v>413</v>
      </c>
      <c r="R92" s="143" t="s">
        <v>407</v>
      </c>
      <c r="S92" s="143" t="s">
        <v>1210</v>
      </c>
      <c r="T92" s="144">
        <v>5.04</v>
      </c>
      <c r="U92" s="143" t="s">
        <v>1530</v>
      </c>
      <c r="V92" s="146">
        <v>2.0251999999999999E-2</v>
      </c>
      <c r="W92" s="146">
        <v>2.6082999999999999E-2</v>
      </c>
      <c r="X92" s="143" t="s">
        <v>412</v>
      </c>
      <c r="Y92" s="145" t="s">
        <v>3930</v>
      </c>
      <c r="Z92" s="144">
        <v>7000</v>
      </c>
      <c r="AA92" s="145" t="s">
        <v>3930</v>
      </c>
      <c r="AB92" s="143" t="s">
        <v>1531</v>
      </c>
      <c r="AC92" s="145" t="s">
        <v>3930</v>
      </c>
      <c r="AD92" s="144">
        <v>7.0945</v>
      </c>
      <c r="AE92" s="145" t="s">
        <v>3930</v>
      </c>
      <c r="AF92" s="145" t="s">
        <v>3930</v>
      </c>
      <c r="AG92" s="145" t="s">
        <v>3930</v>
      </c>
      <c r="AH92" s="146">
        <v>1.9618746104277561E-6</v>
      </c>
      <c r="AI92" s="146">
        <v>2.3106841220807462E-2</v>
      </c>
      <c r="AJ92" s="147">
        <v>2.0237009086771702E-3</v>
      </c>
      <c r="AK92" s="177"/>
    </row>
    <row r="93" spans="1:37" ht="15" x14ac:dyDescent="0.2">
      <c r="A93" s="142" t="s">
        <v>1205</v>
      </c>
      <c r="B93" s="143" t="s">
        <v>1215</v>
      </c>
      <c r="C93" s="143" t="s">
        <v>1364</v>
      </c>
      <c r="D93" s="143" t="s">
        <v>1365</v>
      </c>
      <c r="E93" s="143" t="s">
        <v>309</v>
      </c>
      <c r="F93" s="143" t="s">
        <v>1598</v>
      </c>
      <c r="G93" s="143" t="s">
        <v>1599</v>
      </c>
      <c r="H93" s="143" t="s">
        <v>321</v>
      </c>
      <c r="I93" s="143" t="s">
        <v>754</v>
      </c>
      <c r="J93" s="143" t="s">
        <v>204</v>
      </c>
      <c r="K93" s="143" t="s">
        <v>204</v>
      </c>
      <c r="L93" s="143" t="s">
        <v>325</v>
      </c>
      <c r="M93" s="143" t="s">
        <v>340</v>
      </c>
      <c r="N93" s="143" t="s">
        <v>445</v>
      </c>
      <c r="O93" s="143" t="s">
        <v>339</v>
      </c>
      <c r="P93" s="143" t="s">
        <v>1368</v>
      </c>
      <c r="Q93" s="143" t="s">
        <v>415</v>
      </c>
      <c r="R93" s="143" t="s">
        <v>407</v>
      </c>
      <c r="S93" s="143" t="s">
        <v>1210</v>
      </c>
      <c r="T93" s="144">
        <v>5.05</v>
      </c>
      <c r="U93" s="143" t="s">
        <v>1600</v>
      </c>
      <c r="V93" s="146">
        <v>4.6899999999999997E-2</v>
      </c>
      <c r="W93" s="146">
        <v>5.6607999999999999E-2</v>
      </c>
      <c r="X93" s="143" t="s">
        <v>412</v>
      </c>
      <c r="Y93" s="145" t="s">
        <v>3930</v>
      </c>
      <c r="Z93" s="144">
        <v>7000</v>
      </c>
      <c r="AA93" s="145" t="s">
        <v>3930</v>
      </c>
      <c r="AB93" s="143" t="s">
        <v>1601</v>
      </c>
      <c r="AC93" s="145" t="s">
        <v>3930</v>
      </c>
      <c r="AD93" s="144">
        <v>6.7101999999999995</v>
      </c>
      <c r="AE93" s="145" t="s">
        <v>3930</v>
      </c>
      <c r="AF93" s="145" t="s">
        <v>3930</v>
      </c>
      <c r="AG93" s="145" t="s">
        <v>3930</v>
      </c>
      <c r="AH93" s="146">
        <v>1.4E-5</v>
      </c>
      <c r="AI93" s="146">
        <v>2.1855173156651243E-2</v>
      </c>
      <c r="AJ93" s="147">
        <v>1.9140796162387126E-3</v>
      </c>
      <c r="AK93" s="177"/>
    </row>
    <row r="94" spans="1:37" ht="15" x14ac:dyDescent="0.2">
      <c r="A94" s="142" t="s">
        <v>1205</v>
      </c>
      <c r="B94" s="143" t="s">
        <v>1215</v>
      </c>
      <c r="C94" s="143" t="s">
        <v>1706</v>
      </c>
      <c r="D94" s="143" t="s">
        <v>1707</v>
      </c>
      <c r="E94" s="143" t="s">
        <v>309</v>
      </c>
      <c r="F94" s="143" t="s">
        <v>1719</v>
      </c>
      <c r="G94" s="143" t="s">
        <v>1720</v>
      </c>
      <c r="H94" s="143" t="s">
        <v>321</v>
      </c>
      <c r="I94" s="143" t="s">
        <v>754</v>
      </c>
      <c r="J94" s="143" t="s">
        <v>204</v>
      </c>
      <c r="K94" s="143" t="s">
        <v>204</v>
      </c>
      <c r="L94" s="143" t="s">
        <v>325</v>
      </c>
      <c r="M94" s="143" t="s">
        <v>340</v>
      </c>
      <c r="N94" s="143" t="s">
        <v>464</v>
      </c>
      <c r="O94" s="143" t="s">
        <v>339</v>
      </c>
      <c r="P94" s="143" t="s">
        <v>1721</v>
      </c>
      <c r="Q94" s="143" t="s">
        <v>413</v>
      </c>
      <c r="R94" s="143" t="s">
        <v>407</v>
      </c>
      <c r="S94" s="143" t="s">
        <v>1210</v>
      </c>
      <c r="T94" s="144">
        <v>10.34</v>
      </c>
      <c r="U94" s="143" t="s">
        <v>1722</v>
      </c>
      <c r="V94" s="146">
        <v>1.6899999999999998E-2</v>
      </c>
      <c r="W94" s="146">
        <v>3.6212000000000001E-2</v>
      </c>
      <c r="X94" s="143" t="s">
        <v>412</v>
      </c>
      <c r="Y94" s="145" t="s">
        <v>3930</v>
      </c>
      <c r="Z94" s="144">
        <v>6754</v>
      </c>
      <c r="AA94" s="145" t="s">
        <v>3930</v>
      </c>
      <c r="AB94" s="143" t="s">
        <v>1723</v>
      </c>
      <c r="AC94" s="145" t="s">
        <v>3930</v>
      </c>
      <c r="AD94" s="144">
        <v>6.3224</v>
      </c>
      <c r="AE94" s="145" t="s">
        <v>3930</v>
      </c>
      <c r="AF94" s="145" t="s">
        <v>3930</v>
      </c>
      <c r="AG94" s="145" t="s">
        <v>3930</v>
      </c>
      <c r="AH94" s="146">
        <v>1.5480316115664595E-6</v>
      </c>
      <c r="AI94" s="146">
        <v>2.0592168751448699E-2</v>
      </c>
      <c r="AJ94" s="147">
        <v>1.8034654852094113E-3</v>
      </c>
      <c r="AK94" s="177"/>
    </row>
    <row r="95" spans="1:37" ht="15" x14ac:dyDescent="0.2">
      <c r="A95" s="142" t="s">
        <v>1205</v>
      </c>
      <c r="B95" s="143" t="s">
        <v>1215</v>
      </c>
      <c r="C95" s="143" t="s">
        <v>1706</v>
      </c>
      <c r="D95" s="143" t="s">
        <v>1707</v>
      </c>
      <c r="E95" s="143" t="s">
        <v>309</v>
      </c>
      <c r="F95" s="143" t="s">
        <v>1724</v>
      </c>
      <c r="G95" s="143" t="s">
        <v>1725</v>
      </c>
      <c r="H95" s="143" t="s">
        <v>321</v>
      </c>
      <c r="I95" s="143" t="s">
        <v>754</v>
      </c>
      <c r="J95" s="143" t="s">
        <v>204</v>
      </c>
      <c r="K95" s="143" t="s">
        <v>204</v>
      </c>
      <c r="L95" s="143" t="s">
        <v>325</v>
      </c>
      <c r="M95" s="143" t="s">
        <v>340</v>
      </c>
      <c r="N95" s="143" t="s">
        <v>464</v>
      </c>
      <c r="O95" s="143" t="s">
        <v>339</v>
      </c>
      <c r="P95" s="143" t="s">
        <v>1478</v>
      </c>
      <c r="Q95" s="143" t="s">
        <v>415</v>
      </c>
      <c r="R95" s="143" t="s">
        <v>407</v>
      </c>
      <c r="S95" s="143" t="s">
        <v>1210</v>
      </c>
      <c r="T95" s="144">
        <v>2.89</v>
      </c>
      <c r="U95" s="143" t="s">
        <v>1690</v>
      </c>
      <c r="V95" s="146">
        <v>1.34E-2</v>
      </c>
      <c r="W95" s="146">
        <v>2.8036999999999999E-2</v>
      </c>
      <c r="X95" s="143" t="s">
        <v>412</v>
      </c>
      <c r="Y95" s="145" t="s">
        <v>3930</v>
      </c>
      <c r="Z95" s="144">
        <v>4992.67</v>
      </c>
      <c r="AA95" s="145" t="s">
        <v>3930</v>
      </c>
      <c r="AB95" s="143" t="s">
        <v>1726</v>
      </c>
      <c r="AC95" s="145" t="s">
        <v>3930</v>
      </c>
      <c r="AD95" s="144">
        <v>5.6108000000000002</v>
      </c>
      <c r="AE95" s="145" t="s">
        <v>3930</v>
      </c>
      <c r="AF95" s="145" t="s">
        <v>3930</v>
      </c>
      <c r="AG95" s="145" t="s">
        <v>3930</v>
      </c>
      <c r="AH95" s="146">
        <v>1.8835540183249935E-6</v>
      </c>
      <c r="AI95" s="146">
        <v>1.8274296888868197E-2</v>
      </c>
      <c r="AJ95" s="147">
        <v>1.6004658908608121E-3</v>
      </c>
      <c r="AK95" s="177"/>
    </row>
    <row r="96" spans="1:37" ht="15" x14ac:dyDescent="0.2">
      <c r="A96" s="142" t="s">
        <v>1205</v>
      </c>
      <c r="B96" s="143" t="s">
        <v>1215</v>
      </c>
      <c r="C96" s="143" t="s">
        <v>1474</v>
      </c>
      <c r="D96" s="143" t="s">
        <v>1475</v>
      </c>
      <c r="E96" s="143" t="s">
        <v>313</v>
      </c>
      <c r="F96" s="143" t="s">
        <v>1547</v>
      </c>
      <c r="G96" s="143" t="s">
        <v>1548</v>
      </c>
      <c r="H96" s="143" t="s">
        <v>321</v>
      </c>
      <c r="I96" s="143" t="s">
        <v>754</v>
      </c>
      <c r="J96" s="143" t="s">
        <v>204</v>
      </c>
      <c r="K96" s="143" t="s">
        <v>204</v>
      </c>
      <c r="L96" s="143" t="s">
        <v>325</v>
      </c>
      <c r="M96" s="143" t="s">
        <v>340</v>
      </c>
      <c r="N96" s="143" t="s">
        <v>440</v>
      </c>
      <c r="O96" s="143" t="s">
        <v>339</v>
      </c>
      <c r="P96" s="143" t="s">
        <v>1478</v>
      </c>
      <c r="Q96" s="143" t="s">
        <v>415</v>
      </c>
      <c r="R96" s="143" t="s">
        <v>407</v>
      </c>
      <c r="S96" s="143" t="s">
        <v>1210</v>
      </c>
      <c r="T96" s="144">
        <v>0.9</v>
      </c>
      <c r="U96" s="143" t="s">
        <v>1549</v>
      </c>
      <c r="V96" s="146">
        <v>4.4999999999999998E-2</v>
      </c>
      <c r="W96" s="146">
        <v>2.6144000000000001E-2</v>
      </c>
      <c r="X96" s="143" t="s">
        <v>412</v>
      </c>
      <c r="Y96" s="145" t="s">
        <v>3930</v>
      </c>
      <c r="Z96" s="144">
        <v>4356</v>
      </c>
      <c r="AA96" s="145" t="s">
        <v>3930</v>
      </c>
      <c r="AB96" s="143" t="s">
        <v>1550</v>
      </c>
      <c r="AC96" s="145" t="s">
        <v>3930</v>
      </c>
      <c r="AD96" s="144">
        <v>5.2011000000000003</v>
      </c>
      <c r="AE96" s="145" t="s">
        <v>3930</v>
      </c>
      <c r="AF96" s="145" t="s">
        <v>3930</v>
      </c>
      <c r="AG96" s="145" t="s">
        <v>3930</v>
      </c>
      <c r="AH96" s="146">
        <v>1.473810312090042E-6</v>
      </c>
      <c r="AI96" s="146">
        <v>1.6939905564487667E-2</v>
      </c>
      <c r="AJ96" s="147">
        <v>1.4835996818504641E-3</v>
      </c>
      <c r="AK96" s="177"/>
    </row>
    <row r="97" spans="1:37" ht="15" x14ac:dyDescent="0.2">
      <c r="A97" s="142" t="s">
        <v>1205</v>
      </c>
      <c r="B97" s="143" t="s">
        <v>1215</v>
      </c>
      <c r="C97" s="143" t="s">
        <v>1421</v>
      </c>
      <c r="D97" s="143" t="s">
        <v>1422</v>
      </c>
      <c r="E97" s="143" t="s">
        <v>309</v>
      </c>
      <c r="F97" s="143" t="s">
        <v>1727</v>
      </c>
      <c r="G97" s="143" t="s">
        <v>1728</v>
      </c>
      <c r="H97" s="143" t="s">
        <v>321</v>
      </c>
      <c r="I97" s="143" t="s">
        <v>754</v>
      </c>
      <c r="J97" s="143" t="s">
        <v>204</v>
      </c>
      <c r="K97" s="143" t="s">
        <v>204</v>
      </c>
      <c r="L97" s="143" t="s">
        <v>325</v>
      </c>
      <c r="M97" s="143" t="s">
        <v>340</v>
      </c>
      <c r="N97" s="143" t="s">
        <v>445</v>
      </c>
      <c r="O97" s="143" t="s">
        <v>339</v>
      </c>
      <c r="P97" s="143" t="s">
        <v>1425</v>
      </c>
      <c r="Q97" s="143" t="s">
        <v>415</v>
      </c>
      <c r="R97" s="143" t="s">
        <v>407</v>
      </c>
      <c r="S97" s="143" t="s">
        <v>1210</v>
      </c>
      <c r="T97" s="144">
        <v>2.19</v>
      </c>
      <c r="U97" s="143" t="s">
        <v>1526</v>
      </c>
      <c r="V97" s="146">
        <v>2.4E-2</v>
      </c>
      <c r="W97" s="146">
        <v>2.2598E-2</v>
      </c>
      <c r="X97" s="143" t="s">
        <v>412</v>
      </c>
      <c r="Y97" s="145" t="s">
        <v>3930</v>
      </c>
      <c r="Z97" s="144">
        <v>3970.18</v>
      </c>
      <c r="AA97" s="145" t="s">
        <v>3930</v>
      </c>
      <c r="AB97" s="143" t="s">
        <v>1729</v>
      </c>
      <c r="AC97" s="145" t="s">
        <v>3930</v>
      </c>
      <c r="AD97" s="144">
        <v>4.6253000000000002</v>
      </c>
      <c r="AE97" s="145" t="s">
        <v>3930</v>
      </c>
      <c r="AF97" s="145" t="s">
        <v>3930</v>
      </c>
      <c r="AG97" s="145" t="s">
        <v>3930</v>
      </c>
      <c r="AH97" s="146">
        <v>1.3449499535815127E-5</v>
      </c>
      <c r="AI97" s="146">
        <v>1.5064506518133704E-2</v>
      </c>
      <c r="AJ97" s="147">
        <v>1.3193519286430185E-3</v>
      </c>
      <c r="AK97" s="177"/>
    </row>
    <row r="98" spans="1:37" ht="15" x14ac:dyDescent="0.2">
      <c r="A98" s="142" t="s">
        <v>1205</v>
      </c>
      <c r="B98" s="143" t="s">
        <v>1215</v>
      </c>
      <c r="C98" s="143" t="s">
        <v>1569</v>
      </c>
      <c r="D98" s="143" t="s">
        <v>1570</v>
      </c>
      <c r="E98" s="143" t="s">
        <v>309</v>
      </c>
      <c r="F98" s="143" t="s">
        <v>1730</v>
      </c>
      <c r="G98" s="143" t="s">
        <v>1731</v>
      </c>
      <c r="H98" s="143" t="s">
        <v>321</v>
      </c>
      <c r="I98" s="143" t="s">
        <v>754</v>
      </c>
      <c r="J98" s="143" t="s">
        <v>204</v>
      </c>
      <c r="K98" s="143" t="s">
        <v>204</v>
      </c>
      <c r="L98" s="143" t="s">
        <v>325</v>
      </c>
      <c r="M98" s="143" t="s">
        <v>340</v>
      </c>
      <c r="N98" s="143" t="s">
        <v>448</v>
      </c>
      <c r="O98" s="143" t="s">
        <v>339</v>
      </c>
      <c r="P98" s="143" t="s">
        <v>1303</v>
      </c>
      <c r="Q98" s="143" t="s">
        <v>413</v>
      </c>
      <c r="R98" s="143" t="s">
        <v>407</v>
      </c>
      <c r="S98" s="143" t="s">
        <v>1210</v>
      </c>
      <c r="T98" s="144">
        <v>2.04</v>
      </c>
      <c r="U98" s="143" t="s">
        <v>1732</v>
      </c>
      <c r="V98" s="146">
        <v>6.0000000000000001E-3</v>
      </c>
      <c r="W98" s="146">
        <v>2.0981E-2</v>
      </c>
      <c r="X98" s="143" t="s">
        <v>412</v>
      </c>
      <c r="Y98" s="145" t="s">
        <v>3930</v>
      </c>
      <c r="Z98" s="144">
        <v>3968</v>
      </c>
      <c r="AA98" s="145" t="s">
        <v>3930</v>
      </c>
      <c r="AB98" s="143" t="s">
        <v>1733</v>
      </c>
      <c r="AC98" s="145" t="s">
        <v>3930</v>
      </c>
      <c r="AD98" s="144">
        <v>4.4933999999999994</v>
      </c>
      <c r="AE98" s="145" t="s">
        <v>3930</v>
      </c>
      <c r="AF98" s="145" t="s">
        <v>3930</v>
      </c>
      <c r="AG98" s="145" t="s">
        <v>3930</v>
      </c>
      <c r="AH98" s="146">
        <v>4.4601408631181869E-6</v>
      </c>
      <c r="AI98" s="146">
        <v>1.4634918600298729E-2</v>
      </c>
      <c r="AJ98" s="147">
        <v>1.2817285489966251E-3</v>
      </c>
      <c r="AK98" s="177"/>
    </row>
    <row r="99" spans="1:37" ht="15" x14ac:dyDescent="0.2">
      <c r="A99" s="142" t="s">
        <v>1205</v>
      </c>
      <c r="B99" s="143" t="s">
        <v>1215</v>
      </c>
      <c r="C99" s="143" t="s">
        <v>1541</v>
      </c>
      <c r="D99" s="143" t="s">
        <v>1542</v>
      </c>
      <c r="E99" s="143" t="s">
        <v>309</v>
      </c>
      <c r="F99" s="143" t="s">
        <v>1543</v>
      </c>
      <c r="G99" s="143" t="s">
        <v>1544</v>
      </c>
      <c r="H99" s="143" t="s">
        <v>321</v>
      </c>
      <c r="I99" s="143" t="s">
        <v>754</v>
      </c>
      <c r="J99" s="143" t="s">
        <v>204</v>
      </c>
      <c r="K99" s="143" t="s">
        <v>204</v>
      </c>
      <c r="L99" s="143" t="s">
        <v>325</v>
      </c>
      <c r="M99" s="143" t="s">
        <v>340</v>
      </c>
      <c r="N99" s="143" t="s">
        <v>465</v>
      </c>
      <c r="O99" s="143" t="s">
        <v>339</v>
      </c>
      <c r="P99" s="143" t="s">
        <v>1444</v>
      </c>
      <c r="Q99" s="143" t="s">
        <v>415</v>
      </c>
      <c r="R99" s="143" t="s">
        <v>407</v>
      </c>
      <c r="S99" s="143" t="s">
        <v>1210</v>
      </c>
      <c r="T99" s="144">
        <v>1.46</v>
      </c>
      <c r="U99" s="143" t="s">
        <v>1545</v>
      </c>
      <c r="V99" s="146">
        <v>2.5700000000000001E-2</v>
      </c>
      <c r="W99" s="146">
        <v>3.1085000000000002E-2</v>
      </c>
      <c r="X99" s="143" t="s">
        <v>412</v>
      </c>
      <c r="Y99" s="145" t="s">
        <v>3930</v>
      </c>
      <c r="Z99" s="144">
        <v>3400</v>
      </c>
      <c r="AA99" s="145" t="s">
        <v>3930</v>
      </c>
      <c r="AB99" s="143" t="s">
        <v>1546</v>
      </c>
      <c r="AC99" s="145" t="s">
        <v>3930</v>
      </c>
      <c r="AD99" s="144">
        <v>3.9739</v>
      </c>
      <c r="AE99" s="145" t="s">
        <v>3930</v>
      </c>
      <c r="AF99" s="145" t="s">
        <v>3930</v>
      </c>
      <c r="AG99" s="145" t="s">
        <v>3930</v>
      </c>
      <c r="AH99" s="146">
        <v>2.6512501151149406E-6</v>
      </c>
      <c r="AI99" s="146">
        <v>1.2943088091365311E-2</v>
      </c>
      <c r="AJ99" s="147">
        <v>1.1335577581239524E-3</v>
      </c>
      <c r="AK99" s="177"/>
    </row>
    <row r="100" spans="1:37" ht="15" x14ac:dyDescent="0.2">
      <c r="A100" s="142" t="s">
        <v>1205</v>
      </c>
      <c r="B100" s="143" t="s">
        <v>1215</v>
      </c>
      <c r="C100" s="143" t="s">
        <v>1358</v>
      </c>
      <c r="D100" s="143" t="s">
        <v>1359</v>
      </c>
      <c r="E100" s="143" t="s">
        <v>309</v>
      </c>
      <c r="F100" s="143" t="s">
        <v>1640</v>
      </c>
      <c r="G100" s="143" t="s">
        <v>1641</v>
      </c>
      <c r="H100" s="143" t="s">
        <v>321</v>
      </c>
      <c r="I100" s="143" t="s">
        <v>754</v>
      </c>
      <c r="J100" s="143" t="s">
        <v>204</v>
      </c>
      <c r="K100" s="143" t="s">
        <v>204</v>
      </c>
      <c r="L100" s="143" t="s">
        <v>325</v>
      </c>
      <c r="M100" s="143" t="s">
        <v>340</v>
      </c>
      <c r="N100" s="143" t="s">
        <v>448</v>
      </c>
      <c r="O100" s="143" t="s">
        <v>339</v>
      </c>
      <c r="P100" s="143" t="s">
        <v>1209</v>
      </c>
      <c r="Q100" s="143" t="s">
        <v>415</v>
      </c>
      <c r="R100" s="143" t="s">
        <v>407</v>
      </c>
      <c r="S100" s="143" t="s">
        <v>1210</v>
      </c>
      <c r="T100" s="144">
        <v>2.16</v>
      </c>
      <c r="U100" s="143" t="s">
        <v>1642</v>
      </c>
      <c r="V100" s="146">
        <v>5.0000000000000001E-3</v>
      </c>
      <c r="W100" s="146">
        <v>2.1333999999999999E-2</v>
      </c>
      <c r="X100" s="143" t="s">
        <v>412</v>
      </c>
      <c r="Y100" s="145" t="s">
        <v>3930</v>
      </c>
      <c r="Z100" s="144">
        <v>3498</v>
      </c>
      <c r="AA100" s="145" t="s">
        <v>3930</v>
      </c>
      <c r="AB100" s="143" t="s">
        <v>1643</v>
      </c>
      <c r="AC100" s="145" t="s">
        <v>3930</v>
      </c>
      <c r="AD100" s="144">
        <v>3.8730000000000002</v>
      </c>
      <c r="AE100" s="145" t="s">
        <v>3930</v>
      </c>
      <c r="AF100" s="145" t="s">
        <v>3930</v>
      </c>
      <c r="AG100" s="145" t="s">
        <v>3930</v>
      </c>
      <c r="AH100" s="146">
        <v>4.5830921024726831E-6</v>
      </c>
      <c r="AI100" s="146">
        <v>1.2614343972045068E-2</v>
      </c>
      <c r="AJ100" s="147">
        <v>1.1047662947372746E-3</v>
      </c>
      <c r="AK100" s="177"/>
    </row>
    <row r="101" spans="1:37" ht="15" x14ac:dyDescent="0.2">
      <c r="A101" s="142" t="s">
        <v>1205</v>
      </c>
      <c r="B101" s="143" t="s">
        <v>1215</v>
      </c>
      <c r="C101" s="143" t="s">
        <v>1493</v>
      </c>
      <c r="D101" s="143" t="s">
        <v>1494</v>
      </c>
      <c r="E101" s="143" t="s">
        <v>309</v>
      </c>
      <c r="F101" s="143" t="s">
        <v>1591</v>
      </c>
      <c r="G101" s="143" t="s">
        <v>1592</v>
      </c>
      <c r="H101" s="143" t="s">
        <v>321</v>
      </c>
      <c r="I101" s="143" t="s">
        <v>754</v>
      </c>
      <c r="J101" s="143" t="s">
        <v>204</v>
      </c>
      <c r="K101" s="143" t="s">
        <v>204</v>
      </c>
      <c r="L101" s="143" t="s">
        <v>325</v>
      </c>
      <c r="M101" s="143" t="s">
        <v>340</v>
      </c>
      <c r="N101" s="143" t="s">
        <v>448</v>
      </c>
      <c r="O101" s="143" t="s">
        <v>339</v>
      </c>
      <c r="P101" s="143" t="s">
        <v>1303</v>
      </c>
      <c r="Q101" s="143" t="s">
        <v>413</v>
      </c>
      <c r="R101" s="143" t="s">
        <v>407</v>
      </c>
      <c r="S101" s="143" t="s">
        <v>1210</v>
      </c>
      <c r="T101" s="144">
        <v>1.74</v>
      </c>
      <c r="U101" s="143" t="s">
        <v>1419</v>
      </c>
      <c r="V101" s="146">
        <v>8.3000000000000001E-3</v>
      </c>
      <c r="W101" s="146">
        <v>2.0445000000000001E-2</v>
      </c>
      <c r="X101" s="143" t="s">
        <v>412</v>
      </c>
      <c r="Y101" s="145" t="s">
        <v>3930</v>
      </c>
      <c r="Z101" s="144">
        <v>3036</v>
      </c>
      <c r="AA101" s="145" t="s">
        <v>3930</v>
      </c>
      <c r="AB101" s="143" t="s">
        <v>1593</v>
      </c>
      <c r="AC101" s="145" t="s">
        <v>3930</v>
      </c>
      <c r="AD101" s="144">
        <v>3.4368000000000003</v>
      </c>
      <c r="AE101" s="145" t="s">
        <v>3930</v>
      </c>
      <c r="AF101" s="145" t="s">
        <v>3930</v>
      </c>
      <c r="AG101" s="145" t="s">
        <v>3930</v>
      </c>
      <c r="AH101" s="146">
        <v>1.9961234703619059E-6</v>
      </c>
      <c r="AI101" s="146">
        <v>1.1193527772118189E-2</v>
      </c>
      <c r="AJ101" s="147">
        <v>9.8033098108366783E-4</v>
      </c>
      <c r="AK101" s="177"/>
    </row>
    <row r="102" spans="1:37" ht="15" x14ac:dyDescent="0.2">
      <c r="A102" s="142" t="s">
        <v>1205</v>
      </c>
      <c r="B102" s="143" t="s">
        <v>1215</v>
      </c>
      <c r="C102" s="143" t="s">
        <v>1734</v>
      </c>
      <c r="D102" s="143" t="s">
        <v>1735</v>
      </c>
      <c r="E102" s="143" t="s">
        <v>309</v>
      </c>
      <c r="F102" s="143" t="s">
        <v>1736</v>
      </c>
      <c r="G102" s="143" t="s">
        <v>1737</v>
      </c>
      <c r="H102" s="143" t="s">
        <v>321</v>
      </c>
      <c r="I102" s="143" t="s">
        <v>754</v>
      </c>
      <c r="J102" s="143" t="s">
        <v>204</v>
      </c>
      <c r="K102" s="143" t="s">
        <v>204</v>
      </c>
      <c r="L102" s="143" t="s">
        <v>325</v>
      </c>
      <c r="M102" s="143" t="s">
        <v>340</v>
      </c>
      <c r="N102" s="143" t="s">
        <v>440</v>
      </c>
      <c r="O102" s="143" t="s">
        <v>339</v>
      </c>
      <c r="P102" s="143" t="s">
        <v>1405</v>
      </c>
      <c r="Q102" s="143" t="s">
        <v>415</v>
      </c>
      <c r="R102" s="143" t="s">
        <v>407</v>
      </c>
      <c r="S102" s="143" t="s">
        <v>1210</v>
      </c>
      <c r="T102" s="144">
        <v>3.67</v>
      </c>
      <c r="U102" s="143" t="s">
        <v>1618</v>
      </c>
      <c r="V102" s="146">
        <v>1.7999999999999999E-2</v>
      </c>
      <c r="W102" s="146">
        <v>3.6724E-2</v>
      </c>
      <c r="X102" s="143" t="s">
        <v>412</v>
      </c>
      <c r="Y102" s="145" t="s">
        <v>3930</v>
      </c>
      <c r="Z102" s="144">
        <v>3000</v>
      </c>
      <c r="AA102" s="145" t="s">
        <v>3930</v>
      </c>
      <c r="AB102" s="143" t="s">
        <v>1738</v>
      </c>
      <c r="AC102" s="145" t="s">
        <v>3930</v>
      </c>
      <c r="AD102" s="144">
        <v>3.2366999999999999</v>
      </c>
      <c r="AE102" s="145" t="s">
        <v>3930</v>
      </c>
      <c r="AF102" s="145" t="s">
        <v>3930</v>
      </c>
      <c r="AG102" s="145" t="s">
        <v>3930</v>
      </c>
      <c r="AH102" s="146">
        <v>3.1760221574465917E-6</v>
      </c>
      <c r="AI102" s="146">
        <v>1.0541956865090917E-2</v>
      </c>
      <c r="AJ102" s="147">
        <v>9.2326629517448669E-4</v>
      </c>
      <c r="AK102" s="177"/>
    </row>
    <row r="103" spans="1:37" ht="15" x14ac:dyDescent="0.2">
      <c r="A103" s="142" t="s">
        <v>1205</v>
      </c>
      <c r="B103" s="143" t="s">
        <v>1215</v>
      </c>
      <c r="C103" s="143" t="s">
        <v>1739</v>
      </c>
      <c r="D103" s="143" t="s">
        <v>1740</v>
      </c>
      <c r="E103" s="143" t="s">
        <v>309</v>
      </c>
      <c r="F103" s="143" t="s">
        <v>1741</v>
      </c>
      <c r="G103" s="143" t="s">
        <v>1742</v>
      </c>
      <c r="H103" s="143" t="s">
        <v>321</v>
      </c>
      <c r="I103" s="143" t="s">
        <v>754</v>
      </c>
      <c r="J103" s="143" t="s">
        <v>204</v>
      </c>
      <c r="K103" s="143" t="s">
        <v>204</v>
      </c>
      <c r="L103" s="143" t="s">
        <v>325</v>
      </c>
      <c r="M103" s="143" t="s">
        <v>340</v>
      </c>
      <c r="N103" s="143" t="s">
        <v>464</v>
      </c>
      <c r="O103" s="143" t="s">
        <v>339</v>
      </c>
      <c r="P103" s="143" t="s">
        <v>1743</v>
      </c>
      <c r="Q103" s="143" t="s">
        <v>413</v>
      </c>
      <c r="R103" s="143" t="s">
        <v>407</v>
      </c>
      <c r="S103" s="143" t="s">
        <v>1210</v>
      </c>
      <c r="T103" s="144">
        <v>2.79</v>
      </c>
      <c r="U103" s="143" t="s">
        <v>1426</v>
      </c>
      <c r="V103" s="146">
        <v>1.7999999999999999E-2</v>
      </c>
      <c r="W103" s="146">
        <v>2.7909E-2</v>
      </c>
      <c r="X103" s="143" t="s">
        <v>412</v>
      </c>
      <c r="Y103" s="145" t="s">
        <v>3930</v>
      </c>
      <c r="Z103" s="144">
        <v>2222.4</v>
      </c>
      <c r="AA103" s="145" t="s">
        <v>3930</v>
      </c>
      <c r="AB103" s="143" t="s">
        <v>1744</v>
      </c>
      <c r="AC103" s="145" t="s">
        <v>3930</v>
      </c>
      <c r="AD103" s="144">
        <v>2.5213000000000001</v>
      </c>
      <c r="AE103" s="145" t="s">
        <v>3930</v>
      </c>
      <c r="AF103" s="145" t="s">
        <v>3930</v>
      </c>
      <c r="AG103" s="145" t="s">
        <v>3930</v>
      </c>
      <c r="AH103" s="146">
        <v>2.8177197969212135E-6</v>
      </c>
      <c r="AI103" s="146">
        <v>8.2119352368157702E-3</v>
      </c>
      <c r="AJ103" s="147">
        <v>7.1920262237217274E-4</v>
      </c>
      <c r="AK103" s="177"/>
    </row>
    <row r="104" spans="1:37" ht="15" x14ac:dyDescent="0.2">
      <c r="A104" s="142" t="s">
        <v>1205</v>
      </c>
      <c r="B104" s="143" t="s">
        <v>1215</v>
      </c>
      <c r="C104" s="143" t="s">
        <v>1358</v>
      </c>
      <c r="D104" s="143" t="s">
        <v>1359</v>
      </c>
      <c r="E104" s="143" t="s">
        <v>309</v>
      </c>
      <c r="F104" s="143" t="s">
        <v>1485</v>
      </c>
      <c r="G104" s="143" t="s">
        <v>1486</v>
      </c>
      <c r="H104" s="143" t="s">
        <v>321</v>
      </c>
      <c r="I104" s="143" t="s">
        <v>754</v>
      </c>
      <c r="J104" s="143" t="s">
        <v>204</v>
      </c>
      <c r="K104" s="143" t="s">
        <v>204</v>
      </c>
      <c r="L104" s="143" t="s">
        <v>325</v>
      </c>
      <c r="M104" s="143" t="s">
        <v>340</v>
      </c>
      <c r="N104" s="143" t="s">
        <v>448</v>
      </c>
      <c r="O104" s="143" t="s">
        <v>339</v>
      </c>
      <c r="P104" s="143" t="s">
        <v>1303</v>
      </c>
      <c r="Q104" s="143" t="s">
        <v>413</v>
      </c>
      <c r="R104" s="143" t="s">
        <v>407</v>
      </c>
      <c r="S104" s="143" t="s">
        <v>1210</v>
      </c>
      <c r="T104" s="144">
        <v>1.72</v>
      </c>
      <c r="U104" s="143" t="s">
        <v>1487</v>
      </c>
      <c r="V104" s="146">
        <v>3.8E-3</v>
      </c>
      <c r="W104" s="146">
        <v>2.1166000000000001E-2</v>
      </c>
      <c r="X104" s="143" t="s">
        <v>412</v>
      </c>
      <c r="Y104" s="145" t="s">
        <v>3930</v>
      </c>
      <c r="Z104" s="144">
        <v>2158</v>
      </c>
      <c r="AA104" s="145" t="s">
        <v>3930</v>
      </c>
      <c r="AB104" s="143" t="s">
        <v>1488</v>
      </c>
      <c r="AC104" s="145" t="s">
        <v>3930</v>
      </c>
      <c r="AD104" s="144">
        <v>2.3821999999999997</v>
      </c>
      <c r="AE104" s="145" t="s">
        <v>3930</v>
      </c>
      <c r="AF104" s="145" t="s">
        <v>3930</v>
      </c>
      <c r="AG104" s="145" t="s">
        <v>3930</v>
      </c>
      <c r="AH104" s="146">
        <v>7.1933333333333334E-7</v>
      </c>
      <c r="AI104" s="146">
        <v>7.7588965377454813E-3</v>
      </c>
      <c r="AJ104" s="147">
        <v>6.7952541949474596E-4</v>
      </c>
      <c r="AK104" s="177"/>
    </row>
    <row r="105" spans="1:37" ht="15" x14ac:dyDescent="0.2">
      <c r="A105" s="142" t="s">
        <v>1205</v>
      </c>
      <c r="B105" s="143" t="s">
        <v>1215</v>
      </c>
      <c r="C105" s="143" t="s">
        <v>1532</v>
      </c>
      <c r="D105" s="143" t="s">
        <v>1533</v>
      </c>
      <c r="E105" s="143" t="s">
        <v>309</v>
      </c>
      <c r="F105" s="143" t="s">
        <v>1534</v>
      </c>
      <c r="G105" s="143" t="s">
        <v>1535</v>
      </c>
      <c r="H105" s="143" t="s">
        <v>321</v>
      </c>
      <c r="I105" s="143" t="s">
        <v>754</v>
      </c>
      <c r="J105" s="143" t="s">
        <v>204</v>
      </c>
      <c r="K105" s="143" t="s">
        <v>204</v>
      </c>
      <c r="L105" s="143" t="s">
        <v>325</v>
      </c>
      <c r="M105" s="143" t="s">
        <v>340</v>
      </c>
      <c r="N105" s="143" t="s">
        <v>464</v>
      </c>
      <c r="O105" s="143" t="s">
        <v>339</v>
      </c>
      <c r="P105" s="143" t="s">
        <v>1412</v>
      </c>
      <c r="Q105" s="143" t="s">
        <v>413</v>
      </c>
      <c r="R105" s="143" t="s">
        <v>407</v>
      </c>
      <c r="S105" s="143" t="s">
        <v>1210</v>
      </c>
      <c r="T105" s="144">
        <v>2.1800000000000002</v>
      </c>
      <c r="U105" s="143" t="s">
        <v>1304</v>
      </c>
      <c r="V105" s="146">
        <v>2.3400000000000001E-2</v>
      </c>
      <c r="W105" s="146">
        <v>2.7172000000000002E-2</v>
      </c>
      <c r="X105" s="143" t="s">
        <v>412</v>
      </c>
      <c r="Y105" s="145" t="s">
        <v>3930</v>
      </c>
      <c r="Z105" s="144">
        <v>2048.0500000000002</v>
      </c>
      <c r="AA105" s="145" t="s">
        <v>3930</v>
      </c>
      <c r="AB105" s="143" t="s">
        <v>1536</v>
      </c>
      <c r="AC105" s="145" t="s">
        <v>3930</v>
      </c>
      <c r="AD105" s="144">
        <v>2.3731</v>
      </c>
      <c r="AE105" s="145" t="s">
        <v>3930</v>
      </c>
      <c r="AF105" s="145" t="s">
        <v>3930</v>
      </c>
      <c r="AG105" s="145" t="s">
        <v>3930</v>
      </c>
      <c r="AH105" s="146">
        <v>9.7084358175215668E-7</v>
      </c>
      <c r="AI105" s="146">
        <v>7.7291253213373351E-3</v>
      </c>
      <c r="AJ105" s="147">
        <v>6.7691805152428808E-4</v>
      </c>
      <c r="AK105" s="177"/>
    </row>
    <row r="106" spans="1:37" ht="15" x14ac:dyDescent="0.2">
      <c r="A106" s="142" t="s">
        <v>1205</v>
      </c>
      <c r="B106" s="143" t="s">
        <v>1215</v>
      </c>
      <c r="C106" s="143" t="s">
        <v>1585</v>
      </c>
      <c r="D106" s="143" t="s">
        <v>1586</v>
      </c>
      <c r="E106" s="143" t="s">
        <v>309</v>
      </c>
      <c r="F106" s="143" t="s">
        <v>1587</v>
      </c>
      <c r="G106" s="143" t="s">
        <v>1588</v>
      </c>
      <c r="H106" s="143" t="s">
        <v>321</v>
      </c>
      <c r="I106" s="143" t="s">
        <v>754</v>
      </c>
      <c r="J106" s="143" t="s">
        <v>204</v>
      </c>
      <c r="K106" s="143" t="s">
        <v>204</v>
      </c>
      <c r="L106" s="143" t="s">
        <v>325</v>
      </c>
      <c r="M106" s="143" t="s">
        <v>340</v>
      </c>
      <c r="N106" s="143" t="s">
        <v>448</v>
      </c>
      <c r="O106" s="143" t="s">
        <v>339</v>
      </c>
      <c r="P106" s="143" t="s">
        <v>1303</v>
      </c>
      <c r="Q106" s="143" t="s">
        <v>413</v>
      </c>
      <c r="R106" s="143" t="s">
        <v>407</v>
      </c>
      <c r="S106" s="143" t="s">
        <v>1210</v>
      </c>
      <c r="T106" s="144">
        <v>2.73</v>
      </c>
      <c r="U106" s="143" t="s">
        <v>1589</v>
      </c>
      <c r="V106" s="146">
        <v>1.4999999999999999E-2</v>
      </c>
      <c r="W106" s="146">
        <v>2.2589000000000001E-2</v>
      </c>
      <c r="X106" s="143" t="s">
        <v>412</v>
      </c>
      <c r="Y106" s="145" t="s">
        <v>3930</v>
      </c>
      <c r="Z106" s="144">
        <v>2030.22</v>
      </c>
      <c r="AA106" s="145" t="s">
        <v>3930</v>
      </c>
      <c r="AB106" s="143" t="s">
        <v>1590</v>
      </c>
      <c r="AC106" s="145" t="s">
        <v>3930</v>
      </c>
      <c r="AD106" s="144">
        <v>2.3183000000000002</v>
      </c>
      <c r="AE106" s="145" t="s">
        <v>3930</v>
      </c>
      <c r="AF106" s="145" t="s">
        <v>3930</v>
      </c>
      <c r="AG106" s="145" t="s">
        <v>3930</v>
      </c>
      <c r="AH106" s="146">
        <v>7.2731224343728518E-6</v>
      </c>
      <c r="AI106" s="146">
        <v>7.5507477474408479E-3</v>
      </c>
      <c r="AJ106" s="147">
        <v>6.6129571461841577E-4</v>
      </c>
      <c r="AK106" s="177"/>
    </row>
    <row r="107" spans="1:37" ht="15" x14ac:dyDescent="0.2">
      <c r="A107" s="142" t="s">
        <v>1205</v>
      </c>
      <c r="B107" s="143" t="s">
        <v>1215</v>
      </c>
      <c r="C107" s="143" t="s">
        <v>1706</v>
      </c>
      <c r="D107" s="143" t="s">
        <v>1707</v>
      </c>
      <c r="E107" s="143" t="s">
        <v>309</v>
      </c>
      <c r="F107" s="143" t="s">
        <v>1745</v>
      </c>
      <c r="G107" s="143" t="s">
        <v>1746</v>
      </c>
      <c r="H107" s="143" t="s">
        <v>321</v>
      </c>
      <c r="I107" s="143" t="s">
        <v>754</v>
      </c>
      <c r="J107" s="143" t="s">
        <v>204</v>
      </c>
      <c r="K107" s="143" t="s">
        <v>204</v>
      </c>
      <c r="L107" s="143" t="s">
        <v>325</v>
      </c>
      <c r="M107" s="143" t="s">
        <v>340</v>
      </c>
      <c r="N107" s="143" t="s">
        <v>464</v>
      </c>
      <c r="O107" s="143" t="s">
        <v>339</v>
      </c>
      <c r="P107" s="143" t="s">
        <v>1478</v>
      </c>
      <c r="Q107" s="143" t="s">
        <v>415</v>
      </c>
      <c r="R107" s="143" t="s">
        <v>407</v>
      </c>
      <c r="S107" s="143" t="s">
        <v>1210</v>
      </c>
      <c r="T107" s="144">
        <v>2.5499999999999998</v>
      </c>
      <c r="U107" s="143" t="s">
        <v>1539</v>
      </c>
      <c r="V107" s="146">
        <v>1.77E-2</v>
      </c>
      <c r="W107" s="146">
        <v>2.7564999999999999E-2</v>
      </c>
      <c r="X107" s="143" t="s">
        <v>412</v>
      </c>
      <c r="Y107" s="145" t="s">
        <v>3930</v>
      </c>
      <c r="Z107" s="144">
        <v>1600</v>
      </c>
      <c r="AA107" s="145" t="s">
        <v>3930</v>
      </c>
      <c r="AB107" s="143" t="s">
        <v>1747</v>
      </c>
      <c r="AC107" s="145" t="s">
        <v>3930</v>
      </c>
      <c r="AD107" s="144">
        <v>1.8109999999999999</v>
      </c>
      <c r="AE107" s="145" t="s">
        <v>3930</v>
      </c>
      <c r="AF107" s="145" t="s">
        <v>3930</v>
      </c>
      <c r="AG107" s="145" t="s">
        <v>3930</v>
      </c>
      <c r="AH107" s="146">
        <v>6.1663857340333063E-7</v>
      </c>
      <c r="AI107" s="146">
        <v>5.8985712487886598E-3</v>
      </c>
      <c r="AJ107" s="147">
        <v>5.1659782840943007E-4</v>
      </c>
      <c r="AK107" s="177"/>
    </row>
    <row r="108" spans="1:37" ht="15" x14ac:dyDescent="0.2">
      <c r="A108" s="142" t="s">
        <v>1205</v>
      </c>
      <c r="B108" s="143" t="s">
        <v>1215</v>
      </c>
      <c r="C108" s="143" t="s">
        <v>1358</v>
      </c>
      <c r="D108" s="143" t="s">
        <v>1359</v>
      </c>
      <c r="E108" s="143" t="s">
        <v>309</v>
      </c>
      <c r="F108" s="143" t="s">
        <v>1606</v>
      </c>
      <c r="G108" s="143" t="s">
        <v>1607</v>
      </c>
      <c r="H108" s="143" t="s">
        <v>321</v>
      </c>
      <c r="I108" s="143" t="s">
        <v>754</v>
      </c>
      <c r="J108" s="143" t="s">
        <v>204</v>
      </c>
      <c r="K108" s="143" t="s">
        <v>204</v>
      </c>
      <c r="L108" s="143" t="s">
        <v>325</v>
      </c>
      <c r="M108" s="143" t="s">
        <v>340</v>
      </c>
      <c r="N108" s="143" t="s">
        <v>448</v>
      </c>
      <c r="O108" s="143" t="s">
        <v>339</v>
      </c>
      <c r="P108" s="143" t="s">
        <v>1209</v>
      </c>
      <c r="Q108" s="143" t="s">
        <v>415</v>
      </c>
      <c r="R108" s="143" t="s">
        <v>407</v>
      </c>
      <c r="S108" s="143" t="s">
        <v>1210</v>
      </c>
      <c r="T108" s="144">
        <v>0.42</v>
      </c>
      <c r="U108" s="143" t="s">
        <v>1608</v>
      </c>
      <c r="V108" s="146">
        <v>9.4999999999999998E-3</v>
      </c>
      <c r="W108" s="146">
        <v>3.0602000000000001E-2</v>
      </c>
      <c r="X108" s="143" t="s">
        <v>412</v>
      </c>
      <c r="Y108" s="145" t="s">
        <v>3930</v>
      </c>
      <c r="Z108" s="144">
        <v>1504.16</v>
      </c>
      <c r="AA108" s="145" t="s">
        <v>3930</v>
      </c>
      <c r="AB108" s="143" t="s">
        <v>1609</v>
      </c>
      <c r="AC108" s="145" t="s">
        <v>3930</v>
      </c>
      <c r="AD108" s="144">
        <v>1.746</v>
      </c>
      <c r="AE108" s="145" t="s">
        <v>3930</v>
      </c>
      <c r="AF108" s="145" t="s">
        <v>3930</v>
      </c>
      <c r="AG108" s="145" t="s">
        <v>3930</v>
      </c>
      <c r="AH108" s="146">
        <v>9.3589796437401751E-6</v>
      </c>
      <c r="AI108" s="146">
        <v>5.6868296858457491E-3</v>
      </c>
      <c r="AJ108" s="147">
        <v>4.980534679216612E-4</v>
      </c>
      <c r="AK108" s="177"/>
    </row>
    <row r="109" spans="1:37" ht="15" x14ac:dyDescent="0.2">
      <c r="A109" s="142" t="s">
        <v>1205</v>
      </c>
      <c r="B109" s="143" t="s">
        <v>1215</v>
      </c>
      <c r="C109" s="143" t="s">
        <v>1513</v>
      </c>
      <c r="D109" s="143" t="s">
        <v>1514</v>
      </c>
      <c r="E109" s="143" t="s">
        <v>309</v>
      </c>
      <c r="F109" s="143" t="s">
        <v>1616</v>
      </c>
      <c r="G109" s="143" t="s">
        <v>1617</v>
      </c>
      <c r="H109" s="143" t="s">
        <v>321</v>
      </c>
      <c r="I109" s="143" t="s">
        <v>754</v>
      </c>
      <c r="J109" s="143" t="s">
        <v>204</v>
      </c>
      <c r="K109" s="143" t="s">
        <v>204</v>
      </c>
      <c r="L109" s="143" t="s">
        <v>325</v>
      </c>
      <c r="M109" s="143" t="s">
        <v>340</v>
      </c>
      <c r="N109" s="143" t="s">
        <v>465</v>
      </c>
      <c r="O109" s="143" t="s">
        <v>339</v>
      </c>
      <c r="P109" s="143" t="s">
        <v>1405</v>
      </c>
      <c r="Q109" s="143" t="s">
        <v>415</v>
      </c>
      <c r="R109" s="143" t="s">
        <v>407</v>
      </c>
      <c r="S109" s="143" t="s">
        <v>1210</v>
      </c>
      <c r="T109" s="144">
        <v>5.6</v>
      </c>
      <c r="U109" s="143" t="s">
        <v>1618</v>
      </c>
      <c r="V109" s="146">
        <v>1.7899999999999999E-2</v>
      </c>
      <c r="W109" s="146">
        <v>5.3422999999999998E-2</v>
      </c>
      <c r="X109" s="143" t="s">
        <v>412</v>
      </c>
      <c r="Y109" s="145" t="s">
        <v>3930</v>
      </c>
      <c r="Z109" s="144">
        <v>1821.22</v>
      </c>
      <c r="AA109" s="145" t="s">
        <v>3930</v>
      </c>
      <c r="AB109" s="143" t="s">
        <v>1619</v>
      </c>
      <c r="AC109" s="145" t="s">
        <v>3930</v>
      </c>
      <c r="AD109" s="144">
        <v>1.72</v>
      </c>
      <c r="AE109" s="145" t="s">
        <v>3930</v>
      </c>
      <c r="AF109" s="145" t="s">
        <v>3930</v>
      </c>
      <c r="AG109" s="145" t="s">
        <v>3930</v>
      </c>
      <c r="AH109" s="146">
        <v>2.689402379371088E-6</v>
      </c>
      <c r="AI109" s="146">
        <v>5.6019235334539902E-3</v>
      </c>
      <c r="AJ109" s="147">
        <v>4.9061737329905394E-4</v>
      </c>
      <c r="AK109" s="177"/>
    </row>
    <row r="110" spans="1:37" ht="15" x14ac:dyDescent="0.2">
      <c r="A110" s="142" t="s">
        <v>1205</v>
      </c>
      <c r="B110" s="143" t="s">
        <v>1215</v>
      </c>
      <c r="C110" s="143" t="s">
        <v>1748</v>
      </c>
      <c r="D110" s="143" t="s">
        <v>1749</v>
      </c>
      <c r="E110" s="143" t="s">
        <v>309</v>
      </c>
      <c r="F110" s="143" t="s">
        <v>1750</v>
      </c>
      <c r="G110" s="143" t="s">
        <v>1751</v>
      </c>
      <c r="H110" s="143" t="s">
        <v>321</v>
      </c>
      <c r="I110" s="143" t="s">
        <v>754</v>
      </c>
      <c r="J110" s="143" t="s">
        <v>204</v>
      </c>
      <c r="K110" s="143" t="s">
        <v>204</v>
      </c>
      <c r="L110" s="143" t="s">
        <v>325</v>
      </c>
      <c r="M110" s="143" t="s">
        <v>340</v>
      </c>
      <c r="N110" s="143" t="s">
        <v>451</v>
      </c>
      <c r="O110" s="143" t="s">
        <v>339</v>
      </c>
      <c r="P110" s="145" t="s">
        <v>3930</v>
      </c>
      <c r="Q110" s="143" t="s">
        <v>410</v>
      </c>
      <c r="R110" s="143" t="s">
        <v>410</v>
      </c>
      <c r="S110" s="143" t="s">
        <v>1210</v>
      </c>
      <c r="T110" s="144">
        <v>2.78</v>
      </c>
      <c r="U110" s="143" t="s">
        <v>1539</v>
      </c>
      <c r="V110" s="146">
        <v>3.6999999999999998E-2</v>
      </c>
      <c r="W110" s="146">
        <v>4.0440999999999998E-2</v>
      </c>
      <c r="X110" s="143" t="s">
        <v>412</v>
      </c>
      <c r="Y110" s="145" t="s">
        <v>3930</v>
      </c>
      <c r="Z110" s="144">
        <v>1319.14</v>
      </c>
      <c r="AA110" s="145" t="s">
        <v>3930</v>
      </c>
      <c r="AB110" s="143" t="s">
        <v>1752</v>
      </c>
      <c r="AC110" s="145" t="s">
        <v>3930</v>
      </c>
      <c r="AD110" s="144">
        <v>1.5232000000000001</v>
      </c>
      <c r="AE110" s="145" t="s">
        <v>3930</v>
      </c>
      <c r="AF110" s="145" t="s">
        <v>3930</v>
      </c>
      <c r="AG110" s="145" t="s">
        <v>3930</v>
      </c>
      <c r="AH110" s="146">
        <v>1.6704387794045564E-6</v>
      </c>
      <c r="AI110" s="146">
        <v>4.9611098389315701E-3</v>
      </c>
      <c r="AJ110" s="147">
        <v>4.344948058089538E-4</v>
      </c>
      <c r="AK110" s="177"/>
    </row>
    <row r="111" spans="1:37" ht="15" x14ac:dyDescent="0.2">
      <c r="A111" s="142" t="s">
        <v>1205</v>
      </c>
      <c r="B111" s="143" t="s">
        <v>1215</v>
      </c>
      <c r="C111" s="143" t="s">
        <v>1620</v>
      </c>
      <c r="D111" s="143" t="s">
        <v>1621</v>
      </c>
      <c r="E111" s="143" t="s">
        <v>309</v>
      </c>
      <c r="F111" s="143" t="s">
        <v>1622</v>
      </c>
      <c r="G111" s="143" t="s">
        <v>1623</v>
      </c>
      <c r="H111" s="143" t="s">
        <v>321</v>
      </c>
      <c r="I111" s="143" t="s">
        <v>754</v>
      </c>
      <c r="J111" s="143" t="s">
        <v>204</v>
      </c>
      <c r="K111" s="143" t="s">
        <v>204</v>
      </c>
      <c r="L111" s="143" t="s">
        <v>325</v>
      </c>
      <c r="M111" s="143" t="s">
        <v>340</v>
      </c>
      <c r="N111" s="143" t="s">
        <v>445</v>
      </c>
      <c r="O111" s="143" t="s">
        <v>339</v>
      </c>
      <c r="P111" s="143" t="s">
        <v>1624</v>
      </c>
      <c r="Q111" s="143" t="s">
        <v>415</v>
      </c>
      <c r="R111" s="143" t="s">
        <v>407</v>
      </c>
      <c r="S111" s="143" t="s">
        <v>1210</v>
      </c>
      <c r="T111" s="144">
        <v>4.51</v>
      </c>
      <c r="U111" s="143" t="s">
        <v>1406</v>
      </c>
      <c r="V111" s="146">
        <v>5.1700000000000003E-2</v>
      </c>
      <c r="W111" s="146">
        <v>5.7583000000000002E-2</v>
      </c>
      <c r="X111" s="143" t="s">
        <v>412</v>
      </c>
      <c r="Y111" s="145" t="s">
        <v>3930</v>
      </c>
      <c r="Z111" s="144">
        <v>981</v>
      </c>
      <c r="AA111" s="145" t="s">
        <v>3930</v>
      </c>
      <c r="AB111" s="143" t="s">
        <v>1625</v>
      </c>
      <c r="AC111" s="145" t="s">
        <v>3930</v>
      </c>
      <c r="AD111" s="144">
        <v>0.97650000000000003</v>
      </c>
      <c r="AE111" s="145" t="s">
        <v>3930</v>
      </c>
      <c r="AF111" s="145" t="s">
        <v>3930</v>
      </c>
      <c r="AG111" s="145" t="s">
        <v>3930</v>
      </c>
      <c r="AH111" s="146">
        <v>1.6076327321234845E-6</v>
      </c>
      <c r="AI111" s="146">
        <v>3.1804269935751788E-3</v>
      </c>
      <c r="AJ111" s="147">
        <v>2.7854231287501686E-4</v>
      </c>
      <c r="AK111" s="177"/>
    </row>
    <row r="112" spans="1:37" ht="15" x14ac:dyDescent="0.2">
      <c r="A112" s="142" t="s">
        <v>1205</v>
      </c>
      <c r="B112" s="143" t="s">
        <v>1215</v>
      </c>
      <c r="C112" s="143" t="s">
        <v>1620</v>
      </c>
      <c r="D112" s="143" t="s">
        <v>1621</v>
      </c>
      <c r="E112" s="143" t="s">
        <v>309</v>
      </c>
      <c r="F112" s="143" t="s">
        <v>1636</v>
      </c>
      <c r="G112" s="143" t="s">
        <v>1637</v>
      </c>
      <c r="H112" s="143" t="s">
        <v>321</v>
      </c>
      <c r="I112" s="143" t="s">
        <v>754</v>
      </c>
      <c r="J112" s="143" t="s">
        <v>204</v>
      </c>
      <c r="K112" s="143" t="s">
        <v>204</v>
      </c>
      <c r="L112" s="143" t="s">
        <v>325</v>
      </c>
      <c r="M112" s="143" t="s">
        <v>340</v>
      </c>
      <c r="N112" s="143" t="s">
        <v>445</v>
      </c>
      <c r="O112" s="143" t="s">
        <v>339</v>
      </c>
      <c r="P112" s="143" t="s">
        <v>1624</v>
      </c>
      <c r="Q112" s="143" t="s">
        <v>415</v>
      </c>
      <c r="R112" s="143" t="s">
        <v>407</v>
      </c>
      <c r="S112" s="143" t="s">
        <v>1210</v>
      </c>
      <c r="T112" s="144">
        <v>5.3</v>
      </c>
      <c r="U112" s="143" t="s">
        <v>1638</v>
      </c>
      <c r="V112" s="146">
        <v>5.3999999999999999E-2</v>
      </c>
      <c r="W112" s="146">
        <v>5.9711E-2</v>
      </c>
      <c r="X112" s="143" t="s">
        <v>412</v>
      </c>
      <c r="Y112" s="145" t="s">
        <v>3930</v>
      </c>
      <c r="Z112" s="144">
        <v>532</v>
      </c>
      <c r="AA112" s="145" t="s">
        <v>3930</v>
      </c>
      <c r="AB112" s="143" t="s">
        <v>1639</v>
      </c>
      <c r="AC112" s="145" t="s">
        <v>3930</v>
      </c>
      <c r="AD112" s="144">
        <v>0.52670000000000006</v>
      </c>
      <c r="AE112" s="145" t="s">
        <v>3930</v>
      </c>
      <c r="AF112" s="145" t="s">
        <v>3930</v>
      </c>
      <c r="AG112" s="145" t="s">
        <v>3930</v>
      </c>
      <c r="AH112" s="146">
        <v>9.3087287953413436E-7</v>
      </c>
      <c r="AI112" s="146">
        <v>1.7154008223518042E-3</v>
      </c>
      <c r="AJ112" s="147">
        <v>1.5023508275172203E-4</v>
      </c>
      <c r="AK112" s="177"/>
    </row>
    <row r="113" spans="1:37" ht="15" x14ac:dyDescent="0.2">
      <c r="A113" s="142" t="s">
        <v>1205</v>
      </c>
      <c r="B113" s="143" t="s">
        <v>1205</v>
      </c>
      <c r="C113" s="143" t="s">
        <v>1352</v>
      </c>
      <c r="D113" s="143" t="s">
        <v>1353</v>
      </c>
      <c r="E113" s="143" t="s">
        <v>309</v>
      </c>
      <c r="F113" s="143" t="s">
        <v>1354</v>
      </c>
      <c r="G113" s="143" t="s">
        <v>1355</v>
      </c>
      <c r="H113" s="143" t="s">
        <v>321</v>
      </c>
      <c r="I113" s="143" t="s">
        <v>951</v>
      </c>
      <c r="J113" s="143" t="s">
        <v>204</v>
      </c>
      <c r="K113" s="143" t="s">
        <v>204</v>
      </c>
      <c r="L113" s="143" t="s">
        <v>325</v>
      </c>
      <c r="M113" s="143" t="s">
        <v>340</v>
      </c>
      <c r="N113" s="143" t="s">
        <v>445</v>
      </c>
      <c r="O113" s="143" t="s">
        <v>339</v>
      </c>
      <c r="P113" s="143" t="s">
        <v>1356</v>
      </c>
      <c r="Q113" s="143" t="s">
        <v>413</v>
      </c>
      <c r="R113" s="143" t="s">
        <v>407</v>
      </c>
      <c r="S113" s="143" t="s">
        <v>1210</v>
      </c>
      <c r="T113" s="144">
        <v>5.12</v>
      </c>
      <c r="U113" s="143" t="s">
        <v>1295</v>
      </c>
      <c r="V113" s="146">
        <v>2.64E-2</v>
      </c>
      <c r="W113" s="146">
        <v>5.7553E-2</v>
      </c>
      <c r="X113" s="143" t="s">
        <v>412</v>
      </c>
      <c r="Y113" s="145" t="s">
        <v>3930</v>
      </c>
      <c r="Z113" s="144">
        <v>2099815.98</v>
      </c>
      <c r="AA113" s="145" t="s">
        <v>3930</v>
      </c>
      <c r="AB113" s="143" t="s">
        <v>1357</v>
      </c>
      <c r="AC113" s="145" t="s">
        <v>3930</v>
      </c>
      <c r="AD113" s="144">
        <v>1800.5922</v>
      </c>
      <c r="AE113" s="145" t="s">
        <v>3930</v>
      </c>
      <c r="AF113" s="145" t="s">
        <v>3930</v>
      </c>
      <c r="AG113" s="145" t="s">
        <v>3930</v>
      </c>
      <c r="AH113" s="146">
        <v>1.2833709728910108E-3</v>
      </c>
      <c r="AI113" s="146">
        <v>2.2170539098127429E-2</v>
      </c>
      <c r="AJ113" s="147">
        <v>2.6120975540623336E-3</v>
      </c>
      <c r="AK113" s="177"/>
    </row>
    <row r="114" spans="1:37" ht="15" x14ac:dyDescent="0.2">
      <c r="A114" s="142" t="s">
        <v>1205</v>
      </c>
      <c r="B114" s="143" t="s">
        <v>1205</v>
      </c>
      <c r="C114" s="143" t="s">
        <v>1401</v>
      </c>
      <c r="D114" s="143" t="s">
        <v>1402</v>
      </c>
      <c r="E114" s="143" t="s">
        <v>309</v>
      </c>
      <c r="F114" s="143" t="s">
        <v>1403</v>
      </c>
      <c r="G114" s="143" t="s">
        <v>1404</v>
      </c>
      <c r="H114" s="143" t="s">
        <v>321</v>
      </c>
      <c r="I114" s="143" t="s">
        <v>951</v>
      </c>
      <c r="J114" s="143" t="s">
        <v>204</v>
      </c>
      <c r="K114" s="143" t="s">
        <v>204</v>
      </c>
      <c r="L114" s="143" t="s">
        <v>325</v>
      </c>
      <c r="M114" s="143" t="s">
        <v>340</v>
      </c>
      <c r="N114" s="143" t="s">
        <v>484</v>
      </c>
      <c r="O114" s="143" t="s">
        <v>339</v>
      </c>
      <c r="P114" s="143" t="s">
        <v>1405</v>
      </c>
      <c r="Q114" s="143" t="s">
        <v>415</v>
      </c>
      <c r="R114" s="143" t="s">
        <v>407</v>
      </c>
      <c r="S114" s="143" t="s">
        <v>1210</v>
      </c>
      <c r="T114" s="144">
        <v>4.55</v>
      </c>
      <c r="U114" s="143" t="s">
        <v>1406</v>
      </c>
      <c r="V114" s="146">
        <v>5.5E-2</v>
      </c>
      <c r="W114" s="146">
        <v>6.1679999999999999E-2</v>
      </c>
      <c r="X114" s="143" t="s">
        <v>412</v>
      </c>
      <c r="Y114" s="145" t="s">
        <v>3930</v>
      </c>
      <c r="Z114" s="144">
        <v>1560621.74</v>
      </c>
      <c r="AA114" s="145" t="s">
        <v>3930</v>
      </c>
      <c r="AB114" s="143" t="s">
        <v>1407</v>
      </c>
      <c r="AC114" s="145" t="s">
        <v>3930</v>
      </c>
      <c r="AD114" s="144">
        <v>1524.1032</v>
      </c>
      <c r="AE114" s="145" t="s">
        <v>3930</v>
      </c>
      <c r="AF114" s="145" t="s">
        <v>3930</v>
      </c>
      <c r="AG114" s="145" t="s">
        <v>3930</v>
      </c>
      <c r="AH114" s="146">
        <v>1.5464299926749329E-3</v>
      </c>
      <c r="AI114" s="146">
        <v>1.8766153345804327E-2</v>
      </c>
      <c r="AJ114" s="147">
        <v>2.2109982547909449E-3</v>
      </c>
      <c r="AK114" s="177"/>
    </row>
    <row r="115" spans="1:37" ht="15" x14ac:dyDescent="0.2">
      <c r="A115" s="142" t="s">
        <v>1205</v>
      </c>
      <c r="B115" s="143" t="s">
        <v>1205</v>
      </c>
      <c r="C115" s="143" t="s">
        <v>1753</v>
      </c>
      <c r="D115" s="143" t="s">
        <v>1754</v>
      </c>
      <c r="E115" s="143" t="s">
        <v>309</v>
      </c>
      <c r="F115" s="143" t="s">
        <v>1755</v>
      </c>
      <c r="G115" s="143" t="s">
        <v>1756</v>
      </c>
      <c r="H115" s="143" t="s">
        <v>321</v>
      </c>
      <c r="I115" s="143" t="s">
        <v>951</v>
      </c>
      <c r="J115" s="143" t="s">
        <v>204</v>
      </c>
      <c r="K115" s="143" t="s">
        <v>204</v>
      </c>
      <c r="L115" s="143" t="s">
        <v>325</v>
      </c>
      <c r="M115" s="143" t="s">
        <v>340</v>
      </c>
      <c r="N115" s="143" t="s">
        <v>440</v>
      </c>
      <c r="O115" s="143" t="s">
        <v>339</v>
      </c>
      <c r="P115" s="143" t="s">
        <v>1398</v>
      </c>
      <c r="Q115" s="143" t="s">
        <v>413</v>
      </c>
      <c r="R115" s="143" t="s">
        <v>407</v>
      </c>
      <c r="S115" s="143" t="s">
        <v>1210</v>
      </c>
      <c r="T115" s="144">
        <v>4.5999999999999996</v>
      </c>
      <c r="U115" s="143" t="s">
        <v>1757</v>
      </c>
      <c r="V115" s="146">
        <v>5.7500000000000002E-2</v>
      </c>
      <c r="W115" s="146">
        <v>6.4191999999999999E-2</v>
      </c>
      <c r="X115" s="143" t="s">
        <v>412</v>
      </c>
      <c r="Y115" s="145" t="s">
        <v>3930</v>
      </c>
      <c r="Z115" s="144">
        <v>1219000</v>
      </c>
      <c r="AA115" s="145" t="s">
        <v>3930</v>
      </c>
      <c r="AB115" s="143" t="s">
        <v>1758</v>
      </c>
      <c r="AC115" s="145" t="s">
        <v>3930</v>
      </c>
      <c r="AD115" s="144">
        <v>1188.6469</v>
      </c>
      <c r="AE115" s="145" t="s">
        <v>3930</v>
      </c>
      <c r="AF115" s="145" t="s">
        <v>3930</v>
      </c>
      <c r="AG115" s="145" t="s">
        <v>3930</v>
      </c>
      <c r="AH115" s="146">
        <v>2.321904761904762E-3</v>
      </c>
      <c r="AI115" s="146">
        <v>1.4635708478913878E-2</v>
      </c>
      <c r="AJ115" s="147">
        <v>1.7243558287208846E-3</v>
      </c>
      <c r="AK115" s="177"/>
    </row>
    <row r="116" spans="1:37" ht="15" x14ac:dyDescent="0.2">
      <c r="A116" s="142" t="s">
        <v>1205</v>
      </c>
      <c r="B116" s="143" t="s">
        <v>1205</v>
      </c>
      <c r="C116" s="143" t="s">
        <v>1388</v>
      </c>
      <c r="D116" s="143" t="s">
        <v>1389</v>
      </c>
      <c r="E116" s="143" t="s">
        <v>309</v>
      </c>
      <c r="F116" s="143" t="s">
        <v>1390</v>
      </c>
      <c r="G116" s="143" t="s">
        <v>1391</v>
      </c>
      <c r="H116" s="143" t="s">
        <v>321</v>
      </c>
      <c r="I116" s="143" t="s">
        <v>951</v>
      </c>
      <c r="J116" s="143" t="s">
        <v>204</v>
      </c>
      <c r="K116" s="143" t="s">
        <v>204</v>
      </c>
      <c r="L116" s="143" t="s">
        <v>325</v>
      </c>
      <c r="M116" s="143" t="s">
        <v>340</v>
      </c>
      <c r="N116" s="143" t="s">
        <v>445</v>
      </c>
      <c r="O116" s="143" t="s">
        <v>339</v>
      </c>
      <c r="P116" s="143" t="s">
        <v>1356</v>
      </c>
      <c r="Q116" s="143" t="s">
        <v>413</v>
      </c>
      <c r="R116" s="143" t="s">
        <v>407</v>
      </c>
      <c r="S116" s="143" t="s">
        <v>1210</v>
      </c>
      <c r="T116" s="144">
        <v>5.16</v>
      </c>
      <c r="U116" s="143" t="s">
        <v>1392</v>
      </c>
      <c r="V116" s="146">
        <v>5.2499999999999998E-2</v>
      </c>
      <c r="W116" s="146">
        <v>5.6903000000000002E-2</v>
      </c>
      <c r="X116" s="143" t="s">
        <v>412</v>
      </c>
      <c r="Y116" s="145" t="s">
        <v>3930</v>
      </c>
      <c r="Z116" s="144">
        <v>869000</v>
      </c>
      <c r="AA116" s="145" t="s">
        <v>3930</v>
      </c>
      <c r="AB116" s="143" t="s">
        <v>1393</v>
      </c>
      <c r="AC116" s="145" t="s">
        <v>3930</v>
      </c>
      <c r="AD116" s="144">
        <v>871.8676999999999</v>
      </c>
      <c r="AE116" s="145" t="s">
        <v>3930</v>
      </c>
      <c r="AF116" s="145" t="s">
        <v>3930</v>
      </c>
      <c r="AG116" s="145" t="s">
        <v>3930</v>
      </c>
      <c r="AH116" s="146">
        <v>1.738E-3</v>
      </c>
      <c r="AI116" s="146">
        <v>1.0735233053130531E-2</v>
      </c>
      <c r="AJ116" s="147">
        <v>1.2648080353959378E-3</v>
      </c>
      <c r="AK116" s="177"/>
    </row>
    <row r="117" spans="1:37" ht="15" x14ac:dyDescent="0.2">
      <c r="A117" s="142" t="s">
        <v>1205</v>
      </c>
      <c r="B117" s="143" t="s">
        <v>1205</v>
      </c>
      <c r="C117" s="143" t="s">
        <v>1555</v>
      </c>
      <c r="D117" s="143" t="s">
        <v>1556</v>
      </c>
      <c r="E117" s="143" t="s">
        <v>309</v>
      </c>
      <c r="F117" s="143" t="s">
        <v>1759</v>
      </c>
      <c r="G117" s="143" t="s">
        <v>1760</v>
      </c>
      <c r="H117" s="143" t="s">
        <v>321</v>
      </c>
      <c r="I117" s="143" t="s">
        <v>951</v>
      </c>
      <c r="J117" s="143" t="s">
        <v>204</v>
      </c>
      <c r="K117" s="143" t="s">
        <v>204</v>
      </c>
      <c r="L117" s="143" t="s">
        <v>325</v>
      </c>
      <c r="M117" s="143" t="s">
        <v>340</v>
      </c>
      <c r="N117" s="143" t="s">
        <v>464</v>
      </c>
      <c r="O117" s="143" t="s">
        <v>339</v>
      </c>
      <c r="P117" s="143" t="s">
        <v>1412</v>
      </c>
      <c r="Q117" s="143" t="s">
        <v>413</v>
      </c>
      <c r="R117" s="143" t="s">
        <v>407</v>
      </c>
      <c r="S117" s="143" t="s">
        <v>1210</v>
      </c>
      <c r="T117" s="144">
        <v>5.25</v>
      </c>
      <c r="U117" s="143" t="s">
        <v>1761</v>
      </c>
      <c r="V117" s="146">
        <v>2.4400000000000002E-2</v>
      </c>
      <c r="W117" s="146">
        <v>5.8953999999999999E-2</v>
      </c>
      <c r="X117" s="143" t="s">
        <v>412</v>
      </c>
      <c r="Y117" s="145" t="s">
        <v>3930</v>
      </c>
      <c r="Z117" s="144">
        <v>900000</v>
      </c>
      <c r="AA117" s="145" t="s">
        <v>3930</v>
      </c>
      <c r="AB117" s="143" t="s">
        <v>1762</v>
      </c>
      <c r="AC117" s="145" t="s">
        <v>3930</v>
      </c>
      <c r="AD117" s="144">
        <v>767.97</v>
      </c>
      <c r="AE117" s="145" t="s">
        <v>3930</v>
      </c>
      <c r="AF117" s="145" t="s">
        <v>3930</v>
      </c>
      <c r="AG117" s="145" t="s">
        <v>3930</v>
      </c>
      <c r="AH117" s="146">
        <v>7.405347319017426E-4</v>
      </c>
      <c r="AI117" s="146">
        <v>9.4559494838639558E-3</v>
      </c>
      <c r="AJ117" s="147">
        <v>1.1140848857493153E-3</v>
      </c>
      <c r="AK117" s="177"/>
    </row>
    <row r="118" spans="1:37" ht="15" x14ac:dyDescent="0.2">
      <c r="A118" s="142" t="s">
        <v>1205</v>
      </c>
      <c r="B118" s="143" t="s">
        <v>1205</v>
      </c>
      <c r="C118" s="143" t="s">
        <v>1763</v>
      </c>
      <c r="D118" s="143" t="s">
        <v>1764</v>
      </c>
      <c r="E118" s="143" t="s">
        <v>309</v>
      </c>
      <c r="F118" s="143" t="s">
        <v>1765</v>
      </c>
      <c r="G118" s="143" t="s">
        <v>1766</v>
      </c>
      <c r="H118" s="143" t="s">
        <v>321</v>
      </c>
      <c r="I118" s="143" t="s">
        <v>951</v>
      </c>
      <c r="J118" s="143" t="s">
        <v>204</v>
      </c>
      <c r="K118" s="143" t="s">
        <v>204</v>
      </c>
      <c r="L118" s="143" t="s">
        <v>325</v>
      </c>
      <c r="M118" s="143" t="s">
        <v>340</v>
      </c>
      <c r="N118" s="143" t="s">
        <v>445</v>
      </c>
      <c r="O118" s="143" t="s">
        <v>339</v>
      </c>
      <c r="P118" s="143" t="s">
        <v>1368</v>
      </c>
      <c r="Q118" s="143" t="s">
        <v>415</v>
      </c>
      <c r="R118" s="143" t="s">
        <v>407</v>
      </c>
      <c r="S118" s="143" t="s">
        <v>1210</v>
      </c>
      <c r="T118" s="144">
        <v>4.95</v>
      </c>
      <c r="U118" s="143" t="s">
        <v>1767</v>
      </c>
      <c r="V118" s="146">
        <v>1.95E-2</v>
      </c>
      <c r="W118" s="146">
        <v>5.8153999999999997E-2</v>
      </c>
      <c r="X118" s="143" t="s">
        <v>412</v>
      </c>
      <c r="Y118" s="145" t="s">
        <v>3930</v>
      </c>
      <c r="Z118" s="144">
        <v>920051.76</v>
      </c>
      <c r="AA118" s="145" t="s">
        <v>3930</v>
      </c>
      <c r="AB118" s="143" t="s">
        <v>1768</v>
      </c>
      <c r="AC118" s="145" t="s">
        <v>3930</v>
      </c>
      <c r="AD118" s="144">
        <v>764.37900000000002</v>
      </c>
      <c r="AE118" s="145" t="s">
        <v>3930</v>
      </c>
      <c r="AF118" s="145" t="s">
        <v>3930</v>
      </c>
      <c r="AG118" s="145" t="s">
        <v>3930</v>
      </c>
      <c r="AH118" s="146">
        <v>8.7714421822249308E-4</v>
      </c>
      <c r="AI118" s="146">
        <v>9.4117338325783347E-3</v>
      </c>
      <c r="AJ118" s="147">
        <v>1.1088754682397428E-3</v>
      </c>
      <c r="AK118" s="177"/>
    </row>
    <row r="119" spans="1:37" ht="15" x14ac:dyDescent="0.2">
      <c r="A119" s="142" t="s">
        <v>1205</v>
      </c>
      <c r="B119" s="143" t="s">
        <v>1205</v>
      </c>
      <c r="C119" s="143" t="s">
        <v>1388</v>
      </c>
      <c r="D119" s="143" t="s">
        <v>1389</v>
      </c>
      <c r="E119" s="143" t="s">
        <v>309</v>
      </c>
      <c r="F119" s="143" t="s">
        <v>1769</v>
      </c>
      <c r="G119" s="143" t="s">
        <v>1770</v>
      </c>
      <c r="H119" s="143" t="s">
        <v>321</v>
      </c>
      <c r="I119" s="143" t="s">
        <v>951</v>
      </c>
      <c r="J119" s="143" t="s">
        <v>204</v>
      </c>
      <c r="K119" s="143" t="s">
        <v>204</v>
      </c>
      <c r="L119" s="143" t="s">
        <v>325</v>
      </c>
      <c r="M119" s="143" t="s">
        <v>340</v>
      </c>
      <c r="N119" s="143" t="s">
        <v>445</v>
      </c>
      <c r="O119" s="143" t="s">
        <v>339</v>
      </c>
      <c r="P119" s="143" t="s">
        <v>1356</v>
      </c>
      <c r="Q119" s="143" t="s">
        <v>413</v>
      </c>
      <c r="R119" s="143" t="s">
        <v>407</v>
      </c>
      <c r="S119" s="143" t="s">
        <v>1210</v>
      </c>
      <c r="T119" s="144">
        <v>3.15</v>
      </c>
      <c r="U119" s="143" t="s">
        <v>1771</v>
      </c>
      <c r="V119" s="146">
        <v>4.7E-2</v>
      </c>
      <c r="W119" s="146">
        <v>5.4566000000000003E-2</v>
      </c>
      <c r="X119" s="143" t="s">
        <v>412</v>
      </c>
      <c r="Y119" s="145" t="s">
        <v>3930</v>
      </c>
      <c r="Z119" s="144">
        <v>739000</v>
      </c>
      <c r="AA119" s="145" t="s">
        <v>3930</v>
      </c>
      <c r="AB119" s="143" t="s">
        <v>1772</v>
      </c>
      <c r="AC119" s="145" t="s">
        <v>3930</v>
      </c>
      <c r="AD119" s="144">
        <v>741.80819999999994</v>
      </c>
      <c r="AE119" s="145" t="s">
        <v>3930</v>
      </c>
      <c r="AF119" s="145" t="s">
        <v>3930</v>
      </c>
      <c r="AG119" s="145" t="s">
        <v>3930</v>
      </c>
      <c r="AH119" s="146">
        <v>8.2193304415526642E-4</v>
      </c>
      <c r="AI119" s="146">
        <v>9.1338214590622677E-3</v>
      </c>
      <c r="AJ119" s="147">
        <v>1.0761322756681969E-3</v>
      </c>
      <c r="AK119" s="177"/>
    </row>
    <row r="120" spans="1:37" ht="15" x14ac:dyDescent="0.2">
      <c r="A120" s="142" t="s">
        <v>1205</v>
      </c>
      <c r="B120" s="143" t="s">
        <v>1205</v>
      </c>
      <c r="C120" s="143" t="s">
        <v>1352</v>
      </c>
      <c r="D120" s="143" t="s">
        <v>1353</v>
      </c>
      <c r="E120" s="143" t="s">
        <v>309</v>
      </c>
      <c r="F120" s="143" t="s">
        <v>1378</v>
      </c>
      <c r="G120" s="143" t="s">
        <v>1379</v>
      </c>
      <c r="H120" s="143" t="s">
        <v>321</v>
      </c>
      <c r="I120" s="143" t="s">
        <v>951</v>
      </c>
      <c r="J120" s="143" t="s">
        <v>204</v>
      </c>
      <c r="K120" s="143" t="s">
        <v>204</v>
      </c>
      <c r="L120" s="143" t="s">
        <v>325</v>
      </c>
      <c r="M120" s="143" t="s">
        <v>340</v>
      </c>
      <c r="N120" s="143" t="s">
        <v>445</v>
      </c>
      <c r="O120" s="143" t="s">
        <v>339</v>
      </c>
      <c r="P120" s="143" t="s">
        <v>1356</v>
      </c>
      <c r="Q120" s="143" t="s">
        <v>413</v>
      </c>
      <c r="R120" s="143" t="s">
        <v>407</v>
      </c>
      <c r="S120" s="143" t="s">
        <v>1210</v>
      </c>
      <c r="T120" s="144">
        <v>7.65</v>
      </c>
      <c r="U120" s="143" t="s">
        <v>1380</v>
      </c>
      <c r="V120" s="146">
        <v>5.3100000000000001E-2</v>
      </c>
      <c r="W120" s="146">
        <v>6.0852000000000003E-2</v>
      </c>
      <c r="X120" s="143" t="s">
        <v>412</v>
      </c>
      <c r="Y120" s="145" t="s">
        <v>3930</v>
      </c>
      <c r="Z120" s="144">
        <v>758826.55</v>
      </c>
      <c r="AA120" s="145" t="s">
        <v>3930</v>
      </c>
      <c r="AB120" s="143" t="s">
        <v>1381</v>
      </c>
      <c r="AC120" s="145" t="s">
        <v>3930</v>
      </c>
      <c r="AD120" s="144">
        <v>726.3488000000001</v>
      </c>
      <c r="AE120" s="145" t="s">
        <v>3930</v>
      </c>
      <c r="AF120" s="145" t="s">
        <v>3930</v>
      </c>
      <c r="AG120" s="145" t="s">
        <v>3930</v>
      </c>
      <c r="AH120" s="146">
        <v>5.9591487864264325E-4</v>
      </c>
      <c r="AI120" s="146">
        <v>8.9434708535430993E-3</v>
      </c>
      <c r="AJ120" s="147">
        <v>1.0537054709391727E-3</v>
      </c>
      <c r="AK120" s="177"/>
    </row>
    <row r="121" spans="1:37" ht="15" x14ac:dyDescent="0.2">
      <c r="A121" s="142" t="s">
        <v>1205</v>
      </c>
      <c r="B121" s="143" t="s">
        <v>1205</v>
      </c>
      <c r="C121" s="143" t="s">
        <v>1421</v>
      </c>
      <c r="D121" s="143" t="s">
        <v>1422</v>
      </c>
      <c r="E121" s="143" t="s">
        <v>309</v>
      </c>
      <c r="F121" s="143" t="s">
        <v>1773</v>
      </c>
      <c r="G121" s="143" t="s">
        <v>1774</v>
      </c>
      <c r="H121" s="143" t="s">
        <v>321</v>
      </c>
      <c r="I121" s="143" t="s">
        <v>951</v>
      </c>
      <c r="J121" s="143" t="s">
        <v>204</v>
      </c>
      <c r="K121" s="143" t="s">
        <v>204</v>
      </c>
      <c r="L121" s="143" t="s">
        <v>325</v>
      </c>
      <c r="M121" s="143" t="s">
        <v>340</v>
      </c>
      <c r="N121" s="143" t="s">
        <v>445</v>
      </c>
      <c r="O121" s="143" t="s">
        <v>339</v>
      </c>
      <c r="P121" s="143" t="s">
        <v>1356</v>
      </c>
      <c r="Q121" s="143" t="s">
        <v>413</v>
      </c>
      <c r="R121" s="143" t="s">
        <v>407</v>
      </c>
      <c r="S121" s="143" t="s">
        <v>1210</v>
      </c>
      <c r="T121" s="144">
        <v>7.13</v>
      </c>
      <c r="U121" s="143" t="s">
        <v>1775</v>
      </c>
      <c r="V121" s="146">
        <v>6.0199999999999997E-2</v>
      </c>
      <c r="W121" s="146">
        <v>5.9956000000000002E-2</v>
      </c>
      <c r="X121" s="143" t="s">
        <v>412</v>
      </c>
      <c r="Y121" s="145" t="s">
        <v>3930</v>
      </c>
      <c r="Z121" s="144">
        <v>660000</v>
      </c>
      <c r="AA121" s="145" t="s">
        <v>3930</v>
      </c>
      <c r="AB121" s="143" t="s">
        <v>1776</v>
      </c>
      <c r="AC121" s="145" t="s">
        <v>3930</v>
      </c>
      <c r="AD121" s="144">
        <v>675.048</v>
      </c>
      <c r="AE121" s="145" t="s">
        <v>3930</v>
      </c>
      <c r="AF121" s="145" t="s">
        <v>3930</v>
      </c>
      <c r="AG121" s="145" t="s">
        <v>3930</v>
      </c>
      <c r="AH121" s="146">
        <v>1.32E-3</v>
      </c>
      <c r="AI121" s="146">
        <v>8.3118087779254345E-3</v>
      </c>
      <c r="AJ121" s="147">
        <v>9.7928405270427733E-4</v>
      </c>
      <c r="AK121" s="177"/>
    </row>
    <row r="122" spans="1:37" ht="15" x14ac:dyDescent="0.2">
      <c r="A122" s="142" t="s">
        <v>1205</v>
      </c>
      <c r="B122" s="143" t="s">
        <v>1205</v>
      </c>
      <c r="C122" s="143" t="s">
        <v>1358</v>
      </c>
      <c r="D122" s="143" t="s">
        <v>1359</v>
      </c>
      <c r="E122" s="143" t="s">
        <v>309</v>
      </c>
      <c r="F122" s="143" t="s">
        <v>1777</v>
      </c>
      <c r="G122" s="143" t="s">
        <v>1778</v>
      </c>
      <c r="H122" s="143" t="s">
        <v>321</v>
      </c>
      <c r="I122" s="143" t="s">
        <v>951</v>
      </c>
      <c r="J122" s="143" t="s">
        <v>204</v>
      </c>
      <c r="K122" s="143" t="s">
        <v>204</v>
      </c>
      <c r="L122" s="143" t="s">
        <v>325</v>
      </c>
      <c r="M122" s="143" t="s">
        <v>340</v>
      </c>
      <c r="N122" s="143" t="s">
        <v>448</v>
      </c>
      <c r="O122" s="143" t="s">
        <v>339</v>
      </c>
      <c r="P122" s="143" t="s">
        <v>1303</v>
      </c>
      <c r="Q122" s="143" t="s">
        <v>413</v>
      </c>
      <c r="R122" s="143" t="s">
        <v>407</v>
      </c>
      <c r="S122" s="143" t="s">
        <v>1210</v>
      </c>
      <c r="T122" s="144">
        <v>3.23</v>
      </c>
      <c r="U122" s="143" t="s">
        <v>1779</v>
      </c>
      <c r="V122" s="146">
        <v>2.7400000000000001E-2</v>
      </c>
      <c r="W122" s="146">
        <v>5.1409999999999997E-2</v>
      </c>
      <c r="X122" s="143" t="s">
        <v>412</v>
      </c>
      <c r="Y122" s="145" t="s">
        <v>3930</v>
      </c>
      <c r="Z122" s="144">
        <v>700020.03</v>
      </c>
      <c r="AA122" s="145" t="s">
        <v>3930</v>
      </c>
      <c r="AB122" s="143" t="s">
        <v>1780</v>
      </c>
      <c r="AC122" s="145" t="s">
        <v>3930</v>
      </c>
      <c r="AD122" s="144">
        <v>657.24880000000007</v>
      </c>
      <c r="AE122" s="145" t="s">
        <v>3930</v>
      </c>
      <c r="AF122" s="145" t="s">
        <v>3930</v>
      </c>
      <c r="AG122" s="145" t="s">
        <v>3930</v>
      </c>
      <c r="AH122" s="146">
        <v>4.6728610035245136E-4</v>
      </c>
      <c r="AI122" s="146">
        <v>8.0926488136841869E-3</v>
      </c>
      <c r="AJ122" s="147">
        <v>9.5346297528215438E-4</v>
      </c>
      <c r="AK122" s="177"/>
    </row>
    <row r="123" spans="1:37" ht="15" x14ac:dyDescent="0.2">
      <c r="A123" s="142" t="s">
        <v>1205</v>
      </c>
      <c r="B123" s="143" t="s">
        <v>1205</v>
      </c>
      <c r="C123" s="143" t="s">
        <v>1692</v>
      </c>
      <c r="D123" s="143" t="s">
        <v>1693</v>
      </c>
      <c r="E123" s="143" t="s">
        <v>309</v>
      </c>
      <c r="F123" s="143" t="s">
        <v>1781</v>
      </c>
      <c r="G123" s="143" t="s">
        <v>1782</v>
      </c>
      <c r="H123" s="143" t="s">
        <v>321</v>
      </c>
      <c r="I123" s="143" t="s">
        <v>951</v>
      </c>
      <c r="J123" s="143" t="s">
        <v>204</v>
      </c>
      <c r="K123" s="143" t="s">
        <v>204</v>
      </c>
      <c r="L123" s="143" t="s">
        <v>325</v>
      </c>
      <c r="M123" s="143" t="s">
        <v>340</v>
      </c>
      <c r="N123" s="143" t="s">
        <v>465</v>
      </c>
      <c r="O123" s="143" t="s">
        <v>339</v>
      </c>
      <c r="P123" s="143" t="s">
        <v>1412</v>
      </c>
      <c r="Q123" s="143" t="s">
        <v>413</v>
      </c>
      <c r="R123" s="143" t="s">
        <v>407</v>
      </c>
      <c r="S123" s="143" t="s">
        <v>1210</v>
      </c>
      <c r="T123" s="144">
        <v>4.5</v>
      </c>
      <c r="U123" s="143" t="s">
        <v>1638</v>
      </c>
      <c r="V123" s="146">
        <v>6.7400000000000002E-2</v>
      </c>
      <c r="W123" s="146">
        <v>6.6975999999999994E-2</v>
      </c>
      <c r="X123" s="143" t="s">
        <v>412</v>
      </c>
      <c r="Y123" s="145" t="s">
        <v>3930</v>
      </c>
      <c r="Z123" s="144">
        <v>648000</v>
      </c>
      <c r="AA123" s="145" t="s">
        <v>3930</v>
      </c>
      <c r="AB123" s="143" t="s">
        <v>1783</v>
      </c>
      <c r="AC123" s="145" t="s">
        <v>3930</v>
      </c>
      <c r="AD123" s="144">
        <v>652.34159999999997</v>
      </c>
      <c r="AE123" s="145" t="s">
        <v>3930</v>
      </c>
      <c r="AF123" s="145" t="s">
        <v>3930</v>
      </c>
      <c r="AG123" s="145" t="s">
        <v>3930</v>
      </c>
      <c r="AH123" s="146">
        <v>2.2736842105263158E-3</v>
      </c>
      <c r="AI123" s="146">
        <v>8.0322268002955676E-3</v>
      </c>
      <c r="AJ123" s="147">
        <v>9.4634415003909725E-4</v>
      </c>
      <c r="AK123" s="177"/>
    </row>
    <row r="124" spans="1:37" ht="15" x14ac:dyDescent="0.2">
      <c r="A124" s="142" t="s">
        <v>1205</v>
      </c>
      <c r="B124" s="143" t="s">
        <v>1205</v>
      </c>
      <c r="C124" s="143" t="s">
        <v>1434</v>
      </c>
      <c r="D124" s="143" t="s">
        <v>1435</v>
      </c>
      <c r="E124" s="143" t="s">
        <v>309</v>
      </c>
      <c r="F124" s="143" t="s">
        <v>1654</v>
      </c>
      <c r="G124" s="143" t="s">
        <v>1655</v>
      </c>
      <c r="H124" s="143" t="s">
        <v>321</v>
      </c>
      <c r="I124" s="143" t="s">
        <v>951</v>
      </c>
      <c r="J124" s="143" t="s">
        <v>204</v>
      </c>
      <c r="K124" s="143" t="s">
        <v>204</v>
      </c>
      <c r="L124" s="143" t="s">
        <v>325</v>
      </c>
      <c r="M124" s="143" t="s">
        <v>340</v>
      </c>
      <c r="N124" s="143" t="s">
        <v>484</v>
      </c>
      <c r="O124" s="143" t="s">
        <v>339</v>
      </c>
      <c r="P124" s="143" t="s">
        <v>1398</v>
      </c>
      <c r="Q124" s="143" t="s">
        <v>413</v>
      </c>
      <c r="R124" s="143" t="s">
        <v>407</v>
      </c>
      <c r="S124" s="143" t="s">
        <v>1210</v>
      </c>
      <c r="T124" s="144">
        <v>3.24</v>
      </c>
      <c r="U124" s="143" t="s">
        <v>1656</v>
      </c>
      <c r="V124" s="146">
        <v>4.7300000000000002E-2</v>
      </c>
      <c r="W124" s="146">
        <v>5.6408E-2</v>
      </c>
      <c r="X124" s="143" t="s">
        <v>412</v>
      </c>
      <c r="Y124" s="145" t="s">
        <v>3930</v>
      </c>
      <c r="Z124" s="144">
        <v>650000</v>
      </c>
      <c r="AA124" s="145" t="s">
        <v>3930</v>
      </c>
      <c r="AB124" s="143" t="s">
        <v>1657</v>
      </c>
      <c r="AC124" s="145" t="s">
        <v>3930</v>
      </c>
      <c r="AD124" s="144">
        <v>639.86</v>
      </c>
      <c r="AE124" s="145" t="s">
        <v>3930</v>
      </c>
      <c r="AF124" s="145" t="s">
        <v>3930</v>
      </c>
      <c r="AG124" s="145" t="s">
        <v>3930</v>
      </c>
      <c r="AH124" s="146">
        <v>1.6459238063887165E-3</v>
      </c>
      <c r="AI124" s="146">
        <v>7.8785419179723051E-3</v>
      </c>
      <c r="AJ124" s="147">
        <v>9.2823724233441008E-4</v>
      </c>
      <c r="AK124" s="177"/>
    </row>
    <row r="125" spans="1:37" ht="15" x14ac:dyDescent="0.2">
      <c r="A125" s="142" t="s">
        <v>1205</v>
      </c>
      <c r="B125" s="143" t="s">
        <v>1205</v>
      </c>
      <c r="C125" s="143" t="s">
        <v>1658</v>
      </c>
      <c r="D125" s="143" t="s">
        <v>1659</v>
      </c>
      <c r="E125" s="143" t="s">
        <v>309</v>
      </c>
      <c r="F125" s="143" t="s">
        <v>1660</v>
      </c>
      <c r="G125" s="143" t="s">
        <v>1661</v>
      </c>
      <c r="H125" s="143" t="s">
        <v>321</v>
      </c>
      <c r="I125" s="143" t="s">
        <v>951</v>
      </c>
      <c r="J125" s="143" t="s">
        <v>204</v>
      </c>
      <c r="K125" s="143" t="s">
        <v>204</v>
      </c>
      <c r="L125" s="143" t="s">
        <v>325</v>
      </c>
      <c r="M125" s="143" t="s">
        <v>340</v>
      </c>
      <c r="N125" s="143" t="s">
        <v>447</v>
      </c>
      <c r="O125" s="143" t="s">
        <v>339</v>
      </c>
      <c r="P125" s="143" t="s">
        <v>1405</v>
      </c>
      <c r="Q125" s="143" t="s">
        <v>415</v>
      </c>
      <c r="R125" s="143" t="s">
        <v>407</v>
      </c>
      <c r="S125" s="143" t="s">
        <v>1210</v>
      </c>
      <c r="T125" s="144">
        <v>2.2400000000000002</v>
      </c>
      <c r="U125" s="143" t="s">
        <v>1426</v>
      </c>
      <c r="V125" s="146">
        <v>4.53E-2</v>
      </c>
      <c r="W125" s="146">
        <v>6.3292000000000001E-2</v>
      </c>
      <c r="X125" s="143" t="s">
        <v>412</v>
      </c>
      <c r="Y125" s="145" t="s">
        <v>3930</v>
      </c>
      <c r="Z125" s="144">
        <v>632765</v>
      </c>
      <c r="AA125" s="145" t="s">
        <v>3930</v>
      </c>
      <c r="AB125" s="143" t="s">
        <v>1662</v>
      </c>
      <c r="AC125" s="145" t="s">
        <v>3930</v>
      </c>
      <c r="AD125" s="144">
        <v>616.50290000000007</v>
      </c>
      <c r="AE125" s="145" t="s">
        <v>3930</v>
      </c>
      <c r="AF125" s="145" t="s">
        <v>3930</v>
      </c>
      <c r="AG125" s="145" t="s">
        <v>3930</v>
      </c>
      <c r="AH125" s="146">
        <v>9.0395000000000004E-4</v>
      </c>
      <c r="AI125" s="146">
        <v>7.5909484127838801E-3</v>
      </c>
      <c r="AJ125" s="147">
        <v>8.9435343427083681E-4</v>
      </c>
      <c r="AK125" s="177"/>
    </row>
    <row r="126" spans="1:37" ht="15" x14ac:dyDescent="0.2">
      <c r="A126" s="142" t="s">
        <v>1205</v>
      </c>
      <c r="B126" s="143" t="s">
        <v>1205</v>
      </c>
      <c r="C126" s="143" t="s">
        <v>1671</v>
      </c>
      <c r="D126" s="143" t="s">
        <v>1672</v>
      </c>
      <c r="E126" s="143" t="s">
        <v>309</v>
      </c>
      <c r="F126" s="143" t="s">
        <v>1784</v>
      </c>
      <c r="G126" s="143" t="s">
        <v>1785</v>
      </c>
      <c r="H126" s="143" t="s">
        <v>321</v>
      </c>
      <c r="I126" s="143" t="s">
        <v>951</v>
      </c>
      <c r="J126" s="143" t="s">
        <v>204</v>
      </c>
      <c r="K126" s="143" t="s">
        <v>204</v>
      </c>
      <c r="L126" s="143" t="s">
        <v>325</v>
      </c>
      <c r="M126" s="143" t="s">
        <v>340</v>
      </c>
      <c r="N126" s="143" t="s">
        <v>464</v>
      </c>
      <c r="O126" s="143" t="s">
        <v>339</v>
      </c>
      <c r="P126" s="143" t="s">
        <v>1444</v>
      </c>
      <c r="Q126" s="143" t="s">
        <v>415</v>
      </c>
      <c r="R126" s="143" t="s">
        <v>407</v>
      </c>
      <c r="S126" s="143" t="s">
        <v>1210</v>
      </c>
      <c r="T126" s="144">
        <v>5.31</v>
      </c>
      <c r="U126" s="143" t="s">
        <v>1786</v>
      </c>
      <c r="V126" s="146">
        <v>5.4800000000000001E-2</v>
      </c>
      <c r="W126" s="146">
        <v>6.1699999999999998E-2</v>
      </c>
      <c r="X126" s="143" t="s">
        <v>412</v>
      </c>
      <c r="Y126" s="145" t="s">
        <v>3930</v>
      </c>
      <c r="Z126" s="144">
        <v>620000</v>
      </c>
      <c r="AA126" s="145" t="s">
        <v>3930</v>
      </c>
      <c r="AB126" s="143" t="s">
        <v>1787</v>
      </c>
      <c r="AC126" s="145" t="s">
        <v>3930</v>
      </c>
      <c r="AD126" s="144">
        <v>608.40599999999995</v>
      </c>
      <c r="AE126" s="145" t="s">
        <v>3930</v>
      </c>
      <c r="AF126" s="145" t="s">
        <v>3930</v>
      </c>
      <c r="AG126" s="145" t="s">
        <v>3930</v>
      </c>
      <c r="AH126" s="146">
        <v>2.0666666666666667E-3</v>
      </c>
      <c r="AI126" s="146">
        <v>7.4912514833648889E-3</v>
      </c>
      <c r="AJ126" s="147">
        <v>8.826073010654035E-4</v>
      </c>
      <c r="AK126" s="177"/>
    </row>
    <row r="127" spans="1:37" ht="15" x14ac:dyDescent="0.2">
      <c r="A127" s="142" t="s">
        <v>1205</v>
      </c>
      <c r="B127" s="143" t="s">
        <v>1205</v>
      </c>
      <c r="C127" s="143" t="s">
        <v>1421</v>
      </c>
      <c r="D127" s="143" t="s">
        <v>1422</v>
      </c>
      <c r="E127" s="143" t="s">
        <v>309</v>
      </c>
      <c r="F127" s="143" t="s">
        <v>1423</v>
      </c>
      <c r="G127" s="143" t="s">
        <v>1424</v>
      </c>
      <c r="H127" s="143" t="s">
        <v>321</v>
      </c>
      <c r="I127" s="143" t="s">
        <v>951</v>
      </c>
      <c r="J127" s="143" t="s">
        <v>204</v>
      </c>
      <c r="K127" s="143" t="s">
        <v>204</v>
      </c>
      <c r="L127" s="143" t="s">
        <v>325</v>
      </c>
      <c r="M127" s="143" t="s">
        <v>340</v>
      </c>
      <c r="N127" s="143" t="s">
        <v>445</v>
      </c>
      <c r="O127" s="143" t="s">
        <v>339</v>
      </c>
      <c r="P127" s="143" t="s">
        <v>1425</v>
      </c>
      <c r="Q127" s="143" t="s">
        <v>415</v>
      </c>
      <c r="R127" s="143" t="s">
        <v>407</v>
      </c>
      <c r="S127" s="143" t="s">
        <v>1210</v>
      </c>
      <c r="T127" s="144">
        <v>3.03</v>
      </c>
      <c r="U127" s="143" t="s">
        <v>1426</v>
      </c>
      <c r="V127" s="146">
        <v>4.36E-2</v>
      </c>
      <c r="W127" s="146">
        <v>4.9925999999999998E-2</v>
      </c>
      <c r="X127" s="143" t="s">
        <v>412</v>
      </c>
      <c r="Y127" s="145" t="s">
        <v>3930</v>
      </c>
      <c r="Z127" s="144">
        <v>589000</v>
      </c>
      <c r="AA127" s="145" t="s">
        <v>3930</v>
      </c>
      <c r="AB127" s="143" t="s">
        <v>1427</v>
      </c>
      <c r="AC127" s="145" t="s">
        <v>3930</v>
      </c>
      <c r="AD127" s="144">
        <v>586.34950000000003</v>
      </c>
      <c r="AE127" s="145" t="s">
        <v>3930</v>
      </c>
      <c r="AF127" s="145" t="s">
        <v>3930</v>
      </c>
      <c r="AG127" s="145" t="s">
        <v>3930</v>
      </c>
      <c r="AH127" s="146">
        <v>1.9633333333333334E-3</v>
      </c>
      <c r="AI127" s="146">
        <v>7.2196716693215734E-3</v>
      </c>
      <c r="AJ127" s="147">
        <v>8.506102005503706E-4</v>
      </c>
      <c r="AK127" s="177"/>
    </row>
    <row r="128" spans="1:37" ht="15" x14ac:dyDescent="0.2">
      <c r="A128" s="142" t="s">
        <v>1205</v>
      </c>
      <c r="B128" s="143" t="s">
        <v>1205</v>
      </c>
      <c r="C128" s="143" t="s">
        <v>1364</v>
      </c>
      <c r="D128" s="143" t="s">
        <v>1365</v>
      </c>
      <c r="E128" s="143" t="s">
        <v>309</v>
      </c>
      <c r="F128" s="143" t="s">
        <v>1366</v>
      </c>
      <c r="G128" s="143" t="s">
        <v>1367</v>
      </c>
      <c r="H128" s="143" t="s">
        <v>321</v>
      </c>
      <c r="I128" s="143" t="s">
        <v>951</v>
      </c>
      <c r="J128" s="143" t="s">
        <v>204</v>
      </c>
      <c r="K128" s="143" t="s">
        <v>204</v>
      </c>
      <c r="L128" s="143" t="s">
        <v>325</v>
      </c>
      <c r="M128" s="143" t="s">
        <v>340</v>
      </c>
      <c r="N128" s="143" t="s">
        <v>445</v>
      </c>
      <c r="O128" s="143" t="s">
        <v>339</v>
      </c>
      <c r="P128" s="143" t="s">
        <v>1368</v>
      </c>
      <c r="Q128" s="143" t="s">
        <v>415</v>
      </c>
      <c r="R128" s="143" t="s">
        <v>407</v>
      </c>
      <c r="S128" s="143" t="s">
        <v>1210</v>
      </c>
      <c r="T128" s="144">
        <v>0.82</v>
      </c>
      <c r="U128" s="143" t="s">
        <v>1369</v>
      </c>
      <c r="V128" s="146">
        <v>3.61E-2</v>
      </c>
      <c r="W128" s="146">
        <v>5.1797000000000003E-2</v>
      </c>
      <c r="X128" s="143" t="s">
        <v>412</v>
      </c>
      <c r="Y128" s="145" t="s">
        <v>3930</v>
      </c>
      <c r="Z128" s="144">
        <v>574992</v>
      </c>
      <c r="AA128" s="145" t="s">
        <v>3930</v>
      </c>
      <c r="AB128" s="143" t="s">
        <v>1370</v>
      </c>
      <c r="AC128" s="145" t="s">
        <v>3930</v>
      </c>
      <c r="AD128" s="144">
        <v>571.48450000000003</v>
      </c>
      <c r="AE128" s="145" t="s">
        <v>3930</v>
      </c>
      <c r="AF128" s="145" t="s">
        <v>3930</v>
      </c>
      <c r="AG128" s="145" t="s">
        <v>3930</v>
      </c>
      <c r="AH128" s="146">
        <v>7.4917524429967428E-4</v>
      </c>
      <c r="AI128" s="146">
        <v>7.0366407857879679E-3</v>
      </c>
      <c r="AJ128" s="147">
        <v>8.290457937905739E-4</v>
      </c>
      <c r="AK128" s="177"/>
    </row>
    <row r="129" spans="1:37" ht="15" x14ac:dyDescent="0.2">
      <c r="A129" s="142" t="s">
        <v>1205</v>
      </c>
      <c r="B129" s="143" t="s">
        <v>1205</v>
      </c>
      <c r="C129" s="143" t="s">
        <v>1371</v>
      </c>
      <c r="D129" s="143" t="s">
        <v>1372</v>
      </c>
      <c r="E129" s="143" t="s">
        <v>309</v>
      </c>
      <c r="F129" s="143" t="s">
        <v>1373</v>
      </c>
      <c r="G129" s="143" t="s">
        <v>1374</v>
      </c>
      <c r="H129" s="143" t="s">
        <v>321</v>
      </c>
      <c r="I129" s="143" t="s">
        <v>951</v>
      </c>
      <c r="J129" s="143" t="s">
        <v>204</v>
      </c>
      <c r="K129" s="143" t="s">
        <v>204</v>
      </c>
      <c r="L129" s="143" t="s">
        <v>325</v>
      </c>
      <c r="M129" s="143" t="s">
        <v>340</v>
      </c>
      <c r="N129" s="143" t="s">
        <v>440</v>
      </c>
      <c r="O129" s="143" t="s">
        <v>339</v>
      </c>
      <c r="P129" s="143" t="s">
        <v>1375</v>
      </c>
      <c r="Q129" s="143" t="s">
        <v>413</v>
      </c>
      <c r="R129" s="143" t="s">
        <v>407</v>
      </c>
      <c r="S129" s="143" t="s">
        <v>1210</v>
      </c>
      <c r="T129" s="144">
        <v>3.24</v>
      </c>
      <c r="U129" s="143" t="s">
        <v>1376</v>
      </c>
      <c r="V129" s="146">
        <v>2.5000000000000001E-2</v>
      </c>
      <c r="W129" s="146">
        <v>6.1240999999999997E-2</v>
      </c>
      <c r="X129" s="143" t="s">
        <v>412</v>
      </c>
      <c r="Y129" s="145" t="s">
        <v>3930</v>
      </c>
      <c r="Z129" s="144">
        <v>629100.05000000005</v>
      </c>
      <c r="AA129" s="145" t="s">
        <v>3930</v>
      </c>
      <c r="AB129" s="143" t="s">
        <v>1377</v>
      </c>
      <c r="AC129" s="145" t="s">
        <v>3930</v>
      </c>
      <c r="AD129" s="144">
        <v>562.47840000000008</v>
      </c>
      <c r="AE129" s="145" t="s">
        <v>3930</v>
      </c>
      <c r="AF129" s="145" t="s">
        <v>3930</v>
      </c>
      <c r="AG129" s="145" t="s">
        <v>3930</v>
      </c>
      <c r="AH129" s="146">
        <v>8.2161162287154479E-4</v>
      </c>
      <c r="AI129" s="146">
        <v>6.9257482816482306E-3</v>
      </c>
      <c r="AJ129" s="147">
        <v>8.1598061582872092E-4</v>
      </c>
      <c r="AK129" s="177"/>
    </row>
    <row r="130" spans="1:37" ht="15" x14ac:dyDescent="0.2">
      <c r="A130" s="142" t="s">
        <v>1205</v>
      </c>
      <c r="B130" s="143" t="s">
        <v>1205</v>
      </c>
      <c r="C130" s="143" t="s">
        <v>1461</v>
      </c>
      <c r="D130" s="143" t="s">
        <v>1462</v>
      </c>
      <c r="E130" s="143" t="s">
        <v>309</v>
      </c>
      <c r="F130" s="143" t="s">
        <v>1788</v>
      </c>
      <c r="G130" s="143" t="s">
        <v>1789</v>
      </c>
      <c r="H130" s="143" t="s">
        <v>321</v>
      </c>
      <c r="I130" s="143" t="s">
        <v>951</v>
      </c>
      <c r="J130" s="143" t="s">
        <v>204</v>
      </c>
      <c r="K130" s="143" t="s">
        <v>204</v>
      </c>
      <c r="L130" s="143" t="s">
        <v>325</v>
      </c>
      <c r="M130" s="143" t="s">
        <v>340</v>
      </c>
      <c r="N130" s="143" t="s">
        <v>464</v>
      </c>
      <c r="O130" s="143" t="s">
        <v>339</v>
      </c>
      <c r="P130" s="143" t="s">
        <v>1356</v>
      </c>
      <c r="Q130" s="143" t="s">
        <v>413</v>
      </c>
      <c r="R130" s="143" t="s">
        <v>407</v>
      </c>
      <c r="S130" s="143" t="s">
        <v>1210</v>
      </c>
      <c r="T130" s="144">
        <v>6.25</v>
      </c>
      <c r="U130" s="143" t="s">
        <v>1790</v>
      </c>
      <c r="V130" s="146">
        <v>4.9399999999999999E-2</v>
      </c>
      <c r="W130" s="146">
        <v>6.6491999999999996E-2</v>
      </c>
      <c r="X130" s="143" t="s">
        <v>412</v>
      </c>
      <c r="Y130" s="145" t="s">
        <v>3930</v>
      </c>
      <c r="Z130" s="144">
        <v>600000</v>
      </c>
      <c r="AA130" s="145" t="s">
        <v>3930</v>
      </c>
      <c r="AB130" s="143" t="s">
        <v>1791</v>
      </c>
      <c r="AC130" s="145" t="s">
        <v>3930</v>
      </c>
      <c r="AD130" s="144">
        <v>556.02</v>
      </c>
      <c r="AE130" s="145" t="s">
        <v>3930</v>
      </c>
      <c r="AF130" s="145" t="s">
        <v>3930</v>
      </c>
      <c r="AG130" s="145" t="s">
        <v>3930</v>
      </c>
      <c r="AH130" s="146">
        <v>6.6844845315457537E-4</v>
      </c>
      <c r="AI130" s="146">
        <v>6.8462271078532193E-3</v>
      </c>
      <c r="AJ130" s="147">
        <v>8.0661155797014767E-4</v>
      </c>
      <c r="AK130" s="177"/>
    </row>
    <row r="131" spans="1:37" ht="15" x14ac:dyDescent="0.2">
      <c r="A131" s="142" t="s">
        <v>1205</v>
      </c>
      <c r="B131" s="143" t="s">
        <v>1205</v>
      </c>
      <c r="C131" s="143" t="s">
        <v>1792</v>
      </c>
      <c r="D131" s="143" t="s">
        <v>1793</v>
      </c>
      <c r="E131" s="143" t="s">
        <v>309</v>
      </c>
      <c r="F131" s="143" t="s">
        <v>1794</v>
      </c>
      <c r="G131" s="143" t="s">
        <v>1795</v>
      </c>
      <c r="H131" s="143" t="s">
        <v>321</v>
      </c>
      <c r="I131" s="143" t="s">
        <v>951</v>
      </c>
      <c r="J131" s="143" t="s">
        <v>204</v>
      </c>
      <c r="K131" s="143" t="s">
        <v>204</v>
      </c>
      <c r="L131" s="143" t="s">
        <v>325</v>
      </c>
      <c r="M131" s="143" t="s">
        <v>340</v>
      </c>
      <c r="N131" s="143" t="s">
        <v>464</v>
      </c>
      <c r="O131" s="143" t="s">
        <v>339</v>
      </c>
      <c r="P131" s="143" t="s">
        <v>1743</v>
      </c>
      <c r="Q131" s="143" t="s">
        <v>413</v>
      </c>
      <c r="R131" s="143" t="s">
        <v>407</v>
      </c>
      <c r="S131" s="143" t="s">
        <v>1210</v>
      </c>
      <c r="T131" s="144">
        <v>2.76</v>
      </c>
      <c r="U131" s="143" t="s">
        <v>1796</v>
      </c>
      <c r="V131" s="146">
        <v>5.0125999999999997E-2</v>
      </c>
      <c r="W131" s="146">
        <v>5.9816000000000001E-2</v>
      </c>
      <c r="X131" s="143" t="s">
        <v>412</v>
      </c>
      <c r="Y131" s="145" t="s">
        <v>3930</v>
      </c>
      <c r="Z131" s="144">
        <v>442857.15</v>
      </c>
      <c r="AA131" s="145" t="s">
        <v>3930</v>
      </c>
      <c r="AB131" s="143" t="s">
        <v>1797</v>
      </c>
      <c r="AC131" s="144">
        <v>102.65430000000001</v>
      </c>
      <c r="AD131" s="144">
        <v>538.24860000000001</v>
      </c>
      <c r="AE131" s="145" t="s">
        <v>3930</v>
      </c>
      <c r="AF131" s="145" t="s">
        <v>3930</v>
      </c>
      <c r="AG131" s="145" t="s">
        <v>3930</v>
      </c>
      <c r="AH131" s="146">
        <v>1.1709202735862277E-3</v>
      </c>
      <c r="AI131" s="146">
        <v>7.8913832140978281E-3</v>
      </c>
      <c r="AJ131" s="147">
        <v>9.297501833617801E-4</v>
      </c>
      <c r="AK131" s="177"/>
    </row>
    <row r="132" spans="1:37" ht="15" x14ac:dyDescent="0.2">
      <c r="A132" s="142" t="s">
        <v>1205</v>
      </c>
      <c r="B132" s="143" t="s">
        <v>1205</v>
      </c>
      <c r="C132" s="143" t="s">
        <v>1455</v>
      </c>
      <c r="D132" s="143" t="s">
        <v>1456</v>
      </c>
      <c r="E132" s="143" t="s">
        <v>309</v>
      </c>
      <c r="F132" s="143" t="s">
        <v>1457</v>
      </c>
      <c r="G132" s="143" t="s">
        <v>1458</v>
      </c>
      <c r="H132" s="143" t="s">
        <v>321</v>
      </c>
      <c r="I132" s="143" t="s">
        <v>951</v>
      </c>
      <c r="J132" s="143" t="s">
        <v>204</v>
      </c>
      <c r="K132" s="143" t="s">
        <v>204</v>
      </c>
      <c r="L132" s="143" t="s">
        <v>325</v>
      </c>
      <c r="M132" s="143" t="s">
        <v>340</v>
      </c>
      <c r="N132" s="143" t="s">
        <v>464</v>
      </c>
      <c r="O132" s="143" t="s">
        <v>339</v>
      </c>
      <c r="P132" s="143" t="s">
        <v>1412</v>
      </c>
      <c r="Q132" s="143" t="s">
        <v>413</v>
      </c>
      <c r="R132" s="143" t="s">
        <v>407</v>
      </c>
      <c r="S132" s="143" t="s">
        <v>1210</v>
      </c>
      <c r="T132" s="144">
        <v>5.14</v>
      </c>
      <c r="U132" s="143" t="s">
        <v>1459</v>
      </c>
      <c r="V132" s="146">
        <v>2.5499999999999998E-2</v>
      </c>
      <c r="W132" s="146">
        <v>5.9679000000000003E-2</v>
      </c>
      <c r="X132" s="143" t="s">
        <v>412</v>
      </c>
      <c r="Y132" s="145" t="s">
        <v>3930</v>
      </c>
      <c r="Z132" s="144">
        <v>632756.39</v>
      </c>
      <c r="AA132" s="145" t="s">
        <v>3930</v>
      </c>
      <c r="AB132" s="143" t="s">
        <v>1460</v>
      </c>
      <c r="AC132" s="145" t="s">
        <v>3930</v>
      </c>
      <c r="AD132" s="144">
        <v>535.37519999999995</v>
      </c>
      <c r="AE132" s="145" t="s">
        <v>3930</v>
      </c>
      <c r="AF132" s="145" t="s">
        <v>3930</v>
      </c>
      <c r="AG132" s="145" t="s">
        <v>3930</v>
      </c>
      <c r="AH132" s="146">
        <v>3.6492926267324893E-4</v>
      </c>
      <c r="AI132" s="146">
        <v>6.5920292093773411E-3</v>
      </c>
      <c r="AJ132" s="147">
        <v>7.7666236702274717E-4</v>
      </c>
      <c r="AK132" s="177"/>
    </row>
    <row r="133" spans="1:37" ht="15" x14ac:dyDescent="0.2">
      <c r="A133" s="142" t="s">
        <v>1205</v>
      </c>
      <c r="B133" s="143" t="s">
        <v>1205</v>
      </c>
      <c r="C133" s="143" t="s">
        <v>1415</v>
      </c>
      <c r="D133" s="143" t="s">
        <v>1416</v>
      </c>
      <c r="E133" s="143" t="s">
        <v>309</v>
      </c>
      <c r="F133" s="143" t="s">
        <v>1798</v>
      </c>
      <c r="G133" s="143" t="s">
        <v>1799</v>
      </c>
      <c r="H133" s="143" t="s">
        <v>321</v>
      </c>
      <c r="I133" s="143" t="s">
        <v>951</v>
      </c>
      <c r="J133" s="143" t="s">
        <v>204</v>
      </c>
      <c r="K133" s="143" t="s">
        <v>204</v>
      </c>
      <c r="L133" s="143" t="s">
        <v>325</v>
      </c>
      <c r="M133" s="143" t="s">
        <v>340</v>
      </c>
      <c r="N133" s="143" t="s">
        <v>451</v>
      </c>
      <c r="O133" s="143" t="s">
        <v>339</v>
      </c>
      <c r="P133" s="143" t="s">
        <v>1398</v>
      </c>
      <c r="Q133" s="143" t="s">
        <v>413</v>
      </c>
      <c r="R133" s="143" t="s">
        <v>407</v>
      </c>
      <c r="S133" s="143" t="s">
        <v>1210</v>
      </c>
      <c r="T133" s="144">
        <v>4.79</v>
      </c>
      <c r="U133" s="143" t="s">
        <v>1800</v>
      </c>
      <c r="V133" s="146">
        <v>2.07E-2</v>
      </c>
      <c r="W133" s="146">
        <v>6.0108000000000002E-2</v>
      </c>
      <c r="X133" s="143" t="s">
        <v>412</v>
      </c>
      <c r="Y133" s="145" t="s">
        <v>3930</v>
      </c>
      <c r="Z133" s="144">
        <v>640000</v>
      </c>
      <c r="AA133" s="145" t="s">
        <v>3930</v>
      </c>
      <c r="AB133" s="143" t="s">
        <v>1801</v>
      </c>
      <c r="AC133" s="145" t="s">
        <v>3930</v>
      </c>
      <c r="AD133" s="144">
        <v>533.44000000000005</v>
      </c>
      <c r="AE133" s="145" t="s">
        <v>3930</v>
      </c>
      <c r="AF133" s="145" t="s">
        <v>3930</v>
      </c>
      <c r="AG133" s="145" t="s">
        <v>3930</v>
      </c>
      <c r="AH133" s="146">
        <v>1.5583150718285854E-3</v>
      </c>
      <c r="AI133" s="146">
        <v>6.5682014827042577E-3</v>
      </c>
      <c r="AJ133" s="147">
        <v>7.7385502227185271E-4</v>
      </c>
      <c r="AK133" s="177"/>
    </row>
    <row r="134" spans="1:37" ht="15" x14ac:dyDescent="0.2">
      <c r="A134" s="142" t="s">
        <v>1205</v>
      </c>
      <c r="B134" s="143" t="s">
        <v>1205</v>
      </c>
      <c r="C134" s="143" t="s">
        <v>1382</v>
      </c>
      <c r="D134" s="143" t="s">
        <v>1383</v>
      </c>
      <c r="E134" s="143" t="s">
        <v>309</v>
      </c>
      <c r="F134" s="143" t="s">
        <v>1802</v>
      </c>
      <c r="G134" s="143" t="s">
        <v>1803</v>
      </c>
      <c r="H134" s="143" t="s">
        <v>321</v>
      </c>
      <c r="I134" s="143" t="s">
        <v>951</v>
      </c>
      <c r="J134" s="143" t="s">
        <v>204</v>
      </c>
      <c r="K134" s="143" t="s">
        <v>204</v>
      </c>
      <c r="L134" s="143" t="s">
        <v>325</v>
      </c>
      <c r="M134" s="143" t="s">
        <v>340</v>
      </c>
      <c r="N134" s="143" t="s">
        <v>484</v>
      </c>
      <c r="O134" s="143" t="s">
        <v>339</v>
      </c>
      <c r="P134" s="143" t="s">
        <v>1368</v>
      </c>
      <c r="Q134" s="143" t="s">
        <v>415</v>
      </c>
      <c r="R134" s="143" t="s">
        <v>407</v>
      </c>
      <c r="S134" s="143" t="s">
        <v>1210</v>
      </c>
      <c r="T134" s="144">
        <v>7.85</v>
      </c>
      <c r="U134" s="143" t="s">
        <v>1804</v>
      </c>
      <c r="V134" s="146">
        <v>2.7900000000000001E-2</v>
      </c>
      <c r="W134" s="146">
        <v>5.6920999999999999E-2</v>
      </c>
      <c r="X134" s="143" t="s">
        <v>412</v>
      </c>
      <c r="Y134" s="145" t="s">
        <v>3930</v>
      </c>
      <c r="Z134" s="144">
        <v>630000</v>
      </c>
      <c r="AA134" s="145" t="s">
        <v>3930</v>
      </c>
      <c r="AB134" s="143" t="s">
        <v>1805</v>
      </c>
      <c r="AC134" s="145" t="s">
        <v>3930</v>
      </c>
      <c r="AD134" s="144">
        <v>509.67</v>
      </c>
      <c r="AE134" s="145" t="s">
        <v>3930</v>
      </c>
      <c r="AF134" s="145" t="s">
        <v>3930</v>
      </c>
      <c r="AG134" s="145" t="s">
        <v>3930</v>
      </c>
      <c r="AH134" s="146">
        <v>7.307202930304362E-4</v>
      </c>
      <c r="AI134" s="146">
        <v>6.2755234884708288E-3</v>
      </c>
      <c r="AJ134" s="147">
        <v>7.3937216781886468E-4</v>
      </c>
      <c r="AK134" s="177"/>
    </row>
    <row r="135" spans="1:37" ht="15" x14ac:dyDescent="0.2">
      <c r="A135" s="142" t="s">
        <v>1205</v>
      </c>
      <c r="B135" s="143" t="s">
        <v>1205</v>
      </c>
      <c r="C135" s="143" t="s">
        <v>1677</v>
      </c>
      <c r="D135" s="143" t="s">
        <v>1678</v>
      </c>
      <c r="E135" s="143" t="s">
        <v>309</v>
      </c>
      <c r="F135" s="143" t="s">
        <v>1679</v>
      </c>
      <c r="G135" s="143" t="s">
        <v>1680</v>
      </c>
      <c r="H135" s="143" t="s">
        <v>321</v>
      </c>
      <c r="I135" s="143" t="s">
        <v>951</v>
      </c>
      <c r="J135" s="143" t="s">
        <v>204</v>
      </c>
      <c r="K135" s="143" t="s">
        <v>204</v>
      </c>
      <c r="L135" s="143" t="s">
        <v>325</v>
      </c>
      <c r="M135" s="143" t="s">
        <v>340</v>
      </c>
      <c r="N135" s="143" t="s">
        <v>445</v>
      </c>
      <c r="O135" s="143" t="s">
        <v>339</v>
      </c>
      <c r="P135" s="143" t="s">
        <v>1425</v>
      </c>
      <c r="Q135" s="143" t="s">
        <v>415</v>
      </c>
      <c r="R135" s="143" t="s">
        <v>407</v>
      </c>
      <c r="S135" s="143" t="s">
        <v>1210</v>
      </c>
      <c r="T135" s="144">
        <v>1.97</v>
      </c>
      <c r="U135" s="143" t="s">
        <v>1432</v>
      </c>
      <c r="V135" s="146">
        <v>1.84E-2</v>
      </c>
      <c r="W135" s="146">
        <v>5.3180999999999999E-2</v>
      </c>
      <c r="X135" s="143" t="s">
        <v>412</v>
      </c>
      <c r="Y135" s="145" t="s">
        <v>3930</v>
      </c>
      <c r="Z135" s="144">
        <v>542000</v>
      </c>
      <c r="AA135" s="145" t="s">
        <v>3930</v>
      </c>
      <c r="AB135" s="143" t="s">
        <v>1681</v>
      </c>
      <c r="AC135" s="145" t="s">
        <v>3930</v>
      </c>
      <c r="AD135" s="144">
        <v>507.63720000000001</v>
      </c>
      <c r="AE135" s="145" t="s">
        <v>3930</v>
      </c>
      <c r="AF135" s="145" t="s">
        <v>3930</v>
      </c>
      <c r="AG135" s="145" t="s">
        <v>3930</v>
      </c>
      <c r="AH135" s="146">
        <v>1.8066666666666667E-3</v>
      </c>
      <c r="AI135" s="146">
        <v>6.250493794458304E-3</v>
      </c>
      <c r="AJ135" s="147">
        <v>7.3642320919320068E-4</v>
      </c>
      <c r="AK135" s="177"/>
    </row>
    <row r="136" spans="1:37" ht="15" x14ac:dyDescent="0.2">
      <c r="A136" s="142" t="s">
        <v>1205</v>
      </c>
      <c r="B136" s="143" t="s">
        <v>1205</v>
      </c>
      <c r="C136" s="143" t="s">
        <v>1415</v>
      </c>
      <c r="D136" s="143" t="s">
        <v>1416</v>
      </c>
      <c r="E136" s="143" t="s">
        <v>309</v>
      </c>
      <c r="F136" s="143" t="s">
        <v>1806</v>
      </c>
      <c r="G136" s="143" t="s">
        <v>1807</v>
      </c>
      <c r="H136" s="143" t="s">
        <v>321</v>
      </c>
      <c r="I136" s="143" t="s">
        <v>951</v>
      </c>
      <c r="J136" s="143" t="s">
        <v>204</v>
      </c>
      <c r="K136" s="143" t="s">
        <v>204</v>
      </c>
      <c r="L136" s="143" t="s">
        <v>325</v>
      </c>
      <c r="M136" s="143" t="s">
        <v>340</v>
      </c>
      <c r="N136" s="143" t="s">
        <v>451</v>
      </c>
      <c r="O136" s="143" t="s">
        <v>339</v>
      </c>
      <c r="P136" s="143" t="s">
        <v>1398</v>
      </c>
      <c r="Q136" s="143" t="s">
        <v>413</v>
      </c>
      <c r="R136" s="143" t="s">
        <v>407</v>
      </c>
      <c r="S136" s="143" t="s">
        <v>1210</v>
      </c>
      <c r="T136" s="144">
        <v>2.94</v>
      </c>
      <c r="U136" s="143" t="s">
        <v>1808</v>
      </c>
      <c r="V136" s="146">
        <v>0.04</v>
      </c>
      <c r="W136" s="146">
        <v>5.8043999999999998E-2</v>
      </c>
      <c r="X136" s="143" t="s">
        <v>412</v>
      </c>
      <c r="Y136" s="145" t="s">
        <v>3930</v>
      </c>
      <c r="Z136" s="144">
        <v>525000.06000000006</v>
      </c>
      <c r="AA136" s="145" t="s">
        <v>3930</v>
      </c>
      <c r="AB136" s="143" t="s">
        <v>1809</v>
      </c>
      <c r="AC136" s="145" t="s">
        <v>3930</v>
      </c>
      <c r="AD136" s="144">
        <v>504.21009999999995</v>
      </c>
      <c r="AE136" s="145" t="s">
        <v>3930</v>
      </c>
      <c r="AF136" s="145" t="s">
        <v>3930</v>
      </c>
      <c r="AG136" s="145" t="s">
        <v>3930</v>
      </c>
      <c r="AH136" s="146">
        <v>7.7493049763555522E-4</v>
      </c>
      <c r="AI136" s="146">
        <v>6.2082956810144644E-3</v>
      </c>
      <c r="AJ136" s="147">
        <v>7.3145149477413143E-4</v>
      </c>
      <c r="AK136" s="177"/>
    </row>
    <row r="137" spans="1:37" ht="15" x14ac:dyDescent="0.2">
      <c r="A137" s="142" t="s">
        <v>1205</v>
      </c>
      <c r="B137" s="143" t="s">
        <v>1205</v>
      </c>
      <c r="C137" s="143" t="s">
        <v>1810</v>
      </c>
      <c r="D137" s="143" t="s">
        <v>1811</v>
      </c>
      <c r="E137" s="143" t="s">
        <v>309</v>
      </c>
      <c r="F137" s="143" t="s">
        <v>1812</v>
      </c>
      <c r="G137" s="143" t="s">
        <v>1813</v>
      </c>
      <c r="H137" s="143" t="s">
        <v>321</v>
      </c>
      <c r="I137" s="143" t="s">
        <v>951</v>
      </c>
      <c r="J137" s="143" t="s">
        <v>204</v>
      </c>
      <c r="K137" s="143" t="s">
        <v>204</v>
      </c>
      <c r="L137" s="143" t="s">
        <v>325</v>
      </c>
      <c r="M137" s="143" t="s">
        <v>340</v>
      </c>
      <c r="N137" s="143" t="s">
        <v>454</v>
      </c>
      <c r="O137" s="143" t="s">
        <v>339</v>
      </c>
      <c r="P137" s="143" t="s">
        <v>1375</v>
      </c>
      <c r="Q137" s="143" t="s">
        <v>413</v>
      </c>
      <c r="R137" s="143" t="s">
        <v>407</v>
      </c>
      <c r="S137" s="143" t="s">
        <v>1210</v>
      </c>
      <c r="T137" s="144">
        <v>3.75</v>
      </c>
      <c r="U137" s="143" t="s">
        <v>1814</v>
      </c>
      <c r="V137" s="146">
        <v>6.7000000000000004E-2</v>
      </c>
      <c r="W137" s="146">
        <v>6.5794000000000005E-2</v>
      </c>
      <c r="X137" s="143" t="s">
        <v>412</v>
      </c>
      <c r="Y137" s="145" t="s">
        <v>3930</v>
      </c>
      <c r="Z137" s="144">
        <v>465000</v>
      </c>
      <c r="AA137" s="145" t="s">
        <v>3930</v>
      </c>
      <c r="AB137" s="143" t="s">
        <v>1815</v>
      </c>
      <c r="AC137" s="145" t="s">
        <v>3930</v>
      </c>
      <c r="AD137" s="144">
        <v>468.99900000000002</v>
      </c>
      <c r="AE137" s="145" t="s">
        <v>3930</v>
      </c>
      <c r="AF137" s="145" t="s">
        <v>3930</v>
      </c>
      <c r="AG137" s="145" t="s">
        <v>3930</v>
      </c>
      <c r="AH137" s="146">
        <v>5.1098901098901102E-4</v>
      </c>
      <c r="AI137" s="146">
        <v>5.7747449144923777E-3</v>
      </c>
      <c r="AJ137" s="147">
        <v>6.8037123498514672E-4</v>
      </c>
      <c r="AK137" s="177"/>
    </row>
    <row r="138" spans="1:37" ht="15" x14ac:dyDescent="0.2">
      <c r="A138" s="142" t="s">
        <v>1205</v>
      </c>
      <c r="B138" s="143" t="s">
        <v>1205</v>
      </c>
      <c r="C138" s="143" t="s">
        <v>1461</v>
      </c>
      <c r="D138" s="143" t="s">
        <v>1462</v>
      </c>
      <c r="E138" s="143" t="s">
        <v>309</v>
      </c>
      <c r="F138" s="143" t="s">
        <v>1816</v>
      </c>
      <c r="G138" s="143" t="s">
        <v>1817</v>
      </c>
      <c r="H138" s="143" t="s">
        <v>321</v>
      </c>
      <c r="I138" s="143" t="s">
        <v>951</v>
      </c>
      <c r="J138" s="143" t="s">
        <v>204</v>
      </c>
      <c r="K138" s="143" t="s">
        <v>204</v>
      </c>
      <c r="L138" s="143" t="s">
        <v>325</v>
      </c>
      <c r="M138" s="143" t="s">
        <v>340</v>
      </c>
      <c r="N138" s="143" t="s">
        <v>464</v>
      </c>
      <c r="O138" s="143" t="s">
        <v>339</v>
      </c>
      <c r="P138" s="143" t="s">
        <v>1425</v>
      </c>
      <c r="Q138" s="143" t="s">
        <v>415</v>
      </c>
      <c r="R138" s="143" t="s">
        <v>407</v>
      </c>
      <c r="S138" s="143" t="s">
        <v>1210</v>
      </c>
      <c r="T138" s="144">
        <v>4.33</v>
      </c>
      <c r="U138" s="143" t="s">
        <v>1818</v>
      </c>
      <c r="V138" s="146">
        <v>2.41E-2</v>
      </c>
      <c r="W138" s="146">
        <v>6.3097E-2</v>
      </c>
      <c r="X138" s="143" t="s">
        <v>412</v>
      </c>
      <c r="Y138" s="145" t="s">
        <v>3930</v>
      </c>
      <c r="Z138" s="144">
        <v>533333.34</v>
      </c>
      <c r="AA138" s="145" t="s">
        <v>3930</v>
      </c>
      <c r="AB138" s="143" t="s">
        <v>1819</v>
      </c>
      <c r="AC138" s="145" t="s">
        <v>3930</v>
      </c>
      <c r="AD138" s="144">
        <v>459.0933</v>
      </c>
      <c r="AE138" s="145" t="s">
        <v>3930</v>
      </c>
      <c r="AF138" s="145" t="s">
        <v>3930</v>
      </c>
      <c r="AG138" s="145" t="s">
        <v>3930</v>
      </c>
      <c r="AH138" s="146">
        <v>2.5953683447701124E-4</v>
      </c>
      <c r="AI138" s="146">
        <v>5.6527773515153701E-3</v>
      </c>
      <c r="AJ138" s="147">
        <v>6.6600121125603962E-4</v>
      </c>
      <c r="AK138" s="177"/>
    </row>
    <row r="139" spans="1:37" ht="15" x14ac:dyDescent="0.2">
      <c r="A139" s="142" t="s">
        <v>1205</v>
      </c>
      <c r="B139" s="143" t="s">
        <v>1205</v>
      </c>
      <c r="C139" s="143" t="s">
        <v>1382</v>
      </c>
      <c r="D139" s="143" t="s">
        <v>1383</v>
      </c>
      <c r="E139" s="143" t="s">
        <v>309</v>
      </c>
      <c r="F139" s="143" t="s">
        <v>1384</v>
      </c>
      <c r="G139" s="143" t="s">
        <v>1385</v>
      </c>
      <c r="H139" s="143" t="s">
        <v>321</v>
      </c>
      <c r="I139" s="143" t="s">
        <v>951</v>
      </c>
      <c r="J139" s="143" t="s">
        <v>204</v>
      </c>
      <c r="K139" s="143" t="s">
        <v>204</v>
      </c>
      <c r="L139" s="143" t="s">
        <v>325</v>
      </c>
      <c r="M139" s="143" t="s">
        <v>340</v>
      </c>
      <c r="N139" s="143" t="s">
        <v>484</v>
      </c>
      <c r="O139" s="143" t="s">
        <v>339</v>
      </c>
      <c r="P139" s="143" t="s">
        <v>1368</v>
      </c>
      <c r="Q139" s="143" t="s">
        <v>415</v>
      </c>
      <c r="R139" s="143" t="s">
        <v>407</v>
      </c>
      <c r="S139" s="143" t="s">
        <v>1210</v>
      </c>
      <c r="T139" s="144">
        <v>0.65</v>
      </c>
      <c r="U139" s="143" t="s">
        <v>1386</v>
      </c>
      <c r="V139" s="146">
        <v>3.6499999999999998E-2</v>
      </c>
      <c r="W139" s="146">
        <v>5.0511E-2</v>
      </c>
      <c r="X139" s="143" t="s">
        <v>412</v>
      </c>
      <c r="Y139" s="145" t="s">
        <v>3930</v>
      </c>
      <c r="Z139" s="144">
        <v>424669.82</v>
      </c>
      <c r="AA139" s="145" t="s">
        <v>3930</v>
      </c>
      <c r="AB139" s="143" t="s">
        <v>1387</v>
      </c>
      <c r="AC139" s="145" t="s">
        <v>3930</v>
      </c>
      <c r="AD139" s="144">
        <v>426.15620000000001</v>
      </c>
      <c r="AE139" s="145" t="s">
        <v>3930</v>
      </c>
      <c r="AF139" s="145" t="s">
        <v>3930</v>
      </c>
      <c r="AG139" s="145" t="s">
        <v>3930</v>
      </c>
      <c r="AH139" s="146">
        <v>3.9875815538333476E-4</v>
      </c>
      <c r="AI139" s="146">
        <v>5.2472247125798467E-3</v>
      </c>
      <c r="AJ139" s="147">
        <v>6.1821964620169788E-4</v>
      </c>
      <c r="AK139" s="177"/>
    </row>
    <row r="140" spans="1:37" ht="15" x14ac:dyDescent="0.2">
      <c r="A140" s="142" t="s">
        <v>1205</v>
      </c>
      <c r="B140" s="143" t="s">
        <v>1205</v>
      </c>
      <c r="C140" s="143" t="s">
        <v>1820</v>
      </c>
      <c r="D140" s="143" t="s">
        <v>1821</v>
      </c>
      <c r="E140" s="143" t="s">
        <v>309</v>
      </c>
      <c r="F140" s="143" t="s">
        <v>1822</v>
      </c>
      <c r="G140" s="143" t="s">
        <v>1823</v>
      </c>
      <c r="H140" s="143" t="s">
        <v>321</v>
      </c>
      <c r="I140" s="143" t="s">
        <v>951</v>
      </c>
      <c r="J140" s="143" t="s">
        <v>204</v>
      </c>
      <c r="K140" s="143" t="s">
        <v>204</v>
      </c>
      <c r="L140" s="143" t="s">
        <v>325</v>
      </c>
      <c r="M140" s="143" t="s">
        <v>340</v>
      </c>
      <c r="N140" s="143" t="s">
        <v>454</v>
      </c>
      <c r="O140" s="143" t="s">
        <v>339</v>
      </c>
      <c r="P140" s="143" t="s">
        <v>1412</v>
      </c>
      <c r="Q140" s="143" t="s">
        <v>413</v>
      </c>
      <c r="R140" s="143" t="s">
        <v>407</v>
      </c>
      <c r="S140" s="143" t="s">
        <v>1210</v>
      </c>
      <c r="T140" s="144">
        <v>3.24</v>
      </c>
      <c r="U140" s="143" t="s">
        <v>1824</v>
      </c>
      <c r="V140" s="146">
        <v>2.24E-2</v>
      </c>
      <c r="W140" s="146">
        <v>5.6226999999999999E-2</v>
      </c>
      <c r="X140" s="143" t="s">
        <v>412</v>
      </c>
      <c r="Y140" s="145" t="s">
        <v>3930</v>
      </c>
      <c r="Z140" s="144">
        <v>462151.54</v>
      </c>
      <c r="AA140" s="145" t="s">
        <v>3930</v>
      </c>
      <c r="AB140" s="143" t="s">
        <v>1825</v>
      </c>
      <c r="AC140" s="145" t="s">
        <v>3930</v>
      </c>
      <c r="AD140" s="144">
        <v>419.5412</v>
      </c>
      <c r="AE140" s="145" t="s">
        <v>3930</v>
      </c>
      <c r="AF140" s="145" t="s">
        <v>3930</v>
      </c>
      <c r="AG140" s="145" t="s">
        <v>3930</v>
      </c>
      <c r="AH140" s="146">
        <v>7.865653205150839E-4</v>
      </c>
      <c r="AI140" s="146">
        <v>5.1657748233951235E-3</v>
      </c>
      <c r="AJ140" s="147">
        <v>6.0862335017225066E-4</v>
      </c>
      <c r="AK140" s="177"/>
    </row>
    <row r="141" spans="1:37" ht="15" x14ac:dyDescent="0.2">
      <c r="A141" s="142" t="s">
        <v>1205</v>
      </c>
      <c r="B141" s="143" t="s">
        <v>1205</v>
      </c>
      <c r="C141" s="143" t="s">
        <v>1671</v>
      </c>
      <c r="D141" s="143" t="s">
        <v>1672</v>
      </c>
      <c r="E141" s="143" t="s">
        <v>309</v>
      </c>
      <c r="F141" s="143" t="s">
        <v>1673</v>
      </c>
      <c r="G141" s="143" t="s">
        <v>1674</v>
      </c>
      <c r="H141" s="143" t="s">
        <v>321</v>
      </c>
      <c r="I141" s="143" t="s">
        <v>951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464</v>
      </c>
      <c r="O141" s="143" t="s">
        <v>339</v>
      </c>
      <c r="P141" s="143" t="s">
        <v>1444</v>
      </c>
      <c r="Q141" s="143" t="s">
        <v>415</v>
      </c>
      <c r="R141" s="143" t="s">
        <v>407</v>
      </c>
      <c r="S141" s="143" t="s">
        <v>1210</v>
      </c>
      <c r="T141" s="144">
        <v>3.1</v>
      </c>
      <c r="U141" s="143" t="s">
        <v>1675</v>
      </c>
      <c r="V141" s="146">
        <v>3.04E-2</v>
      </c>
      <c r="W141" s="146">
        <v>5.9735000000000003E-2</v>
      </c>
      <c r="X141" s="143" t="s">
        <v>412</v>
      </c>
      <c r="Y141" s="145" t="s">
        <v>3930</v>
      </c>
      <c r="Z141" s="144">
        <v>443635</v>
      </c>
      <c r="AA141" s="145" t="s">
        <v>3930</v>
      </c>
      <c r="AB141" s="143" t="s">
        <v>1676</v>
      </c>
      <c r="AC141" s="145" t="s">
        <v>3930</v>
      </c>
      <c r="AD141" s="144">
        <v>409.9187</v>
      </c>
      <c r="AE141" s="145" t="s">
        <v>3930</v>
      </c>
      <c r="AF141" s="145" t="s">
        <v>3930</v>
      </c>
      <c r="AG141" s="145" t="s">
        <v>3930</v>
      </c>
      <c r="AH141" s="146">
        <v>8.1850999859404874E-4</v>
      </c>
      <c r="AI141" s="146">
        <v>5.0472946832938312E-3</v>
      </c>
      <c r="AJ141" s="147">
        <v>5.9466420904384708E-4</v>
      </c>
      <c r="AK141" s="177"/>
    </row>
    <row r="142" spans="1:37" ht="15" x14ac:dyDescent="0.2">
      <c r="A142" s="142" t="s">
        <v>1205</v>
      </c>
      <c r="B142" s="143" t="s">
        <v>1205</v>
      </c>
      <c r="C142" s="143" t="s">
        <v>1826</v>
      </c>
      <c r="D142" s="143" t="s">
        <v>1827</v>
      </c>
      <c r="E142" s="143" t="s">
        <v>309</v>
      </c>
      <c r="F142" s="143" t="s">
        <v>1828</v>
      </c>
      <c r="G142" s="143" t="s">
        <v>1829</v>
      </c>
      <c r="H142" s="143" t="s">
        <v>321</v>
      </c>
      <c r="I142" s="143" t="s">
        <v>951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443</v>
      </c>
      <c r="O142" s="143" t="s">
        <v>339</v>
      </c>
      <c r="P142" s="143" t="s">
        <v>1405</v>
      </c>
      <c r="Q142" s="143" t="s">
        <v>415</v>
      </c>
      <c r="R142" s="143" t="s">
        <v>407</v>
      </c>
      <c r="S142" s="143" t="s">
        <v>1210</v>
      </c>
      <c r="T142" s="144">
        <v>1.45</v>
      </c>
      <c r="U142" s="143" t="s">
        <v>1432</v>
      </c>
      <c r="V142" s="146">
        <v>6.9000000000000006E-2</v>
      </c>
      <c r="W142" s="146">
        <v>6.5989000000000006E-2</v>
      </c>
      <c r="X142" s="143" t="s">
        <v>412</v>
      </c>
      <c r="Y142" s="145" t="s">
        <v>3930</v>
      </c>
      <c r="Z142" s="144">
        <v>402000</v>
      </c>
      <c r="AA142" s="145" t="s">
        <v>3930</v>
      </c>
      <c r="AB142" s="143" t="s">
        <v>1830</v>
      </c>
      <c r="AC142" s="145" t="s">
        <v>3930</v>
      </c>
      <c r="AD142" s="144">
        <v>404.37180000000001</v>
      </c>
      <c r="AE142" s="145" t="s">
        <v>3930</v>
      </c>
      <c r="AF142" s="145" t="s">
        <v>3930</v>
      </c>
      <c r="AG142" s="145" t="s">
        <v>3930</v>
      </c>
      <c r="AH142" s="146">
        <v>1.6629711751662971E-3</v>
      </c>
      <c r="AI142" s="146">
        <v>4.9789956814708112E-3</v>
      </c>
      <c r="AJ142" s="147">
        <v>5.8661732958741226E-4</v>
      </c>
      <c r="AK142" s="177"/>
    </row>
    <row r="143" spans="1:37" ht="15" x14ac:dyDescent="0.2">
      <c r="A143" s="142" t="s">
        <v>1205</v>
      </c>
      <c r="B143" s="143" t="s">
        <v>1205</v>
      </c>
      <c r="C143" s="143" t="s">
        <v>1831</v>
      </c>
      <c r="D143" s="143" t="s">
        <v>1832</v>
      </c>
      <c r="E143" s="143" t="s">
        <v>309</v>
      </c>
      <c r="F143" s="143" t="s">
        <v>1833</v>
      </c>
      <c r="G143" s="143" t="s">
        <v>1834</v>
      </c>
      <c r="H143" s="143" t="s">
        <v>321</v>
      </c>
      <c r="I143" s="143" t="s">
        <v>951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441</v>
      </c>
      <c r="O143" s="143" t="s">
        <v>339</v>
      </c>
      <c r="P143" s="143" t="s">
        <v>1405</v>
      </c>
      <c r="Q143" s="143" t="s">
        <v>415</v>
      </c>
      <c r="R143" s="143" t="s">
        <v>407</v>
      </c>
      <c r="S143" s="143" t="s">
        <v>1210</v>
      </c>
      <c r="T143" s="144">
        <v>3.61</v>
      </c>
      <c r="U143" s="143" t="s">
        <v>1600</v>
      </c>
      <c r="V143" s="146">
        <v>6.9500000000000006E-2</v>
      </c>
      <c r="W143" s="146">
        <v>6.3572000000000004E-2</v>
      </c>
      <c r="X143" s="143" t="s">
        <v>412</v>
      </c>
      <c r="Y143" s="145" t="s">
        <v>3930</v>
      </c>
      <c r="Z143" s="144">
        <v>320000</v>
      </c>
      <c r="AA143" s="145" t="s">
        <v>3930</v>
      </c>
      <c r="AB143" s="143" t="s">
        <v>1835</v>
      </c>
      <c r="AC143" s="145" t="s">
        <v>3930</v>
      </c>
      <c r="AD143" s="144">
        <v>333.536</v>
      </c>
      <c r="AE143" s="145" t="s">
        <v>3930</v>
      </c>
      <c r="AF143" s="145" t="s">
        <v>3930</v>
      </c>
      <c r="AG143" s="145" t="s">
        <v>3930</v>
      </c>
      <c r="AH143" s="146">
        <v>5.7250098845873791E-4</v>
      </c>
      <c r="AI143" s="146">
        <v>4.106800483156957E-3</v>
      </c>
      <c r="AJ143" s="147">
        <v>4.8385668249187287E-4</v>
      </c>
      <c r="AK143" s="177"/>
    </row>
    <row r="144" spans="1:37" ht="15" x14ac:dyDescent="0.2">
      <c r="A144" s="142" t="s">
        <v>1205</v>
      </c>
      <c r="B144" s="143" t="s">
        <v>1205</v>
      </c>
      <c r="C144" s="143" t="s">
        <v>1666</v>
      </c>
      <c r="D144" s="143" t="s">
        <v>1667</v>
      </c>
      <c r="E144" s="143" t="s">
        <v>309</v>
      </c>
      <c r="F144" s="143" t="s">
        <v>1668</v>
      </c>
      <c r="G144" s="143" t="s">
        <v>1669</v>
      </c>
      <c r="H144" s="143" t="s">
        <v>321</v>
      </c>
      <c r="I144" s="143" t="s">
        <v>951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451</v>
      </c>
      <c r="O144" s="143" t="s">
        <v>339</v>
      </c>
      <c r="P144" s="143" t="s">
        <v>1398</v>
      </c>
      <c r="Q144" s="143" t="s">
        <v>413</v>
      </c>
      <c r="R144" s="143" t="s">
        <v>407</v>
      </c>
      <c r="S144" s="143" t="s">
        <v>1210</v>
      </c>
      <c r="T144" s="144">
        <v>2.33</v>
      </c>
      <c r="U144" s="143" t="s">
        <v>1539</v>
      </c>
      <c r="V144" s="146">
        <v>2.1999999999999999E-2</v>
      </c>
      <c r="W144" s="146">
        <v>5.6347000000000001E-2</v>
      </c>
      <c r="X144" s="143" t="s">
        <v>412</v>
      </c>
      <c r="Y144" s="145" t="s">
        <v>3930</v>
      </c>
      <c r="Z144" s="144">
        <v>345201</v>
      </c>
      <c r="AA144" s="145" t="s">
        <v>3930</v>
      </c>
      <c r="AB144" s="143" t="s">
        <v>1670</v>
      </c>
      <c r="AC144" s="145" t="s">
        <v>3930</v>
      </c>
      <c r="AD144" s="144">
        <v>321.2441</v>
      </c>
      <c r="AE144" s="145" t="s">
        <v>3930</v>
      </c>
      <c r="AF144" s="145" t="s">
        <v>3930</v>
      </c>
      <c r="AG144" s="145" t="s">
        <v>3930</v>
      </c>
      <c r="AH144" s="146">
        <v>3.1852456747404843E-4</v>
      </c>
      <c r="AI144" s="146">
        <v>3.9554507525885602E-3</v>
      </c>
      <c r="AJ144" s="147">
        <v>4.6602489864232754E-4</v>
      </c>
      <c r="AK144" s="177"/>
    </row>
    <row r="145" spans="1:37" ht="15" x14ac:dyDescent="0.2">
      <c r="A145" s="142" t="s">
        <v>1205</v>
      </c>
      <c r="B145" s="143" t="s">
        <v>1205</v>
      </c>
      <c r="C145" s="143" t="s">
        <v>1682</v>
      </c>
      <c r="D145" s="143" t="s">
        <v>1683</v>
      </c>
      <c r="E145" s="143" t="s">
        <v>309</v>
      </c>
      <c r="F145" s="143" t="s">
        <v>1684</v>
      </c>
      <c r="G145" s="143" t="s">
        <v>1685</v>
      </c>
      <c r="H145" s="143" t="s">
        <v>321</v>
      </c>
      <c r="I145" s="143" t="s">
        <v>951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443</v>
      </c>
      <c r="O145" s="143" t="s">
        <v>339</v>
      </c>
      <c r="P145" s="143" t="s">
        <v>1624</v>
      </c>
      <c r="Q145" s="143" t="s">
        <v>415</v>
      </c>
      <c r="R145" s="143" t="s">
        <v>407</v>
      </c>
      <c r="S145" s="143" t="s">
        <v>1210</v>
      </c>
      <c r="T145" s="144">
        <v>0.96</v>
      </c>
      <c r="U145" s="143" t="s">
        <v>1686</v>
      </c>
      <c r="V145" s="146">
        <v>4.7500000000000001E-2</v>
      </c>
      <c r="W145" s="146">
        <v>6.4082E-2</v>
      </c>
      <c r="X145" s="143" t="s">
        <v>412</v>
      </c>
      <c r="Y145" s="145" t="s">
        <v>3930</v>
      </c>
      <c r="Z145" s="144">
        <v>317195.15999999997</v>
      </c>
      <c r="AA145" s="145" t="s">
        <v>3930</v>
      </c>
      <c r="AB145" s="143" t="s">
        <v>1687</v>
      </c>
      <c r="AC145" s="145" t="s">
        <v>3930</v>
      </c>
      <c r="AD145" s="144">
        <v>313.00819999999999</v>
      </c>
      <c r="AE145" s="145" t="s">
        <v>3930</v>
      </c>
      <c r="AF145" s="145" t="s">
        <v>3930</v>
      </c>
      <c r="AG145" s="145" t="s">
        <v>3930</v>
      </c>
      <c r="AH145" s="146">
        <v>5.0261141433392581E-4</v>
      </c>
      <c r="AI145" s="146">
        <v>3.8540432241896531E-3</v>
      </c>
      <c r="AJ145" s="147">
        <v>4.5407722539352209E-4</v>
      </c>
      <c r="AK145" s="177"/>
    </row>
    <row r="146" spans="1:37" ht="15" x14ac:dyDescent="0.2">
      <c r="A146" s="142" t="s">
        <v>1205</v>
      </c>
      <c r="B146" s="143" t="s">
        <v>1205</v>
      </c>
      <c r="C146" s="143" t="s">
        <v>1428</v>
      </c>
      <c r="D146" s="143" t="s">
        <v>1429</v>
      </c>
      <c r="E146" s="143" t="s">
        <v>309</v>
      </c>
      <c r="F146" s="143" t="s">
        <v>1430</v>
      </c>
      <c r="G146" s="143" t="s">
        <v>1431</v>
      </c>
      <c r="H146" s="143" t="s">
        <v>321</v>
      </c>
      <c r="I146" s="143" t="s">
        <v>951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445</v>
      </c>
      <c r="O146" s="143" t="s">
        <v>339</v>
      </c>
      <c r="P146" s="143" t="s">
        <v>1368</v>
      </c>
      <c r="Q146" s="143" t="s">
        <v>415</v>
      </c>
      <c r="R146" s="143" t="s">
        <v>407</v>
      </c>
      <c r="S146" s="143" t="s">
        <v>1210</v>
      </c>
      <c r="T146" s="144">
        <v>1.48</v>
      </c>
      <c r="U146" s="143" t="s">
        <v>1432</v>
      </c>
      <c r="V146" s="146">
        <v>2.9399999999999999E-2</v>
      </c>
      <c r="W146" s="146">
        <v>5.4391000000000002E-2</v>
      </c>
      <c r="X146" s="143" t="s">
        <v>412</v>
      </c>
      <c r="Y146" s="145" t="s">
        <v>3930</v>
      </c>
      <c r="Z146" s="144">
        <v>304827.13</v>
      </c>
      <c r="AA146" s="145" t="s">
        <v>3930</v>
      </c>
      <c r="AB146" s="143" t="s">
        <v>1433</v>
      </c>
      <c r="AC146" s="145" t="s">
        <v>3930</v>
      </c>
      <c r="AD146" s="144">
        <v>294.40199999999999</v>
      </c>
      <c r="AE146" s="145" t="s">
        <v>3930</v>
      </c>
      <c r="AF146" s="145" t="s">
        <v>3930</v>
      </c>
      <c r="AG146" s="145" t="s">
        <v>3930</v>
      </c>
      <c r="AH146" s="146">
        <v>2.8419708988502148E-3</v>
      </c>
      <c r="AI146" s="146">
        <v>3.6249473788749704E-3</v>
      </c>
      <c r="AJ146" s="147">
        <v>4.2708551831126761E-4</v>
      </c>
      <c r="AK146" s="177"/>
    </row>
    <row r="147" spans="1:37" ht="15" x14ac:dyDescent="0.2">
      <c r="A147" s="142" t="s">
        <v>1205</v>
      </c>
      <c r="B147" s="143" t="s">
        <v>1205</v>
      </c>
      <c r="C147" s="143" t="s">
        <v>1408</v>
      </c>
      <c r="D147" s="143" t="s">
        <v>1409</v>
      </c>
      <c r="E147" s="143" t="s">
        <v>309</v>
      </c>
      <c r="F147" s="143" t="s">
        <v>1410</v>
      </c>
      <c r="G147" s="143" t="s">
        <v>1411</v>
      </c>
      <c r="H147" s="143" t="s">
        <v>321</v>
      </c>
      <c r="I147" s="143" t="s">
        <v>951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475</v>
      </c>
      <c r="O147" s="143" t="s">
        <v>339</v>
      </c>
      <c r="P147" s="143" t="s">
        <v>1412</v>
      </c>
      <c r="Q147" s="143" t="s">
        <v>413</v>
      </c>
      <c r="R147" s="143" t="s">
        <v>407</v>
      </c>
      <c r="S147" s="143" t="s">
        <v>1210</v>
      </c>
      <c r="T147" s="144">
        <v>2.83</v>
      </c>
      <c r="U147" s="143" t="s">
        <v>1413</v>
      </c>
      <c r="V147" s="146">
        <v>5.0900000000000001E-2</v>
      </c>
      <c r="W147" s="146">
        <v>5.2837000000000002E-2</v>
      </c>
      <c r="X147" s="143" t="s">
        <v>412</v>
      </c>
      <c r="Y147" s="145" t="s">
        <v>3930</v>
      </c>
      <c r="Z147" s="144">
        <v>231943.9</v>
      </c>
      <c r="AA147" s="145" t="s">
        <v>3930</v>
      </c>
      <c r="AB147" s="143" t="s">
        <v>1414</v>
      </c>
      <c r="AC147" s="144">
        <v>60.555900000000001</v>
      </c>
      <c r="AD147" s="144">
        <v>291.13140000000004</v>
      </c>
      <c r="AE147" s="145" t="s">
        <v>3930</v>
      </c>
      <c r="AF147" s="145" t="s">
        <v>3930</v>
      </c>
      <c r="AG147" s="145" t="s">
        <v>3930</v>
      </c>
      <c r="AH147" s="146">
        <v>4.4931594647397693E-4</v>
      </c>
      <c r="AI147" s="146">
        <v>4.3302955435751576E-3</v>
      </c>
      <c r="AJ147" s="147">
        <v>5.1018851403099427E-4</v>
      </c>
      <c r="AK147" s="177"/>
    </row>
    <row r="148" spans="1:37" ht="15" x14ac:dyDescent="0.2">
      <c r="A148" s="142" t="s">
        <v>1205</v>
      </c>
      <c r="B148" s="143" t="s">
        <v>1205</v>
      </c>
      <c r="C148" s="143" t="s">
        <v>1836</v>
      </c>
      <c r="D148" s="143" t="s">
        <v>1837</v>
      </c>
      <c r="E148" s="143" t="s">
        <v>309</v>
      </c>
      <c r="F148" s="143" t="s">
        <v>1838</v>
      </c>
      <c r="G148" s="143" t="s">
        <v>1839</v>
      </c>
      <c r="H148" s="143" t="s">
        <v>321</v>
      </c>
      <c r="I148" s="143" t="s">
        <v>951</v>
      </c>
      <c r="J148" s="143" t="s">
        <v>204</v>
      </c>
      <c r="K148" s="143" t="s">
        <v>224</v>
      </c>
      <c r="L148" s="143" t="s">
        <v>325</v>
      </c>
      <c r="M148" s="143" t="s">
        <v>340</v>
      </c>
      <c r="N148" s="143" t="s">
        <v>465</v>
      </c>
      <c r="O148" s="143" t="s">
        <v>339</v>
      </c>
      <c r="P148" s="143" t="s">
        <v>1398</v>
      </c>
      <c r="Q148" s="143" t="s">
        <v>413</v>
      </c>
      <c r="R148" s="143" t="s">
        <v>407</v>
      </c>
      <c r="S148" s="143" t="s">
        <v>1210</v>
      </c>
      <c r="T148" s="144">
        <v>2.1800000000000002</v>
      </c>
      <c r="U148" s="143" t="s">
        <v>1840</v>
      </c>
      <c r="V148" s="146">
        <v>4.3499999999999997E-2</v>
      </c>
      <c r="W148" s="146">
        <v>6.5694000000000002E-2</v>
      </c>
      <c r="X148" s="143" t="s">
        <v>412</v>
      </c>
      <c r="Y148" s="145" t="s">
        <v>3930</v>
      </c>
      <c r="Z148" s="144">
        <v>280000</v>
      </c>
      <c r="AA148" s="145" t="s">
        <v>3930</v>
      </c>
      <c r="AB148" s="143" t="s">
        <v>1841</v>
      </c>
      <c r="AC148" s="145" t="s">
        <v>3930</v>
      </c>
      <c r="AD148" s="144">
        <v>269.72399999999999</v>
      </c>
      <c r="AE148" s="145" t="s">
        <v>3930</v>
      </c>
      <c r="AF148" s="145" t="s">
        <v>3930</v>
      </c>
      <c r="AG148" s="145" t="s">
        <v>3930</v>
      </c>
      <c r="AH148" s="146">
        <v>7.2164948453608247E-4</v>
      </c>
      <c r="AI148" s="146">
        <v>3.3210887386040102E-3</v>
      </c>
      <c r="AJ148" s="147">
        <v>3.9128537797550469E-4</v>
      </c>
      <c r="AK148" s="177"/>
    </row>
    <row r="149" spans="1:37" ht="15" x14ac:dyDescent="0.2">
      <c r="A149" s="142" t="s">
        <v>1205</v>
      </c>
      <c r="B149" s="143" t="s">
        <v>1205</v>
      </c>
      <c r="C149" s="143" t="s">
        <v>1842</v>
      </c>
      <c r="D149" s="143" t="s">
        <v>1843</v>
      </c>
      <c r="E149" s="143" t="s">
        <v>309</v>
      </c>
      <c r="F149" s="143" t="s">
        <v>1844</v>
      </c>
      <c r="G149" s="143" t="s">
        <v>1845</v>
      </c>
      <c r="H149" s="143" t="s">
        <v>321</v>
      </c>
      <c r="I149" s="143" t="s">
        <v>951</v>
      </c>
      <c r="J149" s="143" t="s">
        <v>204</v>
      </c>
      <c r="K149" s="143" t="s">
        <v>204</v>
      </c>
      <c r="L149" s="143" t="s">
        <v>325</v>
      </c>
      <c r="M149" s="143" t="s">
        <v>340</v>
      </c>
      <c r="N149" s="143" t="s">
        <v>464</v>
      </c>
      <c r="O149" s="143" t="s">
        <v>339</v>
      </c>
      <c r="P149" s="143" t="s">
        <v>1368</v>
      </c>
      <c r="Q149" s="143" t="s">
        <v>415</v>
      </c>
      <c r="R149" s="143" t="s">
        <v>407</v>
      </c>
      <c r="S149" s="143" t="s">
        <v>1210</v>
      </c>
      <c r="T149" s="144">
        <v>2.09</v>
      </c>
      <c r="U149" s="143" t="s">
        <v>1539</v>
      </c>
      <c r="V149" s="146">
        <v>5.6500000000000002E-2</v>
      </c>
      <c r="W149" s="146">
        <v>5.3936999999999999E-2</v>
      </c>
      <c r="X149" s="143" t="s">
        <v>412</v>
      </c>
      <c r="Y149" s="145" t="s">
        <v>3930</v>
      </c>
      <c r="Z149" s="144">
        <v>217411.8</v>
      </c>
      <c r="AA149" s="145" t="s">
        <v>3930</v>
      </c>
      <c r="AB149" s="143" t="s">
        <v>1846</v>
      </c>
      <c r="AC149" s="145" t="s">
        <v>3930</v>
      </c>
      <c r="AD149" s="144">
        <v>222.2166</v>
      </c>
      <c r="AE149" s="145" t="s">
        <v>3930</v>
      </c>
      <c r="AF149" s="145" t="s">
        <v>3930</v>
      </c>
      <c r="AG149" s="145" t="s">
        <v>3930</v>
      </c>
      <c r="AH149" s="146">
        <v>1.3930457650029357E-3</v>
      </c>
      <c r="AI149" s="146">
        <v>2.7361341607766497E-3</v>
      </c>
      <c r="AJ149" s="147">
        <v>3.2236696263081565E-4</v>
      </c>
      <c r="AK149" s="177"/>
    </row>
    <row r="150" spans="1:37" ht="15" x14ac:dyDescent="0.2">
      <c r="A150" s="142" t="s">
        <v>1205</v>
      </c>
      <c r="B150" s="143" t="s">
        <v>1205</v>
      </c>
      <c r="C150" s="143" t="s">
        <v>1847</v>
      </c>
      <c r="D150" s="143" t="s">
        <v>1848</v>
      </c>
      <c r="E150" s="143" t="s">
        <v>309</v>
      </c>
      <c r="F150" s="143" t="s">
        <v>1849</v>
      </c>
      <c r="G150" s="143" t="s">
        <v>1850</v>
      </c>
      <c r="H150" s="143" t="s">
        <v>321</v>
      </c>
      <c r="I150" s="143" t="s">
        <v>951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454</v>
      </c>
      <c r="O150" s="143" t="s">
        <v>339</v>
      </c>
      <c r="P150" s="143" t="s">
        <v>1405</v>
      </c>
      <c r="Q150" s="143" t="s">
        <v>415</v>
      </c>
      <c r="R150" s="143" t="s">
        <v>407</v>
      </c>
      <c r="S150" s="143" t="s">
        <v>1210</v>
      </c>
      <c r="T150" s="144">
        <v>2.72</v>
      </c>
      <c r="U150" s="143" t="s">
        <v>1851</v>
      </c>
      <c r="V150" s="146">
        <v>6.7500000000000004E-2</v>
      </c>
      <c r="W150" s="146">
        <v>6.4201999999999995E-2</v>
      </c>
      <c r="X150" s="143" t="s">
        <v>412</v>
      </c>
      <c r="Y150" s="145" t="s">
        <v>3930</v>
      </c>
      <c r="Z150" s="144">
        <v>205076.78</v>
      </c>
      <c r="AA150" s="145" t="s">
        <v>3930</v>
      </c>
      <c r="AB150" s="143" t="s">
        <v>1852</v>
      </c>
      <c r="AC150" s="145" t="s">
        <v>3930</v>
      </c>
      <c r="AD150" s="144">
        <v>209.58850000000001</v>
      </c>
      <c r="AE150" s="145" t="s">
        <v>3930</v>
      </c>
      <c r="AF150" s="145" t="s">
        <v>3930</v>
      </c>
      <c r="AG150" s="145" t="s">
        <v>3930</v>
      </c>
      <c r="AH150" s="146">
        <v>1.1718673142857142E-4</v>
      </c>
      <c r="AI150" s="146">
        <v>2.5806450470426431E-3</v>
      </c>
      <c r="AJ150" s="147">
        <v>3.040474832591019E-4</v>
      </c>
      <c r="AK150" s="177"/>
    </row>
    <row r="151" spans="1:37" ht="15" x14ac:dyDescent="0.2">
      <c r="A151" s="142" t="s">
        <v>1205</v>
      </c>
      <c r="B151" s="143" t="s">
        <v>1205</v>
      </c>
      <c r="C151" s="143" t="s">
        <v>1853</v>
      </c>
      <c r="D151" s="143" t="s">
        <v>1854</v>
      </c>
      <c r="E151" s="143" t="s">
        <v>309</v>
      </c>
      <c r="F151" s="143" t="s">
        <v>1855</v>
      </c>
      <c r="G151" s="143" t="s">
        <v>1856</v>
      </c>
      <c r="H151" s="143" t="s">
        <v>321</v>
      </c>
      <c r="I151" s="143" t="s">
        <v>951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484</v>
      </c>
      <c r="O151" s="143" t="s">
        <v>339</v>
      </c>
      <c r="P151" s="143" t="s">
        <v>1356</v>
      </c>
      <c r="Q151" s="143" t="s">
        <v>413</v>
      </c>
      <c r="R151" s="143" t="s">
        <v>407</v>
      </c>
      <c r="S151" s="143" t="s">
        <v>1210</v>
      </c>
      <c r="T151" s="144">
        <v>2.08</v>
      </c>
      <c r="U151" s="143" t="s">
        <v>1857</v>
      </c>
      <c r="V151" s="146">
        <v>0.04</v>
      </c>
      <c r="W151" s="146">
        <v>5.2436000000000003E-2</v>
      </c>
      <c r="X151" s="143" t="s">
        <v>412</v>
      </c>
      <c r="Y151" s="145" t="s">
        <v>3930</v>
      </c>
      <c r="Z151" s="144">
        <v>169609.3</v>
      </c>
      <c r="AA151" s="145" t="s">
        <v>3930</v>
      </c>
      <c r="AB151" s="143" t="s">
        <v>1858</v>
      </c>
      <c r="AC151" s="145" t="s">
        <v>3930</v>
      </c>
      <c r="AD151" s="144">
        <v>167.21779999999998</v>
      </c>
      <c r="AE151" s="145" t="s">
        <v>3930</v>
      </c>
      <c r="AF151" s="145" t="s">
        <v>3930</v>
      </c>
      <c r="AG151" s="145" t="s">
        <v>3930</v>
      </c>
      <c r="AH151" s="146">
        <v>2.847780285380966E-4</v>
      </c>
      <c r="AI151" s="146">
        <v>2.0589387000496608E-3</v>
      </c>
      <c r="AJ151" s="147">
        <v>2.4258087358905268E-4</v>
      </c>
      <c r="AK151" s="177"/>
    </row>
    <row r="152" spans="1:37" ht="15" x14ac:dyDescent="0.2">
      <c r="A152" s="142" t="s">
        <v>1205</v>
      </c>
      <c r="B152" s="143" t="s">
        <v>1205</v>
      </c>
      <c r="C152" s="143" t="s">
        <v>1859</v>
      </c>
      <c r="D152" s="143" t="s">
        <v>1860</v>
      </c>
      <c r="E152" s="143" t="s">
        <v>309</v>
      </c>
      <c r="F152" s="143" t="s">
        <v>1861</v>
      </c>
      <c r="G152" s="143" t="s">
        <v>1862</v>
      </c>
      <c r="H152" s="143" t="s">
        <v>321</v>
      </c>
      <c r="I152" s="143" t="s">
        <v>951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451</v>
      </c>
      <c r="O152" s="143" t="s">
        <v>339</v>
      </c>
      <c r="P152" s="143" t="s">
        <v>1412</v>
      </c>
      <c r="Q152" s="143" t="s">
        <v>413</v>
      </c>
      <c r="R152" s="143" t="s">
        <v>407</v>
      </c>
      <c r="S152" s="143" t="s">
        <v>1210</v>
      </c>
      <c r="T152" s="144">
        <v>6.3</v>
      </c>
      <c r="U152" s="143" t="s">
        <v>1863</v>
      </c>
      <c r="V152" s="146">
        <v>5.3100000000000001E-2</v>
      </c>
      <c r="W152" s="146">
        <v>5.9367999999999997E-2</v>
      </c>
      <c r="X152" s="143" t="s">
        <v>412</v>
      </c>
      <c r="Y152" s="145" t="s">
        <v>3930</v>
      </c>
      <c r="Z152" s="144">
        <v>164000</v>
      </c>
      <c r="AA152" s="145" t="s">
        <v>3930</v>
      </c>
      <c r="AB152" s="143" t="s">
        <v>1864</v>
      </c>
      <c r="AC152" s="145" t="s">
        <v>3930</v>
      </c>
      <c r="AD152" s="144">
        <v>159.7688</v>
      </c>
      <c r="AE152" s="145" t="s">
        <v>3930</v>
      </c>
      <c r="AF152" s="145" t="s">
        <v>3930</v>
      </c>
      <c r="AG152" s="145" t="s">
        <v>3930</v>
      </c>
      <c r="AH152" s="146">
        <v>5.1538292322679991E-4</v>
      </c>
      <c r="AI152" s="146">
        <v>1.9672196855314186E-3</v>
      </c>
      <c r="AJ152" s="147">
        <v>2.3177468559228251E-4</v>
      </c>
      <c r="AK152" s="177"/>
    </row>
    <row r="153" spans="1:37" ht="15" x14ac:dyDescent="0.2">
      <c r="A153" s="142" t="s">
        <v>1205</v>
      </c>
      <c r="B153" s="143" t="s">
        <v>1205</v>
      </c>
      <c r="C153" s="143" t="s">
        <v>1692</v>
      </c>
      <c r="D153" s="143" t="s">
        <v>1693</v>
      </c>
      <c r="E153" s="143" t="s">
        <v>309</v>
      </c>
      <c r="F153" s="143" t="s">
        <v>1694</v>
      </c>
      <c r="G153" s="143" t="s">
        <v>1695</v>
      </c>
      <c r="H153" s="143" t="s">
        <v>321</v>
      </c>
      <c r="I153" s="143" t="s">
        <v>951</v>
      </c>
      <c r="J153" s="143" t="s">
        <v>204</v>
      </c>
      <c r="K153" s="143" t="s">
        <v>224</v>
      </c>
      <c r="L153" s="143" t="s">
        <v>325</v>
      </c>
      <c r="M153" s="143" t="s">
        <v>340</v>
      </c>
      <c r="N153" s="143" t="s">
        <v>465</v>
      </c>
      <c r="O153" s="143" t="s">
        <v>339</v>
      </c>
      <c r="P153" s="143" t="s">
        <v>1412</v>
      </c>
      <c r="Q153" s="143" t="s">
        <v>413</v>
      </c>
      <c r="R153" s="143" t="s">
        <v>407</v>
      </c>
      <c r="S153" s="143" t="s">
        <v>1210</v>
      </c>
      <c r="T153" s="144">
        <v>0.25</v>
      </c>
      <c r="U153" s="143" t="s">
        <v>1696</v>
      </c>
      <c r="V153" s="146">
        <v>3.3799999999999997E-2</v>
      </c>
      <c r="W153" s="146">
        <v>6.0142000000000001E-2</v>
      </c>
      <c r="X153" s="143" t="s">
        <v>412</v>
      </c>
      <c r="Y153" s="145" t="s">
        <v>3930</v>
      </c>
      <c r="Z153" s="144">
        <v>128250</v>
      </c>
      <c r="AA153" s="145" t="s">
        <v>3930</v>
      </c>
      <c r="AB153" s="143" t="s">
        <v>1697</v>
      </c>
      <c r="AC153" s="145" t="s">
        <v>3930</v>
      </c>
      <c r="AD153" s="144">
        <v>128.55780000000001</v>
      </c>
      <c r="AE153" s="145" t="s">
        <v>3930</v>
      </c>
      <c r="AF153" s="145" t="s">
        <v>3930</v>
      </c>
      <c r="AG153" s="145" t="s">
        <v>3930</v>
      </c>
      <c r="AH153" s="146">
        <v>6.2673405584896813E-4</v>
      </c>
      <c r="AI153" s="146">
        <v>1.5829212893168818E-3</v>
      </c>
      <c r="AJ153" s="147">
        <v>1.8649726151436036E-4</v>
      </c>
      <c r="AK153" s="177"/>
    </row>
    <row r="154" spans="1:37" ht="15" x14ac:dyDescent="0.2">
      <c r="A154" s="142" t="s">
        <v>1205</v>
      </c>
      <c r="B154" s="143" t="s">
        <v>1205</v>
      </c>
      <c r="C154" s="143" t="s">
        <v>1358</v>
      </c>
      <c r="D154" s="143" t="s">
        <v>1359</v>
      </c>
      <c r="E154" s="143" t="s">
        <v>309</v>
      </c>
      <c r="F154" s="143" t="s">
        <v>1360</v>
      </c>
      <c r="G154" s="143" t="s">
        <v>1361</v>
      </c>
      <c r="H154" s="143" t="s">
        <v>321</v>
      </c>
      <c r="I154" s="143" t="s">
        <v>951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448</v>
      </c>
      <c r="O154" s="143" t="s">
        <v>339</v>
      </c>
      <c r="P154" s="143" t="s">
        <v>1303</v>
      </c>
      <c r="Q154" s="143" t="s">
        <v>413</v>
      </c>
      <c r="R154" s="143" t="s">
        <v>407</v>
      </c>
      <c r="S154" s="143" t="s">
        <v>1210</v>
      </c>
      <c r="T154" s="144">
        <v>0.68</v>
      </c>
      <c r="U154" s="143" t="s">
        <v>1362</v>
      </c>
      <c r="V154" s="146">
        <v>2.98E-2</v>
      </c>
      <c r="W154" s="146">
        <v>4.4567000000000002E-2</v>
      </c>
      <c r="X154" s="143" t="s">
        <v>412</v>
      </c>
      <c r="Y154" s="145" t="s">
        <v>3930</v>
      </c>
      <c r="Z154" s="144">
        <v>104858</v>
      </c>
      <c r="AA154" s="145" t="s">
        <v>3930</v>
      </c>
      <c r="AB154" s="143" t="s">
        <v>1363</v>
      </c>
      <c r="AC154" s="145" t="s">
        <v>3930</v>
      </c>
      <c r="AD154" s="144">
        <v>104.80560000000001</v>
      </c>
      <c r="AE154" s="145" t="s">
        <v>3930</v>
      </c>
      <c r="AF154" s="145" t="s">
        <v>3930</v>
      </c>
      <c r="AG154" s="145" t="s">
        <v>3930</v>
      </c>
      <c r="AH154" s="146">
        <v>4.1248395526395187E-5</v>
      </c>
      <c r="AI154" s="146">
        <v>1.2904621078994195E-3</v>
      </c>
      <c r="AJ154" s="147">
        <v>1.520401872383384E-4</v>
      </c>
      <c r="AK154" s="177"/>
    </row>
    <row r="155" spans="1:37" ht="15" x14ac:dyDescent="0.2">
      <c r="A155" s="142" t="s">
        <v>1205</v>
      </c>
      <c r="B155" s="143" t="s">
        <v>1205</v>
      </c>
      <c r="C155" s="143" t="s">
        <v>1415</v>
      </c>
      <c r="D155" s="143" t="s">
        <v>1416</v>
      </c>
      <c r="E155" s="143" t="s">
        <v>309</v>
      </c>
      <c r="F155" s="143" t="s">
        <v>1417</v>
      </c>
      <c r="G155" s="143" t="s">
        <v>1418</v>
      </c>
      <c r="H155" s="143" t="s">
        <v>321</v>
      </c>
      <c r="I155" s="143" t="s">
        <v>951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451</v>
      </c>
      <c r="O155" s="143" t="s">
        <v>339</v>
      </c>
      <c r="P155" s="143" t="s">
        <v>1398</v>
      </c>
      <c r="Q155" s="143" t="s">
        <v>413</v>
      </c>
      <c r="R155" s="143" t="s">
        <v>407</v>
      </c>
      <c r="S155" s="143" t="s">
        <v>1210</v>
      </c>
      <c r="T155" s="144">
        <v>1.21</v>
      </c>
      <c r="U155" s="143" t="s">
        <v>1419</v>
      </c>
      <c r="V155" s="146">
        <v>0.04</v>
      </c>
      <c r="W155" s="146">
        <v>5.4871000000000003E-2</v>
      </c>
      <c r="X155" s="143" t="s">
        <v>412</v>
      </c>
      <c r="Y155" s="145" t="s">
        <v>3930</v>
      </c>
      <c r="Z155" s="144">
        <v>89804.39</v>
      </c>
      <c r="AA155" s="145" t="s">
        <v>3930</v>
      </c>
      <c r="AB155" s="143" t="s">
        <v>1420</v>
      </c>
      <c r="AC155" s="145" t="s">
        <v>3930</v>
      </c>
      <c r="AD155" s="144">
        <v>89.220699999999994</v>
      </c>
      <c r="AE155" s="145" t="s">
        <v>3930</v>
      </c>
      <c r="AF155" s="145" t="s">
        <v>3930</v>
      </c>
      <c r="AG155" s="145" t="s">
        <v>3930</v>
      </c>
      <c r="AH155" s="146">
        <v>6.8158712417658361E-4</v>
      </c>
      <c r="AI155" s="146">
        <v>1.0985664384415635E-3</v>
      </c>
      <c r="AJ155" s="147">
        <v>1.2943134554046755E-4</v>
      </c>
      <c r="AK155" s="177"/>
    </row>
    <row r="156" spans="1:37" ht="15" x14ac:dyDescent="0.2">
      <c r="A156" s="142" t="s">
        <v>1205</v>
      </c>
      <c r="B156" s="143" t="s">
        <v>1205</v>
      </c>
      <c r="C156" s="143" t="s">
        <v>1421</v>
      </c>
      <c r="D156" s="143" t="s">
        <v>1422</v>
      </c>
      <c r="E156" s="143" t="s">
        <v>309</v>
      </c>
      <c r="F156" s="143" t="s">
        <v>1447</v>
      </c>
      <c r="G156" s="143" t="s">
        <v>1448</v>
      </c>
      <c r="H156" s="143" t="s">
        <v>321</v>
      </c>
      <c r="I156" s="143" t="s">
        <v>951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445</v>
      </c>
      <c r="O156" s="143" t="s">
        <v>339</v>
      </c>
      <c r="P156" s="143" t="s">
        <v>1425</v>
      </c>
      <c r="Q156" s="143" t="s">
        <v>415</v>
      </c>
      <c r="R156" s="143" t="s">
        <v>407</v>
      </c>
      <c r="S156" s="143" t="s">
        <v>1210</v>
      </c>
      <c r="T156" s="144">
        <v>4.7300000000000004</v>
      </c>
      <c r="U156" s="143" t="s">
        <v>1449</v>
      </c>
      <c r="V156" s="146">
        <v>3.95E-2</v>
      </c>
      <c r="W156" s="146">
        <v>5.4330999999999997E-2</v>
      </c>
      <c r="X156" s="143" t="s">
        <v>412</v>
      </c>
      <c r="Y156" s="145" t="s">
        <v>3930</v>
      </c>
      <c r="Z156" s="144">
        <v>90970</v>
      </c>
      <c r="AA156" s="145" t="s">
        <v>3930</v>
      </c>
      <c r="AB156" s="143" t="s">
        <v>1450</v>
      </c>
      <c r="AC156" s="145" t="s">
        <v>3930</v>
      </c>
      <c r="AD156" s="144">
        <v>86.048500000000004</v>
      </c>
      <c r="AE156" s="145" t="s">
        <v>3930</v>
      </c>
      <c r="AF156" s="145" t="s">
        <v>3930</v>
      </c>
      <c r="AG156" s="145" t="s">
        <v>3930</v>
      </c>
      <c r="AH156" s="146">
        <v>3.7902591656055891E-4</v>
      </c>
      <c r="AI156" s="146">
        <v>1.0595081665287782E-3</v>
      </c>
      <c r="AJ156" s="147">
        <v>1.2482956224247344E-4</v>
      </c>
      <c r="AK156" s="177"/>
    </row>
    <row r="157" spans="1:37" ht="15" x14ac:dyDescent="0.2">
      <c r="A157" s="142" t="s">
        <v>1205</v>
      </c>
      <c r="B157" s="143" t="s">
        <v>1205</v>
      </c>
      <c r="C157" s="143" t="s">
        <v>1421</v>
      </c>
      <c r="D157" s="143" t="s">
        <v>1422</v>
      </c>
      <c r="E157" s="143" t="s">
        <v>309</v>
      </c>
      <c r="F157" s="143" t="s">
        <v>1451</v>
      </c>
      <c r="G157" s="143" t="s">
        <v>1452</v>
      </c>
      <c r="H157" s="143" t="s">
        <v>321</v>
      </c>
      <c r="I157" s="143" t="s">
        <v>951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445</v>
      </c>
      <c r="O157" s="143" t="s">
        <v>339</v>
      </c>
      <c r="P157" s="143" t="s">
        <v>1425</v>
      </c>
      <c r="Q157" s="143" t="s">
        <v>415</v>
      </c>
      <c r="R157" s="143" t="s">
        <v>407</v>
      </c>
      <c r="S157" s="143" t="s">
        <v>1210</v>
      </c>
      <c r="T157" s="144">
        <v>3.91</v>
      </c>
      <c r="U157" s="143" t="s">
        <v>1453</v>
      </c>
      <c r="V157" s="146">
        <v>3.95E-2</v>
      </c>
      <c r="W157" s="146">
        <v>5.1232E-2</v>
      </c>
      <c r="X157" s="143" t="s">
        <v>412</v>
      </c>
      <c r="Y157" s="145" t="s">
        <v>3930</v>
      </c>
      <c r="Z157" s="144">
        <v>83298</v>
      </c>
      <c r="AA157" s="145" t="s">
        <v>3930</v>
      </c>
      <c r="AB157" s="143" t="s">
        <v>1454</v>
      </c>
      <c r="AC157" s="145" t="s">
        <v>3930</v>
      </c>
      <c r="AD157" s="144">
        <v>80.615800000000007</v>
      </c>
      <c r="AE157" s="145" t="s">
        <v>3930</v>
      </c>
      <c r="AF157" s="145" t="s">
        <v>3930</v>
      </c>
      <c r="AG157" s="145" t="s">
        <v>3930</v>
      </c>
      <c r="AH157" s="146">
        <v>3.4706057818689062E-4</v>
      </c>
      <c r="AI157" s="146">
        <v>9.9261556311764482E-4</v>
      </c>
      <c r="AJ157" s="147">
        <v>1.1694838240369174E-4</v>
      </c>
      <c r="AK157" s="177"/>
    </row>
    <row r="158" spans="1:37" ht="15" x14ac:dyDescent="0.2">
      <c r="A158" s="142" t="s">
        <v>1205</v>
      </c>
      <c r="B158" s="143" t="s">
        <v>1205</v>
      </c>
      <c r="C158" s="143" t="s">
        <v>1865</v>
      </c>
      <c r="D158" s="143" t="s">
        <v>1866</v>
      </c>
      <c r="E158" s="143" t="s">
        <v>309</v>
      </c>
      <c r="F158" s="143" t="s">
        <v>1867</v>
      </c>
      <c r="G158" s="143" t="s">
        <v>1868</v>
      </c>
      <c r="H158" s="143" t="s">
        <v>321</v>
      </c>
      <c r="I158" s="143" t="s">
        <v>951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445</v>
      </c>
      <c r="O158" s="143" t="s">
        <v>339</v>
      </c>
      <c r="P158" s="143" t="s">
        <v>1444</v>
      </c>
      <c r="Q158" s="143" t="s">
        <v>415</v>
      </c>
      <c r="R158" s="143" t="s">
        <v>407</v>
      </c>
      <c r="S158" s="143" t="s">
        <v>1210</v>
      </c>
      <c r="T158" s="144">
        <v>1.1000000000000001</v>
      </c>
      <c r="U158" s="143" t="s">
        <v>1869</v>
      </c>
      <c r="V158" s="146">
        <v>3.27E-2</v>
      </c>
      <c r="W158" s="146">
        <v>5.5626000000000002E-2</v>
      </c>
      <c r="X158" s="143" t="s">
        <v>412</v>
      </c>
      <c r="Y158" s="145" t="s">
        <v>3930</v>
      </c>
      <c r="Z158" s="144">
        <v>62000</v>
      </c>
      <c r="AA158" s="145" t="s">
        <v>3930</v>
      </c>
      <c r="AB158" s="143" t="s">
        <v>1870</v>
      </c>
      <c r="AC158" s="145" t="s">
        <v>3930</v>
      </c>
      <c r="AD158" s="144">
        <v>61.286999999999999</v>
      </c>
      <c r="AE158" s="145" t="s">
        <v>3930</v>
      </c>
      <c r="AF158" s="145" t="s">
        <v>3930</v>
      </c>
      <c r="AG158" s="145" t="s">
        <v>3930</v>
      </c>
      <c r="AH158" s="146">
        <v>1.9645556143513956E-4</v>
      </c>
      <c r="AI158" s="146">
        <v>7.5462163368044365E-4</v>
      </c>
      <c r="AJ158" s="147">
        <v>8.8908317242754646E-5</v>
      </c>
      <c r="AK158" s="177"/>
    </row>
    <row r="159" spans="1:37" ht="15" x14ac:dyDescent="0.2">
      <c r="A159" s="142" t="s">
        <v>1205</v>
      </c>
      <c r="B159" s="143" t="s">
        <v>1205</v>
      </c>
      <c r="C159" s="143" t="s">
        <v>1364</v>
      </c>
      <c r="D159" s="143" t="s">
        <v>1365</v>
      </c>
      <c r="E159" s="143" t="s">
        <v>309</v>
      </c>
      <c r="F159" s="143" t="s">
        <v>1871</v>
      </c>
      <c r="G159" s="143" t="s">
        <v>1872</v>
      </c>
      <c r="H159" s="143" t="s">
        <v>321</v>
      </c>
      <c r="I159" s="143" t="s">
        <v>951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445</v>
      </c>
      <c r="O159" s="143" t="s">
        <v>339</v>
      </c>
      <c r="P159" s="143" t="s">
        <v>1368</v>
      </c>
      <c r="Q159" s="143" t="s">
        <v>415</v>
      </c>
      <c r="R159" s="143" t="s">
        <v>407</v>
      </c>
      <c r="S159" s="143" t="s">
        <v>1210</v>
      </c>
      <c r="T159" s="144">
        <v>4.28</v>
      </c>
      <c r="U159" s="143" t="s">
        <v>1873</v>
      </c>
      <c r="V159" s="146">
        <v>2.6200000000000001E-2</v>
      </c>
      <c r="W159" s="146">
        <v>5.4115000000000003E-2</v>
      </c>
      <c r="X159" s="143" t="s">
        <v>412</v>
      </c>
      <c r="Y159" s="145" t="s">
        <v>3930</v>
      </c>
      <c r="Z159" s="144">
        <v>62000</v>
      </c>
      <c r="AA159" s="145" t="s">
        <v>3930</v>
      </c>
      <c r="AB159" s="143" t="s">
        <v>1874</v>
      </c>
      <c r="AC159" s="145" t="s">
        <v>3930</v>
      </c>
      <c r="AD159" s="144">
        <v>55.874400000000001</v>
      </c>
      <c r="AE159" s="145" t="s">
        <v>3930</v>
      </c>
      <c r="AF159" s="145" t="s">
        <v>3930</v>
      </c>
      <c r="AG159" s="145" t="s">
        <v>3930</v>
      </c>
      <c r="AH159" s="146">
        <v>4.7937118870910753E-5</v>
      </c>
      <c r="AI159" s="146">
        <v>6.8797674888499316E-4</v>
      </c>
      <c r="AJ159" s="147">
        <v>8.1056323216156291E-5</v>
      </c>
      <c r="AK159" s="177"/>
    </row>
    <row r="160" spans="1:37" ht="15" x14ac:dyDescent="0.2">
      <c r="A160" s="142" t="s">
        <v>1205</v>
      </c>
      <c r="B160" s="143" t="s">
        <v>1205</v>
      </c>
      <c r="C160" s="143" t="s">
        <v>1875</v>
      </c>
      <c r="D160" s="143" t="s">
        <v>1876</v>
      </c>
      <c r="E160" s="143" t="s">
        <v>309</v>
      </c>
      <c r="F160" s="143" t="s">
        <v>1877</v>
      </c>
      <c r="G160" s="143" t="s">
        <v>1878</v>
      </c>
      <c r="H160" s="143" t="s">
        <v>321</v>
      </c>
      <c r="I160" s="143" t="s">
        <v>951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437</v>
      </c>
      <c r="O160" s="143" t="s">
        <v>339</v>
      </c>
      <c r="P160" s="143" t="s">
        <v>1425</v>
      </c>
      <c r="Q160" s="143" t="s">
        <v>415</v>
      </c>
      <c r="R160" s="143" t="s">
        <v>407</v>
      </c>
      <c r="S160" s="143" t="s">
        <v>1210</v>
      </c>
      <c r="T160" s="144">
        <v>2.27</v>
      </c>
      <c r="U160" s="143" t="s">
        <v>1879</v>
      </c>
      <c r="V160" s="146">
        <v>0.05</v>
      </c>
      <c r="W160" s="146">
        <v>5.3633E-2</v>
      </c>
      <c r="X160" s="143" t="s">
        <v>412</v>
      </c>
      <c r="Y160" s="145" t="s">
        <v>3930</v>
      </c>
      <c r="Z160" s="144">
        <v>38369.35</v>
      </c>
      <c r="AA160" s="145" t="s">
        <v>3930</v>
      </c>
      <c r="AB160" s="143" t="s">
        <v>1880</v>
      </c>
      <c r="AC160" s="145" t="s">
        <v>3930</v>
      </c>
      <c r="AD160" s="144">
        <v>38.319499999999998</v>
      </c>
      <c r="AE160" s="145" t="s">
        <v>3930</v>
      </c>
      <c r="AF160" s="145" t="s">
        <v>3930</v>
      </c>
      <c r="AG160" s="145" t="s">
        <v>3930</v>
      </c>
      <c r="AH160" s="146">
        <v>1.7192486898437654E-4</v>
      </c>
      <c r="AI160" s="146">
        <v>4.7182438259667458E-4</v>
      </c>
      <c r="AJ160" s="147">
        <v>5.5589596187665086E-5</v>
      </c>
      <c r="AK160" s="177"/>
    </row>
    <row r="161" spans="1:37" ht="15" x14ac:dyDescent="0.2">
      <c r="A161" s="142" t="s">
        <v>1205</v>
      </c>
      <c r="B161" s="143" t="s">
        <v>1205</v>
      </c>
      <c r="C161" s="143" t="s">
        <v>1881</v>
      </c>
      <c r="D161" s="143" t="s">
        <v>1882</v>
      </c>
      <c r="E161" s="143" t="s">
        <v>309</v>
      </c>
      <c r="F161" s="143" t="s">
        <v>1883</v>
      </c>
      <c r="G161" s="143" t="s">
        <v>1884</v>
      </c>
      <c r="H161" s="143" t="s">
        <v>321</v>
      </c>
      <c r="I161" s="143" t="s">
        <v>951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464</v>
      </c>
      <c r="O161" s="143" t="s">
        <v>339</v>
      </c>
      <c r="P161" s="143" t="s">
        <v>1412</v>
      </c>
      <c r="Q161" s="143" t="s">
        <v>413</v>
      </c>
      <c r="R161" s="143" t="s">
        <v>407</v>
      </c>
      <c r="S161" s="143" t="s">
        <v>1210</v>
      </c>
      <c r="T161" s="144">
        <v>0.73</v>
      </c>
      <c r="U161" s="143" t="s">
        <v>1885</v>
      </c>
      <c r="V161" s="146">
        <v>2.5499999999999998E-2</v>
      </c>
      <c r="W161" s="146">
        <v>4.8809999999999999E-2</v>
      </c>
      <c r="X161" s="143" t="s">
        <v>412</v>
      </c>
      <c r="Y161" s="145" t="s">
        <v>3930</v>
      </c>
      <c r="Z161" s="144">
        <v>0.01</v>
      </c>
      <c r="AA161" s="145" t="s">
        <v>3930</v>
      </c>
      <c r="AB161" s="143" t="s">
        <v>1886</v>
      </c>
      <c r="AC161" s="145" t="s">
        <v>3930</v>
      </c>
      <c r="AD161" s="144">
        <v>0</v>
      </c>
      <c r="AE161" s="145" t="s">
        <v>3930</v>
      </c>
      <c r="AF161" s="145" t="s">
        <v>3930</v>
      </c>
      <c r="AG161" s="145" t="s">
        <v>3930</v>
      </c>
      <c r="AH161" s="146">
        <v>1.4901353042856292E-10</v>
      </c>
      <c r="AI161" s="146">
        <v>1.2194711211139578E-10</v>
      </c>
      <c r="AJ161" s="147">
        <v>1.4367614240740158E-11</v>
      </c>
      <c r="AK161" s="177"/>
    </row>
    <row r="162" spans="1:37" ht="15" x14ac:dyDescent="0.2">
      <c r="A162" s="142" t="s">
        <v>1205</v>
      </c>
      <c r="B162" s="143" t="s">
        <v>1205</v>
      </c>
      <c r="C162" s="143" t="s">
        <v>1887</v>
      </c>
      <c r="D162" s="143" t="s">
        <v>1888</v>
      </c>
      <c r="E162" s="143" t="s">
        <v>309</v>
      </c>
      <c r="F162" s="143" t="s">
        <v>1889</v>
      </c>
      <c r="G162" s="143" t="s">
        <v>1890</v>
      </c>
      <c r="H162" s="143" t="s">
        <v>321</v>
      </c>
      <c r="I162" s="143" t="s">
        <v>754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448</v>
      </c>
      <c r="O162" s="143" t="s">
        <v>339</v>
      </c>
      <c r="P162" s="143" t="s">
        <v>1303</v>
      </c>
      <c r="Q162" s="143" t="s">
        <v>413</v>
      </c>
      <c r="R162" s="143" t="s">
        <v>407</v>
      </c>
      <c r="S162" s="143" t="s">
        <v>1210</v>
      </c>
      <c r="T162" s="144">
        <v>5.05</v>
      </c>
      <c r="U162" s="143" t="s">
        <v>1891</v>
      </c>
      <c r="V162" s="146">
        <v>2.1100000000000001E-2</v>
      </c>
      <c r="W162" s="146">
        <v>2.5798000000000001E-2</v>
      </c>
      <c r="X162" s="143" t="s">
        <v>412</v>
      </c>
      <c r="Y162" s="145" t="s">
        <v>3930</v>
      </c>
      <c r="Z162" s="144">
        <v>3320000</v>
      </c>
      <c r="AA162" s="145" t="s">
        <v>3930</v>
      </c>
      <c r="AB162" s="143" t="s">
        <v>1892</v>
      </c>
      <c r="AC162" s="145" t="s">
        <v>3930</v>
      </c>
      <c r="AD162" s="144">
        <v>3409.64</v>
      </c>
      <c r="AE162" s="145" t="s">
        <v>3930</v>
      </c>
      <c r="AF162" s="145" t="s">
        <v>3930</v>
      </c>
      <c r="AG162" s="145" t="s">
        <v>3930</v>
      </c>
      <c r="AH162" s="146">
        <v>1.1612724047747884E-3</v>
      </c>
      <c r="AI162" s="146">
        <v>4.1982608172405039E-2</v>
      </c>
      <c r="AJ162" s="147">
        <v>4.9463239317242801E-3</v>
      </c>
      <c r="AK162" s="177"/>
    </row>
    <row r="163" spans="1:37" ht="15" x14ac:dyDescent="0.2">
      <c r="A163" s="142" t="s">
        <v>1205</v>
      </c>
      <c r="B163" s="143" t="s">
        <v>1205</v>
      </c>
      <c r="C163" s="143" t="s">
        <v>1493</v>
      </c>
      <c r="D163" s="143" t="s">
        <v>1494</v>
      </c>
      <c r="E163" s="143" t="s">
        <v>309</v>
      </c>
      <c r="F163" s="143" t="s">
        <v>1528</v>
      </c>
      <c r="G163" s="143" t="s">
        <v>1529</v>
      </c>
      <c r="H163" s="143" t="s">
        <v>321</v>
      </c>
      <c r="I163" s="143" t="s">
        <v>754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448</v>
      </c>
      <c r="O163" s="143" t="s">
        <v>339</v>
      </c>
      <c r="P163" s="143" t="s">
        <v>1303</v>
      </c>
      <c r="Q163" s="143" t="s">
        <v>413</v>
      </c>
      <c r="R163" s="143" t="s">
        <v>407</v>
      </c>
      <c r="S163" s="143" t="s">
        <v>1210</v>
      </c>
      <c r="T163" s="144">
        <v>5.04</v>
      </c>
      <c r="U163" s="143" t="s">
        <v>1530</v>
      </c>
      <c r="V163" s="146">
        <v>2.0251999999999999E-2</v>
      </c>
      <c r="W163" s="146">
        <v>2.6082999999999999E-2</v>
      </c>
      <c r="X163" s="143" t="s">
        <v>412</v>
      </c>
      <c r="Y163" s="145" t="s">
        <v>3930</v>
      </c>
      <c r="Z163" s="144">
        <v>3300000</v>
      </c>
      <c r="AA163" s="145" t="s">
        <v>3930</v>
      </c>
      <c r="AB163" s="143" t="s">
        <v>1531</v>
      </c>
      <c r="AC163" s="145" t="s">
        <v>3930</v>
      </c>
      <c r="AD163" s="144">
        <v>3344.55</v>
      </c>
      <c r="AE163" s="145" t="s">
        <v>3930</v>
      </c>
      <c r="AF163" s="145" t="s">
        <v>3930</v>
      </c>
      <c r="AG163" s="145" t="s">
        <v>3930</v>
      </c>
      <c r="AH163" s="146">
        <v>9.2488374491594212E-4</v>
      </c>
      <c r="AI163" s="146">
        <v>4.1181160522230288E-2</v>
      </c>
      <c r="AJ163" s="147">
        <v>4.8518986479066531E-3</v>
      </c>
      <c r="AK163" s="177"/>
    </row>
    <row r="164" spans="1:37" ht="15" x14ac:dyDescent="0.2">
      <c r="A164" s="142" t="s">
        <v>1205</v>
      </c>
      <c r="B164" s="143" t="s">
        <v>1205</v>
      </c>
      <c r="C164" s="143" t="s">
        <v>1474</v>
      </c>
      <c r="D164" s="143" t="s">
        <v>1475</v>
      </c>
      <c r="E164" s="143" t="s">
        <v>313</v>
      </c>
      <c r="F164" s="143" t="s">
        <v>1476</v>
      </c>
      <c r="G164" s="143" t="s">
        <v>1477</v>
      </c>
      <c r="H164" s="143" t="s">
        <v>321</v>
      </c>
      <c r="I164" s="143" t="s">
        <v>754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440</v>
      </c>
      <c r="O164" s="143" t="s">
        <v>339</v>
      </c>
      <c r="P164" s="143" t="s">
        <v>1478</v>
      </c>
      <c r="Q164" s="143" t="s">
        <v>415</v>
      </c>
      <c r="R164" s="143" t="s">
        <v>407</v>
      </c>
      <c r="S164" s="143" t="s">
        <v>1210</v>
      </c>
      <c r="T164" s="144">
        <v>10.4</v>
      </c>
      <c r="U164" s="143" t="s">
        <v>1479</v>
      </c>
      <c r="V164" s="146">
        <v>3.2000000000000001E-2</v>
      </c>
      <c r="W164" s="146">
        <v>3.4784000000000002E-2</v>
      </c>
      <c r="X164" s="143" t="s">
        <v>412</v>
      </c>
      <c r="Y164" s="145" t="s">
        <v>3930</v>
      </c>
      <c r="Z164" s="144">
        <v>2563991</v>
      </c>
      <c r="AA164" s="145" t="s">
        <v>3930</v>
      </c>
      <c r="AB164" s="143" t="s">
        <v>1480</v>
      </c>
      <c r="AC164" s="145" t="s">
        <v>3930</v>
      </c>
      <c r="AD164" s="144">
        <v>2640.1415000000002</v>
      </c>
      <c r="AE164" s="145" t="s">
        <v>3930</v>
      </c>
      <c r="AF164" s="145" t="s">
        <v>3930</v>
      </c>
      <c r="AG164" s="145" t="s">
        <v>3930</v>
      </c>
      <c r="AH164" s="146">
        <v>5.2068628480299447E-4</v>
      </c>
      <c r="AI164" s="146">
        <v>3.2507838800294751E-2</v>
      </c>
      <c r="AJ164" s="147">
        <v>3.8300217167599017E-3</v>
      </c>
      <c r="AK164" s="177"/>
    </row>
    <row r="165" spans="1:37" ht="15" x14ac:dyDescent="0.2">
      <c r="A165" s="142" t="s">
        <v>1205</v>
      </c>
      <c r="B165" s="143" t="s">
        <v>1205</v>
      </c>
      <c r="C165" s="143" t="s">
        <v>1474</v>
      </c>
      <c r="D165" s="143" t="s">
        <v>1475</v>
      </c>
      <c r="E165" s="143" t="s">
        <v>313</v>
      </c>
      <c r="F165" s="143" t="s">
        <v>1481</v>
      </c>
      <c r="G165" s="143" t="s">
        <v>1482</v>
      </c>
      <c r="H165" s="143" t="s">
        <v>321</v>
      </c>
      <c r="I165" s="143" t="s">
        <v>754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440</v>
      </c>
      <c r="O165" s="143" t="s">
        <v>339</v>
      </c>
      <c r="P165" s="143" t="s">
        <v>1478</v>
      </c>
      <c r="Q165" s="143" t="s">
        <v>415</v>
      </c>
      <c r="R165" s="143" t="s">
        <v>407</v>
      </c>
      <c r="S165" s="143" t="s">
        <v>1210</v>
      </c>
      <c r="T165" s="144">
        <v>7.64</v>
      </c>
      <c r="U165" s="143" t="s">
        <v>1483</v>
      </c>
      <c r="V165" s="146">
        <v>0.03</v>
      </c>
      <c r="W165" s="146">
        <v>3.2599000000000003E-2</v>
      </c>
      <c r="X165" s="143" t="s">
        <v>412</v>
      </c>
      <c r="Y165" s="145" t="s">
        <v>3930</v>
      </c>
      <c r="Z165" s="144">
        <v>2545000</v>
      </c>
      <c r="AA165" s="145" t="s">
        <v>3930</v>
      </c>
      <c r="AB165" s="143" t="s">
        <v>1484</v>
      </c>
      <c r="AC165" s="145" t="s">
        <v>3930</v>
      </c>
      <c r="AD165" s="144">
        <v>2639.4195</v>
      </c>
      <c r="AE165" s="145" t="s">
        <v>3930</v>
      </c>
      <c r="AF165" s="145" t="s">
        <v>3930</v>
      </c>
      <c r="AG165" s="145" t="s">
        <v>3930</v>
      </c>
      <c r="AH165" s="146">
        <v>6.238044768817325E-4</v>
      </c>
      <c r="AI165" s="146">
        <v>3.2498948472890164E-2</v>
      </c>
      <c r="AJ165" s="147">
        <v>3.8289742725653541E-3</v>
      </c>
      <c r="AK165" s="177"/>
    </row>
    <row r="166" spans="1:37" ht="15" x14ac:dyDescent="0.2">
      <c r="A166" s="142" t="s">
        <v>1205</v>
      </c>
      <c r="B166" s="143" t="s">
        <v>1205</v>
      </c>
      <c r="C166" s="143" t="s">
        <v>1358</v>
      </c>
      <c r="D166" s="143" t="s">
        <v>1359</v>
      </c>
      <c r="E166" s="143" t="s">
        <v>309</v>
      </c>
      <c r="F166" s="143" t="s">
        <v>1489</v>
      </c>
      <c r="G166" s="143" t="s">
        <v>1490</v>
      </c>
      <c r="H166" s="143" t="s">
        <v>321</v>
      </c>
      <c r="I166" s="143" t="s">
        <v>754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448</v>
      </c>
      <c r="O166" s="143" t="s">
        <v>339</v>
      </c>
      <c r="P166" s="143" t="s">
        <v>1303</v>
      </c>
      <c r="Q166" s="143" t="s">
        <v>413</v>
      </c>
      <c r="R166" s="143" t="s">
        <v>407</v>
      </c>
      <c r="S166" s="143" t="s">
        <v>1210</v>
      </c>
      <c r="T166" s="144">
        <v>2.96</v>
      </c>
      <c r="U166" s="143" t="s">
        <v>1491</v>
      </c>
      <c r="V166" s="146">
        <v>1.2200000000000001E-2</v>
      </c>
      <c r="W166" s="146">
        <v>2.2668000000000001E-2</v>
      </c>
      <c r="X166" s="143" t="s">
        <v>412</v>
      </c>
      <c r="Y166" s="145" t="s">
        <v>3930</v>
      </c>
      <c r="Z166" s="144">
        <v>1754135</v>
      </c>
      <c r="AA166" s="145" t="s">
        <v>3930</v>
      </c>
      <c r="AB166" s="143" t="s">
        <v>1492</v>
      </c>
      <c r="AC166" s="145" t="s">
        <v>3930</v>
      </c>
      <c r="AD166" s="144">
        <v>1982.8742</v>
      </c>
      <c r="AE166" s="145" t="s">
        <v>3930</v>
      </c>
      <c r="AF166" s="145" t="s">
        <v>3930</v>
      </c>
      <c r="AG166" s="145" t="s">
        <v>3930</v>
      </c>
      <c r="AH166" s="146">
        <v>5.81684580111765E-4</v>
      </c>
      <c r="AI166" s="146">
        <v>2.44149619202325E-2</v>
      </c>
      <c r="AJ166" s="147">
        <v>2.8765318710608544E-3</v>
      </c>
      <c r="AK166" s="177"/>
    </row>
    <row r="167" spans="1:37" ht="15" x14ac:dyDescent="0.2">
      <c r="A167" s="142" t="s">
        <v>1205</v>
      </c>
      <c r="B167" s="143" t="s">
        <v>1205</v>
      </c>
      <c r="C167" s="143" t="s">
        <v>1493</v>
      </c>
      <c r="D167" s="143" t="s">
        <v>1494</v>
      </c>
      <c r="E167" s="143" t="s">
        <v>309</v>
      </c>
      <c r="F167" s="143" t="s">
        <v>1495</v>
      </c>
      <c r="G167" s="143" t="s">
        <v>1496</v>
      </c>
      <c r="H167" s="143" t="s">
        <v>321</v>
      </c>
      <c r="I167" s="143" t="s">
        <v>754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448</v>
      </c>
      <c r="O167" s="143" t="s">
        <v>339</v>
      </c>
      <c r="P167" s="143" t="s">
        <v>1303</v>
      </c>
      <c r="Q167" s="143" t="s">
        <v>413</v>
      </c>
      <c r="R167" s="143" t="s">
        <v>407</v>
      </c>
      <c r="S167" s="143" t="s">
        <v>1210</v>
      </c>
      <c r="T167" s="144">
        <v>5.14</v>
      </c>
      <c r="U167" s="143" t="s">
        <v>1497</v>
      </c>
      <c r="V167" s="146">
        <v>1E-3</v>
      </c>
      <c r="W167" s="146">
        <v>2.6318999999999999E-2</v>
      </c>
      <c r="X167" s="143" t="s">
        <v>412</v>
      </c>
      <c r="Y167" s="145" t="s">
        <v>3930</v>
      </c>
      <c r="Z167" s="144">
        <v>1800000</v>
      </c>
      <c r="AA167" s="145" t="s">
        <v>3930</v>
      </c>
      <c r="AB167" s="143" t="s">
        <v>1498</v>
      </c>
      <c r="AC167" s="145" t="s">
        <v>3930</v>
      </c>
      <c r="AD167" s="144">
        <v>1783.8</v>
      </c>
      <c r="AE167" s="145" t="s">
        <v>3930</v>
      </c>
      <c r="AF167" s="145" t="s">
        <v>3930</v>
      </c>
      <c r="AG167" s="145" t="s">
        <v>3930</v>
      </c>
      <c r="AH167" s="146">
        <v>7.238127560738949E-4</v>
      </c>
      <c r="AI167" s="146">
        <v>2.1963778128464034E-2</v>
      </c>
      <c r="AJ167" s="147">
        <v>2.5877373064047146E-3</v>
      </c>
      <c r="AK167" s="177"/>
    </row>
    <row r="168" spans="1:37" ht="15" x14ac:dyDescent="0.2">
      <c r="A168" s="142" t="s">
        <v>1205</v>
      </c>
      <c r="B168" s="143" t="s">
        <v>1205</v>
      </c>
      <c r="C168" s="143" t="s">
        <v>1352</v>
      </c>
      <c r="D168" s="143" t="s">
        <v>1353</v>
      </c>
      <c r="E168" s="143" t="s">
        <v>309</v>
      </c>
      <c r="F168" s="143" t="s">
        <v>1499</v>
      </c>
      <c r="G168" s="143" t="s">
        <v>1500</v>
      </c>
      <c r="H168" s="143" t="s">
        <v>321</v>
      </c>
      <c r="I168" s="143" t="s">
        <v>754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445</v>
      </c>
      <c r="O168" s="143" t="s">
        <v>339</v>
      </c>
      <c r="P168" s="143" t="s">
        <v>1356</v>
      </c>
      <c r="Q168" s="143" t="s">
        <v>413</v>
      </c>
      <c r="R168" s="143" t="s">
        <v>407</v>
      </c>
      <c r="S168" s="143" t="s">
        <v>1210</v>
      </c>
      <c r="T168" s="144">
        <v>6.79</v>
      </c>
      <c r="U168" s="143" t="s">
        <v>1501</v>
      </c>
      <c r="V168" s="146">
        <v>2.5000000000000001E-2</v>
      </c>
      <c r="W168" s="146">
        <v>6.0318999999999998E-2</v>
      </c>
      <c r="X168" s="143" t="s">
        <v>412</v>
      </c>
      <c r="Y168" s="145" t="s">
        <v>3930</v>
      </c>
      <c r="Z168" s="144">
        <v>2216422</v>
      </c>
      <c r="AA168" s="145" t="s">
        <v>3930</v>
      </c>
      <c r="AB168" s="143" t="s">
        <v>1502</v>
      </c>
      <c r="AC168" s="145" t="s">
        <v>3930</v>
      </c>
      <c r="AD168" s="144">
        <v>1756.9576999999999</v>
      </c>
      <c r="AE168" s="145" t="s">
        <v>3930</v>
      </c>
      <c r="AF168" s="145" t="s">
        <v>3930</v>
      </c>
      <c r="AG168" s="145" t="s">
        <v>3930</v>
      </c>
      <c r="AH168" s="146">
        <v>1.6619251731271845E-3</v>
      </c>
      <c r="AI168" s="146">
        <v>2.1633271403741321E-2</v>
      </c>
      <c r="AJ168" s="147">
        <v>2.5487975312631049E-3</v>
      </c>
      <c r="AK168" s="177"/>
    </row>
    <row r="169" spans="1:37" ht="15" x14ac:dyDescent="0.2">
      <c r="A169" s="142" t="s">
        <v>1205</v>
      </c>
      <c r="B169" s="143" t="s">
        <v>1205</v>
      </c>
      <c r="C169" s="143" t="s">
        <v>1569</v>
      </c>
      <c r="D169" s="143" t="s">
        <v>1570</v>
      </c>
      <c r="E169" s="143" t="s">
        <v>309</v>
      </c>
      <c r="F169" s="143" t="s">
        <v>1602</v>
      </c>
      <c r="G169" s="143" t="s">
        <v>1603</v>
      </c>
      <c r="H169" s="143" t="s">
        <v>321</v>
      </c>
      <c r="I169" s="143" t="s">
        <v>754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448</v>
      </c>
      <c r="O169" s="143" t="s">
        <v>339</v>
      </c>
      <c r="P169" s="143" t="s">
        <v>1303</v>
      </c>
      <c r="Q169" s="143" t="s">
        <v>413</v>
      </c>
      <c r="R169" s="143" t="s">
        <v>407</v>
      </c>
      <c r="S169" s="143" t="s">
        <v>1210</v>
      </c>
      <c r="T169" s="144">
        <v>3.01</v>
      </c>
      <c r="U169" s="143" t="s">
        <v>1604</v>
      </c>
      <c r="V169" s="146">
        <v>1.7500000000000002E-2</v>
      </c>
      <c r="W169" s="146">
        <v>2.3508000000000001E-2</v>
      </c>
      <c r="X169" s="143" t="s">
        <v>412</v>
      </c>
      <c r="Y169" s="145" t="s">
        <v>3930</v>
      </c>
      <c r="Z169" s="144">
        <v>1343526.48</v>
      </c>
      <c r="AA169" s="145" t="s">
        <v>3930</v>
      </c>
      <c r="AB169" s="143" t="s">
        <v>1605</v>
      </c>
      <c r="AC169" s="145" t="s">
        <v>3930</v>
      </c>
      <c r="AD169" s="144">
        <v>1535.3821</v>
      </c>
      <c r="AE169" s="145" t="s">
        <v>3930</v>
      </c>
      <c r="AF169" s="145" t="s">
        <v>3930</v>
      </c>
      <c r="AG169" s="145" t="s">
        <v>3930</v>
      </c>
      <c r="AH169" s="146">
        <v>5.1666348214417354E-4</v>
      </c>
      <c r="AI169" s="146">
        <v>1.8905029116371437E-2</v>
      </c>
      <c r="AJ169" s="147">
        <v>2.2273603765693693E-3</v>
      </c>
      <c r="AK169" s="177"/>
    </row>
    <row r="170" spans="1:37" ht="15" x14ac:dyDescent="0.2">
      <c r="A170" s="142" t="s">
        <v>1205</v>
      </c>
      <c r="B170" s="143" t="s">
        <v>1205</v>
      </c>
      <c r="C170" s="143" t="s">
        <v>1474</v>
      </c>
      <c r="D170" s="143" t="s">
        <v>1475</v>
      </c>
      <c r="E170" s="143" t="s">
        <v>313</v>
      </c>
      <c r="F170" s="143" t="s">
        <v>1551</v>
      </c>
      <c r="G170" s="143" t="s">
        <v>1552</v>
      </c>
      <c r="H170" s="143" t="s">
        <v>321</v>
      </c>
      <c r="I170" s="143" t="s">
        <v>754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440</v>
      </c>
      <c r="O170" s="143" t="s">
        <v>339</v>
      </c>
      <c r="P170" s="143" t="s">
        <v>1478</v>
      </c>
      <c r="Q170" s="143" t="s">
        <v>415</v>
      </c>
      <c r="R170" s="143" t="s">
        <v>407</v>
      </c>
      <c r="S170" s="143" t="s">
        <v>1210</v>
      </c>
      <c r="T170" s="144">
        <v>5.8</v>
      </c>
      <c r="U170" s="143" t="s">
        <v>1553</v>
      </c>
      <c r="V170" s="146">
        <v>2.3900000000000001E-2</v>
      </c>
      <c r="W170" s="146">
        <v>2.9045000000000001E-2</v>
      </c>
      <c r="X170" s="143" t="s">
        <v>412</v>
      </c>
      <c r="Y170" s="145" t="s">
        <v>3930</v>
      </c>
      <c r="Z170" s="144">
        <v>1200000</v>
      </c>
      <c r="AA170" s="145" t="s">
        <v>3930</v>
      </c>
      <c r="AB170" s="143" t="s">
        <v>1554</v>
      </c>
      <c r="AC170" s="145" t="s">
        <v>3930</v>
      </c>
      <c r="AD170" s="144">
        <v>1340.88</v>
      </c>
      <c r="AE170" s="145" t="s">
        <v>3930</v>
      </c>
      <c r="AF170" s="145" t="s">
        <v>3930</v>
      </c>
      <c r="AG170" s="145" t="s">
        <v>3930</v>
      </c>
      <c r="AH170" s="146">
        <v>3.0855087026772962E-4</v>
      </c>
      <c r="AI170" s="146">
        <v>1.6510141729395029E-2</v>
      </c>
      <c r="AJ170" s="147">
        <v>1.9451985645318722E-3</v>
      </c>
      <c r="AK170" s="177"/>
    </row>
    <row r="171" spans="1:37" ht="15" x14ac:dyDescent="0.2">
      <c r="A171" s="142" t="s">
        <v>1205</v>
      </c>
      <c r="B171" s="143" t="s">
        <v>1205</v>
      </c>
      <c r="C171" s="143" t="s">
        <v>1706</v>
      </c>
      <c r="D171" s="143" t="s">
        <v>1707</v>
      </c>
      <c r="E171" s="143" t="s">
        <v>309</v>
      </c>
      <c r="F171" s="143" t="s">
        <v>1719</v>
      </c>
      <c r="G171" s="143" t="s">
        <v>1720</v>
      </c>
      <c r="H171" s="143" t="s">
        <v>321</v>
      </c>
      <c r="I171" s="143" t="s">
        <v>754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464</v>
      </c>
      <c r="O171" s="143" t="s">
        <v>339</v>
      </c>
      <c r="P171" s="143" t="s">
        <v>1721</v>
      </c>
      <c r="Q171" s="143" t="s">
        <v>413</v>
      </c>
      <c r="R171" s="143" t="s">
        <v>407</v>
      </c>
      <c r="S171" s="143" t="s">
        <v>1210</v>
      </c>
      <c r="T171" s="144">
        <v>10.34</v>
      </c>
      <c r="U171" s="143" t="s">
        <v>1722</v>
      </c>
      <c r="V171" s="146">
        <v>1.6899999999999998E-2</v>
      </c>
      <c r="W171" s="146">
        <v>3.6212000000000001E-2</v>
      </c>
      <c r="X171" s="143" t="s">
        <v>412</v>
      </c>
      <c r="Y171" s="145" t="s">
        <v>3930</v>
      </c>
      <c r="Z171" s="144">
        <v>1389191</v>
      </c>
      <c r="AA171" s="145" t="s">
        <v>3930</v>
      </c>
      <c r="AB171" s="143" t="s">
        <v>1723</v>
      </c>
      <c r="AC171" s="145" t="s">
        <v>3930</v>
      </c>
      <c r="AD171" s="144">
        <v>1300.4216999999999</v>
      </c>
      <c r="AE171" s="145" t="s">
        <v>3930</v>
      </c>
      <c r="AF171" s="145" t="s">
        <v>3930</v>
      </c>
      <c r="AG171" s="145" t="s">
        <v>3930</v>
      </c>
      <c r="AH171" s="146">
        <v>3.1840562370500763E-4</v>
      </c>
      <c r="AI171" s="146">
        <v>1.6011982052145702E-2</v>
      </c>
      <c r="AJ171" s="147">
        <v>1.8865061859335839E-3</v>
      </c>
      <c r="AK171" s="177"/>
    </row>
    <row r="172" spans="1:37" ht="15" x14ac:dyDescent="0.2">
      <c r="A172" s="142" t="s">
        <v>1205</v>
      </c>
      <c r="B172" s="143" t="s">
        <v>1205</v>
      </c>
      <c r="C172" s="143" t="s">
        <v>1455</v>
      </c>
      <c r="D172" s="143" t="s">
        <v>1456</v>
      </c>
      <c r="E172" s="143" t="s">
        <v>309</v>
      </c>
      <c r="F172" s="143" t="s">
        <v>1565</v>
      </c>
      <c r="G172" s="143" t="s">
        <v>1566</v>
      </c>
      <c r="H172" s="143" t="s">
        <v>321</v>
      </c>
      <c r="I172" s="143" t="s">
        <v>754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464</v>
      </c>
      <c r="O172" s="143" t="s">
        <v>339</v>
      </c>
      <c r="P172" s="143" t="s">
        <v>1412</v>
      </c>
      <c r="Q172" s="143" t="s">
        <v>413</v>
      </c>
      <c r="R172" s="143" t="s">
        <v>407</v>
      </c>
      <c r="S172" s="143" t="s">
        <v>1210</v>
      </c>
      <c r="T172" s="144">
        <v>5.14</v>
      </c>
      <c r="U172" s="143" t="s">
        <v>1567</v>
      </c>
      <c r="V172" s="146">
        <v>5.8999999999999999E-3</v>
      </c>
      <c r="W172" s="146">
        <v>3.3244999999999997E-2</v>
      </c>
      <c r="X172" s="143" t="s">
        <v>412</v>
      </c>
      <c r="Y172" s="145" t="s">
        <v>3930</v>
      </c>
      <c r="Z172" s="144">
        <v>1200000</v>
      </c>
      <c r="AA172" s="145" t="s">
        <v>3930</v>
      </c>
      <c r="AB172" s="143" t="s">
        <v>1568</v>
      </c>
      <c r="AC172" s="145" t="s">
        <v>3930</v>
      </c>
      <c r="AD172" s="144">
        <v>1170.48</v>
      </c>
      <c r="AE172" s="145" t="s">
        <v>3930</v>
      </c>
      <c r="AF172" s="145" t="s">
        <v>3930</v>
      </c>
      <c r="AG172" s="145" t="s">
        <v>3930</v>
      </c>
      <c r="AH172" s="146">
        <v>8.5682399621283796E-4</v>
      </c>
      <c r="AI172" s="146">
        <v>1.4412020979820936E-2</v>
      </c>
      <c r="AJ172" s="147">
        <v>1.6980013243640488E-3</v>
      </c>
      <c r="AK172" s="177"/>
    </row>
    <row r="173" spans="1:37" ht="15" x14ac:dyDescent="0.2">
      <c r="A173" s="142" t="s">
        <v>1205</v>
      </c>
      <c r="B173" s="143" t="s">
        <v>1205</v>
      </c>
      <c r="C173" s="143" t="s">
        <v>1569</v>
      </c>
      <c r="D173" s="143" t="s">
        <v>1570</v>
      </c>
      <c r="E173" s="143" t="s">
        <v>309</v>
      </c>
      <c r="F173" s="143" t="s">
        <v>1571</v>
      </c>
      <c r="G173" s="143" t="s">
        <v>1572</v>
      </c>
      <c r="H173" s="143" t="s">
        <v>321</v>
      </c>
      <c r="I173" s="143" t="s">
        <v>754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448</v>
      </c>
      <c r="O173" s="143" t="s">
        <v>339</v>
      </c>
      <c r="P173" s="143" t="s">
        <v>1303</v>
      </c>
      <c r="Q173" s="143" t="s">
        <v>413</v>
      </c>
      <c r="R173" s="143" t="s">
        <v>407</v>
      </c>
      <c r="S173" s="143" t="s">
        <v>1210</v>
      </c>
      <c r="T173" s="144">
        <v>3.92</v>
      </c>
      <c r="U173" s="143" t="s">
        <v>1573</v>
      </c>
      <c r="V173" s="146">
        <v>1.3899999999999999E-2</v>
      </c>
      <c r="W173" s="146">
        <v>2.4587000000000001E-2</v>
      </c>
      <c r="X173" s="143" t="s">
        <v>412</v>
      </c>
      <c r="Y173" s="145" t="s">
        <v>3930</v>
      </c>
      <c r="Z173" s="144">
        <v>1079100</v>
      </c>
      <c r="AA173" s="145" t="s">
        <v>3930</v>
      </c>
      <c r="AB173" s="143" t="s">
        <v>1574</v>
      </c>
      <c r="AC173" s="145" t="s">
        <v>3930</v>
      </c>
      <c r="AD173" s="144">
        <v>1120.5373999999999</v>
      </c>
      <c r="AE173" s="145" t="s">
        <v>3930</v>
      </c>
      <c r="AF173" s="145" t="s">
        <v>3930</v>
      </c>
      <c r="AG173" s="145" t="s">
        <v>3930</v>
      </c>
      <c r="AH173" s="146">
        <v>5.9949999999999999E-4</v>
      </c>
      <c r="AI173" s="146">
        <v>1.3797082473818298E-2</v>
      </c>
      <c r="AJ173" s="147">
        <v>1.6255502504267487E-3</v>
      </c>
      <c r="AK173" s="177"/>
    </row>
    <row r="174" spans="1:37" ht="15" x14ac:dyDescent="0.2">
      <c r="A174" s="142" t="s">
        <v>1205</v>
      </c>
      <c r="B174" s="143" t="s">
        <v>1205</v>
      </c>
      <c r="C174" s="143" t="s">
        <v>1569</v>
      </c>
      <c r="D174" s="143" t="s">
        <v>1570</v>
      </c>
      <c r="E174" s="143" t="s">
        <v>309</v>
      </c>
      <c r="F174" s="143" t="s">
        <v>1581</v>
      </c>
      <c r="G174" s="143" t="s">
        <v>1582</v>
      </c>
      <c r="H174" s="143" t="s">
        <v>321</v>
      </c>
      <c r="I174" s="143" t="s">
        <v>754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448</v>
      </c>
      <c r="O174" s="143" t="s">
        <v>339</v>
      </c>
      <c r="P174" s="143" t="s">
        <v>1303</v>
      </c>
      <c r="Q174" s="143" t="s">
        <v>413</v>
      </c>
      <c r="R174" s="143" t="s">
        <v>407</v>
      </c>
      <c r="S174" s="143" t="s">
        <v>1210</v>
      </c>
      <c r="T174" s="144">
        <v>3.56</v>
      </c>
      <c r="U174" s="143" t="s">
        <v>1583</v>
      </c>
      <c r="V174" s="146">
        <v>1E-3</v>
      </c>
      <c r="W174" s="146">
        <v>2.3969000000000001E-2</v>
      </c>
      <c r="X174" s="143" t="s">
        <v>412</v>
      </c>
      <c r="Y174" s="145" t="s">
        <v>3930</v>
      </c>
      <c r="Z174" s="144">
        <v>1056000.01</v>
      </c>
      <c r="AA174" s="145" t="s">
        <v>3930</v>
      </c>
      <c r="AB174" s="143" t="s">
        <v>1584</v>
      </c>
      <c r="AC174" s="145" t="s">
        <v>3930</v>
      </c>
      <c r="AD174" s="144">
        <v>1095.3887999999999</v>
      </c>
      <c r="AE174" s="145" t="s">
        <v>3930</v>
      </c>
      <c r="AF174" s="145" t="s">
        <v>3930</v>
      </c>
      <c r="AG174" s="145" t="s">
        <v>3930</v>
      </c>
      <c r="AH174" s="146">
        <v>9.3886711659128515E-4</v>
      </c>
      <c r="AI174" s="146">
        <v>1.3487429529899505E-2</v>
      </c>
      <c r="AJ174" s="147">
        <v>1.589067434477235E-3</v>
      </c>
      <c r="AK174" s="177"/>
    </row>
    <row r="175" spans="1:37" ht="15" x14ac:dyDescent="0.2">
      <c r="A175" s="142" t="s">
        <v>1205</v>
      </c>
      <c r="B175" s="143" t="s">
        <v>1205</v>
      </c>
      <c r="C175" s="143" t="s">
        <v>1461</v>
      </c>
      <c r="D175" s="143" t="s">
        <v>1462</v>
      </c>
      <c r="E175" s="143" t="s">
        <v>309</v>
      </c>
      <c r="F175" s="143" t="s">
        <v>1893</v>
      </c>
      <c r="G175" s="143" t="s">
        <v>1894</v>
      </c>
      <c r="H175" s="143" t="s">
        <v>321</v>
      </c>
      <c r="I175" s="143" t="s">
        <v>754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464</v>
      </c>
      <c r="O175" s="143" t="s">
        <v>339</v>
      </c>
      <c r="P175" s="143" t="s">
        <v>1356</v>
      </c>
      <c r="Q175" s="143" t="s">
        <v>413</v>
      </c>
      <c r="R175" s="143" t="s">
        <v>407</v>
      </c>
      <c r="S175" s="143" t="s">
        <v>1210</v>
      </c>
      <c r="T175" s="144">
        <v>6.91</v>
      </c>
      <c r="U175" s="143" t="s">
        <v>1790</v>
      </c>
      <c r="V175" s="146">
        <v>2.5600000000000001E-2</v>
      </c>
      <c r="W175" s="146">
        <v>4.2012000000000001E-2</v>
      </c>
      <c r="X175" s="143" t="s">
        <v>412</v>
      </c>
      <c r="Y175" s="145" t="s">
        <v>3930</v>
      </c>
      <c r="Z175" s="144">
        <v>1102201</v>
      </c>
      <c r="AA175" s="145" t="s">
        <v>3930</v>
      </c>
      <c r="AB175" s="143" t="s">
        <v>1895</v>
      </c>
      <c r="AC175" s="145" t="s">
        <v>3930</v>
      </c>
      <c r="AD175" s="144">
        <v>1074.5358000000001</v>
      </c>
      <c r="AE175" s="145" t="s">
        <v>3930</v>
      </c>
      <c r="AF175" s="145" t="s">
        <v>3930</v>
      </c>
      <c r="AG175" s="145" t="s">
        <v>3930</v>
      </c>
      <c r="AH175" s="146">
        <v>1.0492355875409336E-3</v>
      </c>
      <c r="AI175" s="146">
        <v>1.323066762626147E-2</v>
      </c>
      <c r="AJ175" s="147">
        <v>1.5588161565312716E-3</v>
      </c>
      <c r="AK175" s="177"/>
    </row>
    <row r="176" spans="1:37" ht="15" x14ac:dyDescent="0.2">
      <c r="A176" s="142" t="s">
        <v>1205</v>
      </c>
      <c r="B176" s="143" t="s">
        <v>1205</v>
      </c>
      <c r="C176" s="143" t="s">
        <v>1358</v>
      </c>
      <c r="D176" s="143" t="s">
        <v>1359</v>
      </c>
      <c r="E176" s="143" t="s">
        <v>309</v>
      </c>
      <c r="F176" s="143" t="s">
        <v>1640</v>
      </c>
      <c r="G176" s="143" t="s">
        <v>1641</v>
      </c>
      <c r="H176" s="143" t="s">
        <v>321</v>
      </c>
      <c r="I176" s="143" t="s">
        <v>754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448</v>
      </c>
      <c r="O176" s="143" t="s">
        <v>339</v>
      </c>
      <c r="P176" s="143" t="s">
        <v>1209</v>
      </c>
      <c r="Q176" s="143" t="s">
        <v>415</v>
      </c>
      <c r="R176" s="143" t="s">
        <v>407</v>
      </c>
      <c r="S176" s="143" t="s">
        <v>1210</v>
      </c>
      <c r="T176" s="144">
        <v>2.16</v>
      </c>
      <c r="U176" s="143" t="s">
        <v>1642</v>
      </c>
      <c r="V176" s="146">
        <v>5.0000000000000001E-3</v>
      </c>
      <c r="W176" s="146">
        <v>2.1333999999999999E-2</v>
      </c>
      <c r="X176" s="143" t="s">
        <v>412</v>
      </c>
      <c r="Y176" s="145" t="s">
        <v>3930</v>
      </c>
      <c r="Z176" s="144">
        <v>923789</v>
      </c>
      <c r="AA176" s="145" t="s">
        <v>3930</v>
      </c>
      <c r="AB176" s="143" t="s">
        <v>1643</v>
      </c>
      <c r="AC176" s="145" t="s">
        <v>3930</v>
      </c>
      <c r="AD176" s="144">
        <v>1022.8191999999999</v>
      </c>
      <c r="AE176" s="145" t="s">
        <v>3930</v>
      </c>
      <c r="AF176" s="145" t="s">
        <v>3930</v>
      </c>
      <c r="AG176" s="145" t="s">
        <v>3930</v>
      </c>
      <c r="AH176" s="146">
        <v>1.2103516495858026E-3</v>
      </c>
      <c r="AI176" s="146">
        <v>1.2593885835087196E-2</v>
      </c>
      <c r="AJ176" s="147">
        <v>1.4837915415755515E-3</v>
      </c>
      <c r="AK176" s="177"/>
    </row>
    <row r="177" spans="1:37" ht="15" x14ac:dyDescent="0.2">
      <c r="A177" s="142" t="s">
        <v>1205</v>
      </c>
      <c r="B177" s="143" t="s">
        <v>1205</v>
      </c>
      <c r="C177" s="143" t="s">
        <v>1734</v>
      </c>
      <c r="D177" s="143" t="s">
        <v>1735</v>
      </c>
      <c r="E177" s="143" t="s">
        <v>309</v>
      </c>
      <c r="F177" s="143" t="s">
        <v>1736</v>
      </c>
      <c r="G177" s="143" t="s">
        <v>1737</v>
      </c>
      <c r="H177" s="143" t="s">
        <v>321</v>
      </c>
      <c r="I177" s="143" t="s">
        <v>754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440</v>
      </c>
      <c r="O177" s="143" t="s">
        <v>339</v>
      </c>
      <c r="P177" s="143" t="s">
        <v>1405</v>
      </c>
      <c r="Q177" s="143" t="s">
        <v>415</v>
      </c>
      <c r="R177" s="143" t="s">
        <v>407</v>
      </c>
      <c r="S177" s="143" t="s">
        <v>1210</v>
      </c>
      <c r="T177" s="144">
        <v>3.67</v>
      </c>
      <c r="U177" s="143" t="s">
        <v>1618</v>
      </c>
      <c r="V177" s="146">
        <v>1.7999999999999999E-2</v>
      </c>
      <c r="W177" s="146">
        <v>3.6724E-2</v>
      </c>
      <c r="X177" s="143" t="s">
        <v>412</v>
      </c>
      <c r="Y177" s="145" t="s">
        <v>3930</v>
      </c>
      <c r="Z177" s="144">
        <v>899999.99</v>
      </c>
      <c r="AA177" s="145" t="s">
        <v>3930</v>
      </c>
      <c r="AB177" s="143" t="s">
        <v>1738</v>
      </c>
      <c r="AC177" s="145" t="s">
        <v>3930</v>
      </c>
      <c r="AD177" s="144">
        <v>971.01</v>
      </c>
      <c r="AE177" s="145" t="s">
        <v>3930</v>
      </c>
      <c r="AF177" s="145" t="s">
        <v>3930</v>
      </c>
      <c r="AG177" s="145" t="s">
        <v>3930</v>
      </c>
      <c r="AH177" s="146">
        <v>9.5280663664723693E-4</v>
      </c>
      <c r="AI177" s="146">
        <v>1.1955963652625103E-2</v>
      </c>
      <c r="AJ177" s="147">
        <v>1.4086325675372487E-3</v>
      </c>
      <c r="AK177" s="177"/>
    </row>
    <row r="178" spans="1:37" ht="15" x14ac:dyDescent="0.2">
      <c r="A178" s="142" t="s">
        <v>1205</v>
      </c>
      <c r="B178" s="143" t="s">
        <v>1205</v>
      </c>
      <c r="C178" s="143" t="s">
        <v>1352</v>
      </c>
      <c r="D178" s="143" t="s">
        <v>1353</v>
      </c>
      <c r="E178" s="143" t="s">
        <v>309</v>
      </c>
      <c r="F178" s="143" t="s">
        <v>1519</v>
      </c>
      <c r="G178" s="143" t="s">
        <v>1520</v>
      </c>
      <c r="H178" s="143" t="s">
        <v>321</v>
      </c>
      <c r="I178" s="143" t="s">
        <v>754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445</v>
      </c>
      <c r="O178" s="143" t="s">
        <v>339</v>
      </c>
      <c r="P178" s="143" t="s">
        <v>1356</v>
      </c>
      <c r="Q178" s="143" t="s">
        <v>413</v>
      </c>
      <c r="R178" s="143" t="s">
        <v>407</v>
      </c>
      <c r="S178" s="143" t="s">
        <v>1210</v>
      </c>
      <c r="T178" s="144">
        <v>0.82</v>
      </c>
      <c r="U178" s="143" t="s">
        <v>1369</v>
      </c>
      <c r="V178" s="146">
        <v>2.4799999999999999E-2</v>
      </c>
      <c r="W178" s="146">
        <v>2.6313E-2</v>
      </c>
      <c r="X178" s="143" t="s">
        <v>412</v>
      </c>
      <c r="Y178" s="145" t="s">
        <v>3930</v>
      </c>
      <c r="Z178" s="144">
        <v>809721.26</v>
      </c>
      <c r="AA178" s="145" t="s">
        <v>3930</v>
      </c>
      <c r="AB178" s="143" t="s">
        <v>1521</v>
      </c>
      <c r="AC178" s="145" t="s">
        <v>3930</v>
      </c>
      <c r="AD178" s="144">
        <v>938.79079999999999</v>
      </c>
      <c r="AE178" s="145" t="s">
        <v>3930</v>
      </c>
      <c r="AF178" s="145" t="s">
        <v>3930</v>
      </c>
      <c r="AG178" s="145" t="s">
        <v>3930</v>
      </c>
      <c r="AH178" s="146">
        <v>1.9120368951044784E-3</v>
      </c>
      <c r="AI178" s="146">
        <v>1.1559251863306688E-2</v>
      </c>
      <c r="AJ178" s="147">
        <v>1.3618926172834522E-3</v>
      </c>
      <c r="AK178" s="177"/>
    </row>
    <row r="179" spans="1:37" ht="15" x14ac:dyDescent="0.2">
      <c r="A179" s="142" t="s">
        <v>1205</v>
      </c>
      <c r="B179" s="143" t="s">
        <v>1205</v>
      </c>
      <c r="C179" s="143" t="s">
        <v>1575</v>
      </c>
      <c r="D179" s="143" t="s">
        <v>1576</v>
      </c>
      <c r="E179" s="143" t="s">
        <v>309</v>
      </c>
      <c r="F179" s="143" t="s">
        <v>1698</v>
      </c>
      <c r="G179" s="143" t="s">
        <v>1699</v>
      </c>
      <c r="H179" s="143" t="s">
        <v>321</v>
      </c>
      <c r="I179" s="143" t="s">
        <v>754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464</v>
      </c>
      <c r="O179" s="143" t="s">
        <v>339</v>
      </c>
      <c r="P179" s="143" t="s">
        <v>1425</v>
      </c>
      <c r="Q179" s="143" t="s">
        <v>415</v>
      </c>
      <c r="R179" s="143" t="s">
        <v>407</v>
      </c>
      <c r="S179" s="143" t="s">
        <v>1210</v>
      </c>
      <c r="T179" s="144">
        <v>4.25</v>
      </c>
      <c r="U179" s="143" t="s">
        <v>1700</v>
      </c>
      <c r="V179" s="146">
        <v>1.3299999999999999E-2</v>
      </c>
      <c r="W179" s="146">
        <v>3.1257E-2</v>
      </c>
      <c r="X179" s="143" t="s">
        <v>412</v>
      </c>
      <c r="Y179" s="145" t="s">
        <v>3930</v>
      </c>
      <c r="Z179" s="144">
        <v>874000</v>
      </c>
      <c r="AA179" s="145" t="s">
        <v>3930</v>
      </c>
      <c r="AB179" s="143" t="s">
        <v>1701</v>
      </c>
      <c r="AC179" s="145" t="s">
        <v>3930</v>
      </c>
      <c r="AD179" s="144">
        <v>933.08240000000001</v>
      </c>
      <c r="AE179" s="145" t="s">
        <v>3930</v>
      </c>
      <c r="AF179" s="145" t="s">
        <v>3930</v>
      </c>
      <c r="AG179" s="145" t="s">
        <v>3930</v>
      </c>
      <c r="AH179" s="146">
        <v>7.36E-4</v>
      </c>
      <c r="AI179" s="146">
        <v>1.148896446304223E-2</v>
      </c>
      <c r="AJ179" s="147">
        <v>1.3536114678941846E-3</v>
      </c>
      <c r="AK179" s="177"/>
    </row>
    <row r="180" spans="1:37" ht="15" x14ac:dyDescent="0.2">
      <c r="A180" s="142" t="s">
        <v>1205</v>
      </c>
      <c r="B180" s="143" t="s">
        <v>1205</v>
      </c>
      <c r="C180" s="143" t="s">
        <v>1555</v>
      </c>
      <c r="D180" s="143" t="s">
        <v>1556</v>
      </c>
      <c r="E180" s="143" t="s">
        <v>309</v>
      </c>
      <c r="F180" s="143" t="s">
        <v>1896</v>
      </c>
      <c r="G180" s="143" t="s">
        <v>1897</v>
      </c>
      <c r="H180" s="143" t="s">
        <v>321</v>
      </c>
      <c r="I180" s="143" t="s">
        <v>754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464</v>
      </c>
      <c r="O180" s="143" t="s">
        <v>339</v>
      </c>
      <c r="P180" s="143" t="s">
        <v>1412</v>
      </c>
      <c r="Q180" s="143" t="s">
        <v>413</v>
      </c>
      <c r="R180" s="143" t="s">
        <v>407</v>
      </c>
      <c r="S180" s="143" t="s">
        <v>1210</v>
      </c>
      <c r="T180" s="144">
        <v>5.56</v>
      </c>
      <c r="U180" s="143" t="s">
        <v>1761</v>
      </c>
      <c r="V180" s="146">
        <v>9.1999999999999998E-3</v>
      </c>
      <c r="W180" s="146">
        <v>3.2926999999999998E-2</v>
      </c>
      <c r="X180" s="143" t="s">
        <v>412</v>
      </c>
      <c r="Y180" s="145" t="s">
        <v>3930</v>
      </c>
      <c r="Z180" s="144">
        <v>900000</v>
      </c>
      <c r="AA180" s="145" t="s">
        <v>3930</v>
      </c>
      <c r="AB180" s="143" t="s">
        <v>1898</v>
      </c>
      <c r="AC180" s="145" t="s">
        <v>3930</v>
      </c>
      <c r="AD180" s="144">
        <v>919.08</v>
      </c>
      <c r="AE180" s="145" t="s">
        <v>3930</v>
      </c>
      <c r="AF180" s="145" t="s">
        <v>3930</v>
      </c>
      <c r="AG180" s="145" t="s">
        <v>3930</v>
      </c>
      <c r="AH180" s="146">
        <v>3.4793191204435898E-4</v>
      </c>
      <c r="AI180" s="146">
        <v>1.1316554099287323E-2</v>
      </c>
      <c r="AJ180" s="147">
        <v>1.33329835383476E-3</v>
      </c>
      <c r="AK180" s="177"/>
    </row>
    <row r="181" spans="1:37" ht="15" x14ac:dyDescent="0.2">
      <c r="A181" s="142" t="s">
        <v>1205</v>
      </c>
      <c r="B181" s="143" t="s">
        <v>1205</v>
      </c>
      <c r="C181" s="143" t="s">
        <v>1522</v>
      </c>
      <c r="D181" s="143" t="s">
        <v>1523</v>
      </c>
      <c r="E181" s="143" t="s">
        <v>309</v>
      </c>
      <c r="F181" s="143" t="s">
        <v>1561</v>
      </c>
      <c r="G181" s="143" t="s">
        <v>1562</v>
      </c>
      <c r="H181" s="143" t="s">
        <v>321</v>
      </c>
      <c r="I181" s="143" t="s">
        <v>754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448</v>
      </c>
      <c r="O181" s="143" t="s">
        <v>339</v>
      </c>
      <c r="P181" s="143" t="s">
        <v>1356</v>
      </c>
      <c r="Q181" s="143" t="s">
        <v>413</v>
      </c>
      <c r="R181" s="143" t="s">
        <v>407</v>
      </c>
      <c r="S181" s="143" t="s">
        <v>1210</v>
      </c>
      <c r="T181" s="144">
        <v>4.5</v>
      </c>
      <c r="U181" s="143" t="s">
        <v>1563</v>
      </c>
      <c r="V181" s="146">
        <v>2.5899999999999999E-2</v>
      </c>
      <c r="W181" s="146">
        <v>2.6100000000000002E-2</v>
      </c>
      <c r="X181" s="143" t="s">
        <v>412</v>
      </c>
      <c r="Y181" s="145" t="s">
        <v>3930</v>
      </c>
      <c r="Z181" s="144">
        <v>869000</v>
      </c>
      <c r="AA181" s="145" t="s">
        <v>3930</v>
      </c>
      <c r="AB181" s="143" t="s">
        <v>1564</v>
      </c>
      <c r="AC181" s="145" t="s">
        <v>3930</v>
      </c>
      <c r="AD181" s="144">
        <v>913.5797</v>
      </c>
      <c r="AE181" s="145" t="s">
        <v>3930</v>
      </c>
      <c r="AF181" s="145" t="s">
        <v>3930</v>
      </c>
      <c r="AG181" s="145" t="s">
        <v>3930</v>
      </c>
      <c r="AH181" s="146">
        <v>1.9311111111111111E-3</v>
      </c>
      <c r="AI181" s="146">
        <v>1.1248829371829092E-2</v>
      </c>
      <c r="AJ181" s="147">
        <v>1.325319134468005E-3</v>
      </c>
      <c r="AK181" s="177"/>
    </row>
    <row r="182" spans="1:37" ht="15" x14ac:dyDescent="0.2">
      <c r="A182" s="142" t="s">
        <v>1205</v>
      </c>
      <c r="B182" s="143" t="s">
        <v>1205</v>
      </c>
      <c r="C182" s="143" t="s">
        <v>1734</v>
      </c>
      <c r="D182" s="143" t="s">
        <v>1735</v>
      </c>
      <c r="E182" s="143" t="s">
        <v>309</v>
      </c>
      <c r="F182" s="143" t="s">
        <v>1899</v>
      </c>
      <c r="G182" s="143" t="s">
        <v>1900</v>
      </c>
      <c r="H182" s="143" t="s">
        <v>321</v>
      </c>
      <c r="I182" s="143" t="s">
        <v>754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440</v>
      </c>
      <c r="O182" s="143" t="s">
        <v>339</v>
      </c>
      <c r="P182" s="143" t="s">
        <v>1405</v>
      </c>
      <c r="Q182" s="143" t="s">
        <v>415</v>
      </c>
      <c r="R182" s="143" t="s">
        <v>407</v>
      </c>
      <c r="S182" s="143" t="s">
        <v>1210</v>
      </c>
      <c r="T182" s="144">
        <v>5.99</v>
      </c>
      <c r="U182" s="143" t="s">
        <v>1901</v>
      </c>
      <c r="V182" s="146">
        <v>3.3000000000000002E-2</v>
      </c>
      <c r="W182" s="146">
        <v>4.1750000000000002E-2</v>
      </c>
      <c r="X182" s="143" t="s">
        <v>412</v>
      </c>
      <c r="Y182" s="145" t="s">
        <v>3930</v>
      </c>
      <c r="Z182" s="144">
        <v>857475.01</v>
      </c>
      <c r="AA182" s="145" t="s">
        <v>3930</v>
      </c>
      <c r="AB182" s="143" t="s">
        <v>1902</v>
      </c>
      <c r="AC182" s="145" t="s">
        <v>3930</v>
      </c>
      <c r="AD182" s="144">
        <v>866.73569999999995</v>
      </c>
      <c r="AE182" s="145" t="s">
        <v>3930</v>
      </c>
      <c r="AF182" s="145" t="s">
        <v>3930</v>
      </c>
      <c r="AG182" s="145" t="s">
        <v>3930</v>
      </c>
      <c r="AH182" s="146">
        <v>7.0336576701679379E-4</v>
      </c>
      <c r="AI182" s="146">
        <v>1.0672043666185771E-2</v>
      </c>
      <c r="AJ182" s="147">
        <v>1.2573631626145154E-3</v>
      </c>
      <c r="AK182" s="177"/>
    </row>
    <row r="183" spans="1:37" ht="15" x14ac:dyDescent="0.2">
      <c r="A183" s="142" t="s">
        <v>1205</v>
      </c>
      <c r="B183" s="143" t="s">
        <v>1205</v>
      </c>
      <c r="C183" s="143" t="s">
        <v>1358</v>
      </c>
      <c r="D183" s="143" t="s">
        <v>1359</v>
      </c>
      <c r="E183" s="143" t="s">
        <v>309</v>
      </c>
      <c r="F183" s="143" t="s">
        <v>1903</v>
      </c>
      <c r="G183" s="143" t="s">
        <v>1904</v>
      </c>
      <c r="H183" s="143" t="s">
        <v>321</v>
      </c>
      <c r="I183" s="143" t="s">
        <v>754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448</v>
      </c>
      <c r="O183" s="143" t="s">
        <v>339</v>
      </c>
      <c r="P183" s="143" t="s">
        <v>1303</v>
      </c>
      <c r="Q183" s="143" t="s">
        <v>413</v>
      </c>
      <c r="R183" s="143" t="s">
        <v>407</v>
      </c>
      <c r="S183" s="143" t="s">
        <v>1210</v>
      </c>
      <c r="T183" s="144">
        <v>3.48</v>
      </c>
      <c r="U183" s="143" t="s">
        <v>1905</v>
      </c>
      <c r="V183" s="146">
        <v>1.6400000000000001E-2</v>
      </c>
      <c r="W183" s="146">
        <v>2.4614E-2</v>
      </c>
      <c r="X183" s="143" t="s">
        <v>412</v>
      </c>
      <c r="Y183" s="145" t="s">
        <v>3930</v>
      </c>
      <c r="Z183" s="144">
        <v>800010</v>
      </c>
      <c r="AA183" s="145" t="s">
        <v>3930</v>
      </c>
      <c r="AB183" s="143" t="s">
        <v>1906</v>
      </c>
      <c r="AC183" s="145" t="s">
        <v>3930</v>
      </c>
      <c r="AD183" s="144">
        <v>844.25059999999996</v>
      </c>
      <c r="AE183" s="145" t="s">
        <v>3930</v>
      </c>
      <c r="AF183" s="145" t="s">
        <v>3930</v>
      </c>
      <c r="AG183" s="145" t="s">
        <v>3930</v>
      </c>
      <c r="AH183" s="146">
        <v>7.4380165289256194E-4</v>
      </c>
      <c r="AI183" s="146">
        <v>1.0395185464135591E-2</v>
      </c>
      <c r="AJ183" s="147">
        <v>1.2247441708436544E-3</v>
      </c>
      <c r="AK183" s="177"/>
    </row>
    <row r="184" spans="1:37" ht="15" x14ac:dyDescent="0.2">
      <c r="A184" s="142" t="s">
        <v>1205</v>
      </c>
      <c r="B184" s="143" t="s">
        <v>1205</v>
      </c>
      <c r="C184" s="143" t="s">
        <v>1739</v>
      </c>
      <c r="D184" s="143" t="s">
        <v>1740</v>
      </c>
      <c r="E184" s="143" t="s">
        <v>309</v>
      </c>
      <c r="F184" s="143" t="s">
        <v>1907</v>
      </c>
      <c r="G184" s="143" t="s">
        <v>1908</v>
      </c>
      <c r="H184" s="143" t="s">
        <v>321</v>
      </c>
      <c r="I184" s="143" t="s">
        <v>754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464</v>
      </c>
      <c r="O184" s="143" t="s">
        <v>339</v>
      </c>
      <c r="P184" s="143" t="s">
        <v>1743</v>
      </c>
      <c r="Q184" s="143" t="s">
        <v>413</v>
      </c>
      <c r="R184" s="143" t="s">
        <v>407</v>
      </c>
      <c r="S184" s="143" t="s">
        <v>1210</v>
      </c>
      <c r="T184" s="144">
        <v>3.2</v>
      </c>
      <c r="U184" s="143" t="s">
        <v>1449</v>
      </c>
      <c r="V184" s="146">
        <v>2.7E-2</v>
      </c>
      <c r="W184" s="146">
        <v>3.32E-2</v>
      </c>
      <c r="X184" s="143" t="s">
        <v>412</v>
      </c>
      <c r="Y184" s="145" t="s">
        <v>3930</v>
      </c>
      <c r="Z184" s="144">
        <v>741000</v>
      </c>
      <c r="AA184" s="145" t="s">
        <v>3930</v>
      </c>
      <c r="AB184" s="143" t="s">
        <v>1909</v>
      </c>
      <c r="AC184" s="145" t="s">
        <v>3930</v>
      </c>
      <c r="AD184" s="144">
        <v>784.0521</v>
      </c>
      <c r="AE184" s="145" t="s">
        <v>3930</v>
      </c>
      <c r="AF184" s="145" t="s">
        <v>3930</v>
      </c>
      <c r="AG184" s="145" t="s">
        <v>3930</v>
      </c>
      <c r="AH184" s="146">
        <v>1.6932653285071844E-3</v>
      </c>
      <c r="AI184" s="146">
        <v>9.6539670173541297E-3</v>
      </c>
      <c r="AJ184" s="147">
        <v>1.137414995702971E-3</v>
      </c>
      <c r="AK184" s="177"/>
    </row>
    <row r="185" spans="1:37" ht="15" x14ac:dyDescent="0.2">
      <c r="A185" s="142" t="s">
        <v>1205</v>
      </c>
      <c r="B185" s="143" t="s">
        <v>1205</v>
      </c>
      <c r="C185" s="143" t="s">
        <v>1706</v>
      </c>
      <c r="D185" s="143" t="s">
        <v>1707</v>
      </c>
      <c r="E185" s="143" t="s">
        <v>309</v>
      </c>
      <c r="F185" s="143" t="s">
        <v>1724</v>
      </c>
      <c r="G185" s="143" t="s">
        <v>1725</v>
      </c>
      <c r="H185" s="143" t="s">
        <v>321</v>
      </c>
      <c r="I185" s="143" t="s">
        <v>754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464</v>
      </c>
      <c r="O185" s="143" t="s">
        <v>339</v>
      </c>
      <c r="P185" s="143" t="s">
        <v>1478</v>
      </c>
      <c r="Q185" s="143" t="s">
        <v>415</v>
      </c>
      <c r="R185" s="143" t="s">
        <v>407</v>
      </c>
      <c r="S185" s="143" t="s">
        <v>1210</v>
      </c>
      <c r="T185" s="144">
        <v>2.89</v>
      </c>
      <c r="U185" s="143" t="s">
        <v>1690</v>
      </c>
      <c r="V185" s="146">
        <v>1.34E-2</v>
      </c>
      <c r="W185" s="146">
        <v>2.8036999999999999E-2</v>
      </c>
      <c r="X185" s="143" t="s">
        <v>412</v>
      </c>
      <c r="Y185" s="145" t="s">
        <v>3930</v>
      </c>
      <c r="Z185" s="144">
        <v>631633.81000000006</v>
      </c>
      <c r="AA185" s="145" t="s">
        <v>3930</v>
      </c>
      <c r="AB185" s="143" t="s">
        <v>1726</v>
      </c>
      <c r="AC185" s="145" t="s">
        <v>3930</v>
      </c>
      <c r="AD185" s="144">
        <v>709.83010000000002</v>
      </c>
      <c r="AE185" s="145" t="s">
        <v>3930</v>
      </c>
      <c r="AF185" s="145" t="s">
        <v>3930</v>
      </c>
      <c r="AG185" s="145" t="s">
        <v>3930</v>
      </c>
      <c r="AH185" s="146">
        <v>2.3829261716384729E-4</v>
      </c>
      <c r="AI185" s="146">
        <v>8.7400775261253661E-3</v>
      </c>
      <c r="AJ185" s="147">
        <v>1.0297419935194766E-3</v>
      </c>
      <c r="AK185" s="177"/>
    </row>
    <row r="186" spans="1:37" ht="15" x14ac:dyDescent="0.2">
      <c r="A186" s="142" t="s">
        <v>1205</v>
      </c>
      <c r="B186" s="143" t="s">
        <v>1205</v>
      </c>
      <c r="C186" s="143" t="s">
        <v>1541</v>
      </c>
      <c r="D186" s="143" t="s">
        <v>1542</v>
      </c>
      <c r="E186" s="143" t="s">
        <v>309</v>
      </c>
      <c r="F186" s="143" t="s">
        <v>1910</v>
      </c>
      <c r="G186" s="143" t="s">
        <v>1911</v>
      </c>
      <c r="H186" s="143" t="s">
        <v>321</v>
      </c>
      <c r="I186" s="143" t="s">
        <v>754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465</v>
      </c>
      <c r="O186" s="143" t="s">
        <v>339</v>
      </c>
      <c r="P186" s="143" t="s">
        <v>1398</v>
      </c>
      <c r="Q186" s="143" t="s">
        <v>413</v>
      </c>
      <c r="R186" s="143" t="s">
        <v>407</v>
      </c>
      <c r="S186" s="143" t="s">
        <v>1210</v>
      </c>
      <c r="T186" s="144">
        <v>7.16</v>
      </c>
      <c r="U186" s="143" t="s">
        <v>1901</v>
      </c>
      <c r="V186" s="146">
        <v>4.02E-2</v>
      </c>
      <c r="W186" s="146">
        <v>3.9666E-2</v>
      </c>
      <c r="X186" s="143" t="s">
        <v>412</v>
      </c>
      <c r="Y186" s="145" t="s">
        <v>3930</v>
      </c>
      <c r="Z186" s="144">
        <v>677000</v>
      </c>
      <c r="AA186" s="145" t="s">
        <v>3930</v>
      </c>
      <c r="AB186" s="143" t="s">
        <v>1912</v>
      </c>
      <c r="AC186" s="145" t="s">
        <v>3930</v>
      </c>
      <c r="AD186" s="144">
        <v>689.18600000000004</v>
      </c>
      <c r="AE186" s="145" t="s">
        <v>3930</v>
      </c>
      <c r="AF186" s="145" t="s">
        <v>3930</v>
      </c>
      <c r="AG186" s="145" t="s">
        <v>3930</v>
      </c>
      <c r="AH186" s="146">
        <v>1.9342857142857143E-3</v>
      </c>
      <c r="AI186" s="146">
        <v>8.4858887729810598E-3</v>
      </c>
      <c r="AJ186" s="147">
        <v>9.9979388006045497E-4</v>
      </c>
      <c r="AK186" s="177"/>
    </row>
    <row r="187" spans="1:37" ht="15" x14ac:dyDescent="0.2">
      <c r="A187" s="142" t="s">
        <v>1205</v>
      </c>
      <c r="B187" s="143" t="s">
        <v>1205</v>
      </c>
      <c r="C187" s="143" t="s">
        <v>1503</v>
      </c>
      <c r="D187" s="143" t="s">
        <v>1504</v>
      </c>
      <c r="E187" s="143" t="s">
        <v>309</v>
      </c>
      <c r="F187" s="143" t="s">
        <v>1913</v>
      </c>
      <c r="G187" s="143" t="s">
        <v>1914</v>
      </c>
      <c r="H187" s="143" t="s">
        <v>321</v>
      </c>
      <c r="I187" s="143" t="s">
        <v>754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464</v>
      </c>
      <c r="O187" s="143" t="s">
        <v>339</v>
      </c>
      <c r="P187" s="143" t="s">
        <v>1412</v>
      </c>
      <c r="Q187" s="143" t="s">
        <v>413</v>
      </c>
      <c r="R187" s="143" t="s">
        <v>407</v>
      </c>
      <c r="S187" s="143" t="s">
        <v>1210</v>
      </c>
      <c r="T187" s="144">
        <v>6.07</v>
      </c>
      <c r="U187" s="143" t="s">
        <v>1915</v>
      </c>
      <c r="V187" s="146">
        <v>3.61E-2</v>
      </c>
      <c r="W187" s="146">
        <v>3.4570999999999998E-2</v>
      </c>
      <c r="X187" s="143" t="s">
        <v>412</v>
      </c>
      <c r="Y187" s="145" t="s">
        <v>3930</v>
      </c>
      <c r="Z187" s="144">
        <v>633535.36</v>
      </c>
      <c r="AA187" s="145" t="s">
        <v>3930</v>
      </c>
      <c r="AB187" s="143" t="s">
        <v>1916</v>
      </c>
      <c r="AC187" s="145" t="s">
        <v>3930</v>
      </c>
      <c r="AD187" s="144">
        <v>683.90139999999997</v>
      </c>
      <c r="AE187" s="145" t="s">
        <v>3930</v>
      </c>
      <c r="AF187" s="145" t="s">
        <v>3930</v>
      </c>
      <c r="AG187" s="145" t="s">
        <v>3930</v>
      </c>
      <c r="AH187" s="146">
        <v>5.9295349363196659E-4</v>
      </c>
      <c r="AI187" s="146">
        <v>8.4208202013795978E-3</v>
      </c>
      <c r="AJ187" s="147">
        <v>9.9212760474011951E-4</v>
      </c>
      <c r="AK187" s="177"/>
    </row>
    <row r="188" spans="1:37" ht="15" x14ac:dyDescent="0.2">
      <c r="A188" s="142" t="s">
        <v>1205</v>
      </c>
      <c r="B188" s="143" t="s">
        <v>1205</v>
      </c>
      <c r="C188" s="143" t="s">
        <v>1620</v>
      </c>
      <c r="D188" s="143" t="s">
        <v>1621</v>
      </c>
      <c r="E188" s="143" t="s">
        <v>309</v>
      </c>
      <c r="F188" s="143" t="s">
        <v>1622</v>
      </c>
      <c r="G188" s="143" t="s">
        <v>1623</v>
      </c>
      <c r="H188" s="143" t="s">
        <v>321</v>
      </c>
      <c r="I188" s="143" t="s">
        <v>754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445</v>
      </c>
      <c r="O188" s="143" t="s">
        <v>339</v>
      </c>
      <c r="P188" s="143" t="s">
        <v>1624</v>
      </c>
      <c r="Q188" s="143" t="s">
        <v>415</v>
      </c>
      <c r="R188" s="143" t="s">
        <v>407</v>
      </c>
      <c r="S188" s="143" t="s">
        <v>1210</v>
      </c>
      <c r="T188" s="144">
        <v>4.51</v>
      </c>
      <c r="U188" s="143" t="s">
        <v>1406</v>
      </c>
      <c r="V188" s="146">
        <v>5.1700000000000003E-2</v>
      </c>
      <c r="W188" s="146">
        <v>5.7583000000000002E-2</v>
      </c>
      <c r="X188" s="143" t="s">
        <v>412</v>
      </c>
      <c r="Y188" s="145" t="s">
        <v>3930</v>
      </c>
      <c r="Z188" s="144">
        <v>679730</v>
      </c>
      <c r="AA188" s="145" t="s">
        <v>3930</v>
      </c>
      <c r="AB188" s="143" t="s">
        <v>1625</v>
      </c>
      <c r="AC188" s="145" t="s">
        <v>3930</v>
      </c>
      <c r="AD188" s="144">
        <v>676.6031999999999</v>
      </c>
      <c r="AE188" s="145" t="s">
        <v>3930</v>
      </c>
      <c r="AF188" s="145" t="s">
        <v>3930</v>
      </c>
      <c r="AG188" s="145" t="s">
        <v>3930</v>
      </c>
      <c r="AH188" s="146">
        <v>1.1139206901185485E-3</v>
      </c>
      <c r="AI188" s="146">
        <v>8.3309583407822959E-3</v>
      </c>
      <c r="AJ188" s="147">
        <v>9.8154022365611461E-4</v>
      </c>
      <c r="AK188" s="177"/>
    </row>
    <row r="189" spans="1:37" ht="15" x14ac:dyDescent="0.2">
      <c r="A189" s="142" t="s">
        <v>1205</v>
      </c>
      <c r="B189" s="143" t="s">
        <v>1205</v>
      </c>
      <c r="C189" s="143" t="s">
        <v>1541</v>
      </c>
      <c r="D189" s="143" t="s">
        <v>1542</v>
      </c>
      <c r="E189" s="143" t="s">
        <v>309</v>
      </c>
      <c r="F189" s="143" t="s">
        <v>1712</v>
      </c>
      <c r="G189" s="143" t="s">
        <v>1713</v>
      </c>
      <c r="H189" s="143" t="s">
        <v>321</v>
      </c>
      <c r="I189" s="143" t="s">
        <v>754</v>
      </c>
      <c r="J189" s="143" t="s">
        <v>204</v>
      </c>
      <c r="K189" s="143" t="s">
        <v>293</v>
      </c>
      <c r="L189" s="143" t="s">
        <v>325</v>
      </c>
      <c r="M189" s="143" t="s">
        <v>340</v>
      </c>
      <c r="N189" s="143" t="s">
        <v>465</v>
      </c>
      <c r="O189" s="143" t="s">
        <v>339</v>
      </c>
      <c r="P189" s="143" t="s">
        <v>1444</v>
      </c>
      <c r="Q189" s="143" t="s">
        <v>415</v>
      </c>
      <c r="R189" s="143" t="s">
        <v>407</v>
      </c>
      <c r="S189" s="143" t="s">
        <v>1210</v>
      </c>
      <c r="T189" s="144">
        <v>5.16</v>
      </c>
      <c r="U189" s="143" t="s">
        <v>1700</v>
      </c>
      <c r="V189" s="146">
        <v>1.54E-2</v>
      </c>
      <c r="W189" s="146">
        <v>3.6589000000000003E-2</v>
      </c>
      <c r="X189" s="143" t="s">
        <v>412</v>
      </c>
      <c r="Y189" s="145" t="s">
        <v>3930</v>
      </c>
      <c r="Z189" s="144">
        <v>655000</v>
      </c>
      <c r="AA189" s="145" t="s">
        <v>3930</v>
      </c>
      <c r="AB189" s="143" t="s">
        <v>1714</v>
      </c>
      <c r="AC189" s="145" t="s">
        <v>3930</v>
      </c>
      <c r="AD189" s="144">
        <v>659.84699999999998</v>
      </c>
      <c r="AE189" s="145" t="s">
        <v>3930</v>
      </c>
      <c r="AF189" s="145" t="s">
        <v>3930</v>
      </c>
      <c r="AG189" s="145" t="s">
        <v>3930</v>
      </c>
      <c r="AH189" s="146">
        <v>1.0981807085696656E-3</v>
      </c>
      <c r="AI189" s="146">
        <v>8.1246401540153654E-3</v>
      </c>
      <c r="AJ189" s="147">
        <v>9.5723214397310885E-4</v>
      </c>
      <c r="AK189" s="177"/>
    </row>
    <row r="190" spans="1:37" ht="15" x14ac:dyDescent="0.2">
      <c r="A190" s="142" t="s">
        <v>1205</v>
      </c>
      <c r="B190" s="143" t="s">
        <v>1205</v>
      </c>
      <c r="C190" s="143" t="s">
        <v>1358</v>
      </c>
      <c r="D190" s="143" t="s">
        <v>1359</v>
      </c>
      <c r="E190" s="143" t="s">
        <v>309</v>
      </c>
      <c r="F190" s="143" t="s">
        <v>1594</v>
      </c>
      <c r="G190" s="143" t="s">
        <v>1595</v>
      </c>
      <c r="H190" s="143" t="s">
        <v>321</v>
      </c>
      <c r="I190" s="143" t="s">
        <v>754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448</v>
      </c>
      <c r="O190" s="143" t="s">
        <v>339</v>
      </c>
      <c r="P190" s="143" t="s">
        <v>1303</v>
      </c>
      <c r="Q190" s="143" t="s">
        <v>413</v>
      </c>
      <c r="R190" s="143" t="s">
        <v>407</v>
      </c>
      <c r="S190" s="143" t="s">
        <v>1210</v>
      </c>
      <c r="T190" s="144">
        <v>4.38</v>
      </c>
      <c r="U190" s="143" t="s">
        <v>1596</v>
      </c>
      <c r="V190" s="146">
        <v>1.9900000000000001E-2</v>
      </c>
      <c r="W190" s="146">
        <v>2.5611999999999999E-2</v>
      </c>
      <c r="X190" s="143" t="s">
        <v>412</v>
      </c>
      <c r="Y190" s="145" t="s">
        <v>3930</v>
      </c>
      <c r="Z190" s="144">
        <v>630000</v>
      </c>
      <c r="AA190" s="145" t="s">
        <v>3930</v>
      </c>
      <c r="AB190" s="143" t="s">
        <v>1597</v>
      </c>
      <c r="AC190" s="145" t="s">
        <v>3930</v>
      </c>
      <c r="AD190" s="144">
        <v>645.75</v>
      </c>
      <c r="AE190" s="145" t="s">
        <v>3930</v>
      </c>
      <c r="AF190" s="145" t="s">
        <v>3930</v>
      </c>
      <c r="AG190" s="145" t="s">
        <v>3930</v>
      </c>
      <c r="AH190" s="146">
        <v>2.3333333333333333E-4</v>
      </c>
      <c r="AI190" s="146">
        <v>7.9510649884828172E-3</v>
      </c>
      <c r="AJ190" s="147">
        <v>9.3678179482612649E-4</v>
      </c>
      <c r="AK190" s="177"/>
    </row>
    <row r="191" spans="1:37" ht="15" x14ac:dyDescent="0.2">
      <c r="A191" s="142" t="s">
        <v>1205</v>
      </c>
      <c r="B191" s="143" t="s">
        <v>1205</v>
      </c>
      <c r="C191" s="143" t="s">
        <v>1575</v>
      </c>
      <c r="D191" s="143" t="s">
        <v>1576</v>
      </c>
      <c r="E191" s="143" t="s">
        <v>309</v>
      </c>
      <c r="F191" s="143" t="s">
        <v>1917</v>
      </c>
      <c r="G191" s="143" t="s">
        <v>1918</v>
      </c>
      <c r="H191" s="143" t="s">
        <v>321</v>
      </c>
      <c r="I191" s="143" t="s">
        <v>754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464</v>
      </c>
      <c r="O191" s="143" t="s">
        <v>339</v>
      </c>
      <c r="P191" s="143" t="s">
        <v>1412</v>
      </c>
      <c r="Q191" s="143" t="s">
        <v>413</v>
      </c>
      <c r="R191" s="143" t="s">
        <v>407</v>
      </c>
      <c r="S191" s="143" t="s">
        <v>1210</v>
      </c>
      <c r="T191" s="144">
        <v>5.35</v>
      </c>
      <c r="U191" s="143" t="s">
        <v>1919</v>
      </c>
      <c r="V191" s="146">
        <v>2.5999999999999999E-2</v>
      </c>
      <c r="W191" s="146">
        <v>2.9978999999999999E-2</v>
      </c>
      <c r="X191" s="143" t="s">
        <v>412</v>
      </c>
      <c r="Y191" s="145" t="s">
        <v>3930</v>
      </c>
      <c r="Z191" s="144">
        <v>629000</v>
      </c>
      <c r="AA191" s="145" t="s">
        <v>3930</v>
      </c>
      <c r="AB191" s="143" t="s">
        <v>1898</v>
      </c>
      <c r="AC191" s="145" t="s">
        <v>3930</v>
      </c>
      <c r="AD191" s="144">
        <v>642.33480000000009</v>
      </c>
      <c r="AE191" s="145" t="s">
        <v>3930</v>
      </c>
      <c r="AF191" s="145" t="s">
        <v>3930</v>
      </c>
      <c r="AG191" s="145" t="s">
        <v>3930</v>
      </c>
      <c r="AH191" s="146">
        <v>1.1735074626865671E-3</v>
      </c>
      <c r="AI191" s="146">
        <v>7.9090139205019172E-3</v>
      </c>
      <c r="AJ191" s="147">
        <v>9.3182740506896013E-4</v>
      </c>
      <c r="AK191" s="177"/>
    </row>
    <row r="192" spans="1:37" ht="15" x14ac:dyDescent="0.2">
      <c r="A192" s="142" t="s">
        <v>1205</v>
      </c>
      <c r="B192" s="143" t="s">
        <v>1205</v>
      </c>
      <c r="C192" s="143" t="s">
        <v>1706</v>
      </c>
      <c r="D192" s="143" t="s">
        <v>1707</v>
      </c>
      <c r="E192" s="143" t="s">
        <v>309</v>
      </c>
      <c r="F192" s="143" t="s">
        <v>1920</v>
      </c>
      <c r="G192" s="143" t="s">
        <v>1921</v>
      </c>
      <c r="H192" s="143" t="s">
        <v>321</v>
      </c>
      <c r="I192" s="143" t="s">
        <v>754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464</v>
      </c>
      <c r="O192" s="143" t="s">
        <v>339</v>
      </c>
      <c r="P192" s="143" t="s">
        <v>1721</v>
      </c>
      <c r="Q192" s="143" t="s">
        <v>413</v>
      </c>
      <c r="R192" s="143" t="s">
        <v>407</v>
      </c>
      <c r="S192" s="143" t="s">
        <v>1210</v>
      </c>
      <c r="T192" s="144">
        <v>6.92</v>
      </c>
      <c r="U192" s="143" t="s">
        <v>1922</v>
      </c>
      <c r="V192" s="146">
        <v>8.9999999999999993E-3</v>
      </c>
      <c r="W192" s="146">
        <v>3.3403000000000002E-2</v>
      </c>
      <c r="X192" s="143" t="s">
        <v>412</v>
      </c>
      <c r="Y192" s="145" t="s">
        <v>3930</v>
      </c>
      <c r="Z192" s="144">
        <v>666000</v>
      </c>
      <c r="AA192" s="145" t="s">
        <v>3930</v>
      </c>
      <c r="AB192" s="143" t="s">
        <v>1841</v>
      </c>
      <c r="AC192" s="145" t="s">
        <v>3930</v>
      </c>
      <c r="AD192" s="144">
        <v>641.55780000000004</v>
      </c>
      <c r="AE192" s="145" t="s">
        <v>3930</v>
      </c>
      <c r="AF192" s="145" t="s">
        <v>3930</v>
      </c>
      <c r="AG192" s="145" t="s">
        <v>3930</v>
      </c>
      <c r="AH192" s="146">
        <v>2.4202597457645783E-4</v>
      </c>
      <c r="AI192" s="146">
        <v>7.8994467853938238E-3</v>
      </c>
      <c r="AJ192" s="147">
        <v>9.307002204703075E-4</v>
      </c>
      <c r="AK192" s="177"/>
    </row>
    <row r="193" spans="1:37" ht="15" x14ac:dyDescent="0.2">
      <c r="A193" s="142" t="s">
        <v>1205</v>
      </c>
      <c r="B193" s="143" t="s">
        <v>1205</v>
      </c>
      <c r="C193" s="143" t="s">
        <v>1923</v>
      </c>
      <c r="D193" s="143" t="s">
        <v>1924</v>
      </c>
      <c r="E193" s="143" t="s">
        <v>309</v>
      </c>
      <c r="F193" s="143" t="s">
        <v>1925</v>
      </c>
      <c r="G193" s="143" t="s">
        <v>1926</v>
      </c>
      <c r="H193" s="143" t="s">
        <v>321</v>
      </c>
      <c r="I193" s="143" t="s">
        <v>754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477</v>
      </c>
      <c r="O193" s="143" t="s">
        <v>339</v>
      </c>
      <c r="P193" s="143" t="s">
        <v>1303</v>
      </c>
      <c r="Q193" s="143" t="s">
        <v>413</v>
      </c>
      <c r="R193" s="143" t="s">
        <v>407</v>
      </c>
      <c r="S193" s="143" t="s">
        <v>1210</v>
      </c>
      <c r="T193" s="144">
        <v>11.44</v>
      </c>
      <c r="U193" s="143" t="s">
        <v>1927</v>
      </c>
      <c r="V193" s="146">
        <v>2.07E-2</v>
      </c>
      <c r="W193" s="146">
        <v>3.2856000000000003E-2</v>
      </c>
      <c r="X193" s="143" t="s">
        <v>412</v>
      </c>
      <c r="Y193" s="145" t="s">
        <v>3930</v>
      </c>
      <c r="Z193" s="144">
        <v>640000</v>
      </c>
      <c r="AA193" s="145" t="s">
        <v>3930</v>
      </c>
      <c r="AB193" s="143" t="s">
        <v>1928</v>
      </c>
      <c r="AC193" s="145" t="s">
        <v>3930</v>
      </c>
      <c r="AD193" s="144">
        <v>635.96799999999996</v>
      </c>
      <c r="AE193" s="145" t="s">
        <v>3930</v>
      </c>
      <c r="AF193" s="145" t="s">
        <v>3930</v>
      </c>
      <c r="AG193" s="145" t="s">
        <v>3930</v>
      </c>
      <c r="AH193" s="146">
        <v>1.4055189642626394E-4</v>
      </c>
      <c r="AI193" s="146">
        <v>7.8306200520254603E-3</v>
      </c>
      <c r="AJ193" s="147">
        <v>9.225911645249431E-4</v>
      </c>
      <c r="AK193" s="177"/>
    </row>
    <row r="194" spans="1:37" ht="15" x14ac:dyDescent="0.2">
      <c r="A194" s="142" t="s">
        <v>1205</v>
      </c>
      <c r="B194" s="143" t="s">
        <v>1205</v>
      </c>
      <c r="C194" s="143" t="s">
        <v>1739</v>
      </c>
      <c r="D194" s="143" t="s">
        <v>1740</v>
      </c>
      <c r="E194" s="143" t="s">
        <v>309</v>
      </c>
      <c r="F194" s="143" t="s">
        <v>1929</v>
      </c>
      <c r="G194" s="143" t="s">
        <v>1930</v>
      </c>
      <c r="H194" s="143" t="s">
        <v>321</v>
      </c>
      <c r="I194" s="143" t="s">
        <v>754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464</v>
      </c>
      <c r="O194" s="143" t="s">
        <v>339</v>
      </c>
      <c r="P194" s="143" t="s">
        <v>1375</v>
      </c>
      <c r="Q194" s="143" t="s">
        <v>413</v>
      </c>
      <c r="R194" s="143" t="s">
        <v>407</v>
      </c>
      <c r="S194" s="143" t="s">
        <v>1210</v>
      </c>
      <c r="T194" s="144">
        <v>4.72</v>
      </c>
      <c r="U194" s="143" t="s">
        <v>1931</v>
      </c>
      <c r="V194" s="146">
        <v>4.4499999999999998E-2</v>
      </c>
      <c r="W194" s="146">
        <v>4.3503E-2</v>
      </c>
      <c r="X194" s="143" t="s">
        <v>412</v>
      </c>
      <c r="Y194" s="145" t="s">
        <v>3930</v>
      </c>
      <c r="Z194" s="144">
        <v>598000</v>
      </c>
      <c r="AA194" s="145" t="s">
        <v>3930</v>
      </c>
      <c r="AB194" s="143" t="s">
        <v>1932</v>
      </c>
      <c r="AC194" s="145" t="s">
        <v>3930</v>
      </c>
      <c r="AD194" s="144">
        <v>635.13580000000002</v>
      </c>
      <c r="AE194" s="145" t="s">
        <v>3930</v>
      </c>
      <c r="AF194" s="145" t="s">
        <v>3930</v>
      </c>
      <c r="AG194" s="145" t="s">
        <v>3930</v>
      </c>
      <c r="AH194" s="146">
        <v>1.3288888888888888E-3</v>
      </c>
      <c r="AI194" s="146">
        <v>7.8203732439984901E-3</v>
      </c>
      <c r="AJ194" s="147">
        <v>9.2138390194708127E-4</v>
      </c>
      <c r="AK194" s="177"/>
    </row>
    <row r="195" spans="1:37" ht="15" x14ac:dyDescent="0.2">
      <c r="A195" s="142" t="s">
        <v>1205</v>
      </c>
      <c r="B195" s="143" t="s">
        <v>1205</v>
      </c>
      <c r="C195" s="143" t="s">
        <v>1569</v>
      </c>
      <c r="D195" s="143" t="s">
        <v>1570</v>
      </c>
      <c r="E195" s="143" t="s">
        <v>309</v>
      </c>
      <c r="F195" s="143" t="s">
        <v>1730</v>
      </c>
      <c r="G195" s="143" t="s">
        <v>1731</v>
      </c>
      <c r="H195" s="143" t="s">
        <v>321</v>
      </c>
      <c r="I195" s="143" t="s">
        <v>754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448</v>
      </c>
      <c r="O195" s="143" t="s">
        <v>339</v>
      </c>
      <c r="P195" s="143" t="s">
        <v>1303</v>
      </c>
      <c r="Q195" s="143" t="s">
        <v>413</v>
      </c>
      <c r="R195" s="143" t="s">
        <v>407</v>
      </c>
      <c r="S195" s="143" t="s">
        <v>1210</v>
      </c>
      <c r="T195" s="144">
        <v>2.04</v>
      </c>
      <c r="U195" s="143" t="s">
        <v>1732</v>
      </c>
      <c r="V195" s="146">
        <v>6.0000000000000001E-3</v>
      </c>
      <c r="W195" s="146">
        <v>2.0981E-2</v>
      </c>
      <c r="X195" s="143" t="s">
        <v>412</v>
      </c>
      <c r="Y195" s="145" t="s">
        <v>3930</v>
      </c>
      <c r="Z195" s="144">
        <v>551842.71</v>
      </c>
      <c r="AA195" s="145" t="s">
        <v>3930</v>
      </c>
      <c r="AB195" s="143" t="s">
        <v>1733</v>
      </c>
      <c r="AC195" s="145" t="s">
        <v>3930</v>
      </c>
      <c r="AD195" s="144">
        <v>624.9067</v>
      </c>
      <c r="AE195" s="145" t="s">
        <v>3930</v>
      </c>
      <c r="AF195" s="145" t="s">
        <v>3930</v>
      </c>
      <c r="AG195" s="145" t="s">
        <v>3930</v>
      </c>
      <c r="AH195" s="146">
        <v>6.2028634598913291E-4</v>
      </c>
      <c r="AI195" s="146">
        <v>7.6944230160494809E-3</v>
      </c>
      <c r="AJ195" s="147">
        <v>9.0654464698340783E-4</v>
      </c>
      <c r="AK195" s="177"/>
    </row>
    <row r="196" spans="1:37" ht="15" x14ac:dyDescent="0.2">
      <c r="A196" s="142" t="s">
        <v>1205</v>
      </c>
      <c r="B196" s="143" t="s">
        <v>1205</v>
      </c>
      <c r="C196" s="143" t="s">
        <v>1933</v>
      </c>
      <c r="D196" s="143" t="s">
        <v>1934</v>
      </c>
      <c r="E196" s="143" t="s">
        <v>309</v>
      </c>
      <c r="F196" s="143" t="s">
        <v>1935</v>
      </c>
      <c r="G196" s="143" t="s">
        <v>1936</v>
      </c>
      <c r="H196" s="143" t="s">
        <v>321</v>
      </c>
      <c r="I196" s="143" t="s">
        <v>754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448</v>
      </c>
      <c r="O196" s="143" t="s">
        <v>339</v>
      </c>
      <c r="P196" s="143" t="s">
        <v>1303</v>
      </c>
      <c r="Q196" s="143" t="s">
        <v>413</v>
      </c>
      <c r="R196" s="143" t="s">
        <v>407</v>
      </c>
      <c r="S196" s="143" t="s">
        <v>1210</v>
      </c>
      <c r="T196" s="144">
        <v>2.17</v>
      </c>
      <c r="U196" s="143" t="s">
        <v>1937</v>
      </c>
      <c r="V196" s="146">
        <v>1E-3</v>
      </c>
      <c r="W196" s="146">
        <v>2.0434999999999998E-2</v>
      </c>
      <c r="X196" s="143" t="s">
        <v>412</v>
      </c>
      <c r="Y196" s="145" t="s">
        <v>3930</v>
      </c>
      <c r="Z196" s="144">
        <v>568000</v>
      </c>
      <c r="AA196" s="145" t="s">
        <v>3930</v>
      </c>
      <c r="AB196" s="143" t="s">
        <v>1938</v>
      </c>
      <c r="AC196" s="145" t="s">
        <v>3930</v>
      </c>
      <c r="AD196" s="144">
        <v>612.92880000000002</v>
      </c>
      <c r="AE196" s="145" t="s">
        <v>3930</v>
      </c>
      <c r="AF196" s="145" t="s">
        <v>3930</v>
      </c>
      <c r="AG196" s="145" t="s">
        <v>3930</v>
      </c>
      <c r="AH196" s="146">
        <v>1.2166570633582734E-3</v>
      </c>
      <c r="AI196" s="146">
        <v>7.5469403362180216E-3</v>
      </c>
      <c r="AJ196" s="147">
        <v>8.8916847288366069E-4</v>
      </c>
      <c r="AK196" s="177"/>
    </row>
    <row r="197" spans="1:37" ht="15" x14ac:dyDescent="0.2">
      <c r="A197" s="142" t="s">
        <v>1205</v>
      </c>
      <c r="B197" s="143" t="s">
        <v>1205</v>
      </c>
      <c r="C197" s="143" t="s">
        <v>1842</v>
      </c>
      <c r="D197" s="143" t="s">
        <v>1843</v>
      </c>
      <c r="E197" s="143" t="s">
        <v>309</v>
      </c>
      <c r="F197" s="143" t="s">
        <v>1939</v>
      </c>
      <c r="G197" s="143" t="s">
        <v>1940</v>
      </c>
      <c r="H197" s="143" t="s">
        <v>321</v>
      </c>
      <c r="I197" s="143" t="s">
        <v>754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464</v>
      </c>
      <c r="O197" s="143" t="s">
        <v>339</v>
      </c>
      <c r="P197" s="143" t="s">
        <v>1412</v>
      </c>
      <c r="Q197" s="143" t="s">
        <v>413</v>
      </c>
      <c r="R197" s="143" t="s">
        <v>407</v>
      </c>
      <c r="S197" s="143" t="s">
        <v>1210</v>
      </c>
      <c r="T197" s="144">
        <v>5.83</v>
      </c>
      <c r="U197" s="143" t="s">
        <v>1941</v>
      </c>
      <c r="V197" s="146">
        <v>3.5000000000000001E-3</v>
      </c>
      <c r="W197" s="146">
        <v>3.3998E-2</v>
      </c>
      <c r="X197" s="143" t="s">
        <v>412</v>
      </c>
      <c r="Y197" s="145" t="s">
        <v>3930</v>
      </c>
      <c r="Z197" s="144">
        <v>640000</v>
      </c>
      <c r="AA197" s="145" t="s">
        <v>3930</v>
      </c>
      <c r="AB197" s="143" t="s">
        <v>1942</v>
      </c>
      <c r="AC197" s="145" t="s">
        <v>3930</v>
      </c>
      <c r="AD197" s="144">
        <v>603.52</v>
      </c>
      <c r="AE197" s="145" t="s">
        <v>3930</v>
      </c>
      <c r="AF197" s="145" t="s">
        <v>3930</v>
      </c>
      <c r="AG197" s="145" t="s">
        <v>3930</v>
      </c>
      <c r="AH197" s="146">
        <v>1.836842573235057E-4</v>
      </c>
      <c r="AI197" s="146">
        <v>7.4310905797121954E-3</v>
      </c>
      <c r="AJ197" s="147">
        <v>8.7551923935495757E-4</v>
      </c>
      <c r="AK197" s="177"/>
    </row>
    <row r="198" spans="1:37" ht="15" x14ac:dyDescent="0.2">
      <c r="A198" s="142" t="s">
        <v>1205</v>
      </c>
      <c r="B198" s="143" t="s">
        <v>1205</v>
      </c>
      <c r="C198" s="143" t="s">
        <v>1513</v>
      </c>
      <c r="D198" s="143" t="s">
        <v>1514</v>
      </c>
      <c r="E198" s="143" t="s">
        <v>309</v>
      </c>
      <c r="F198" s="143" t="s">
        <v>1616</v>
      </c>
      <c r="G198" s="143" t="s">
        <v>1617</v>
      </c>
      <c r="H198" s="143" t="s">
        <v>321</v>
      </c>
      <c r="I198" s="143" t="s">
        <v>754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465</v>
      </c>
      <c r="O198" s="143" t="s">
        <v>339</v>
      </c>
      <c r="P198" s="143" t="s">
        <v>1405</v>
      </c>
      <c r="Q198" s="143" t="s">
        <v>415</v>
      </c>
      <c r="R198" s="143" t="s">
        <v>407</v>
      </c>
      <c r="S198" s="143" t="s">
        <v>1210</v>
      </c>
      <c r="T198" s="144">
        <v>5.6</v>
      </c>
      <c r="U198" s="143" t="s">
        <v>1618</v>
      </c>
      <c r="V198" s="146">
        <v>1.7899999999999999E-2</v>
      </c>
      <c r="W198" s="146">
        <v>5.3422999999999998E-2</v>
      </c>
      <c r="X198" s="143" t="s">
        <v>412</v>
      </c>
      <c r="Y198" s="145" t="s">
        <v>3930</v>
      </c>
      <c r="Z198" s="144">
        <v>637781.55000000005</v>
      </c>
      <c r="AA198" s="145" t="s">
        <v>3930</v>
      </c>
      <c r="AB198" s="143" t="s">
        <v>1619</v>
      </c>
      <c r="AC198" s="145" t="s">
        <v>3930</v>
      </c>
      <c r="AD198" s="144">
        <v>602.32090000000005</v>
      </c>
      <c r="AE198" s="145" t="s">
        <v>3930</v>
      </c>
      <c r="AF198" s="145" t="s">
        <v>3930</v>
      </c>
      <c r="AG198" s="145" t="s">
        <v>3930</v>
      </c>
      <c r="AH198" s="146">
        <v>9.4181439808973134E-4</v>
      </c>
      <c r="AI198" s="146">
        <v>7.4163261116314497E-3</v>
      </c>
      <c r="AJ198" s="147">
        <v>8.7377971327532312E-4</v>
      </c>
      <c r="AK198" s="177"/>
    </row>
    <row r="199" spans="1:37" ht="15" x14ac:dyDescent="0.2">
      <c r="A199" s="142" t="s">
        <v>1205</v>
      </c>
      <c r="B199" s="143" t="s">
        <v>1205</v>
      </c>
      <c r="C199" s="143" t="s">
        <v>1364</v>
      </c>
      <c r="D199" s="143" t="s">
        <v>1365</v>
      </c>
      <c r="E199" s="143" t="s">
        <v>309</v>
      </c>
      <c r="F199" s="143" t="s">
        <v>1598</v>
      </c>
      <c r="G199" s="143" t="s">
        <v>1599</v>
      </c>
      <c r="H199" s="143" t="s">
        <v>321</v>
      </c>
      <c r="I199" s="143" t="s">
        <v>754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445</v>
      </c>
      <c r="O199" s="143" t="s">
        <v>339</v>
      </c>
      <c r="P199" s="143" t="s">
        <v>1368</v>
      </c>
      <c r="Q199" s="143" t="s">
        <v>415</v>
      </c>
      <c r="R199" s="143" t="s">
        <v>407</v>
      </c>
      <c r="S199" s="143" t="s">
        <v>1210</v>
      </c>
      <c r="T199" s="144">
        <v>5.05</v>
      </c>
      <c r="U199" s="143" t="s">
        <v>1600</v>
      </c>
      <c r="V199" s="146">
        <v>4.6899999999999997E-2</v>
      </c>
      <c r="W199" s="146">
        <v>5.6607999999999999E-2</v>
      </c>
      <c r="X199" s="143" t="s">
        <v>412</v>
      </c>
      <c r="Y199" s="145" t="s">
        <v>3930</v>
      </c>
      <c r="Z199" s="144">
        <v>620000</v>
      </c>
      <c r="AA199" s="145" t="s">
        <v>3930</v>
      </c>
      <c r="AB199" s="143" t="s">
        <v>1601</v>
      </c>
      <c r="AC199" s="145" t="s">
        <v>3930</v>
      </c>
      <c r="AD199" s="144">
        <v>594.33199999999999</v>
      </c>
      <c r="AE199" s="145" t="s">
        <v>3930</v>
      </c>
      <c r="AF199" s="145" t="s">
        <v>3930</v>
      </c>
      <c r="AG199" s="145" t="s">
        <v>3930</v>
      </c>
      <c r="AH199" s="146">
        <v>1.24E-3</v>
      </c>
      <c r="AI199" s="146">
        <v>7.3179595148818739E-3</v>
      </c>
      <c r="AJ199" s="147">
        <v>8.6219031774309159E-4</v>
      </c>
      <c r="AK199" s="177"/>
    </row>
    <row r="200" spans="1:37" ht="15" x14ac:dyDescent="0.2">
      <c r="A200" s="142" t="s">
        <v>1205</v>
      </c>
      <c r="B200" s="143" t="s">
        <v>1205</v>
      </c>
      <c r="C200" s="143" t="s">
        <v>1575</v>
      </c>
      <c r="D200" s="143" t="s">
        <v>1576</v>
      </c>
      <c r="E200" s="143" t="s">
        <v>309</v>
      </c>
      <c r="F200" s="143" t="s">
        <v>1943</v>
      </c>
      <c r="G200" s="143" t="s">
        <v>1944</v>
      </c>
      <c r="H200" s="143" t="s">
        <v>321</v>
      </c>
      <c r="I200" s="143" t="s">
        <v>754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464</v>
      </c>
      <c r="O200" s="143" t="s">
        <v>339</v>
      </c>
      <c r="P200" s="143" t="s">
        <v>1356</v>
      </c>
      <c r="Q200" s="143" t="s">
        <v>413</v>
      </c>
      <c r="R200" s="143" t="s">
        <v>407</v>
      </c>
      <c r="S200" s="143" t="s">
        <v>1210</v>
      </c>
      <c r="T200" s="144">
        <v>5.31</v>
      </c>
      <c r="U200" s="143" t="s">
        <v>1945</v>
      </c>
      <c r="V200" s="146">
        <v>1.8700000000000001E-2</v>
      </c>
      <c r="W200" s="146">
        <v>3.3842999999999998E-2</v>
      </c>
      <c r="X200" s="143" t="s">
        <v>412</v>
      </c>
      <c r="Y200" s="145" t="s">
        <v>3930</v>
      </c>
      <c r="Z200" s="144">
        <v>563199.99</v>
      </c>
      <c r="AA200" s="145" t="s">
        <v>3930</v>
      </c>
      <c r="AB200" s="143" t="s">
        <v>1946</v>
      </c>
      <c r="AC200" s="145" t="s">
        <v>3930</v>
      </c>
      <c r="AD200" s="144">
        <v>580.99709999999993</v>
      </c>
      <c r="AE200" s="145" t="s">
        <v>3930</v>
      </c>
      <c r="AF200" s="145" t="s">
        <v>3930</v>
      </c>
      <c r="AG200" s="145" t="s">
        <v>3930</v>
      </c>
      <c r="AH200" s="146">
        <v>1.0759285997568463E-3</v>
      </c>
      <c r="AI200" s="146">
        <v>7.1537681412592547E-3</v>
      </c>
      <c r="AJ200" s="147">
        <v>8.4284555199159018E-4</v>
      </c>
      <c r="AK200" s="177"/>
    </row>
    <row r="201" spans="1:37" ht="15" x14ac:dyDescent="0.2">
      <c r="A201" s="142" t="s">
        <v>1205</v>
      </c>
      <c r="B201" s="143" t="s">
        <v>1205</v>
      </c>
      <c r="C201" s="143" t="s">
        <v>1792</v>
      </c>
      <c r="D201" s="143" t="s">
        <v>1793</v>
      </c>
      <c r="E201" s="143" t="s">
        <v>309</v>
      </c>
      <c r="F201" s="143" t="s">
        <v>1947</v>
      </c>
      <c r="G201" s="143" t="s">
        <v>1948</v>
      </c>
      <c r="H201" s="143" t="s">
        <v>321</v>
      </c>
      <c r="I201" s="143" t="s">
        <v>754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464</v>
      </c>
      <c r="O201" s="143" t="s">
        <v>339</v>
      </c>
      <c r="P201" s="143" t="s">
        <v>1743</v>
      </c>
      <c r="Q201" s="143" t="s">
        <v>413</v>
      </c>
      <c r="R201" s="143" t="s">
        <v>407</v>
      </c>
      <c r="S201" s="143" t="s">
        <v>1210</v>
      </c>
      <c r="T201" s="144">
        <v>1.44</v>
      </c>
      <c r="U201" s="143" t="s">
        <v>1949</v>
      </c>
      <c r="V201" s="146">
        <v>3.3402000000000001E-2</v>
      </c>
      <c r="W201" s="146">
        <v>2.8573999999999999E-2</v>
      </c>
      <c r="X201" s="143" t="s">
        <v>412</v>
      </c>
      <c r="Y201" s="145" t="s">
        <v>3930</v>
      </c>
      <c r="Z201" s="144">
        <v>479090.93</v>
      </c>
      <c r="AA201" s="145" t="s">
        <v>3930</v>
      </c>
      <c r="AB201" s="143" t="s">
        <v>1950</v>
      </c>
      <c r="AC201" s="145" t="s">
        <v>3930</v>
      </c>
      <c r="AD201" s="144">
        <v>567.81859999999995</v>
      </c>
      <c r="AE201" s="145" t="s">
        <v>3930</v>
      </c>
      <c r="AF201" s="145" t="s">
        <v>3930</v>
      </c>
      <c r="AG201" s="145" t="s">
        <v>3930</v>
      </c>
      <c r="AH201" s="146">
        <v>1.3720791437564586E-3</v>
      </c>
      <c r="AI201" s="146">
        <v>6.9915019026153026E-3</v>
      </c>
      <c r="AJ201" s="147">
        <v>8.2372760257264424E-4</v>
      </c>
      <c r="AK201" s="177"/>
    </row>
    <row r="202" spans="1:37" ht="15" x14ac:dyDescent="0.2">
      <c r="A202" s="142" t="s">
        <v>1205</v>
      </c>
      <c r="B202" s="143" t="s">
        <v>1205</v>
      </c>
      <c r="C202" s="143" t="s">
        <v>1575</v>
      </c>
      <c r="D202" s="143" t="s">
        <v>1576</v>
      </c>
      <c r="E202" s="143" t="s">
        <v>309</v>
      </c>
      <c r="F202" s="143" t="s">
        <v>1702</v>
      </c>
      <c r="G202" s="143" t="s">
        <v>1703</v>
      </c>
      <c r="H202" s="143" t="s">
        <v>321</v>
      </c>
      <c r="I202" s="143" t="s">
        <v>754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464</v>
      </c>
      <c r="O202" s="143" t="s">
        <v>339</v>
      </c>
      <c r="P202" s="143" t="s">
        <v>1425</v>
      </c>
      <c r="Q202" s="143" t="s">
        <v>415</v>
      </c>
      <c r="R202" s="143" t="s">
        <v>407</v>
      </c>
      <c r="S202" s="143" t="s">
        <v>1210</v>
      </c>
      <c r="T202" s="144">
        <v>4.47</v>
      </c>
      <c r="U202" s="143" t="s">
        <v>1704</v>
      </c>
      <c r="V202" s="146">
        <v>1.17E-2</v>
      </c>
      <c r="W202" s="146">
        <v>3.1536000000000002E-2</v>
      </c>
      <c r="X202" s="143" t="s">
        <v>412</v>
      </c>
      <c r="Y202" s="145" t="s">
        <v>3930</v>
      </c>
      <c r="Z202" s="144">
        <v>535652.4</v>
      </c>
      <c r="AA202" s="145" t="s">
        <v>3930</v>
      </c>
      <c r="AB202" s="143" t="s">
        <v>1705</v>
      </c>
      <c r="AC202" s="145" t="s">
        <v>3930</v>
      </c>
      <c r="AD202" s="144">
        <v>563.98840000000007</v>
      </c>
      <c r="AE202" s="145" t="s">
        <v>3930</v>
      </c>
      <c r="AF202" s="145" t="s">
        <v>3930</v>
      </c>
      <c r="AG202" s="145" t="s">
        <v>3930</v>
      </c>
      <c r="AH202" s="146">
        <v>7.7791831994445542E-4</v>
      </c>
      <c r="AI202" s="146">
        <v>6.9443414885717071E-3</v>
      </c>
      <c r="AJ202" s="147">
        <v>8.1817123781188631E-4</v>
      </c>
      <c r="AK202" s="177"/>
    </row>
    <row r="203" spans="1:37" ht="15" x14ac:dyDescent="0.2">
      <c r="A203" s="142" t="s">
        <v>1205</v>
      </c>
      <c r="B203" s="143" t="s">
        <v>1205</v>
      </c>
      <c r="C203" s="143" t="s">
        <v>1792</v>
      </c>
      <c r="D203" s="143" t="s">
        <v>1793</v>
      </c>
      <c r="E203" s="143" t="s">
        <v>309</v>
      </c>
      <c r="F203" s="143" t="s">
        <v>1951</v>
      </c>
      <c r="G203" s="143" t="s">
        <v>1952</v>
      </c>
      <c r="H203" s="143" t="s">
        <v>321</v>
      </c>
      <c r="I203" s="143" t="s">
        <v>754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464</v>
      </c>
      <c r="O203" s="143" t="s">
        <v>339</v>
      </c>
      <c r="P203" s="143" t="s">
        <v>1743</v>
      </c>
      <c r="Q203" s="143" t="s">
        <v>413</v>
      </c>
      <c r="R203" s="143" t="s">
        <v>407</v>
      </c>
      <c r="S203" s="143" t="s">
        <v>1210</v>
      </c>
      <c r="T203" s="144">
        <v>6.07</v>
      </c>
      <c r="U203" s="143" t="s">
        <v>1775</v>
      </c>
      <c r="V203" s="146">
        <v>3.6799999999999999E-2</v>
      </c>
      <c r="W203" s="146">
        <v>4.0441999999999999E-2</v>
      </c>
      <c r="X203" s="143" t="s">
        <v>412</v>
      </c>
      <c r="Y203" s="145" t="s">
        <v>3930</v>
      </c>
      <c r="Z203" s="144">
        <v>550000</v>
      </c>
      <c r="AA203" s="145" t="s">
        <v>3930</v>
      </c>
      <c r="AB203" s="143" t="s">
        <v>1953</v>
      </c>
      <c r="AC203" s="145" t="s">
        <v>3930</v>
      </c>
      <c r="AD203" s="144">
        <v>562.42999999999995</v>
      </c>
      <c r="AE203" s="145" t="s">
        <v>3930</v>
      </c>
      <c r="AF203" s="145" t="s">
        <v>3930</v>
      </c>
      <c r="AG203" s="145" t="s">
        <v>3930</v>
      </c>
      <c r="AH203" s="146">
        <v>2.2571788547484889E-3</v>
      </c>
      <c r="AI203" s="146">
        <v>6.9251528942661884E-3</v>
      </c>
      <c r="AJ203" s="147">
        <v>8.1591046823702412E-4</v>
      </c>
      <c r="AK203" s="177"/>
    </row>
    <row r="204" spans="1:37" ht="15" x14ac:dyDescent="0.2">
      <c r="A204" s="142" t="s">
        <v>1205</v>
      </c>
      <c r="B204" s="143" t="s">
        <v>1205</v>
      </c>
      <c r="C204" s="143" t="s">
        <v>1358</v>
      </c>
      <c r="D204" s="143" t="s">
        <v>1359</v>
      </c>
      <c r="E204" s="143" t="s">
        <v>309</v>
      </c>
      <c r="F204" s="143" t="s">
        <v>1485</v>
      </c>
      <c r="G204" s="143" t="s">
        <v>1486</v>
      </c>
      <c r="H204" s="143" t="s">
        <v>321</v>
      </c>
      <c r="I204" s="143" t="s">
        <v>754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448</v>
      </c>
      <c r="O204" s="143" t="s">
        <v>339</v>
      </c>
      <c r="P204" s="143" t="s">
        <v>1303</v>
      </c>
      <c r="Q204" s="143" t="s">
        <v>413</v>
      </c>
      <c r="R204" s="143" t="s">
        <v>407</v>
      </c>
      <c r="S204" s="143" t="s">
        <v>1210</v>
      </c>
      <c r="T204" s="144">
        <v>1.72</v>
      </c>
      <c r="U204" s="143" t="s">
        <v>1487</v>
      </c>
      <c r="V204" s="146">
        <v>3.8E-3</v>
      </c>
      <c r="W204" s="146">
        <v>2.1166000000000001E-2</v>
      </c>
      <c r="X204" s="143" t="s">
        <v>412</v>
      </c>
      <c r="Y204" s="145" t="s">
        <v>3930</v>
      </c>
      <c r="Z204" s="144">
        <v>500362</v>
      </c>
      <c r="AA204" s="145" t="s">
        <v>3930</v>
      </c>
      <c r="AB204" s="143" t="s">
        <v>1488</v>
      </c>
      <c r="AC204" s="145" t="s">
        <v>3930</v>
      </c>
      <c r="AD204" s="144">
        <v>552.34960000000001</v>
      </c>
      <c r="AE204" s="145" t="s">
        <v>3930</v>
      </c>
      <c r="AF204" s="145" t="s">
        <v>3930</v>
      </c>
      <c r="AG204" s="145" t="s">
        <v>3930</v>
      </c>
      <c r="AH204" s="146">
        <v>1.6678733333333332E-4</v>
      </c>
      <c r="AI204" s="146">
        <v>6.8010339292064355E-3</v>
      </c>
      <c r="AJ204" s="147">
        <v>8.0128696974605994E-4</v>
      </c>
      <c r="AK204" s="177"/>
    </row>
    <row r="205" spans="1:37" ht="15" x14ac:dyDescent="0.2">
      <c r="A205" s="142" t="s">
        <v>1205</v>
      </c>
      <c r="B205" s="143" t="s">
        <v>1205</v>
      </c>
      <c r="C205" s="143" t="s">
        <v>1887</v>
      </c>
      <c r="D205" s="143" t="s">
        <v>1888</v>
      </c>
      <c r="E205" s="143" t="s">
        <v>309</v>
      </c>
      <c r="F205" s="143" t="s">
        <v>1954</v>
      </c>
      <c r="G205" s="143" t="s">
        <v>1955</v>
      </c>
      <c r="H205" s="143" t="s">
        <v>321</v>
      </c>
      <c r="I205" s="143" t="s">
        <v>754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448</v>
      </c>
      <c r="O205" s="143" t="s">
        <v>339</v>
      </c>
      <c r="P205" s="143" t="s">
        <v>1303</v>
      </c>
      <c r="Q205" s="143" t="s">
        <v>413</v>
      </c>
      <c r="R205" s="143" t="s">
        <v>407</v>
      </c>
      <c r="S205" s="143" t="s">
        <v>1210</v>
      </c>
      <c r="T205" s="144">
        <v>3.98</v>
      </c>
      <c r="U205" s="143" t="s">
        <v>1956</v>
      </c>
      <c r="V205" s="146">
        <v>2E-3</v>
      </c>
      <c r="W205" s="146">
        <v>2.4972000000000001E-2</v>
      </c>
      <c r="X205" s="143" t="s">
        <v>412</v>
      </c>
      <c r="Y205" s="145" t="s">
        <v>3930</v>
      </c>
      <c r="Z205" s="144">
        <v>505263.17</v>
      </c>
      <c r="AA205" s="145" t="s">
        <v>3930</v>
      </c>
      <c r="AB205" s="143" t="s">
        <v>1254</v>
      </c>
      <c r="AC205" s="145" t="s">
        <v>3930</v>
      </c>
      <c r="AD205" s="144">
        <v>518.4</v>
      </c>
      <c r="AE205" s="145" t="s">
        <v>3930</v>
      </c>
      <c r="AF205" s="145" t="s">
        <v>3930</v>
      </c>
      <c r="AG205" s="145" t="s">
        <v>3930</v>
      </c>
      <c r="AH205" s="146">
        <v>1.3896227657628319E-4</v>
      </c>
      <c r="AI205" s="146">
        <v>6.3830153910673171E-3</v>
      </c>
      <c r="AJ205" s="147">
        <v>7.5203669233092347E-4</v>
      </c>
      <c r="AK205" s="177"/>
    </row>
    <row r="206" spans="1:37" ht="15" x14ac:dyDescent="0.2">
      <c r="A206" s="142" t="s">
        <v>1205</v>
      </c>
      <c r="B206" s="143" t="s">
        <v>1205</v>
      </c>
      <c r="C206" s="143" t="s">
        <v>1585</v>
      </c>
      <c r="D206" s="143" t="s">
        <v>1586</v>
      </c>
      <c r="E206" s="143" t="s">
        <v>309</v>
      </c>
      <c r="F206" s="143" t="s">
        <v>1587</v>
      </c>
      <c r="G206" s="143" t="s">
        <v>1588</v>
      </c>
      <c r="H206" s="143" t="s">
        <v>321</v>
      </c>
      <c r="I206" s="143" t="s">
        <v>754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448</v>
      </c>
      <c r="O206" s="143" t="s">
        <v>339</v>
      </c>
      <c r="P206" s="143" t="s">
        <v>1303</v>
      </c>
      <c r="Q206" s="143" t="s">
        <v>413</v>
      </c>
      <c r="R206" s="143" t="s">
        <v>407</v>
      </c>
      <c r="S206" s="143" t="s">
        <v>1210</v>
      </c>
      <c r="T206" s="144">
        <v>2.73</v>
      </c>
      <c r="U206" s="143" t="s">
        <v>1589</v>
      </c>
      <c r="V206" s="146">
        <v>1.4999999999999999E-2</v>
      </c>
      <c r="W206" s="146">
        <v>2.2589000000000001E-2</v>
      </c>
      <c r="X206" s="143" t="s">
        <v>412</v>
      </c>
      <c r="Y206" s="145" t="s">
        <v>3930</v>
      </c>
      <c r="Z206" s="144">
        <v>446721.05</v>
      </c>
      <c r="AA206" s="145" t="s">
        <v>3930</v>
      </c>
      <c r="AB206" s="143" t="s">
        <v>1590</v>
      </c>
      <c r="AC206" s="145" t="s">
        <v>3930</v>
      </c>
      <c r="AD206" s="144">
        <v>510.11079999999998</v>
      </c>
      <c r="AE206" s="145" t="s">
        <v>3930</v>
      </c>
      <c r="AF206" s="145" t="s">
        <v>3930</v>
      </c>
      <c r="AG206" s="145" t="s">
        <v>3930</v>
      </c>
      <c r="AH206" s="146">
        <v>1.6003471991516173E-3</v>
      </c>
      <c r="AI206" s="146">
        <v>6.2809506151019143E-3</v>
      </c>
      <c r="AJ206" s="147">
        <v>7.4001158322215736E-4</v>
      </c>
      <c r="AK206" s="177"/>
    </row>
    <row r="207" spans="1:37" ht="15" x14ac:dyDescent="0.2">
      <c r="A207" s="142" t="s">
        <v>1205</v>
      </c>
      <c r="B207" s="143" t="s">
        <v>1205</v>
      </c>
      <c r="C207" s="143" t="s">
        <v>1474</v>
      </c>
      <c r="D207" s="143" t="s">
        <v>1475</v>
      </c>
      <c r="E207" s="143" t="s">
        <v>313</v>
      </c>
      <c r="F207" s="143" t="s">
        <v>1957</v>
      </c>
      <c r="G207" s="143" t="s">
        <v>1958</v>
      </c>
      <c r="H207" s="143" t="s">
        <v>321</v>
      </c>
      <c r="I207" s="143" t="s">
        <v>754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440</v>
      </c>
      <c r="O207" s="143" t="s">
        <v>339</v>
      </c>
      <c r="P207" s="143" t="s">
        <v>1478</v>
      </c>
      <c r="Q207" s="143" t="s">
        <v>415</v>
      </c>
      <c r="R207" s="143" t="s">
        <v>407</v>
      </c>
      <c r="S207" s="143" t="s">
        <v>1210</v>
      </c>
      <c r="T207" s="144">
        <v>2.78</v>
      </c>
      <c r="U207" s="143" t="s">
        <v>1959</v>
      </c>
      <c r="V207" s="146">
        <v>0.01</v>
      </c>
      <c r="W207" s="146">
        <v>2.2491000000000001E-2</v>
      </c>
      <c r="X207" s="143" t="s">
        <v>412</v>
      </c>
      <c r="Y207" s="145" t="s">
        <v>3930</v>
      </c>
      <c r="Z207" s="144">
        <v>455057</v>
      </c>
      <c r="AA207" s="145" t="s">
        <v>3930</v>
      </c>
      <c r="AB207" s="143" t="s">
        <v>1960</v>
      </c>
      <c r="AC207" s="145" t="s">
        <v>3930</v>
      </c>
      <c r="AD207" s="144">
        <v>500.83570000000003</v>
      </c>
      <c r="AE207" s="145" t="s">
        <v>3930</v>
      </c>
      <c r="AF207" s="145" t="s">
        <v>3930</v>
      </c>
      <c r="AG207" s="145" t="s">
        <v>3930</v>
      </c>
      <c r="AH207" s="146">
        <v>3.7866478717127902E-4</v>
      </c>
      <c r="AI207" s="146">
        <v>6.1667479228473968E-3</v>
      </c>
      <c r="AJ207" s="147">
        <v>7.2655640417644107E-4</v>
      </c>
      <c r="AK207" s="177"/>
    </row>
    <row r="208" spans="1:37" ht="15" x14ac:dyDescent="0.2">
      <c r="A208" s="142" t="s">
        <v>1205</v>
      </c>
      <c r="B208" s="143" t="s">
        <v>1205</v>
      </c>
      <c r="C208" s="143" t="s">
        <v>1532</v>
      </c>
      <c r="D208" s="143" t="s">
        <v>1533</v>
      </c>
      <c r="E208" s="143" t="s">
        <v>309</v>
      </c>
      <c r="F208" s="143" t="s">
        <v>1534</v>
      </c>
      <c r="G208" s="143" t="s">
        <v>1535</v>
      </c>
      <c r="H208" s="143" t="s">
        <v>321</v>
      </c>
      <c r="I208" s="143" t="s">
        <v>754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464</v>
      </c>
      <c r="O208" s="143" t="s">
        <v>339</v>
      </c>
      <c r="P208" s="143" t="s">
        <v>1412</v>
      </c>
      <c r="Q208" s="143" t="s">
        <v>413</v>
      </c>
      <c r="R208" s="143" t="s">
        <v>407</v>
      </c>
      <c r="S208" s="143" t="s">
        <v>1210</v>
      </c>
      <c r="T208" s="144">
        <v>2.1800000000000002</v>
      </c>
      <c r="U208" s="143" t="s">
        <v>1304</v>
      </c>
      <c r="V208" s="146">
        <v>2.3400000000000001E-2</v>
      </c>
      <c r="W208" s="146">
        <v>2.7172000000000002E-2</v>
      </c>
      <c r="X208" s="143" t="s">
        <v>412</v>
      </c>
      <c r="Y208" s="145" t="s">
        <v>3930</v>
      </c>
      <c r="Z208" s="144">
        <v>413883.84</v>
      </c>
      <c r="AA208" s="145" t="s">
        <v>3930</v>
      </c>
      <c r="AB208" s="143" t="s">
        <v>1536</v>
      </c>
      <c r="AC208" s="145" t="s">
        <v>3930</v>
      </c>
      <c r="AD208" s="144">
        <v>479.56720000000001</v>
      </c>
      <c r="AE208" s="145" t="s">
        <v>3930</v>
      </c>
      <c r="AF208" s="145" t="s">
        <v>3930</v>
      </c>
      <c r="AG208" s="145" t="s">
        <v>3930</v>
      </c>
      <c r="AH208" s="146">
        <v>1.9619465816505288E-4</v>
      </c>
      <c r="AI208" s="146">
        <v>5.9048703314658873E-3</v>
      </c>
      <c r="AJ208" s="147">
        <v>6.957024040601718E-4</v>
      </c>
      <c r="AK208" s="177"/>
    </row>
    <row r="209" spans="1:37" ht="15" x14ac:dyDescent="0.2">
      <c r="A209" s="142" t="s">
        <v>1205</v>
      </c>
      <c r="B209" s="143" t="s">
        <v>1205</v>
      </c>
      <c r="C209" s="143" t="s">
        <v>1706</v>
      </c>
      <c r="D209" s="143" t="s">
        <v>1707</v>
      </c>
      <c r="E209" s="143" t="s">
        <v>309</v>
      </c>
      <c r="F209" s="143" t="s">
        <v>1745</v>
      </c>
      <c r="G209" s="143" t="s">
        <v>1746</v>
      </c>
      <c r="H209" s="143" t="s">
        <v>321</v>
      </c>
      <c r="I209" s="143" t="s">
        <v>754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464</v>
      </c>
      <c r="O209" s="143" t="s">
        <v>339</v>
      </c>
      <c r="P209" s="143" t="s">
        <v>1478</v>
      </c>
      <c r="Q209" s="143" t="s">
        <v>415</v>
      </c>
      <c r="R209" s="143" t="s">
        <v>407</v>
      </c>
      <c r="S209" s="143" t="s">
        <v>1210</v>
      </c>
      <c r="T209" s="144">
        <v>2.5499999999999998</v>
      </c>
      <c r="U209" s="143" t="s">
        <v>1539</v>
      </c>
      <c r="V209" s="146">
        <v>1.77E-2</v>
      </c>
      <c r="W209" s="146">
        <v>2.7564999999999999E-2</v>
      </c>
      <c r="X209" s="143" t="s">
        <v>412</v>
      </c>
      <c r="Y209" s="145" t="s">
        <v>3930</v>
      </c>
      <c r="Z209" s="144">
        <v>402400</v>
      </c>
      <c r="AA209" s="145" t="s">
        <v>3930</v>
      </c>
      <c r="AB209" s="143" t="s">
        <v>1747</v>
      </c>
      <c r="AC209" s="145" t="s">
        <v>3930</v>
      </c>
      <c r="AD209" s="144">
        <v>455.47659999999996</v>
      </c>
      <c r="AE209" s="145" t="s">
        <v>3930</v>
      </c>
      <c r="AF209" s="145" t="s">
        <v>3930</v>
      </c>
      <c r="AG209" s="145" t="s">
        <v>3930</v>
      </c>
      <c r="AH209" s="146">
        <v>1.5508460121093764E-4</v>
      </c>
      <c r="AI209" s="146">
        <v>5.608244257515437E-3</v>
      </c>
      <c r="AJ209" s="147">
        <v>6.6075439315219499E-4</v>
      </c>
      <c r="AK209" s="177"/>
    </row>
    <row r="210" spans="1:37" ht="15" x14ac:dyDescent="0.2">
      <c r="A210" s="142" t="s">
        <v>1205</v>
      </c>
      <c r="B210" s="143" t="s">
        <v>1205</v>
      </c>
      <c r="C210" s="143" t="s">
        <v>1522</v>
      </c>
      <c r="D210" s="143" t="s">
        <v>1523</v>
      </c>
      <c r="E210" s="143" t="s">
        <v>309</v>
      </c>
      <c r="F210" s="143" t="s">
        <v>1524</v>
      </c>
      <c r="G210" s="143" t="s">
        <v>1525</v>
      </c>
      <c r="H210" s="143" t="s">
        <v>321</v>
      </c>
      <c r="I210" s="143" t="s">
        <v>754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448</v>
      </c>
      <c r="O210" s="143" t="s">
        <v>339</v>
      </c>
      <c r="P210" s="143" t="s">
        <v>1356</v>
      </c>
      <c r="Q210" s="143" t="s">
        <v>413</v>
      </c>
      <c r="R210" s="143" t="s">
        <v>407</v>
      </c>
      <c r="S210" s="143" t="s">
        <v>1210</v>
      </c>
      <c r="T210" s="144">
        <v>1.23</v>
      </c>
      <c r="U210" s="143" t="s">
        <v>1526</v>
      </c>
      <c r="V210" s="146">
        <v>2E-3</v>
      </c>
      <c r="W210" s="146">
        <v>2.0126999999999999E-2</v>
      </c>
      <c r="X210" s="143" t="s">
        <v>412</v>
      </c>
      <c r="Y210" s="145" t="s">
        <v>3930</v>
      </c>
      <c r="Z210" s="144">
        <v>405750</v>
      </c>
      <c r="AA210" s="145" t="s">
        <v>3930</v>
      </c>
      <c r="AB210" s="143" t="s">
        <v>1527</v>
      </c>
      <c r="AC210" s="145" t="s">
        <v>3930</v>
      </c>
      <c r="AD210" s="144">
        <v>453.83140000000003</v>
      </c>
      <c r="AE210" s="145" t="s">
        <v>3930</v>
      </c>
      <c r="AF210" s="145" t="s">
        <v>3930</v>
      </c>
      <c r="AG210" s="145" t="s">
        <v>3930</v>
      </c>
      <c r="AH210" s="146">
        <v>9.7018202977268788E-4</v>
      </c>
      <c r="AI210" s="146">
        <v>5.5879872341270094E-3</v>
      </c>
      <c r="AJ210" s="147">
        <v>6.583677429669514E-4</v>
      </c>
      <c r="AK210" s="177"/>
    </row>
    <row r="211" spans="1:37" ht="15" x14ac:dyDescent="0.2">
      <c r="A211" s="142" t="s">
        <v>1205</v>
      </c>
      <c r="B211" s="143" t="s">
        <v>1205</v>
      </c>
      <c r="C211" s="143" t="s">
        <v>1630</v>
      </c>
      <c r="D211" s="143" t="s">
        <v>1631</v>
      </c>
      <c r="E211" s="143" t="s">
        <v>309</v>
      </c>
      <c r="F211" s="143" t="s">
        <v>1632</v>
      </c>
      <c r="G211" s="143" t="s">
        <v>1633</v>
      </c>
      <c r="H211" s="143" t="s">
        <v>321</v>
      </c>
      <c r="I211" s="143" t="s">
        <v>754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445</v>
      </c>
      <c r="O211" s="143" t="s">
        <v>339</v>
      </c>
      <c r="P211" s="143" t="s">
        <v>1412</v>
      </c>
      <c r="Q211" s="143" t="s">
        <v>413</v>
      </c>
      <c r="R211" s="143" t="s">
        <v>407</v>
      </c>
      <c r="S211" s="143" t="s">
        <v>1210</v>
      </c>
      <c r="T211" s="144">
        <v>4.54</v>
      </c>
      <c r="U211" s="143" t="s">
        <v>1634</v>
      </c>
      <c r="V211" s="146">
        <v>4.4000000000000003E-3</v>
      </c>
      <c r="W211" s="146">
        <v>2.6984000000000001E-2</v>
      </c>
      <c r="X211" s="143" t="s">
        <v>412</v>
      </c>
      <c r="Y211" s="145" t="s">
        <v>3930</v>
      </c>
      <c r="Z211" s="144">
        <v>425681.52</v>
      </c>
      <c r="AA211" s="145" t="s">
        <v>3930</v>
      </c>
      <c r="AB211" s="143" t="s">
        <v>1635</v>
      </c>
      <c r="AC211" s="145" t="s">
        <v>3930</v>
      </c>
      <c r="AD211" s="144">
        <v>443.56009999999998</v>
      </c>
      <c r="AE211" s="145" t="s">
        <v>3930</v>
      </c>
      <c r="AF211" s="145" t="s">
        <v>3930</v>
      </c>
      <c r="AG211" s="145" t="s">
        <v>3930</v>
      </c>
      <c r="AH211" s="146">
        <v>4.9904271140763516E-4</v>
      </c>
      <c r="AI211" s="146">
        <v>5.4615184358848268E-3</v>
      </c>
      <c r="AJ211" s="147">
        <v>6.4346739087846696E-4</v>
      </c>
      <c r="AK211" s="177"/>
    </row>
    <row r="212" spans="1:37" ht="15" x14ac:dyDescent="0.2">
      <c r="A212" s="142" t="s">
        <v>1205</v>
      </c>
      <c r="B212" s="143" t="s">
        <v>1205</v>
      </c>
      <c r="C212" s="143" t="s">
        <v>1739</v>
      </c>
      <c r="D212" s="143" t="s">
        <v>1740</v>
      </c>
      <c r="E212" s="143" t="s">
        <v>309</v>
      </c>
      <c r="F212" s="143" t="s">
        <v>1741</v>
      </c>
      <c r="G212" s="143" t="s">
        <v>1742</v>
      </c>
      <c r="H212" s="143" t="s">
        <v>321</v>
      </c>
      <c r="I212" s="143" t="s">
        <v>754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464</v>
      </c>
      <c r="O212" s="143" t="s">
        <v>339</v>
      </c>
      <c r="P212" s="143" t="s">
        <v>1743</v>
      </c>
      <c r="Q212" s="143" t="s">
        <v>413</v>
      </c>
      <c r="R212" s="143" t="s">
        <v>407</v>
      </c>
      <c r="S212" s="143" t="s">
        <v>1210</v>
      </c>
      <c r="T212" s="144">
        <v>2.79</v>
      </c>
      <c r="U212" s="143" t="s">
        <v>1426</v>
      </c>
      <c r="V212" s="146">
        <v>1.7999999999999999E-2</v>
      </c>
      <c r="W212" s="146">
        <v>2.7909E-2</v>
      </c>
      <c r="X212" s="143" t="s">
        <v>412</v>
      </c>
      <c r="Y212" s="145" t="s">
        <v>3930</v>
      </c>
      <c r="Z212" s="144">
        <v>385024.91</v>
      </c>
      <c r="AA212" s="145" t="s">
        <v>3930</v>
      </c>
      <c r="AB212" s="143" t="s">
        <v>1744</v>
      </c>
      <c r="AC212" s="145" t="s">
        <v>3930</v>
      </c>
      <c r="AD212" s="144">
        <v>436.81079999999997</v>
      </c>
      <c r="AE212" s="145" t="s">
        <v>3930</v>
      </c>
      <c r="AF212" s="145" t="s">
        <v>3930</v>
      </c>
      <c r="AG212" s="145" t="s">
        <v>3930</v>
      </c>
      <c r="AH212" s="146">
        <v>4.8816248704770001E-4</v>
      </c>
      <c r="AI212" s="146">
        <v>5.3784138498942959E-3</v>
      </c>
      <c r="AJ212" s="147">
        <v>6.3367614111063599E-4</v>
      </c>
      <c r="AK212" s="177"/>
    </row>
    <row r="213" spans="1:37" ht="15" x14ac:dyDescent="0.2">
      <c r="A213" s="142" t="s">
        <v>1205</v>
      </c>
      <c r="B213" s="143" t="s">
        <v>1205</v>
      </c>
      <c r="C213" s="143" t="s">
        <v>1610</v>
      </c>
      <c r="D213" s="143" t="s">
        <v>1611</v>
      </c>
      <c r="E213" s="143" t="s">
        <v>309</v>
      </c>
      <c r="F213" s="143" t="s">
        <v>1626</v>
      </c>
      <c r="G213" s="143" t="s">
        <v>1627</v>
      </c>
      <c r="H213" s="143" t="s">
        <v>321</v>
      </c>
      <c r="I213" s="143" t="s">
        <v>754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440</v>
      </c>
      <c r="O213" s="143" t="s">
        <v>339</v>
      </c>
      <c r="P213" s="143" t="s">
        <v>1356</v>
      </c>
      <c r="Q213" s="143" t="s">
        <v>413</v>
      </c>
      <c r="R213" s="143" t="s">
        <v>407</v>
      </c>
      <c r="S213" s="143" t="s">
        <v>1210</v>
      </c>
      <c r="T213" s="144">
        <v>2.09</v>
      </c>
      <c r="U213" s="143" t="s">
        <v>1628</v>
      </c>
      <c r="V213" s="146">
        <v>1.9400000000000001E-2</v>
      </c>
      <c r="W213" s="146">
        <v>2.4282000000000001E-2</v>
      </c>
      <c r="X213" s="143" t="s">
        <v>412</v>
      </c>
      <c r="Y213" s="145" t="s">
        <v>3930</v>
      </c>
      <c r="Z213" s="144">
        <v>375690.85</v>
      </c>
      <c r="AA213" s="145" t="s">
        <v>3930</v>
      </c>
      <c r="AB213" s="143" t="s">
        <v>1629</v>
      </c>
      <c r="AC213" s="145" t="s">
        <v>3930</v>
      </c>
      <c r="AD213" s="144">
        <v>435.35059999999999</v>
      </c>
      <c r="AE213" s="145" t="s">
        <v>3930</v>
      </c>
      <c r="AF213" s="145" t="s">
        <v>3930</v>
      </c>
      <c r="AG213" s="145" t="s">
        <v>3930</v>
      </c>
      <c r="AH213" s="146">
        <v>1.2470916157555478E-3</v>
      </c>
      <c r="AI213" s="146">
        <v>5.3604344890749861E-3</v>
      </c>
      <c r="AJ213" s="147">
        <v>6.3155784149636579E-4</v>
      </c>
      <c r="AK213" s="177"/>
    </row>
    <row r="214" spans="1:37" ht="15" x14ac:dyDescent="0.2">
      <c r="A214" s="142" t="s">
        <v>1205</v>
      </c>
      <c r="B214" s="143" t="s">
        <v>1205</v>
      </c>
      <c r="C214" s="143" t="s">
        <v>1961</v>
      </c>
      <c r="D214" s="143" t="s">
        <v>1962</v>
      </c>
      <c r="E214" s="143" t="s">
        <v>309</v>
      </c>
      <c r="F214" s="143" t="s">
        <v>1963</v>
      </c>
      <c r="G214" s="143" t="s">
        <v>1964</v>
      </c>
      <c r="H214" s="143" t="s">
        <v>321</v>
      </c>
      <c r="I214" s="143" t="s">
        <v>754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464</v>
      </c>
      <c r="O214" s="143" t="s">
        <v>339</v>
      </c>
      <c r="P214" s="143" t="s">
        <v>1209</v>
      </c>
      <c r="Q214" s="143" t="s">
        <v>415</v>
      </c>
      <c r="R214" s="143" t="s">
        <v>407</v>
      </c>
      <c r="S214" s="143" t="s">
        <v>1210</v>
      </c>
      <c r="T214" s="144">
        <v>1.46</v>
      </c>
      <c r="U214" s="143" t="s">
        <v>1526</v>
      </c>
      <c r="V214" s="146">
        <v>8.3000000000000001E-3</v>
      </c>
      <c r="W214" s="146">
        <v>2.2186000000000001E-2</v>
      </c>
      <c r="X214" s="143" t="s">
        <v>412</v>
      </c>
      <c r="Y214" s="145" t="s">
        <v>3930</v>
      </c>
      <c r="Z214" s="144">
        <v>379753.14</v>
      </c>
      <c r="AA214" s="145" t="s">
        <v>3930</v>
      </c>
      <c r="AB214" s="143" t="s">
        <v>1965</v>
      </c>
      <c r="AC214" s="145" t="s">
        <v>3930</v>
      </c>
      <c r="AD214" s="144">
        <v>434.28570000000002</v>
      </c>
      <c r="AE214" s="145" t="s">
        <v>3930</v>
      </c>
      <c r="AF214" s="145" t="s">
        <v>3930</v>
      </c>
      <c r="AG214" s="145" t="s">
        <v>3930</v>
      </c>
      <c r="AH214" s="146">
        <v>3.1996670493178431E-4</v>
      </c>
      <c r="AI214" s="146">
        <v>5.3473228833850021E-3</v>
      </c>
      <c r="AJ214" s="147">
        <v>6.3001305302726055E-4</v>
      </c>
      <c r="AK214" s="177"/>
    </row>
    <row r="215" spans="1:37" ht="15" x14ac:dyDescent="0.2">
      <c r="A215" s="142" t="s">
        <v>1205</v>
      </c>
      <c r="B215" s="143" t="s">
        <v>1205</v>
      </c>
      <c r="C215" s="143" t="s">
        <v>1455</v>
      </c>
      <c r="D215" s="143" t="s">
        <v>1456</v>
      </c>
      <c r="E215" s="143" t="s">
        <v>309</v>
      </c>
      <c r="F215" s="143" t="s">
        <v>1966</v>
      </c>
      <c r="G215" s="143" t="s">
        <v>1967</v>
      </c>
      <c r="H215" s="143" t="s">
        <v>321</v>
      </c>
      <c r="I215" s="143" t="s">
        <v>754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464</v>
      </c>
      <c r="O215" s="143" t="s">
        <v>339</v>
      </c>
      <c r="P215" s="143" t="s">
        <v>1412</v>
      </c>
      <c r="Q215" s="143" t="s">
        <v>413</v>
      </c>
      <c r="R215" s="143" t="s">
        <v>407</v>
      </c>
      <c r="S215" s="143" t="s">
        <v>1210</v>
      </c>
      <c r="T215" s="144">
        <v>3.97</v>
      </c>
      <c r="U215" s="143" t="s">
        <v>1968</v>
      </c>
      <c r="V215" s="146">
        <v>5.0000000000000001E-3</v>
      </c>
      <c r="W215" s="146">
        <v>3.2016000000000003E-2</v>
      </c>
      <c r="X215" s="143" t="s">
        <v>412</v>
      </c>
      <c r="Y215" s="145" t="s">
        <v>3930</v>
      </c>
      <c r="Z215" s="144">
        <v>365700.02</v>
      </c>
      <c r="AA215" s="145" t="s">
        <v>3930</v>
      </c>
      <c r="AB215" s="143" t="s">
        <v>1969</v>
      </c>
      <c r="AC215" s="145" t="s">
        <v>3930</v>
      </c>
      <c r="AD215" s="144">
        <v>378.60919999999999</v>
      </c>
      <c r="AE215" s="145" t="s">
        <v>3930</v>
      </c>
      <c r="AF215" s="145" t="s">
        <v>3930</v>
      </c>
      <c r="AG215" s="145" t="s">
        <v>3930</v>
      </c>
      <c r="AH215" s="146">
        <v>2.272250740928143E-4</v>
      </c>
      <c r="AI215" s="146">
        <v>4.6617833504961521E-3</v>
      </c>
      <c r="AJ215" s="147">
        <v>5.4924387871235878E-4</v>
      </c>
      <c r="AK215" s="177"/>
    </row>
    <row r="216" spans="1:37" ht="15" x14ac:dyDescent="0.2">
      <c r="A216" s="142" t="s">
        <v>1205</v>
      </c>
      <c r="B216" s="143" t="s">
        <v>1205</v>
      </c>
      <c r="C216" s="143" t="s">
        <v>1513</v>
      </c>
      <c r="D216" s="143" t="s">
        <v>1514</v>
      </c>
      <c r="E216" s="143" t="s">
        <v>309</v>
      </c>
      <c r="F216" s="143" t="s">
        <v>1515</v>
      </c>
      <c r="G216" s="143" t="s">
        <v>1516</v>
      </c>
      <c r="H216" s="143" t="s">
        <v>321</v>
      </c>
      <c r="I216" s="143" t="s">
        <v>754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465</v>
      </c>
      <c r="O216" s="143" t="s">
        <v>339</v>
      </c>
      <c r="P216" s="143" t="s">
        <v>1405</v>
      </c>
      <c r="Q216" s="143" t="s">
        <v>415</v>
      </c>
      <c r="R216" s="143" t="s">
        <v>407</v>
      </c>
      <c r="S216" s="143" t="s">
        <v>1210</v>
      </c>
      <c r="T216" s="144">
        <v>1.86</v>
      </c>
      <c r="U216" s="143" t="s">
        <v>1517</v>
      </c>
      <c r="V216" s="146">
        <v>0.04</v>
      </c>
      <c r="W216" s="146">
        <v>4.0134000000000003E-2</v>
      </c>
      <c r="X216" s="143" t="s">
        <v>412</v>
      </c>
      <c r="Y216" s="145" t="s">
        <v>3930</v>
      </c>
      <c r="Z216" s="144">
        <v>267865.52</v>
      </c>
      <c r="AA216" s="145" t="s">
        <v>3930</v>
      </c>
      <c r="AB216" s="143" t="s">
        <v>1518</v>
      </c>
      <c r="AC216" s="145" t="s">
        <v>3930</v>
      </c>
      <c r="AD216" s="144">
        <v>311.25970000000001</v>
      </c>
      <c r="AE216" s="145" t="s">
        <v>3930</v>
      </c>
      <c r="AF216" s="145" t="s">
        <v>3930</v>
      </c>
      <c r="AG216" s="145" t="s">
        <v>3930</v>
      </c>
      <c r="AH216" s="146">
        <v>1.2920982529062924E-4</v>
      </c>
      <c r="AI216" s="146">
        <v>3.8325147119475504E-3</v>
      </c>
      <c r="AJ216" s="147">
        <v>4.5154077041959016E-4</v>
      </c>
      <c r="AK216" s="177"/>
    </row>
    <row r="217" spans="1:37" ht="15" x14ac:dyDescent="0.2">
      <c r="A217" s="142" t="s">
        <v>1205</v>
      </c>
      <c r="B217" s="143" t="s">
        <v>1205</v>
      </c>
      <c r="C217" s="143" t="s">
        <v>1358</v>
      </c>
      <c r="D217" s="143" t="s">
        <v>1359</v>
      </c>
      <c r="E217" s="143" t="s">
        <v>309</v>
      </c>
      <c r="F217" s="143" t="s">
        <v>1606</v>
      </c>
      <c r="G217" s="143" t="s">
        <v>1607</v>
      </c>
      <c r="H217" s="143" t="s">
        <v>321</v>
      </c>
      <c r="I217" s="143" t="s">
        <v>754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448</v>
      </c>
      <c r="O217" s="143" t="s">
        <v>339</v>
      </c>
      <c r="P217" s="143" t="s">
        <v>1209</v>
      </c>
      <c r="Q217" s="143" t="s">
        <v>415</v>
      </c>
      <c r="R217" s="143" t="s">
        <v>407</v>
      </c>
      <c r="S217" s="143" t="s">
        <v>1210</v>
      </c>
      <c r="T217" s="144">
        <v>0.42</v>
      </c>
      <c r="U217" s="143" t="s">
        <v>1608</v>
      </c>
      <c r="V217" s="146">
        <v>9.4999999999999998E-3</v>
      </c>
      <c r="W217" s="146">
        <v>3.0602000000000001E-2</v>
      </c>
      <c r="X217" s="143" t="s">
        <v>412</v>
      </c>
      <c r="Y217" s="145" t="s">
        <v>3930</v>
      </c>
      <c r="Z217" s="144">
        <v>244060.28</v>
      </c>
      <c r="AA217" s="145" t="s">
        <v>3930</v>
      </c>
      <c r="AB217" s="143" t="s">
        <v>1609</v>
      </c>
      <c r="AC217" s="145" t="s">
        <v>3930</v>
      </c>
      <c r="AD217" s="144">
        <v>283.30520000000001</v>
      </c>
      <c r="AE217" s="145" t="s">
        <v>3930</v>
      </c>
      <c r="AF217" s="145" t="s">
        <v>3930</v>
      </c>
      <c r="AG217" s="145" t="s">
        <v>3930</v>
      </c>
      <c r="AH217" s="146">
        <v>1.5185586588963458E-3</v>
      </c>
      <c r="AI217" s="146">
        <v>3.4883125703247283E-3</v>
      </c>
      <c r="AJ217" s="147">
        <v>4.1098742310328925E-4</v>
      </c>
      <c r="AK217" s="177"/>
    </row>
    <row r="218" spans="1:37" ht="15" x14ac:dyDescent="0.2">
      <c r="A218" s="142" t="s">
        <v>1205</v>
      </c>
      <c r="B218" s="143" t="s">
        <v>1205</v>
      </c>
      <c r="C218" s="143" t="s">
        <v>1610</v>
      </c>
      <c r="D218" s="143" t="s">
        <v>1611</v>
      </c>
      <c r="E218" s="143" t="s">
        <v>309</v>
      </c>
      <c r="F218" s="143" t="s">
        <v>1612</v>
      </c>
      <c r="G218" s="143" t="s">
        <v>1613</v>
      </c>
      <c r="H218" s="143" t="s">
        <v>321</v>
      </c>
      <c r="I218" s="143" t="s">
        <v>754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440</v>
      </c>
      <c r="O218" s="143" t="s">
        <v>339</v>
      </c>
      <c r="P218" s="143" t="s">
        <v>1356</v>
      </c>
      <c r="Q218" s="143" t="s">
        <v>413</v>
      </c>
      <c r="R218" s="143" t="s">
        <v>407</v>
      </c>
      <c r="S218" s="143" t="s">
        <v>1210</v>
      </c>
      <c r="T218" s="144">
        <v>3.07</v>
      </c>
      <c r="U218" s="143" t="s">
        <v>1614</v>
      </c>
      <c r="V218" s="146">
        <v>1.23E-2</v>
      </c>
      <c r="W218" s="146">
        <v>2.589E-2</v>
      </c>
      <c r="X218" s="143" t="s">
        <v>412</v>
      </c>
      <c r="Y218" s="145" t="s">
        <v>3930</v>
      </c>
      <c r="Z218" s="144">
        <v>250707.87</v>
      </c>
      <c r="AA218" s="145" t="s">
        <v>3930</v>
      </c>
      <c r="AB218" s="143" t="s">
        <v>1615</v>
      </c>
      <c r="AC218" s="145" t="s">
        <v>3930</v>
      </c>
      <c r="AD218" s="144">
        <v>280.166</v>
      </c>
      <c r="AE218" s="145" t="s">
        <v>3930</v>
      </c>
      <c r="AF218" s="145" t="s">
        <v>3930</v>
      </c>
      <c r="AG218" s="145" t="s">
        <v>3930</v>
      </c>
      <c r="AH218" s="146">
        <v>2.2487211443532104E-4</v>
      </c>
      <c r="AI218" s="146">
        <v>3.4496607497865408E-3</v>
      </c>
      <c r="AJ218" s="147">
        <v>4.064335272579517E-4</v>
      </c>
      <c r="AK218" s="177"/>
    </row>
    <row r="219" spans="1:37" ht="15" x14ac:dyDescent="0.2">
      <c r="A219" s="142" t="s">
        <v>1205</v>
      </c>
      <c r="B219" s="143" t="s">
        <v>1205</v>
      </c>
      <c r="C219" s="143" t="s">
        <v>1513</v>
      </c>
      <c r="D219" s="143" t="s">
        <v>1514</v>
      </c>
      <c r="E219" s="143" t="s">
        <v>309</v>
      </c>
      <c r="F219" s="143" t="s">
        <v>1537</v>
      </c>
      <c r="G219" s="143" t="s">
        <v>1538</v>
      </c>
      <c r="H219" s="143" t="s">
        <v>321</v>
      </c>
      <c r="I219" s="143" t="s">
        <v>754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465</v>
      </c>
      <c r="O219" s="143" t="s">
        <v>339</v>
      </c>
      <c r="P219" s="143" t="s">
        <v>1405</v>
      </c>
      <c r="Q219" s="143" t="s">
        <v>415</v>
      </c>
      <c r="R219" s="143" t="s">
        <v>407</v>
      </c>
      <c r="S219" s="143" t="s">
        <v>1210</v>
      </c>
      <c r="T219" s="144">
        <v>2.23</v>
      </c>
      <c r="U219" s="143" t="s">
        <v>1539</v>
      </c>
      <c r="V219" s="146">
        <v>3.2800000000000003E-2</v>
      </c>
      <c r="W219" s="146">
        <v>4.3984000000000002E-2</v>
      </c>
      <c r="X219" s="143" t="s">
        <v>412</v>
      </c>
      <c r="Y219" s="145" t="s">
        <v>3930</v>
      </c>
      <c r="Z219" s="144">
        <v>228828.83</v>
      </c>
      <c r="AA219" s="145" t="s">
        <v>3930</v>
      </c>
      <c r="AB219" s="143" t="s">
        <v>1540</v>
      </c>
      <c r="AC219" s="145" t="s">
        <v>3930</v>
      </c>
      <c r="AD219" s="144">
        <v>263.29050000000001</v>
      </c>
      <c r="AE219" s="145" t="s">
        <v>3930</v>
      </c>
      <c r="AF219" s="145" t="s">
        <v>3930</v>
      </c>
      <c r="AG219" s="145" t="s">
        <v>3930</v>
      </c>
      <c r="AH219" s="146">
        <v>1.4292934672325552E-4</v>
      </c>
      <c r="AI219" s="146">
        <v>3.2418730051767724E-3</v>
      </c>
      <c r="AJ219" s="147">
        <v>3.8195230661387873E-4</v>
      </c>
      <c r="AK219" s="177"/>
    </row>
    <row r="220" spans="1:37" ht="15" x14ac:dyDescent="0.2">
      <c r="A220" s="142" t="s">
        <v>1205</v>
      </c>
      <c r="B220" s="143" t="s">
        <v>1205</v>
      </c>
      <c r="C220" s="143" t="s">
        <v>1970</v>
      </c>
      <c r="D220" s="143" t="s">
        <v>1971</v>
      </c>
      <c r="E220" s="143" t="s">
        <v>309</v>
      </c>
      <c r="F220" s="143" t="s">
        <v>1972</v>
      </c>
      <c r="G220" s="143" t="s">
        <v>1973</v>
      </c>
      <c r="H220" s="143" t="s">
        <v>321</v>
      </c>
      <c r="I220" s="143" t="s">
        <v>754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464</v>
      </c>
      <c r="O220" s="143" t="s">
        <v>339</v>
      </c>
      <c r="P220" s="143" t="s">
        <v>1412</v>
      </c>
      <c r="Q220" s="143" t="s">
        <v>413</v>
      </c>
      <c r="R220" s="143" t="s">
        <v>407</v>
      </c>
      <c r="S220" s="143" t="s">
        <v>1210</v>
      </c>
      <c r="T220" s="144">
        <v>1.1599999999999999</v>
      </c>
      <c r="U220" s="143" t="s">
        <v>1974</v>
      </c>
      <c r="V220" s="146">
        <v>1.6E-2</v>
      </c>
      <c r="W220" s="146">
        <v>2.4622999999999999E-2</v>
      </c>
      <c r="X220" s="143" t="s">
        <v>412</v>
      </c>
      <c r="Y220" s="145" t="s">
        <v>3930</v>
      </c>
      <c r="Z220" s="144">
        <v>195450.82</v>
      </c>
      <c r="AA220" s="145" t="s">
        <v>3930</v>
      </c>
      <c r="AB220" s="143" t="s">
        <v>1975</v>
      </c>
      <c r="AC220" s="145" t="s">
        <v>3930</v>
      </c>
      <c r="AD220" s="144">
        <v>227.62200000000001</v>
      </c>
      <c r="AE220" s="145" t="s">
        <v>3930</v>
      </c>
      <c r="AF220" s="145" t="s">
        <v>3930</v>
      </c>
      <c r="AG220" s="145" t="s">
        <v>3930</v>
      </c>
      <c r="AH220" s="146">
        <v>4.6300375873852559E-4</v>
      </c>
      <c r="AI220" s="146">
        <v>2.8026906904567261E-3</v>
      </c>
      <c r="AJ220" s="147">
        <v>3.3020854679864891E-4</v>
      </c>
      <c r="AK220" s="177"/>
    </row>
    <row r="221" spans="1:37" ht="15" x14ac:dyDescent="0.2">
      <c r="A221" s="142" t="s">
        <v>1205</v>
      </c>
      <c r="B221" s="143" t="s">
        <v>1205</v>
      </c>
      <c r="C221" s="143" t="s">
        <v>1503</v>
      </c>
      <c r="D221" s="143" t="s">
        <v>1504</v>
      </c>
      <c r="E221" s="143" t="s">
        <v>309</v>
      </c>
      <c r="F221" s="143" t="s">
        <v>1509</v>
      </c>
      <c r="G221" s="143" t="s">
        <v>1510</v>
      </c>
      <c r="H221" s="143" t="s">
        <v>321</v>
      </c>
      <c r="I221" s="143" t="s">
        <v>754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464</v>
      </c>
      <c r="O221" s="143" t="s">
        <v>339</v>
      </c>
      <c r="P221" s="143" t="s">
        <v>1412</v>
      </c>
      <c r="Q221" s="143" t="s">
        <v>413</v>
      </c>
      <c r="R221" s="143" t="s">
        <v>407</v>
      </c>
      <c r="S221" s="143" t="s">
        <v>1210</v>
      </c>
      <c r="T221" s="144">
        <v>0.76</v>
      </c>
      <c r="U221" s="143" t="s">
        <v>1511</v>
      </c>
      <c r="V221" s="146">
        <v>3.2533699999999999E-2</v>
      </c>
      <c r="W221" s="146">
        <v>2.5586000000000001E-2</v>
      </c>
      <c r="X221" s="143" t="s">
        <v>412</v>
      </c>
      <c r="Y221" s="145" t="s">
        <v>3930</v>
      </c>
      <c r="Z221" s="144">
        <v>186217.5</v>
      </c>
      <c r="AA221" s="145" t="s">
        <v>3930</v>
      </c>
      <c r="AB221" s="143" t="s">
        <v>1512</v>
      </c>
      <c r="AC221" s="145" t="s">
        <v>3930</v>
      </c>
      <c r="AD221" s="144">
        <v>217.87450000000001</v>
      </c>
      <c r="AE221" s="145" t="s">
        <v>3930</v>
      </c>
      <c r="AF221" s="145" t="s">
        <v>3930</v>
      </c>
      <c r="AG221" s="145" t="s">
        <v>3930</v>
      </c>
      <c r="AH221" s="146">
        <v>2.4216485175510265E-4</v>
      </c>
      <c r="AI221" s="146">
        <v>2.6826699342726674E-3</v>
      </c>
      <c r="AJ221" s="147">
        <v>3.1606789274068916E-4</v>
      </c>
      <c r="AK221" s="177"/>
    </row>
    <row r="222" spans="1:37" ht="15" x14ac:dyDescent="0.2">
      <c r="A222" s="142" t="s">
        <v>1205</v>
      </c>
      <c r="B222" s="143" t="s">
        <v>1205</v>
      </c>
      <c r="C222" s="143" t="s">
        <v>1541</v>
      </c>
      <c r="D222" s="143" t="s">
        <v>1542</v>
      </c>
      <c r="E222" s="143" t="s">
        <v>309</v>
      </c>
      <c r="F222" s="143" t="s">
        <v>1543</v>
      </c>
      <c r="G222" s="143" t="s">
        <v>1544</v>
      </c>
      <c r="H222" s="143" t="s">
        <v>321</v>
      </c>
      <c r="I222" s="143" t="s">
        <v>754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465</v>
      </c>
      <c r="O222" s="143" t="s">
        <v>339</v>
      </c>
      <c r="P222" s="143" t="s">
        <v>1444</v>
      </c>
      <c r="Q222" s="143" t="s">
        <v>415</v>
      </c>
      <c r="R222" s="143" t="s">
        <v>407</v>
      </c>
      <c r="S222" s="143" t="s">
        <v>1210</v>
      </c>
      <c r="T222" s="144">
        <v>1.46</v>
      </c>
      <c r="U222" s="143" t="s">
        <v>1545</v>
      </c>
      <c r="V222" s="146">
        <v>2.5700000000000001E-2</v>
      </c>
      <c r="W222" s="146">
        <v>3.1085000000000002E-2</v>
      </c>
      <c r="X222" s="143" t="s">
        <v>412</v>
      </c>
      <c r="Y222" s="145" t="s">
        <v>3930</v>
      </c>
      <c r="Z222" s="144">
        <v>181787</v>
      </c>
      <c r="AA222" s="145" t="s">
        <v>3930</v>
      </c>
      <c r="AB222" s="143" t="s">
        <v>1546</v>
      </c>
      <c r="AC222" s="145" t="s">
        <v>3930</v>
      </c>
      <c r="AD222" s="144">
        <v>212.4726</v>
      </c>
      <c r="AE222" s="145" t="s">
        <v>3930</v>
      </c>
      <c r="AF222" s="145" t="s">
        <v>3930</v>
      </c>
      <c r="AG222" s="145" t="s">
        <v>3930</v>
      </c>
      <c r="AH222" s="146">
        <v>1.4175376608129405E-4</v>
      </c>
      <c r="AI222" s="146">
        <v>2.6161576669616383E-3</v>
      </c>
      <c r="AJ222" s="147">
        <v>3.0823152349457761E-4</v>
      </c>
      <c r="AK222" s="177"/>
    </row>
    <row r="223" spans="1:37" ht="15" x14ac:dyDescent="0.2">
      <c r="A223" s="142" t="s">
        <v>1205</v>
      </c>
      <c r="B223" s="143" t="s">
        <v>1205</v>
      </c>
      <c r="C223" s="143" t="s">
        <v>1503</v>
      </c>
      <c r="D223" s="143" t="s">
        <v>1504</v>
      </c>
      <c r="E223" s="143" t="s">
        <v>309</v>
      </c>
      <c r="F223" s="143" t="s">
        <v>1976</v>
      </c>
      <c r="G223" s="143" t="s">
        <v>1977</v>
      </c>
      <c r="H223" s="143" t="s">
        <v>321</v>
      </c>
      <c r="I223" s="143" t="s">
        <v>754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464</v>
      </c>
      <c r="O223" s="143" t="s">
        <v>339</v>
      </c>
      <c r="P223" s="143" t="s">
        <v>1412</v>
      </c>
      <c r="Q223" s="143" t="s">
        <v>413</v>
      </c>
      <c r="R223" s="143" t="s">
        <v>407</v>
      </c>
      <c r="S223" s="143" t="s">
        <v>1210</v>
      </c>
      <c r="T223" s="144">
        <v>0.76</v>
      </c>
      <c r="U223" s="143" t="s">
        <v>1511</v>
      </c>
      <c r="V223" s="146">
        <v>2.3E-2</v>
      </c>
      <c r="W223" s="146">
        <v>2.6856000000000001E-2</v>
      </c>
      <c r="X223" s="143" t="s">
        <v>412</v>
      </c>
      <c r="Y223" s="145" t="s">
        <v>3930</v>
      </c>
      <c r="Z223" s="144">
        <v>158687.98000000001</v>
      </c>
      <c r="AA223" s="145" t="s">
        <v>3930</v>
      </c>
      <c r="AB223" s="143" t="s">
        <v>1978</v>
      </c>
      <c r="AC223" s="145" t="s">
        <v>3930</v>
      </c>
      <c r="AD223" s="144">
        <v>186.4425</v>
      </c>
      <c r="AE223" s="145" t="s">
        <v>3930</v>
      </c>
      <c r="AF223" s="145" t="s">
        <v>3930</v>
      </c>
      <c r="AG223" s="145" t="s">
        <v>3930</v>
      </c>
      <c r="AH223" s="146">
        <v>1.970044570215613E-4</v>
      </c>
      <c r="AI223" s="146">
        <v>2.2956507864565394E-3</v>
      </c>
      <c r="AJ223" s="147">
        <v>2.7046991404872393E-4</v>
      </c>
      <c r="AK223" s="177"/>
    </row>
    <row r="224" spans="1:37" ht="15" x14ac:dyDescent="0.2">
      <c r="A224" s="142" t="s">
        <v>1205</v>
      </c>
      <c r="B224" s="143" t="s">
        <v>1205</v>
      </c>
      <c r="C224" s="143" t="s">
        <v>1455</v>
      </c>
      <c r="D224" s="143" t="s">
        <v>1456</v>
      </c>
      <c r="E224" s="143" t="s">
        <v>309</v>
      </c>
      <c r="F224" s="143" t="s">
        <v>1979</v>
      </c>
      <c r="G224" s="143" t="s">
        <v>1980</v>
      </c>
      <c r="H224" s="143" t="s">
        <v>321</v>
      </c>
      <c r="I224" s="143" t="s">
        <v>754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464</v>
      </c>
      <c r="O224" s="143" t="s">
        <v>339</v>
      </c>
      <c r="P224" s="143" t="s">
        <v>1412</v>
      </c>
      <c r="Q224" s="143" t="s">
        <v>413</v>
      </c>
      <c r="R224" s="143" t="s">
        <v>407</v>
      </c>
      <c r="S224" s="143" t="s">
        <v>1210</v>
      </c>
      <c r="T224" s="144">
        <v>0.98</v>
      </c>
      <c r="U224" s="143" t="s">
        <v>1981</v>
      </c>
      <c r="V224" s="146">
        <v>4.7500000000000001E-2</v>
      </c>
      <c r="W224" s="146">
        <v>2.6190000000000001E-2</v>
      </c>
      <c r="X224" s="143" t="s">
        <v>412</v>
      </c>
      <c r="Y224" s="145" t="s">
        <v>3930</v>
      </c>
      <c r="Z224" s="144">
        <v>113764.05</v>
      </c>
      <c r="AA224" s="145" t="s">
        <v>3930</v>
      </c>
      <c r="AB224" s="143" t="s">
        <v>1982</v>
      </c>
      <c r="AC224" s="145" t="s">
        <v>3930</v>
      </c>
      <c r="AD224" s="144">
        <v>162.6712</v>
      </c>
      <c r="AE224" s="145" t="s">
        <v>3930</v>
      </c>
      <c r="AF224" s="145" t="s">
        <v>3930</v>
      </c>
      <c r="AG224" s="145" t="s">
        <v>3930</v>
      </c>
      <c r="AH224" s="146">
        <v>1.190540823065852E-4</v>
      </c>
      <c r="AI224" s="146">
        <v>2.0029568764627368E-3</v>
      </c>
      <c r="AJ224" s="147">
        <v>2.3598518442623459E-4</v>
      </c>
      <c r="AK224" s="177"/>
    </row>
    <row r="225" spans="1:37" ht="15" x14ac:dyDescent="0.2">
      <c r="A225" s="142" t="s">
        <v>1205</v>
      </c>
      <c r="B225" s="143" t="s">
        <v>1205</v>
      </c>
      <c r="C225" s="143" t="s">
        <v>1983</v>
      </c>
      <c r="D225" s="143" t="s">
        <v>1984</v>
      </c>
      <c r="E225" s="143" t="s">
        <v>309</v>
      </c>
      <c r="F225" s="143" t="s">
        <v>1985</v>
      </c>
      <c r="G225" s="143" t="s">
        <v>1986</v>
      </c>
      <c r="H225" s="143" t="s">
        <v>321</v>
      </c>
      <c r="I225" s="143" t="s">
        <v>754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464</v>
      </c>
      <c r="O225" s="143" t="s">
        <v>339</v>
      </c>
      <c r="P225" s="143" t="s">
        <v>1412</v>
      </c>
      <c r="Q225" s="143" t="s">
        <v>413</v>
      </c>
      <c r="R225" s="143" t="s">
        <v>407</v>
      </c>
      <c r="S225" s="143" t="s">
        <v>1210</v>
      </c>
      <c r="T225" s="144">
        <v>2.3199999999999998</v>
      </c>
      <c r="U225" s="143" t="s">
        <v>1987</v>
      </c>
      <c r="V225" s="146">
        <v>1.5800000000000002E-2</v>
      </c>
      <c r="W225" s="146">
        <v>2.401E-2</v>
      </c>
      <c r="X225" s="143" t="s">
        <v>412</v>
      </c>
      <c r="Y225" s="145" t="s">
        <v>3930</v>
      </c>
      <c r="Z225" s="144">
        <v>127206.75</v>
      </c>
      <c r="AA225" s="145" t="s">
        <v>3930</v>
      </c>
      <c r="AB225" s="143" t="s">
        <v>1988</v>
      </c>
      <c r="AC225" s="145" t="s">
        <v>3930</v>
      </c>
      <c r="AD225" s="144">
        <v>146.33860000000001</v>
      </c>
      <c r="AE225" s="145" t="s">
        <v>3930</v>
      </c>
      <c r="AF225" s="145" t="s">
        <v>3930</v>
      </c>
      <c r="AG225" s="145" t="s">
        <v>3930</v>
      </c>
      <c r="AH225" s="146">
        <v>2.9626302333535812E-4</v>
      </c>
      <c r="AI225" s="146">
        <v>1.8018553283960189E-3</v>
      </c>
      <c r="AJ225" s="147">
        <v>2.1229172079423881E-4</v>
      </c>
      <c r="AK225" s="177"/>
    </row>
    <row r="226" spans="1:37" ht="15" x14ac:dyDescent="0.2">
      <c r="A226" s="142" t="s">
        <v>1205</v>
      </c>
      <c r="B226" s="143" t="s">
        <v>1205</v>
      </c>
      <c r="C226" s="143" t="s">
        <v>1842</v>
      </c>
      <c r="D226" s="143" t="s">
        <v>1843</v>
      </c>
      <c r="E226" s="143" t="s">
        <v>309</v>
      </c>
      <c r="F226" s="143" t="s">
        <v>1989</v>
      </c>
      <c r="G226" s="143" t="s">
        <v>1990</v>
      </c>
      <c r="H226" s="143" t="s">
        <v>321</v>
      </c>
      <c r="I226" s="143" t="s">
        <v>754</v>
      </c>
      <c r="J226" s="143" t="s">
        <v>204</v>
      </c>
      <c r="K226" s="143" t="s">
        <v>204</v>
      </c>
      <c r="L226" s="143" t="s">
        <v>325</v>
      </c>
      <c r="M226" s="143" t="s">
        <v>340</v>
      </c>
      <c r="N226" s="143" t="s">
        <v>464</v>
      </c>
      <c r="O226" s="143" t="s">
        <v>339</v>
      </c>
      <c r="P226" s="143" t="s">
        <v>1412</v>
      </c>
      <c r="Q226" s="143" t="s">
        <v>413</v>
      </c>
      <c r="R226" s="143" t="s">
        <v>407</v>
      </c>
      <c r="S226" s="143" t="s">
        <v>1210</v>
      </c>
      <c r="T226" s="144">
        <v>2.25</v>
      </c>
      <c r="U226" s="143" t="s">
        <v>1342</v>
      </c>
      <c r="V226" s="146">
        <v>2.5999999999999999E-2</v>
      </c>
      <c r="W226" s="146">
        <v>2.4525999999999999E-2</v>
      </c>
      <c r="X226" s="143" t="s">
        <v>412</v>
      </c>
      <c r="Y226" s="145" t="s">
        <v>3930</v>
      </c>
      <c r="Z226" s="144">
        <v>122107.97</v>
      </c>
      <c r="AA226" s="145" t="s">
        <v>3930</v>
      </c>
      <c r="AB226" s="143" t="s">
        <v>1991</v>
      </c>
      <c r="AC226" s="145" t="s">
        <v>3930</v>
      </c>
      <c r="AD226" s="144">
        <v>142.56110000000001</v>
      </c>
      <c r="AE226" s="145" t="s">
        <v>3930</v>
      </c>
      <c r="AF226" s="145" t="s">
        <v>3930</v>
      </c>
      <c r="AG226" s="145" t="s">
        <v>3930</v>
      </c>
      <c r="AH226" s="146">
        <v>3.385197710656772E-4</v>
      </c>
      <c r="AI226" s="146">
        <v>1.7553421803064603E-3</v>
      </c>
      <c r="AJ226" s="147">
        <v>2.0681161587578255E-4</v>
      </c>
      <c r="AK226" s="177"/>
    </row>
    <row r="227" spans="1:37" ht="15" x14ac:dyDescent="0.2">
      <c r="A227" s="142" t="s">
        <v>1205</v>
      </c>
      <c r="B227" s="143" t="s">
        <v>1205</v>
      </c>
      <c r="C227" s="143" t="s">
        <v>1644</v>
      </c>
      <c r="D227" s="143" t="s">
        <v>1645</v>
      </c>
      <c r="E227" s="143" t="s">
        <v>309</v>
      </c>
      <c r="F227" s="143" t="s">
        <v>1650</v>
      </c>
      <c r="G227" s="143" t="s">
        <v>1651</v>
      </c>
      <c r="H227" s="143" t="s">
        <v>321</v>
      </c>
      <c r="I227" s="143" t="s">
        <v>754</v>
      </c>
      <c r="J227" s="143" t="s">
        <v>204</v>
      </c>
      <c r="K227" s="143" t="s">
        <v>204</v>
      </c>
      <c r="L227" s="143" t="s">
        <v>325</v>
      </c>
      <c r="M227" s="143" t="s">
        <v>340</v>
      </c>
      <c r="N227" s="143" t="s">
        <v>464</v>
      </c>
      <c r="O227" s="143" t="s">
        <v>339</v>
      </c>
      <c r="P227" s="143" t="s">
        <v>1425</v>
      </c>
      <c r="Q227" s="143" t="s">
        <v>415</v>
      </c>
      <c r="R227" s="143" t="s">
        <v>407</v>
      </c>
      <c r="S227" s="143" t="s">
        <v>1210</v>
      </c>
      <c r="T227" s="144">
        <v>0.28000000000000003</v>
      </c>
      <c r="U227" s="143" t="s">
        <v>1652</v>
      </c>
      <c r="V227" s="146">
        <v>2.75E-2</v>
      </c>
      <c r="W227" s="146">
        <v>4.6851999999999998E-2</v>
      </c>
      <c r="X227" s="143" t="s">
        <v>412</v>
      </c>
      <c r="Y227" s="145" t="s">
        <v>3930</v>
      </c>
      <c r="Z227" s="144">
        <v>67977.56</v>
      </c>
      <c r="AA227" s="145" t="s">
        <v>3930</v>
      </c>
      <c r="AB227" s="143" t="s">
        <v>1653</v>
      </c>
      <c r="AC227" s="145" t="s">
        <v>3930</v>
      </c>
      <c r="AD227" s="144">
        <v>79.356999999999999</v>
      </c>
      <c r="AE227" s="145" t="s">
        <v>3930</v>
      </c>
      <c r="AF227" s="145" t="s">
        <v>3930</v>
      </c>
      <c r="AG227" s="145" t="s">
        <v>3930</v>
      </c>
      <c r="AH227" s="146">
        <v>4.9173141808813955E-4</v>
      </c>
      <c r="AI227" s="146">
        <v>9.7711605492776664E-4</v>
      </c>
      <c r="AJ227" s="147">
        <v>1.1512225507080387E-4</v>
      </c>
      <c r="AK227" s="177"/>
    </row>
    <row r="228" spans="1:37" ht="15" x14ac:dyDescent="0.2">
      <c r="A228" s="142" t="s">
        <v>1205</v>
      </c>
      <c r="B228" s="143" t="s">
        <v>1205</v>
      </c>
      <c r="C228" s="143" t="s">
        <v>1644</v>
      </c>
      <c r="D228" s="143" t="s">
        <v>1645</v>
      </c>
      <c r="E228" s="143" t="s">
        <v>309</v>
      </c>
      <c r="F228" s="143" t="s">
        <v>1646</v>
      </c>
      <c r="G228" s="143" t="s">
        <v>1647</v>
      </c>
      <c r="H228" s="143" t="s">
        <v>321</v>
      </c>
      <c r="I228" s="143" t="s">
        <v>754</v>
      </c>
      <c r="J228" s="143" t="s">
        <v>204</v>
      </c>
      <c r="K228" s="143" t="s">
        <v>204</v>
      </c>
      <c r="L228" s="143" t="s">
        <v>325</v>
      </c>
      <c r="M228" s="143" t="s">
        <v>340</v>
      </c>
      <c r="N228" s="143" t="s">
        <v>464</v>
      </c>
      <c r="O228" s="143" t="s">
        <v>339</v>
      </c>
      <c r="P228" s="143" t="s">
        <v>1425</v>
      </c>
      <c r="Q228" s="143" t="s">
        <v>415</v>
      </c>
      <c r="R228" s="143" t="s">
        <v>407</v>
      </c>
      <c r="S228" s="143" t="s">
        <v>1210</v>
      </c>
      <c r="T228" s="144">
        <v>2.91</v>
      </c>
      <c r="U228" s="143" t="s">
        <v>1648</v>
      </c>
      <c r="V228" s="146">
        <v>1.9599999999999999E-2</v>
      </c>
      <c r="W228" s="146">
        <v>2.8162E-2</v>
      </c>
      <c r="X228" s="143" t="s">
        <v>412</v>
      </c>
      <c r="Y228" s="145" t="s">
        <v>3930</v>
      </c>
      <c r="Z228" s="144">
        <v>59026</v>
      </c>
      <c r="AA228" s="145" t="s">
        <v>3930</v>
      </c>
      <c r="AB228" s="143" t="s">
        <v>1649</v>
      </c>
      <c r="AC228" s="145" t="s">
        <v>3930</v>
      </c>
      <c r="AD228" s="144">
        <v>67.561199999999999</v>
      </c>
      <c r="AE228" s="145" t="s">
        <v>3930</v>
      </c>
      <c r="AF228" s="145" t="s">
        <v>3930</v>
      </c>
      <c r="AG228" s="145" t="s">
        <v>3930</v>
      </c>
      <c r="AH228" s="146">
        <v>5.1546925045804575E-5</v>
      </c>
      <c r="AI228" s="146">
        <v>8.3187482876788204E-4</v>
      </c>
      <c r="AJ228" s="147">
        <v>9.8010165467475623E-5</v>
      </c>
      <c r="AK228" s="177"/>
    </row>
    <row r="229" spans="1:37" ht="15" x14ac:dyDescent="0.2">
      <c r="A229" s="142" t="s">
        <v>1205</v>
      </c>
      <c r="B229" s="143" t="s">
        <v>1205</v>
      </c>
      <c r="C229" s="143" t="s">
        <v>1842</v>
      </c>
      <c r="D229" s="143" t="s">
        <v>1843</v>
      </c>
      <c r="E229" s="143" t="s">
        <v>309</v>
      </c>
      <c r="F229" s="143" t="s">
        <v>1992</v>
      </c>
      <c r="G229" s="143" t="s">
        <v>1993</v>
      </c>
      <c r="H229" s="143" t="s">
        <v>321</v>
      </c>
      <c r="I229" s="143" t="s">
        <v>754</v>
      </c>
      <c r="J229" s="143" t="s">
        <v>204</v>
      </c>
      <c r="K229" s="143" t="s">
        <v>204</v>
      </c>
      <c r="L229" s="143" t="s">
        <v>325</v>
      </c>
      <c r="M229" s="143" t="s">
        <v>340</v>
      </c>
      <c r="N229" s="143" t="s">
        <v>464</v>
      </c>
      <c r="O229" s="143" t="s">
        <v>339</v>
      </c>
      <c r="P229" s="143" t="s">
        <v>1412</v>
      </c>
      <c r="Q229" s="143" t="s">
        <v>413</v>
      </c>
      <c r="R229" s="143" t="s">
        <v>407</v>
      </c>
      <c r="S229" s="143" t="s">
        <v>1210</v>
      </c>
      <c r="T229" s="144">
        <v>1.89</v>
      </c>
      <c r="U229" s="143" t="s">
        <v>1432</v>
      </c>
      <c r="V229" s="146">
        <v>2.4E-2</v>
      </c>
      <c r="W229" s="146">
        <v>2.5285999999999999E-2</v>
      </c>
      <c r="X229" s="143" t="s">
        <v>412</v>
      </c>
      <c r="Y229" s="145" t="s">
        <v>3930</v>
      </c>
      <c r="Z229" s="144">
        <v>44097.63</v>
      </c>
      <c r="AA229" s="145" t="s">
        <v>3930</v>
      </c>
      <c r="AB229" s="143" t="s">
        <v>1536</v>
      </c>
      <c r="AC229" s="145" t="s">
        <v>3930</v>
      </c>
      <c r="AD229" s="144">
        <v>51.0959</v>
      </c>
      <c r="AE229" s="145" t="s">
        <v>3930</v>
      </c>
      <c r="AF229" s="145" t="s">
        <v>3930</v>
      </c>
      <c r="AG229" s="145" t="s">
        <v>3930</v>
      </c>
      <c r="AH229" s="146">
        <v>8.2044669751339935E-5</v>
      </c>
      <c r="AI229" s="146">
        <v>6.2913977766070799E-4</v>
      </c>
      <c r="AJ229" s="147">
        <v>7.4124245112725226E-5</v>
      </c>
      <c r="AK229" s="177"/>
    </row>
    <row r="230" spans="1:37" ht="15" x14ac:dyDescent="0.2">
      <c r="A230" s="142" t="s">
        <v>1205</v>
      </c>
      <c r="B230" s="143" t="s">
        <v>1205</v>
      </c>
      <c r="C230" s="143" t="s">
        <v>1620</v>
      </c>
      <c r="D230" s="143" t="s">
        <v>1621</v>
      </c>
      <c r="E230" s="143" t="s">
        <v>309</v>
      </c>
      <c r="F230" s="143" t="s">
        <v>1636</v>
      </c>
      <c r="G230" s="143" t="s">
        <v>1637</v>
      </c>
      <c r="H230" s="143" t="s">
        <v>321</v>
      </c>
      <c r="I230" s="143" t="s">
        <v>754</v>
      </c>
      <c r="J230" s="143" t="s">
        <v>204</v>
      </c>
      <c r="K230" s="143" t="s">
        <v>204</v>
      </c>
      <c r="L230" s="143" t="s">
        <v>325</v>
      </c>
      <c r="M230" s="143" t="s">
        <v>340</v>
      </c>
      <c r="N230" s="143" t="s">
        <v>445</v>
      </c>
      <c r="O230" s="143" t="s">
        <v>339</v>
      </c>
      <c r="P230" s="143" t="s">
        <v>1624</v>
      </c>
      <c r="Q230" s="143" t="s">
        <v>415</v>
      </c>
      <c r="R230" s="143" t="s">
        <v>407</v>
      </c>
      <c r="S230" s="143" t="s">
        <v>1210</v>
      </c>
      <c r="T230" s="144">
        <v>5.3</v>
      </c>
      <c r="U230" s="143" t="s">
        <v>1638</v>
      </c>
      <c r="V230" s="146">
        <v>5.3999999999999999E-2</v>
      </c>
      <c r="W230" s="146">
        <v>5.9711E-2</v>
      </c>
      <c r="X230" s="143" t="s">
        <v>412</v>
      </c>
      <c r="Y230" s="145" t="s">
        <v>3930</v>
      </c>
      <c r="Z230" s="144">
        <v>43215</v>
      </c>
      <c r="AA230" s="145" t="s">
        <v>3930</v>
      </c>
      <c r="AB230" s="143" t="s">
        <v>1639</v>
      </c>
      <c r="AC230" s="145" t="s">
        <v>3930</v>
      </c>
      <c r="AD230" s="144">
        <v>42.782899999999998</v>
      </c>
      <c r="AE230" s="145" t="s">
        <v>3930</v>
      </c>
      <c r="AF230" s="145" t="s">
        <v>3930</v>
      </c>
      <c r="AG230" s="145" t="s">
        <v>3930</v>
      </c>
      <c r="AH230" s="146">
        <v>7.5615923851630857E-5</v>
      </c>
      <c r="AI230" s="146">
        <v>5.2678160393730103E-4</v>
      </c>
      <c r="AJ230" s="147">
        <v>6.2064568348086632E-5</v>
      </c>
      <c r="AK230" s="177"/>
    </row>
    <row r="231" spans="1:37" ht="15" x14ac:dyDescent="0.2">
      <c r="A231" s="142" t="s">
        <v>1205</v>
      </c>
      <c r="B231" s="143" t="s">
        <v>1205</v>
      </c>
      <c r="C231" s="143" t="s">
        <v>1503</v>
      </c>
      <c r="D231" s="143" t="s">
        <v>1504</v>
      </c>
      <c r="E231" s="143" t="s">
        <v>309</v>
      </c>
      <c r="F231" s="143" t="s">
        <v>1994</v>
      </c>
      <c r="G231" s="143" t="s">
        <v>1995</v>
      </c>
      <c r="H231" s="143" t="s">
        <v>321</v>
      </c>
      <c r="I231" s="143" t="s">
        <v>754</v>
      </c>
      <c r="J231" s="143" t="s">
        <v>204</v>
      </c>
      <c r="K231" s="143" t="s">
        <v>204</v>
      </c>
      <c r="L231" s="143" t="s">
        <v>325</v>
      </c>
      <c r="M231" s="143" t="s">
        <v>340</v>
      </c>
      <c r="N231" s="143" t="s">
        <v>464</v>
      </c>
      <c r="O231" s="143" t="s">
        <v>339</v>
      </c>
      <c r="P231" s="143" t="s">
        <v>1412</v>
      </c>
      <c r="Q231" s="143" t="s">
        <v>413</v>
      </c>
      <c r="R231" s="143" t="s">
        <v>407</v>
      </c>
      <c r="S231" s="143" t="s">
        <v>1210</v>
      </c>
      <c r="T231" s="144">
        <v>3.89</v>
      </c>
      <c r="U231" s="143" t="s">
        <v>1996</v>
      </c>
      <c r="V231" s="146">
        <v>2.2499999999999999E-2</v>
      </c>
      <c r="W231" s="146">
        <v>2.9537999999999998E-2</v>
      </c>
      <c r="X231" s="143" t="s">
        <v>412</v>
      </c>
      <c r="Y231" s="145" t="s">
        <v>3930</v>
      </c>
      <c r="Z231" s="144">
        <v>28995.49</v>
      </c>
      <c r="AA231" s="145" t="s">
        <v>3930</v>
      </c>
      <c r="AB231" s="143" t="s">
        <v>1997</v>
      </c>
      <c r="AC231" s="145" t="s">
        <v>3930</v>
      </c>
      <c r="AD231" s="144">
        <v>33.176600000000001</v>
      </c>
      <c r="AE231" s="145" t="s">
        <v>3930</v>
      </c>
      <c r="AF231" s="145" t="s">
        <v>3930</v>
      </c>
      <c r="AG231" s="145" t="s">
        <v>3930</v>
      </c>
      <c r="AH231" s="146">
        <v>2.4646859818631384E-5</v>
      </c>
      <c r="AI231" s="146">
        <v>4.085011506314121E-4</v>
      </c>
      <c r="AJ231" s="147">
        <v>4.8128953999412912E-5</v>
      </c>
      <c r="AK231" s="177"/>
    </row>
    <row r="232" spans="1:37" ht="15" x14ac:dyDescent="0.2">
      <c r="A232" s="142" t="s">
        <v>1205</v>
      </c>
      <c r="B232" s="143" t="s">
        <v>1205</v>
      </c>
      <c r="C232" s="143" t="s">
        <v>1555</v>
      </c>
      <c r="D232" s="143" t="s">
        <v>1556</v>
      </c>
      <c r="E232" s="143" t="s">
        <v>309</v>
      </c>
      <c r="F232" s="143" t="s">
        <v>1557</v>
      </c>
      <c r="G232" s="143" t="s">
        <v>1558</v>
      </c>
      <c r="H232" s="143" t="s">
        <v>321</v>
      </c>
      <c r="I232" s="143" t="s">
        <v>754</v>
      </c>
      <c r="J232" s="143" t="s">
        <v>204</v>
      </c>
      <c r="K232" s="143" t="s">
        <v>204</v>
      </c>
      <c r="L232" s="143" t="s">
        <v>325</v>
      </c>
      <c r="M232" s="143" t="s">
        <v>340</v>
      </c>
      <c r="N232" s="143" t="s">
        <v>464</v>
      </c>
      <c r="O232" s="143" t="s">
        <v>339</v>
      </c>
      <c r="P232" s="143" t="s">
        <v>1412</v>
      </c>
      <c r="Q232" s="143" t="s">
        <v>413</v>
      </c>
      <c r="R232" s="143" t="s">
        <v>407</v>
      </c>
      <c r="S232" s="143" t="s">
        <v>1210</v>
      </c>
      <c r="T232" s="144">
        <v>2.1800000000000002</v>
      </c>
      <c r="U232" s="143" t="s">
        <v>1559</v>
      </c>
      <c r="V232" s="146">
        <v>3.2000000000000001E-2</v>
      </c>
      <c r="W232" s="146">
        <v>2.6786000000000001E-2</v>
      </c>
      <c r="X232" s="143" t="s">
        <v>412</v>
      </c>
      <c r="Y232" s="145" t="s">
        <v>3930</v>
      </c>
      <c r="Z232" s="144">
        <v>20637</v>
      </c>
      <c r="AA232" s="145" t="s">
        <v>3930</v>
      </c>
      <c r="AB232" s="143" t="s">
        <v>1560</v>
      </c>
      <c r="AC232" s="145" t="s">
        <v>3930</v>
      </c>
      <c r="AD232" s="144">
        <v>24.221599999999999</v>
      </c>
      <c r="AE232" s="145" t="s">
        <v>3930</v>
      </c>
      <c r="AF232" s="145" t="s">
        <v>3930</v>
      </c>
      <c r="AG232" s="145" t="s">
        <v>3930</v>
      </c>
      <c r="AH232" s="146">
        <v>1.9614418008653267E-5</v>
      </c>
      <c r="AI232" s="146">
        <v>2.9823908421213065E-4</v>
      </c>
      <c r="AJ232" s="147">
        <v>3.5138053204222503E-5</v>
      </c>
      <c r="AK232" s="177"/>
    </row>
    <row r="233" spans="1:37" ht="15" x14ac:dyDescent="0.2">
      <c r="A233" s="142" t="s">
        <v>1205</v>
      </c>
      <c r="B233" s="143" t="s">
        <v>1205</v>
      </c>
      <c r="C233" s="143" t="s">
        <v>1575</v>
      </c>
      <c r="D233" s="143" t="s">
        <v>1576</v>
      </c>
      <c r="E233" s="143" t="s">
        <v>309</v>
      </c>
      <c r="F233" s="143" t="s">
        <v>1998</v>
      </c>
      <c r="G233" s="143" t="s">
        <v>1999</v>
      </c>
      <c r="H233" s="143" t="s">
        <v>321</v>
      </c>
      <c r="I233" s="143" t="s">
        <v>754</v>
      </c>
      <c r="J233" s="143" t="s">
        <v>204</v>
      </c>
      <c r="K233" s="143" t="s">
        <v>204</v>
      </c>
      <c r="L233" s="143" t="s">
        <v>325</v>
      </c>
      <c r="M233" s="143" t="s">
        <v>340</v>
      </c>
      <c r="N233" s="143" t="s">
        <v>464</v>
      </c>
      <c r="O233" s="143" t="s">
        <v>339</v>
      </c>
      <c r="P233" s="143" t="s">
        <v>1356</v>
      </c>
      <c r="Q233" s="143" t="s">
        <v>413</v>
      </c>
      <c r="R233" s="143" t="s">
        <v>407</v>
      </c>
      <c r="S233" s="143" t="s">
        <v>1210</v>
      </c>
      <c r="T233" s="144">
        <v>0.6</v>
      </c>
      <c r="U233" s="143" t="s">
        <v>2000</v>
      </c>
      <c r="V233" s="146">
        <v>2.5000000000000001E-2</v>
      </c>
      <c r="W233" s="146">
        <v>2.7820999999999999E-2</v>
      </c>
      <c r="X233" s="143" t="s">
        <v>412</v>
      </c>
      <c r="Y233" s="145" t="s">
        <v>3930</v>
      </c>
      <c r="Z233" s="144">
        <v>14540.28</v>
      </c>
      <c r="AA233" s="145" t="s">
        <v>3930</v>
      </c>
      <c r="AB233" s="143" t="s">
        <v>2001</v>
      </c>
      <c r="AC233" s="145" t="s">
        <v>3930</v>
      </c>
      <c r="AD233" s="144">
        <v>16.936499999999999</v>
      </c>
      <c r="AE233" s="145" t="s">
        <v>3930</v>
      </c>
      <c r="AF233" s="145" t="s">
        <v>3930</v>
      </c>
      <c r="AG233" s="145" t="s">
        <v>3930</v>
      </c>
      <c r="AH233" s="146">
        <v>6.1741650698080803E-5</v>
      </c>
      <c r="AI233" s="146">
        <v>2.0853791164005016E-4</v>
      </c>
      <c r="AJ233" s="147">
        <v>2.4569604127048512E-5</v>
      </c>
      <c r="AK233" s="177"/>
    </row>
    <row r="234" spans="1:37" ht="15" x14ac:dyDescent="0.2">
      <c r="A234" s="142" t="s">
        <v>1205</v>
      </c>
      <c r="B234" s="143" t="s">
        <v>1205</v>
      </c>
      <c r="C234" s="143" t="s">
        <v>2002</v>
      </c>
      <c r="D234" s="143" t="s">
        <v>2003</v>
      </c>
      <c r="E234" s="143" t="s">
        <v>309</v>
      </c>
      <c r="F234" s="143" t="s">
        <v>2004</v>
      </c>
      <c r="G234" s="143" t="s">
        <v>2005</v>
      </c>
      <c r="H234" s="143" t="s">
        <v>321</v>
      </c>
      <c r="I234" s="143" t="s">
        <v>755</v>
      </c>
      <c r="J234" s="143" t="s">
        <v>204</v>
      </c>
      <c r="K234" s="143" t="s">
        <v>233</v>
      </c>
      <c r="L234" s="143" t="s">
        <v>325</v>
      </c>
      <c r="M234" s="143" t="s">
        <v>340</v>
      </c>
      <c r="N234" s="143" t="s">
        <v>465</v>
      </c>
      <c r="O234" s="143" t="s">
        <v>339</v>
      </c>
      <c r="P234" s="143" t="s">
        <v>1425</v>
      </c>
      <c r="Q234" s="143" t="s">
        <v>415</v>
      </c>
      <c r="R234" s="143" t="s">
        <v>407</v>
      </c>
      <c r="S234" s="143" t="s">
        <v>1210</v>
      </c>
      <c r="T234" s="144">
        <v>2.91</v>
      </c>
      <c r="U234" s="143" t="s">
        <v>2006</v>
      </c>
      <c r="V234" s="146">
        <v>4.2999999999999997E-2</v>
      </c>
      <c r="W234" s="146">
        <v>0.100925</v>
      </c>
      <c r="X234" s="143" t="s">
        <v>412</v>
      </c>
      <c r="Y234" s="145" t="s">
        <v>3930</v>
      </c>
      <c r="Z234" s="144">
        <v>0.23</v>
      </c>
      <c r="AA234" s="145" t="s">
        <v>3930</v>
      </c>
      <c r="AB234" s="143" t="s">
        <v>2007</v>
      </c>
      <c r="AC234" s="145" t="s">
        <v>3930</v>
      </c>
      <c r="AD234" s="144">
        <v>2.0000000000000001E-4</v>
      </c>
      <c r="AE234" s="145" t="s">
        <v>3930</v>
      </c>
      <c r="AF234" s="145" t="s">
        <v>3930</v>
      </c>
      <c r="AG234" s="145" t="s">
        <v>3930</v>
      </c>
      <c r="AH234" s="146">
        <v>2.0761576791749015E-10</v>
      </c>
      <c r="AI234" s="146">
        <v>2.5399943372499499E-9</v>
      </c>
      <c r="AJ234" s="147">
        <v>2.9925808147006914E-10</v>
      </c>
      <c r="AK234" s="177"/>
    </row>
    <row r="235" spans="1:37" ht="15" x14ac:dyDescent="0.2">
      <c r="A235" s="142" t="s">
        <v>1205</v>
      </c>
      <c r="B235" s="143" t="s">
        <v>1205</v>
      </c>
      <c r="C235" s="143" t="s">
        <v>2008</v>
      </c>
      <c r="D235" s="143" t="s">
        <v>2009</v>
      </c>
      <c r="E235" s="143" t="s">
        <v>309</v>
      </c>
      <c r="F235" s="143" t="s">
        <v>2010</v>
      </c>
      <c r="G235" s="143" t="s">
        <v>2011</v>
      </c>
      <c r="H235" s="143" t="s">
        <v>321</v>
      </c>
      <c r="I235" s="143" t="s">
        <v>755</v>
      </c>
      <c r="J235" s="143" t="s">
        <v>204</v>
      </c>
      <c r="K235" s="143" t="s">
        <v>204</v>
      </c>
      <c r="L235" s="143" t="s">
        <v>325</v>
      </c>
      <c r="M235" s="143" t="s">
        <v>340</v>
      </c>
      <c r="N235" s="143" t="s">
        <v>480</v>
      </c>
      <c r="O235" s="143" t="s">
        <v>339</v>
      </c>
      <c r="P235" s="143" t="s">
        <v>1356</v>
      </c>
      <c r="Q235" s="143" t="s">
        <v>413</v>
      </c>
      <c r="R235" s="143" t="s">
        <v>407</v>
      </c>
      <c r="S235" s="143" t="s">
        <v>1210</v>
      </c>
      <c r="T235" s="144">
        <v>0.73</v>
      </c>
      <c r="U235" s="143" t="s">
        <v>2012</v>
      </c>
      <c r="V235" s="146">
        <v>3.3700000000000001E-2</v>
      </c>
      <c r="W235" s="146">
        <v>6.7890000000000006E-2</v>
      </c>
      <c r="X235" s="143" t="s">
        <v>412</v>
      </c>
      <c r="Y235" s="145" t="s">
        <v>3930</v>
      </c>
      <c r="Z235" s="144">
        <v>0.01</v>
      </c>
      <c r="AA235" s="145" t="s">
        <v>3930</v>
      </c>
      <c r="AB235" s="143" t="s">
        <v>2013</v>
      </c>
      <c r="AC235" s="145" t="s">
        <v>3930</v>
      </c>
      <c r="AD235" s="144">
        <v>0</v>
      </c>
      <c r="AE235" s="145" t="s">
        <v>3930</v>
      </c>
      <c r="AF235" s="145" t="s">
        <v>3930</v>
      </c>
      <c r="AG235" s="145" t="s">
        <v>3930</v>
      </c>
      <c r="AH235" s="146">
        <v>7.1428571428571427E-11</v>
      </c>
      <c r="AI235" s="146">
        <v>1.2731554313730133E-10</v>
      </c>
      <c r="AJ235" s="147">
        <v>1.5000114221451253E-11</v>
      </c>
      <c r="AK235" s="177"/>
    </row>
    <row r="236" spans="1:37" ht="15" x14ac:dyDescent="0.2">
      <c r="A236" s="142" t="s">
        <v>1205</v>
      </c>
      <c r="B236" s="143" t="s">
        <v>1205</v>
      </c>
      <c r="C236" s="143" t="s">
        <v>2014</v>
      </c>
      <c r="D236" s="143" t="s">
        <v>2015</v>
      </c>
      <c r="E236" s="143" t="s">
        <v>313</v>
      </c>
      <c r="F236" s="143" t="s">
        <v>2016</v>
      </c>
      <c r="G236" s="143" t="s">
        <v>2017</v>
      </c>
      <c r="H236" s="143" t="s">
        <v>321</v>
      </c>
      <c r="I236" s="143" t="s">
        <v>755</v>
      </c>
      <c r="J236" s="143" t="s">
        <v>205</v>
      </c>
      <c r="K236" s="143" t="s">
        <v>268</v>
      </c>
      <c r="L236" s="143" t="s">
        <v>325</v>
      </c>
      <c r="M236" s="143" t="s">
        <v>364</v>
      </c>
      <c r="N236" s="143" t="s">
        <v>539</v>
      </c>
      <c r="O236" s="143" t="s">
        <v>339</v>
      </c>
      <c r="P236" s="143" t="s">
        <v>2018</v>
      </c>
      <c r="Q236" s="143" t="s">
        <v>423</v>
      </c>
      <c r="R236" s="143" t="s">
        <v>407</v>
      </c>
      <c r="S236" s="143" t="s">
        <v>1211</v>
      </c>
      <c r="T236" s="144">
        <v>2.6429999999999998</v>
      </c>
      <c r="U236" s="143" t="s">
        <v>2019</v>
      </c>
      <c r="V236" s="146">
        <v>5.6250000000000001E-2</v>
      </c>
      <c r="W236" s="146">
        <v>8.7620000000000003E-2</v>
      </c>
      <c r="X236" s="143" t="s">
        <v>412</v>
      </c>
      <c r="Y236" s="145" t="s">
        <v>3930</v>
      </c>
      <c r="Z236" s="144">
        <v>260000</v>
      </c>
      <c r="AA236" s="143" t="s">
        <v>1212</v>
      </c>
      <c r="AB236" s="143" t="s">
        <v>2020</v>
      </c>
      <c r="AC236" s="145" t="s">
        <v>3930</v>
      </c>
      <c r="AD236" s="144">
        <v>981.07510000000002</v>
      </c>
      <c r="AE236" s="145" t="s">
        <v>3930</v>
      </c>
      <c r="AF236" s="145" t="s">
        <v>3930</v>
      </c>
      <c r="AG236" s="145" t="s">
        <v>3930</v>
      </c>
      <c r="AH236" s="146">
        <v>3.2499999999999999E-4</v>
      </c>
      <c r="AI236" s="146">
        <v>1.2079893916066066E-2</v>
      </c>
      <c r="AJ236" s="147">
        <v>1.42323383350447E-3</v>
      </c>
      <c r="AK236" s="177"/>
    </row>
    <row r="237" spans="1:37" ht="15" x14ac:dyDescent="0.2">
      <c r="A237" s="142" t="s">
        <v>1205</v>
      </c>
      <c r="B237" s="143" t="s">
        <v>1205</v>
      </c>
      <c r="C237" s="143" t="s">
        <v>2021</v>
      </c>
      <c r="D237" s="143" t="s">
        <v>2022</v>
      </c>
      <c r="E237" s="143" t="s">
        <v>313</v>
      </c>
      <c r="F237" s="143" t="s">
        <v>2023</v>
      </c>
      <c r="G237" s="143" t="s">
        <v>2024</v>
      </c>
      <c r="H237" s="143" t="s">
        <v>321</v>
      </c>
      <c r="I237" s="143" t="s">
        <v>755</v>
      </c>
      <c r="J237" s="143" t="s">
        <v>205</v>
      </c>
      <c r="K237" s="143" t="s">
        <v>224</v>
      </c>
      <c r="L237" s="143" t="s">
        <v>325</v>
      </c>
      <c r="M237" s="143" t="s">
        <v>344</v>
      </c>
      <c r="N237" s="143" t="s">
        <v>539</v>
      </c>
      <c r="O237" s="143" t="s">
        <v>339</v>
      </c>
      <c r="P237" s="143" t="s">
        <v>2025</v>
      </c>
      <c r="Q237" s="143" t="s">
        <v>433</v>
      </c>
      <c r="R237" s="143" t="s">
        <v>407</v>
      </c>
      <c r="S237" s="143" t="s">
        <v>1211</v>
      </c>
      <c r="T237" s="144">
        <v>1.8120000000000001</v>
      </c>
      <c r="U237" s="143" t="s">
        <v>2026</v>
      </c>
      <c r="V237" s="146">
        <v>3.4500000000000003E-2</v>
      </c>
      <c r="W237" s="146">
        <v>4.9639999999999997E-2</v>
      </c>
      <c r="X237" s="143" t="s">
        <v>412</v>
      </c>
      <c r="Y237" s="145" t="s">
        <v>3930</v>
      </c>
      <c r="Z237" s="144">
        <v>260000</v>
      </c>
      <c r="AA237" s="143" t="s">
        <v>1212</v>
      </c>
      <c r="AB237" s="143" t="s">
        <v>2027</v>
      </c>
      <c r="AC237" s="145" t="s">
        <v>3930</v>
      </c>
      <c r="AD237" s="144">
        <v>950.79930000000002</v>
      </c>
      <c r="AE237" s="145" t="s">
        <v>3930</v>
      </c>
      <c r="AF237" s="145" t="s">
        <v>3930</v>
      </c>
      <c r="AG237" s="145" t="s">
        <v>3930</v>
      </c>
      <c r="AH237" s="146">
        <v>2.5999999999999998E-4</v>
      </c>
      <c r="AI237" s="146">
        <v>1.1707110685680968E-2</v>
      </c>
      <c r="AJ237" s="147">
        <v>1.379313107897639E-3</v>
      </c>
      <c r="AK237" s="177"/>
    </row>
    <row r="238" spans="1:37" ht="15" x14ac:dyDescent="0.2">
      <c r="A238" s="142" t="s">
        <v>1205</v>
      </c>
      <c r="B238" s="143" t="s">
        <v>1205</v>
      </c>
      <c r="C238" s="143" t="s">
        <v>2028</v>
      </c>
      <c r="D238" s="143" t="s">
        <v>2029</v>
      </c>
      <c r="E238" s="143" t="s">
        <v>313</v>
      </c>
      <c r="F238" s="143" t="s">
        <v>2030</v>
      </c>
      <c r="G238" s="143" t="s">
        <v>2031</v>
      </c>
      <c r="H238" s="143" t="s">
        <v>321</v>
      </c>
      <c r="I238" s="143" t="s">
        <v>755</v>
      </c>
      <c r="J238" s="143" t="s">
        <v>205</v>
      </c>
      <c r="K238" s="143" t="s">
        <v>233</v>
      </c>
      <c r="L238" s="143" t="s">
        <v>325</v>
      </c>
      <c r="M238" s="143" t="s">
        <v>388</v>
      </c>
      <c r="N238" s="143" t="s">
        <v>549</v>
      </c>
      <c r="O238" s="143" t="s">
        <v>339</v>
      </c>
      <c r="P238" s="143" t="s">
        <v>2032</v>
      </c>
      <c r="Q238" s="143" t="s">
        <v>433</v>
      </c>
      <c r="R238" s="143" t="s">
        <v>407</v>
      </c>
      <c r="S238" s="143" t="s">
        <v>1211</v>
      </c>
      <c r="T238" s="144">
        <v>8.3000000000000004E-2</v>
      </c>
      <c r="U238" s="143" t="s">
        <v>2033</v>
      </c>
      <c r="V238" s="146">
        <v>6.25E-2</v>
      </c>
      <c r="W238" s="146">
        <v>6.4659999999999995E-2</v>
      </c>
      <c r="X238" s="143" t="s">
        <v>412</v>
      </c>
      <c r="Y238" s="145" t="s">
        <v>3930</v>
      </c>
      <c r="Z238" s="144">
        <v>148000</v>
      </c>
      <c r="AA238" s="143" t="s">
        <v>1212</v>
      </c>
      <c r="AB238" s="143" t="s">
        <v>2034</v>
      </c>
      <c r="AC238" s="145" t="s">
        <v>3930</v>
      </c>
      <c r="AD238" s="144">
        <v>583.76019999999994</v>
      </c>
      <c r="AE238" s="145" t="s">
        <v>3930</v>
      </c>
      <c r="AF238" s="145" t="s">
        <v>3930</v>
      </c>
      <c r="AG238" s="145" t="s">
        <v>3930</v>
      </c>
      <c r="AH238" s="146">
        <v>1.1384615384615384E-4</v>
      </c>
      <c r="AI238" s="146">
        <v>7.1877893673407177E-3</v>
      </c>
      <c r="AJ238" s="147">
        <v>8.4685387858393255E-4</v>
      </c>
      <c r="AK238" s="177"/>
    </row>
    <row r="239" spans="1:37" ht="15" x14ac:dyDescent="0.2">
      <c r="A239" s="142" t="s">
        <v>1205</v>
      </c>
      <c r="B239" s="143" t="s">
        <v>1205</v>
      </c>
      <c r="C239" s="143" t="s">
        <v>1831</v>
      </c>
      <c r="D239" s="143" t="s">
        <v>1832</v>
      </c>
      <c r="E239" s="143" t="s">
        <v>309</v>
      </c>
      <c r="F239" s="143" t="s">
        <v>2035</v>
      </c>
      <c r="G239" s="143" t="s">
        <v>2036</v>
      </c>
      <c r="H239" s="143" t="s">
        <v>321</v>
      </c>
      <c r="I239" s="143" t="s">
        <v>952</v>
      </c>
      <c r="J239" s="143" t="s">
        <v>204</v>
      </c>
      <c r="K239" s="143" t="s">
        <v>204</v>
      </c>
      <c r="L239" s="143" t="s">
        <v>325</v>
      </c>
      <c r="M239" s="143" t="s">
        <v>340</v>
      </c>
      <c r="N239" s="143" t="s">
        <v>441</v>
      </c>
      <c r="O239" s="143" t="s">
        <v>339</v>
      </c>
      <c r="P239" s="143" t="s">
        <v>1405</v>
      </c>
      <c r="Q239" s="143" t="s">
        <v>415</v>
      </c>
      <c r="R239" s="143" t="s">
        <v>407</v>
      </c>
      <c r="S239" s="143" t="s">
        <v>1210</v>
      </c>
      <c r="T239" s="144">
        <v>3.85</v>
      </c>
      <c r="U239" s="143" t="s">
        <v>1675</v>
      </c>
      <c r="V239" s="146">
        <v>0.05</v>
      </c>
      <c r="W239" s="146">
        <v>3.3352E-2</v>
      </c>
      <c r="X239" s="143" t="s">
        <v>412</v>
      </c>
      <c r="Y239" s="145" t="s">
        <v>3930</v>
      </c>
      <c r="Z239" s="144">
        <v>536000</v>
      </c>
      <c r="AA239" s="145" t="s">
        <v>3930</v>
      </c>
      <c r="AB239" s="143" t="s">
        <v>2037</v>
      </c>
      <c r="AC239" s="145" t="s">
        <v>3930</v>
      </c>
      <c r="AD239" s="144">
        <v>575.12800000000004</v>
      </c>
      <c r="AE239" s="145" t="s">
        <v>3930</v>
      </c>
      <c r="AF239" s="145" t="s">
        <v>3930</v>
      </c>
      <c r="AG239" s="145" t="s">
        <v>3930</v>
      </c>
      <c r="AH239" s="146">
        <v>1.3151760520181573E-3</v>
      </c>
      <c r="AI239" s="146">
        <v>7.0815022914380889E-3</v>
      </c>
      <c r="AJ239" s="147">
        <v>8.3433130483122028E-4</v>
      </c>
      <c r="AK239" s="177"/>
    </row>
    <row r="240" spans="1:37" ht="15" x14ac:dyDescent="0.2">
      <c r="A240" s="142" t="s">
        <v>1220</v>
      </c>
      <c r="B240" s="143" t="s">
        <v>1221</v>
      </c>
      <c r="C240" s="143" t="s">
        <v>1352</v>
      </c>
      <c r="D240" s="143" t="s">
        <v>1353</v>
      </c>
      <c r="E240" s="143" t="s">
        <v>309</v>
      </c>
      <c r="F240" s="143" t="s">
        <v>1354</v>
      </c>
      <c r="G240" s="143" t="s">
        <v>1355</v>
      </c>
      <c r="H240" s="143" t="s">
        <v>321</v>
      </c>
      <c r="I240" s="143" t="s">
        <v>951</v>
      </c>
      <c r="J240" s="143" t="s">
        <v>204</v>
      </c>
      <c r="K240" s="143" t="s">
        <v>204</v>
      </c>
      <c r="L240" s="143" t="s">
        <v>325</v>
      </c>
      <c r="M240" s="143" t="s">
        <v>340</v>
      </c>
      <c r="N240" s="143" t="s">
        <v>445</v>
      </c>
      <c r="O240" s="143" t="s">
        <v>339</v>
      </c>
      <c r="P240" s="143" t="s">
        <v>1356</v>
      </c>
      <c r="Q240" s="143" t="s">
        <v>413</v>
      </c>
      <c r="R240" s="143" t="s">
        <v>407</v>
      </c>
      <c r="S240" s="143" t="s">
        <v>1210</v>
      </c>
      <c r="T240" s="144">
        <v>5.12</v>
      </c>
      <c r="U240" s="143" t="s">
        <v>1295</v>
      </c>
      <c r="V240" s="146">
        <v>2.64E-2</v>
      </c>
      <c r="W240" s="146">
        <v>5.7553E-2</v>
      </c>
      <c r="X240" s="143" t="s">
        <v>412</v>
      </c>
      <c r="Y240" s="145" t="s">
        <v>3930</v>
      </c>
      <c r="Z240" s="144">
        <v>757977.16</v>
      </c>
      <c r="AA240" s="145" t="s">
        <v>3930</v>
      </c>
      <c r="AB240" s="143" t="s">
        <v>1357</v>
      </c>
      <c r="AC240" s="145" t="s">
        <v>3930</v>
      </c>
      <c r="AD240" s="144">
        <v>649.96540000000005</v>
      </c>
      <c r="AE240" s="145" t="s">
        <v>3930</v>
      </c>
      <c r="AF240" s="145" t="s">
        <v>3930</v>
      </c>
      <c r="AG240" s="145" t="s">
        <v>3930</v>
      </c>
      <c r="AH240" s="146">
        <v>4.6326244514929604E-4</v>
      </c>
      <c r="AI240" s="146">
        <v>3.9344470519227452E-2</v>
      </c>
      <c r="AJ240" s="147">
        <v>2.1519818617269722E-3</v>
      </c>
      <c r="AK240" s="177"/>
    </row>
    <row r="241" spans="1:37" ht="15" x14ac:dyDescent="0.2">
      <c r="A241" s="142" t="s">
        <v>1220</v>
      </c>
      <c r="B241" s="143" t="s">
        <v>1221</v>
      </c>
      <c r="C241" s="143" t="s">
        <v>1358</v>
      </c>
      <c r="D241" s="143" t="s">
        <v>1359</v>
      </c>
      <c r="E241" s="143" t="s">
        <v>309</v>
      </c>
      <c r="F241" s="143" t="s">
        <v>1360</v>
      </c>
      <c r="G241" s="143" t="s">
        <v>1361</v>
      </c>
      <c r="H241" s="143" t="s">
        <v>321</v>
      </c>
      <c r="I241" s="143" t="s">
        <v>951</v>
      </c>
      <c r="J241" s="143" t="s">
        <v>204</v>
      </c>
      <c r="K241" s="143" t="s">
        <v>204</v>
      </c>
      <c r="L241" s="143" t="s">
        <v>325</v>
      </c>
      <c r="M241" s="143" t="s">
        <v>340</v>
      </c>
      <c r="N241" s="143" t="s">
        <v>448</v>
      </c>
      <c r="O241" s="143" t="s">
        <v>339</v>
      </c>
      <c r="P241" s="143" t="s">
        <v>1303</v>
      </c>
      <c r="Q241" s="143" t="s">
        <v>413</v>
      </c>
      <c r="R241" s="143" t="s">
        <v>407</v>
      </c>
      <c r="S241" s="143" t="s">
        <v>1210</v>
      </c>
      <c r="T241" s="144">
        <v>0.68</v>
      </c>
      <c r="U241" s="143" t="s">
        <v>1362</v>
      </c>
      <c r="V241" s="146">
        <v>2.98E-2</v>
      </c>
      <c r="W241" s="146">
        <v>4.4567000000000002E-2</v>
      </c>
      <c r="X241" s="143" t="s">
        <v>412</v>
      </c>
      <c r="Y241" s="145" t="s">
        <v>3930</v>
      </c>
      <c r="Z241" s="144">
        <v>622905</v>
      </c>
      <c r="AA241" s="145" t="s">
        <v>3930</v>
      </c>
      <c r="AB241" s="143" t="s">
        <v>1363</v>
      </c>
      <c r="AC241" s="145" t="s">
        <v>3930</v>
      </c>
      <c r="AD241" s="144">
        <v>622.59349999999995</v>
      </c>
      <c r="AE241" s="145" t="s">
        <v>3930</v>
      </c>
      <c r="AF241" s="145" t="s">
        <v>3930</v>
      </c>
      <c r="AG241" s="145" t="s">
        <v>3930</v>
      </c>
      <c r="AH241" s="146">
        <v>2.4503454019120328E-4</v>
      </c>
      <c r="AI241" s="146">
        <v>3.7687564478151893E-2</v>
      </c>
      <c r="AJ241" s="147">
        <v>2.0613558677836062E-3</v>
      </c>
      <c r="AK241" s="177"/>
    </row>
    <row r="242" spans="1:37" ht="15" x14ac:dyDescent="0.2">
      <c r="A242" s="142" t="s">
        <v>1220</v>
      </c>
      <c r="B242" s="143" t="s">
        <v>1221</v>
      </c>
      <c r="C242" s="143" t="s">
        <v>1364</v>
      </c>
      <c r="D242" s="143" t="s">
        <v>1365</v>
      </c>
      <c r="E242" s="143" t="s">
        <v>309</v>
      </c>
      <c r="F242" s="143" t="s">
        <v>1366</v>
      </c>
      <c r="G242" s="143" t="s">
        <v>1367</v>
      </c>
      <c r="H242" s="143" t="s">
        <v>321</v>
      </c>
      <c r="I242" s="143" t="s">
        <v>951</v>
      </c>
      <c r="J242" s="143" t="s">
        <v>204</v>
      </c>
      <c r="K242" s="143" t="s">
        <v>204</v>
      </c>
      <c r="L242" s="143" t="s">
        <v>325</v>
      </c>
      <c r="M242" s="143" t="s">
        <v>340</v>
      </c>
      <c r="N242" s="143" t="s">
        <v>445</v>
      </c>
      <c r="O242" s="143" t="s">
        <v>339</v>
      </c>
      <c r="P242" s="143" t="s">
        <v>1368</v>
      </c>
      <c r="Q242" s="143" t="s">
        <v>415</v>
      </c>
      <c r="R242" s="143" t="s">
        <v>407</v>
      </c>
      <c r="S242" s="143" t="s">
        <v>1210</v>
      </c>
      <c r="T242" s="144">
        <v>0.82</v>
      </c>
      <c r="U242" s="143" t="s">
        <v>1369</v>
      </c>
      <c r="V242" s="146">
        <v>3.61E-2</v>
      </c>
      <c r="W242" s="146">
        <v>5.1797000000000003E-2</v>
      </c>
      <c r="X242" s="143" t="s">
        <v>412</v>
      </c>
      <c r="Y242" s="145" t="s">
        <v>3930</v>
      </c>
      <c r="Z242" s="144">
        <v>384165</v>
      </c>
      <c r="AA242" s="145" t="s">
        <v>3930</v>
      </c>
      <c r="AB242" s="143" t="s">
        <v>1370</v>
      </c>
      <c r="AC242" s="145" t="s">
        <v>3930</v>
      </c>
      <c r="AD242" s="144">
        <v>381.82159999999999</v>
      </c>
      <c r="AE242" s="145" t="s">
        <v>3930</v>
      </c>
      <c r="AF242" s="145" t="s">
        <v>3930</v>
      </c>
      <c r="AG242" s="145" t="s">
        <v>3930</v>
      </c>
      <c r="AH242" s="146">
        <v>5.0054071661237789E-4</v>
      </c>
      <c r="AI242" s="146">
        <v>2.311287353035401E-2</v>
      </c>
      <c r="AJ242" s="147">
        <v>1.264179793330916E-3</v>
      </c>
      <c r="AK242" s="177"/>
    </row>
    <row r="243" spans="1:37" ht="15" x14ac:dyDescent="0.2">
      <c r="A243" s="142" t="s">
        <v>1220</v>
      </c>
      <c r="B243" s="143" t="s">
        <v>1221</v>
      </c>
      <c r="C243" s="143" t="s">
        <v>1388</v>
      </c>
      <c r="D243" s="143" t="s">
        <v>1389</v>
      </c>
      <c r="E243" s="143" t="s">
        <v>309</v>
      </c>
      <c r="F243" s="143" t="s">
        <v>1390</v>
      </c>
      <c r="G243" s="143" t="s">
        <v>1391</v>
      </c>
      <c r="H243" s="143" t="s">
        <v>321</v>
      </c>
      <c r="I243" s="143" t="s">
        <v>951</v>
      </c>
      <c r="J243" s="143" t="s">
        <v>204</v>
      </c>
      <c r="K243" s="143" t="s">
        <v>204</v>
      </c>
      <c r="L243" s="143" t="s">
        <v>325</v>
      </c>
      <c r="M243" s="143" t="s">
        <v>340</v>
      </c>
      <c r="N243" s="143" t="s">
        <v>445</v>
      </c>
      <c r="O243" s="143" t="s">
        <v>339</v>
      </c>
      <c r="P243" s="143" t="s">
        <v>1356</v>
      </c>
      <c r="Q243" s="143" t="s">
        <v>413</v>
      </c>
      <c r="R243" s="143" t="s">
        <v>407</v>
      </c>
      <c r="S243" s="143" t="s">
        <v>1210</v>
      </c>
      <c r="T243" s="144">
        <v>5.16</v>
      </c>
      <c r="U243" s="143" t="s">
        <v>1392</v>
      </c>
      <c r="V243" s="146">
        <v>5.2499999999999998E-2</v>
      </c>
      <c r="W243" s="146">
        <v>5.6903000000000002E-2</v>
      </c>
      <c r="X243" s="143" t="s">
        <v>412</v>
      </c>
      <c r="Y243" s="145" t="s">
        <v>3930</v>
      </c>
      <c r="Z243" s="144">
        <v>346000</v>
      </c>
      <c r="AA243" s="145" t="s">
        <v>3930</v>
      </c>
      <c r="AB243" s="143" t="s">
        <v>1393</v>
      </c>
      <c r="AC243" s="145" t="s">
        <v>3930</v>
      </c>
      <c r="AD243" s="144">
        <v>347.14179999999999</v>
      </c>
      <c r="AE243" s="145" t="s">
        <v>3930</v>
      </c>
      <c r="AF243" s="145" t="s">
        <v>3930</v>
      </c>
      <c r="AG243" s="145" t="s">
        <v>3930</v>
      </c>
      <c r="AH243" s="146">
        <v>6.9200000000000002E-4</v>
      </c>
      <c r="AI243" s="146">
        <v>2.1013595503994054E-2</v>
      </c>
      <c r="AJ243" s="147">
        <v>1.1493578583593705E-3</v>
      </c>
      <c r="AK243" s="177"/>
    </row>
    <row r="244" spans="1:37" ht="15" x14ac:dyDescent="0.2">
      <c r="A244" s="142" t="s">
        <v>1220</v>
      </c>
      <c r="B244" s="143" t="s">
        <v>1221</v>
      </c>
      <c r="C244" s="143" t="s">
        <v>1352</v>
      </c>
      <c r="D244" s="143" t="s">
        <v>1353</v>
      </c>
      <c r="E244" s="143" t="s">
        <v>309</v>
      </c>
      <c r="F244" s="143" t="s">
        <v>1378</v>
      </c>
      <c r="G244" s="143" t="s">
        <v>1379</v>
      </c>
      <c r="H244" s="143" t="s">
        <v>321</v>
      </c>
      <c r="I244" s="143" t="s">
        <v>951</v>
      </c>
      <c r="J244" s="143" t="s">
        <v>204</v>
      </c>
      <c r="K244" s="143" t="s">
        <v>204</v>
      </c>
      <c r="L244" s="143" t="s">
        <v>325</v>
      </c>
      <c r="M244" s="143" t="s">
        <v>340</v>
      </c>
      <c r="N244" s="143" t="s">
        <v>445</v>
      </c>
      <c r="O244" s="143" t="s">
        <v>339</v>
      </c>
      <c r="P244" s="143" t="s">
        <v>1356</v>
      </c>
      <c r="Q244" s="143" t="s">
        <v>413</v>
      </c>
      <c r="R244" s="143" t="s">
        <v>407</v>
      </c>
      <c r="S244" s="143" t="s">
        <v>1210</v>
      </c>
      <c r="T244" s="144">
        <v>7.65</v>
      </c>
      <c r="U244" s="143" t="s">
        <v>1380</v>
      </c>
      <c r="V244" s="146">
        <v>5.3100000000000001E-2</v>
      </c>
      <c r="W244" s="146">
        <v>6.0852000000000003E-2</v>
      </c>
      <c r="X244" s="143" t="s">
        <v>412</v>
      </c>
      <c r="Y244" s="145" t="s">
        <v>3930</v>
      </c>
      <c r="Z244" s="144">
        <v>303875.93</v>
      </c>
      <c r="AA244" s="145" t="s">
        <v>3930</v>
      </c>
      <c r="AB244" s="143" t="s">
        <v>1381</v>
      </c>
      <c r="AC244" s="145" t="s">
        <v>3930</v>
      </c>
      <c r="AD244" s="144">
        <v>290.87</v>
      </c>
      <c r="AE244" s="145" t="s">
        <v>3930</v>
      </c>
      <c r="AF244" s="145" t="s">
        <v>3930</v>
      </c>
      <c r="AG244" s="145" t="s">
        <v>3930</v>
      </c>
      <c r="AH244" s="146">
        <v>2.3863712721750491E-4</v>
      </c>
      <c r="AI244" s="146">
        <v>1.7607287191888834E-2</v>
      </c>
      <c r="AJ244" s="147">
        <v>9.6304670443196009E-4</v>
      </c>
      <c r="AK244" s="177"/>
    </row>
    <row r="245" spans="1:37" ht="15" x14ac:dyDescent="0.2">
      <c r="A245" s="142" t="s">
        <v>1220</v>
      </c>
      <c r="B245" s="143" t="s">
        <v>1221</v>
      </c>
      <c r="C245" s="143" t="s">
        <v>1382</v>
      </c>
      <c r="D245" s="143" t="s">
        <v>1383</v>
      </c>
      <c r="E245" s="143" t="s">
        <v>309</v>
      </c>
      <c r="F245" s="143" t="s">
        <v>1384</v>
      </c>
      <c r="G245" s="143" t="s">
        <v>1385</v>
      </c>
      <c r="H245" s="143" t="s">
        <v>321</v>
      </c>
      <c r="I245" s="143" t="s">
        <v>951</v>
      </c>
      <c r="J245" s="143" t="s">
        <v>204</v>
      </c>
      <c r="K245" s="143" t="s">
        <v>204</v>
      </c>
      <c r="L245" s="143" t="s">
        <v>325</v>
      </c>
      <c r="M245" s="143" t="s">
        <v>340</v>
      </c>
      <c r="N245" s="143" t="s">
        <v>484</v>
      </c>
      <c r="O245" s="143" t="s">
        <v>339</v>
      </c>
      <c r="P245" s="143" t="s">
        <v>1368</v>
      </c>
      <c r="Q245" s="143" t="s">
        <v>415</v>
      </c>
      <c r="R245" s="143" t="s">
        <v>407</v>
      </c>
      <c r="S245" s="143" t="s">
        <v>1210</v>
      </c>
      <c r="T245" s="144">
        <v>0.65</v>
      </c>
      <c r="U245" s="143" t="s">
        <v>1386</v>
      </c>
      <c r="V245" s="146">
        <v>3.6499999999999998E-2</v>
      </c>
      <c r="W245" s="146">
        <v>5.0511E-2</v>
      </c>
      <c r="X245" s="143" t="s">
        <v>412</v>
      </c>
      <c r="Y245" s="145" t="s">
        <v>3930</v>
      </c>
      <c r="Z245" s="144">
        <v>260399.94</v>
      </c>
      <c r="AA245" s="145" t="s">
        <v>3930</v>
      </c>
      <c r="AB245" s="143" t="s">
        <v>1387</v>
      </c>
      <c r="AC245" s="145" t="s">
        <v>3930</v>
      </c>
      <c r="AD245" s="144">
        <v>261.31129999999996</v>
      </c>
      <c r="AE245" s="145" t="s">
        <v>3930</v>
      </c>
      <c r="AF245" s="145" t="s">
        <v>3930</v>
      </c>
      <c r="AG245" s="145" t="s">
        <v>3930</v>
      </c>
      <c r="AH245" s="146">
        <v>2.445113705898174E-4</v>
      </c>
      <c r="AI245" s="146">
        <v>1.5818005192557643E-2</v>
      </c>
      <c r="AJ245" s="147">
        <v>8.6518028617139215E-4</v>
      </c>
      <c r="AK245" s="177"/>
    </row>
    <row r="246" spans="1:37" ht="15" x14ac:dyDescent="0.2">
      <c r="A246" s="142" t="s">
        <v>1220</v>
      </c>
      <c r="B246" s="143" t="s">
        <v>1221</v>
      </c>
      <c r="C246" s="143" t="s">
        <v>1401</v>
      </c>
      <c r="D246" s="143" t="s">
        <v>1402</v>
      </c>
      <c r="E246" s="143" t="s">
        <v>309</v>
      </c>
      <c r="F246" s="143" t="s">
        <v>1403</v>
      </c>
      <c r="G246" s="143" t="s">
        <v>1404</v>
      </c>
      <c r="H246" s="143" t="s">
        <v>321</v>
      </c>
      <c r="I246" s="143" t="s">
        <v>951</v>
      </c>
      <c r="J246" s="143" t="s">
        <v>204</v>
      </c>
      <c r="K246" s="143" t="s">
        <v>204</v>
      </c>
      <c r="L246" s="143" t="s">
        <v>325</v>
      </c>
      <c r="M246" s="143" t="s">
        <v>340</v>
      </c>
      <c r="N246" s="143" t="s">
        <v>484</v>
      </c>
      <c r="O246" s="143" t="s">
        <v>339</v>
      </c>
      <c r="P246" s="143" t="s">
        <v>1405</v>
      </c>
      <c r="Q246" s="143" t="s">
        <v>415</v>
      </c>
      <c r="R246" s="143" t="s">
        <v>407</v>
      </c>
      <c r="S246" s="143" t="s">
        <v>1210</v>
      </c>
      <c r="T246" s="144">
        <v>4.55</v>
      </c>
      <c r="U246" s="143" t="s">
        <v>1406</v>
      </c>
      <c r="V246" s="146">
        <v>5.5E-2</v>
      </c>
      <c r="W246" s="146">
        <v>6.1679999999999999E-2</v>
      </c>
      <c r="X246" s="143" t="s">
        <v>412</v>
      </c>
      <c r="Y246" s="145" t="s">
        <v>3930</v>
      </c>
      <c r="Z246" s="144">
        <v>240845.54</v>
      </c>
      <c r="AA246" s="145" t="s">
        <v>3930</v>
      </c>
      <c r="AB246" s="143" t="s">
        <v>1407</v>
      </c>
      <c r="AC246" s="145" t="s">
        <v>3930</v>
      </c>
      <c r="AD246" s="144">
        <v>235.2098</v>
      </c>
      <c r="AE246" s="145" t="s">
        <v>3930</v>
      </c>
      <c r="AF246" s="145" t="s">
        <v>3930</v>
      </c>
      <c r="AG246" s="145" t="s">
        <v>3930</v>
      </c>
      <c r="AH246" s="146">
        <v>2.3865537504173833E-4</v>
      </c>
      <c r="AI246" s="146">
        <v>1.4237993341046503E-2</v>
      </c>
      <c r="AJ246" s="147">
        <v>7.7876009037528948E-4</v>
      </c>
      <c r="AK246" s="177"/>
    </row>
    <row r="247" spans="1:37" ht="15" x14ac:dyDescent="0.2">
      <c r="A247" s="142" t="s">
        <v>1220</v>
      </c>
      <c r="B247" s="143" t="s">
        <v>1221</v>
      </c>
      <c r="C247" s="143" t="s">
        <v>1371</v>
      </c>
      <c r="D247" s="143" t="s">
        <v>1372</v>
      </c>
      <c r="E247" s="143" t="s">
        <v>309</v>
      </c>
      <c r="F247" s="143" t="s">
        <v>1373</v>
      </c>
      <c r="G247" s="143" t="s">
        <v>1374</v>
      </c>
      <c r="H247" s="143" t="s">
        <v>321</v>
      </c>
      <c r="I247" s="143" t="s">
        <v>951</v>
      </c>
      <c r="J247" s="143" t="s">
        <v>204</v>
      </c>
      <c r="K247" s="143" t="s">
        <v>204</v>
      </c>
      <c r="L247" s="143" t="s">
        <v>325</v>
      </c>
      <c r="M247" s="143" t="s">
        <v>340</v>
      </c>
      <c r="N247" s="143" t="s">
        <v>440</v>
      </c>
      <c r="O247" s="143" t="s">
        <v>339</v>
      </c>
      <c r="P247" s="143" t="s">
        <v>1375</v>
      </c>
      <c r="Q247" s="143" t="s">
        <v>413</v>
      </c>
      <c r="R247" s="143" t="s">
        <v>407</v>
      </c>
      <c r="S247" s="143" t="s">
        <v>1210</v>
      </c>
      <c r="T247" s="144">
        <v>3.24</v>
      </c>
      <c r="U247" s="143" t="s">
        <v>1376</v>
      </c>
      <c r="V247" s="146">
        <v>2.5000000000000001E-2</v>
      </c>
      <c r="W247" s="146">
        <v>6.1240999999999997E-2</v>
      </c>
      <c r="X247" s="143" t="s">
        <v>412</v>
      </c>
      <c r="Y247" s="145" t="s">
        <v>3930</v>
      </c>
      <c r="Z247" s="144">
        <v>180000.01</v>
      </c>
      <c r="AA247" s="145" t="s">
        <v>3930</v>
      </c>
      <c r="AB247" s="143" t="s">
        <v>1377</v>
      </c>
      <c r="AC247" s="145" t="s">
        <v>3930</v>
      </c>
      <c r="AD247" s="144">
        <v>160.93799999999999</v>
      </c>
      <c r="AE247" s="145" t="s">
        <v>3930</v>
      </c>
      <c r="AF247" s="145" t="s">
        <v>3930</v>
      </c>
      <c r="AG247" s="145" t="s">
        <v>3930</v>
      </c>
      <c r="AH247" s="146">
        <v>2.3508200378142443E-4</v>
      </c>
      <c r="AI247" s="146">
        <v>9.742088740406234E-3</v>
      </c>
      <c r="AJ247" s="147">
        <v>5.328524691784423E-4</v>
      </c>
      <c r="AK247" s="177"/>
    </row>
    <row r="248" spans="1:37" ht="15" x14ac:dyDescent="0.2">
      <c r="A248" s="142" t="s">
        <v>1220</v>
      </c>
      <c r="B248" s="143" t="s">
        <v>1221</v>
      </c>
      <c r="C248" s="143" t="s">
        <v>1421</v>
      </c>
      <c r="D248" s="143" t="s">
        <v>1422</v>
      </c>
      <c r="E248" s="143" t="s">
        <v>309</v>
      </c>
      <c r="F248" s="143" t="s">
        <v>1423</v>
      </c>
      <c r="G248" s="143" t="s">
        <v>1424</v>
      </c>
      <c r="H248" s="143" t="s">
        <v>321</v>
      </c>
      <c r="I248" s="143" t="s">
        <v>951</v>
      </c>
      <c r="J248" s="143" t="s">
        <v>204</v>
      </c>
      <c r="K248" s="143" t="s">
        <v>204</v>
      </c>
      <c r="L248" s="143" t="s">
        <v>325</v>
      </c>
      <c r="M248" s="143" t="s">
        <v>340</v>
      </c>
      <c r="N248" s="143" t="s">
        <v>445</v>
      </c>
      <c r="O248" s="143" t="s">
        <v>339</v>
      </c>
      <c r="P248" s="143" t="s">
        <v>1425</v>
      </c>
      <c r="Q248" s="143" t="s">
        <v>415</v>
      </c>
      <c r="R248" s="143" t="s">
        <v>407</v>
      </c>
      <c r="S248" s="143" t="s">
        <v>1210</v>
      </c>
      <c r="T248" s="144">
        <v>3.03</v>
      </c>
      <c r="U248" s="143" t="s">
        <v>1426</v>
      </c>
      <c r="V248" s="146">
        <v>4.36E-2</v>
      </c>
      <c r="W248" s="146">
        <v>4.9925999999999998E-2</v>
      </c>
      <c r="X248" s="143" t="s">
        <v>412</v>
      </c>
      <c r="Y248" s="145" t="s">
        <v>3930</v>
      </c>
      <c r="Z248" s="144">
        <v>102740</v>
      </c>
      <c r="AA248" s="145" t="s">
        <v>3930</v>
      </c>
      <c r="AB248" s="143" t="s">
        <v>1427</v>
      </c>
      <c r="AC248" s="145" t="s">
        <v>3930</v>
      </c>
      <c r="AD248" s="144">
        <v>102.2777</v>
      </c>
      <c r="AE248" s="145" t="s">
        <v>3930</v>
      </c>
      <c r="AF248" s="145" t="s">
        <v>3930</v>
      </c>
      <c r="AG248" s="145" t="s">
        <v>3930</v>
      </c>
      <c r="AH248" s="146">
        <v>3.4246666666666668E-4</v>
      </c>
      <c r="AI248" s="146">
        <v>6.1911921481970413E-3</v>
      </c>
      <c r="AJ248" s="147">
        <v>3.3863292680163105E-4</v>
      </c>
      <c r="AK248" s="177"/>
    </row>
    <row r="249" spans="1:37" ht="15" x14ac:dyDescent="0.2">
      <c r="A249" s="142" t="s">
        <v>1220</v>
      </c>
      <c r="B249" s="143" t="s">
        <v>1221</v>
      </c>
      <c r="C249" s="143" t="s">
        <v>1408</v>
      </c>
      <c r="D249" s="143" t="s">
        <v>1409</v>
      </c>
      <c r="E249" s="143" t="s">
        <v>309</v>
      </c>
      <c r="F249" s="143" t="s">
        <v>1410</v>
      </c>
      <c r="G249" s="143" t="s">
        <v>1411</v>
      </c>
      <c r="H249" s="143" t="s">
        <v>321</v>
      </c>
      <c r="I249" s="143" t="s">
        <v>951</v>
      </c>
      <c r="J249" s="143" t="s">
        <v>204</v>
      </c>
      <c r="K249" s="143" t="s">
        <v>204</v>
      </c>
      <c r="L249" s="143" t="s">
        <v>325</v>
      </c>
      <c r="M249" s="143" t="s">
        <v>340</v>
      </c>
      <c r="N249" s="143" t="s">
        <v>475</v>
      </c>
      <c r="O249" s="143" t="s">
        <v>339</v>
      </c>
      <c r="P249" s="143" t="s">
        <v>1412</v>
      </c>
      <c r="Q249" s="143" t="s">
        <v>413</v>
      </c>
      <c r="R249" s="143" t="s">
        <v>407</v>
      </c>
      <c r="S249" s="143" t="s">
        <v>1210</v>
      </c>
      <c r="T249" s="144">
        <v>2.83</v>
      </c>
      <c r="U249" s="143" t="s">
        <v>1413</v>
      </c>
      <c r="V249" s="146">
        <v>5.0900000000000001E-2</v>
      </c>
      <c r="W249" s="146">
        <v>5.2837000000000002E-2</v>
      </c>
      <c r="X249" s="143" t="s">
        <v>412</v>
      </c>
      <c r="Y249" s="145" t="s">
        <v>3930</v>
      </c>
      <c r="Z249" s="144">
        <v>71760.87</v>
      </c>
      <c r="AA249" s="145" t="s">
        <v>3930</v>
      </c>
      <c r="AB249" s="143" t="s">
        <v>1414</v>
      </c>
      <c r="AC249" s="144">
        <v>18.735299999999999</v>
      </c>
      <c r="AD249" s="144">
        <v>90.072800000000001</v>
      </c>
      <c r="AE249" s="145" t="s">
        <v>3930</v>
      </c>
      <c r="AF249" s="145" t="s">
        <v>3930</v>
      </c>
      <c r="AG249" s="145" t="s">
        <v>3930</v>
      </c>
      <c r="AH249" s="146">
        <v>1.3901337014616904E-4</v>
      </c>
      <c r="AI249" s="146">
        <v>6.5865022873095175E-3</v>
      </c>
      <c r="AJ249" s="147">
        <v>3.6025477703624233E-4</v>
      </c>
      <c r="AK249" s="177"/>
    </row>
    <row r="250" spans="1:37" ht="15" x14ac:dyDescent="0.2">
      <c r="A250" s="142" t="s">
        <v>1220</v>
      </c>
      <c r="B250" s="143" t="s">
        <v>1221</v>
      </c>
      <c r="C250" s="143" t="s">
        <v>1415</v>
      </c>
      <c r="D250" s="143" t="s">
        <v>1416</v>
      </c>
      <c r="E250" s="143" t="s">
        <v>309</v>
      </c>
      <c r="F250" s="143" t="s">
        <v>1417</v>
      </c>
      <c r="G250" s="143" t="s">
        <v>1418</v>
      </c>
      <c r="H250" s="143" t="s">
        <v>321</v>
      </c>
      <c r="I250" s="143" t="s">
        <v>951</v>
      </c>
      <c r="J250" s="143" t="s">
        <v>204</v>
      </c>
      <c r="K250" s="143" t="s">
        <v>204</v>
      </c>
      <c r="L250" s="143" t="s">
        <v>325</v>
      </c>
      <c r="M250" s="143" t="s">
        <v>340</v>
      </c>
      <c r="N250" s="143" t="s">
        <v>451</v>
      </c>
      <c r="O250" s="143" t="s">
        <v>339</v>
      </c>
      <c r="P250" s="143" t="s">
        <v>1398</v>
      </c>
      <c r="Q250" s="143" t="s">
        <v>413</v>
      </c>
      <c r="R250" s="143" t="s">
        <v>407</v>
      </c>
      <c r="S250" s="143" t="s">
        <v>1210</v>
      </c>
      <c r="T250" s="144">
        <v>1.21</v>
      </c>
      <c r="U250" s="143" t="s">
        <v>1419</v>
      </c>
      <c r="V250" s="146">
        <v>0.04</v>
      </c>
      <c r="W250" s="146">
        <v>5.4871000000000003E-2</v>
      </c>
      <c r="X250" s="143" t="s">
        <v>412</v>
      </c>
      <c r="Y250" s="145" t="s">
        <v>3930</v>
      </c>
      <c r="Z250" s="144">
        <v>73340.19</v>
      </c>
      <c r="AA250" s="145" t="s">
        <v>3930</v>
      </c>
      <c r="AB250" s="143" t="s">
        <v>1420</v>
      </c>
      <c r="AC250" s="145" t="s">
        <v>3930</v>
      </c>
      <c r="AD250" s="144">
        <v>72.863500000000002</v>
      </c>
      <c r="AE250" s="145" t="s">
        <v>3930</v>
      </c>
      <c r="AF250" s="145" t="s">
        <v>3930</v>
      </c>
      <c r="AG250" s="145" t="s">
        <v>3930</v>
      </c>
      <c r="AH250" s="146">
        <v>5.5662901544862372E-4</v>
      </c>
      <c r="AI250" s="146">
        <v>4.4106577478758542E-3</v>
      </c>
      <c r="AJ250" s="147">
        <v>2.4124496648330416E-4</v>
      </c>
      <c r="AK250" s="177"/>
    </row>
    <row r="251" spans="1:37" ht="15" x14ac:dyDescent="0.2">
      <c r="A251" s="142" t="s">
        <v>1220</v>
      </c>
      <c r="B251" s="143" t="s">
        <v>1221</v>
      </c>
      <c r="C251" s="143" t="s">
        <v>1428</v>
      </c>
      <c r="D251" s="143" t="s">
        <v>1429</v>
      </c>
      <c r="E251" s="143" t="s">
        <v>309</v>
      </c>
      <c r="F251" s="143" t="s">
        <v>1430</v>
      </c>
      <c r="G251" s="143" t="s">
        <v>1431</v>
      </c>
      <c r="H251" s="143" t="s">
        <v>321</v>
      </c>
      <c r="I251" s="143" t="s">
        <v>951</v>
      </c>
      <c r="J251" s="143" t="s">
        <v>204</v>
      </c>
      <c r="K251" s="143" t="s">
        <v>204</v>
      </c>
      <c r="L251" s="143" t="s">
        <v>325</v>
      </c>
      <c r="M251" s="143" t="s">
        <v>340</v>
      </c>
      <c r="N251" s="143" t="s">
        <v>445</v>
      </c>
      <c r="O251" s="143" t="s">
        <v>339</v>
      </c>
      <c r="P251" s="143" t="s">
        <v>1368</v>
      </c>
      <c r="Q251" s="143" t="s">
        <v>415</v>
      </c>
      <c r="R251" s="143" t="s">
        <v>407</v>
      </c>
      <c r="S251" s="143" t="s">
        <v>1210</v>
      </c>
      <c r="T251" s="144">
        <v>1.48</v>
      </c>
      <c r="U251" s="143" t="s">
        <v>1432</v>
      </c>
      <c r="V251" s="146">
        <v>2.9399999999999999E-2</v>
      </c>
      <c r="W251" s="146">
        <v>5.4391000000000002E-2</v>
      </c>
      <c r="X251" s="143" t="s">
        <v>412</v>
      </c>
      <c r="Y251" s="145" t="s">
        <v>3930</v>
      </c>
      <c r="Z251" s="144">
        <v>67240.23</v>
      </c>
      <c r="AA251" s="145" t="s">
        <v>3930</v>
      </c>
      <c r="AB251" s="143" t="s">
        <v>1433</v>
      </c>
      <c r="AC251" s="145" t="s">
        <v>3930</v>
      </c>
      <c r="AD251" s="144">
        <v>64.940600000000003</v>
      </c>
      <c r="AE251" s="145" t="s">
        <v>3930</v>
      </c>
      <c r="AF251" s="145" t="s">
        <v>3930</v>
      </c>
      <c r="AG251" s="145" t="s">
        <v>3930</v>
      </c>
      <c r="AH251" s="146">
        <v>6.2689556829142849E-4</v>
      </c>
      <c r="AI251" s="146">
        <v>3.931061592677215E-3</v>
      </c>
      <c r="AJ251" s="147">
        <v>2.1501301537756764E-4</v>
      </c>
      <c r="AK251" s="177"/>
    </row>
    <row r="252" spans="1:37" ht="15" x14ac:dyDescent="0.2">
      <c r="A252" s="142" t="s">
        <v>1220</v>
      </c>
      <c r="B252" s="143" t="s">
        <v>1221</v>
      </c>
      <c r="C252" s="143" t="s">
        <v>1440</v>
      </c>
      <c r="D252" s="143" t="s">
        <v>1441</v>
      </c>
      <c r="E252" s="143" t="s">
        <v>309</v>
      </c>
      <c r="F252" s="143" t="s">
        <v>1442</v>
      </c>
      <c r="G252" s="143" t="s">
        <v>1443</v>
      </c>
      <c r="H252" s="143" t="s">
        <v>321</v>
      </c>
      <c r="I252" s="143" t="s">
        <v>951</v>
      </c>
      <c r="J252" s="143" t="s">
        <v>204</v>
      </c>
      <c r="K252" s="143" t="s">
        <v>204</v>
      </c>
      <c r="L252" s="143" t="s">
        <v>325</v>
      </c>
      <c r="M252" s="143" t="s">
        <v>340</v>
      </c>
      <c r="N252" s="143" t="s">
        <v>465</v>
      </c>
      <c r="O252" s="143" t="s">
        <v>339</v>
      </c>
      <c r="P252" s="143" t="s">
        <v>1444</v>
      </c>
      <c r="Q252" s="143" t="s">
        <v>415</v>
      </c>
      <c r="R252" s="143" t="s">
        <v>407</v>
      </c>
      <c r="S252" s="143" t="s">
        <v>1210</v>
      </c>
      <c r="T252" s="144">
        <v>0.62</v>
      </c>
      <c r="U252" s="143" t="s">
        <v>1445</v>
      </c>
      <c r="V252" s="146">
        <v>3.5000000000000003E-2</v>
      </c>
      <c r="W252" s="146">
        <v>5.9777999999999998E-2</v>
      </c>
      <c r="X252" s="143" t="s">
        <v>412</v>
      </c>
      <c r="Y252" s="145" t="s">
        <v>3930</v>
      </c>
      <c r="Z252" s="144">
        <v>25343.75</v>
      </c>
      <c r="AA252" s="145" t="s">
        <v>3930</v>
      </c>
      <c r="AB252" s="143" t="s">
        <v>1446</v>
      </c>
      <c r="AC252" s="145" t="s">
        <v>3930</v>
      </c>
      <c r="AD252" s="144">
        <v>25.105499999999999</v>
      </c>
      <c r="AE252" s="145" t="s">
        <v>3930</v>
      </c>
      <c r="AF252" s="145" t="s">
        <v>3930</v>
      </c>
      <c r="AG252" s="145" t="s">
        <v>3930</v>
      </c>
      <c r="AH252" s="146">
        <v>2.6438295430836634E-4</v>
      </c>
      <c r="AI252" s="146">
        <v>1.5197167725996652E-3</v>
      </c>
      <c r="AJ252" s="147">
        <v>8.3122301213800885E-5</v>
      </c>
      <c r="AK252" s="177"/>
    </row>
    <row r="253" spans="1:37" ht="15" x14ac:dyDescent="0.2">
      <c r="A253" s="142" t="s">
        <v>1220</v>
      </c>
      <c r="B253" s="143" t="s">
        <v>1221</v>
      </c>
      <c r="C253" s="143" t="s">
        <v>1394</v>
      </c>
      <c r="D253" s="143" t="s">
        <v>1395</v>
      </c>
      <c r="E253" s="143" t="s">
        <v>309</v>
      </c>
      <c r="F253" s="143" t="s">
        <v>1396</v>
      </c>
      <c r="G253" s="143" t="s">
        <v>1397</v>
      </c>
      <c r="H253" s="143" t="s">
        <v>321</v>
      </c>
      <c r="I253" s="143" t="s">
        <v>951</v>
      </c>
      <c r="J253" s="143" t="s">
        <v>204</v>
      </c>
      <c r="K253" s="143" t="s">
        <v>204</v>
      </c>
      <c r="L253" s="143" t="s">
        <v>325</v>
      </c>
      <c r="M253" s="143" t="s">
        <v>340</v>
      </c>
      <c r="N253" s="143" t="s">
        <v>463</v>
      </c>
      <c r="O253" s="143" t="s">
        <v>339</v>
      </c>
      <c r="P253" s="143" t="s">
        <v>1398</v>
      </c>
      <c r="Q253" s="143" t="s">
        <v>413</v>
      </c>
      <c r="R253" s="143" t="s">
        <v>407</v>
      </c>
      <c r="S253" s="143" t="s">
        <v>1210</v>
      </c>
      <c r="T253" s="144">
        <v>0.99</v>
      </c>
      <c r="U253" s="143" t="s">
        <v>1399</v>
      </c>
      <c r="V253" s="146">
        <v>3.3500000000000002E-2</v>
      </c>
      <c r="W253" s="146">
        <v>5.7232999999999999E-2</v>
      </c>
      <c r="X253" s="143" t="s">
        <v>412</v>
      </c>
      <c r="Y253" s="145" t="s">
        <v>3930</v>
      </c>
      <c r="Z253" s="144">
        <v>10866.34</v>
      </c>
      <c r="AA253" s="145" t="s">
        <v>3930</v>
      </c>
      <c r="AB253" s="143" t="s">
        <v>1400</v>
      </c>
      <c r="AC253" s="144">
        <v>11.230399999999999</v>
      </c>
      <c r="AD253" s="144">
        <v>21.853300000000001</v>
      </c>
      <c r="AE253" s="145" t="s">
        <v>3930</v>
      </c>
      <c r="AF253" s="145" t="s">
        <v>3930</v>
      </c>
      <c r="AG253" s="145" t="s">
        <v>3930</v>
      </c>
      <c r="AH253" s="146">
        <v>1.5813129754995838E-4</v>
      </c>
      <c r="AI253" s="146">
        <v>2.0026598435733973E-3</v>
      </c>
      <c r="AJ253" s="147">
        <v>1.0953731494423854E-4</v>
      </c>
      <c r="AK253" s="177"/>
    </row>
    <row r="254" spans="1:37" ht="15" x14ac:dyDescent="0.2">
      <c r="A254" s="142" t="s">
        <v>1220</v>
      </c>
      <c r="B254" s="143" t="s">
        <v>1221</v>
      </c>
      <c r="C254" s="143" t="s">
        <v>1658</v>
      </c>
      <c r="D254" s="143" t="s">
        <v>1659</v>
      </c>
      <c r="E254" s="143" t="s">
        <v>309</v>
      </c>
      <c r="F254" s="143" t="s">
        <v>1660</v>
      </c>
      <c r="G254" s="143" t="s">
        <v>1661</v>
      </c>
      <c r="H254" s="143" t="s">
        <v>321</v>
      </c>
      <c r="I254" s="143" t="s">
        <v>951</v>
      </c>
      <c r="J254" s="143" t="s">
        <v>204</v>
      </c>
      <c r="K254" s="143" t="s">
        <v>204</v>
      </c>
      <c r="L254" s="143" t="s">
        <v>325</v>
      </c>
      <c r="M254" s="143" t="s">
        <v>340</v>
      </c>
      <c r="N254" s="143" t="s">
        <v>447</v>
      </c>
      <c r="O254" s="143" t="s">
        <v>339</v>
      </c>
      <c r="P254" s="143" t="s">
        <v>1405</v>
      </c>
      <c r="Q254" s="143" t="s">
        <v>415</v>
      </c>
      <c r="R254" s="143" t="s">
        <v>407</v>
      </c>
      <c r="S254" s="143" t="s">
        <v>1210</v>
      </c>
      <c r="T254" s="144">
        <v>2.2400000000000002</v>
      </c>
      <c r="U254" s="143" t="s">
        <v>1426</v>
      </c>
      <c r="V254" s="146">
        <v>4.53E-2</v>
      </c>
      <c r="W254" s="146">
        <v>6.3292000000000001E-2</v>
      </c>
      <c r="X254" s="143" t="s">
        <v>412</v>
      </c>
      <c r="Y254" s="145" t="s">
        <v>3930</v>
      </c>
      <c r="Z254" s="144">
        <v>18267</v>
      </c>
      <c r="AA254" s="145" t="s">
        <v>3930</v>
      </c>
      <c r="AB254" s="143" t="s">
        <v>1662</v>
      </c>
      <c r="AC254" s="145" t="s">
        <v>3930</v>
      </c>
      <c r="AD254" s="144">
        <v>17.797499999999999</v>
      </c>
      <c r="AE254" s="145" t="s">
        <v>3930</v>
      </c>
      <c r="AF254" s="145" t="s">
        <v>3930</v>
      </c>
      <c r="AG254" s="145" t="s">
        <v>3930</v>
      </c>
      <c r="AH254" s="146">
        <v>2.6095714285714286E-5</v>
      </c>
      <c r="AI254" s="146">
        <v>1.0773414973371772E-3</v>
      </c>
      <c r="AJ254" s="147">
        <v>5.8926180237255498E-5</v>
      </c>
      <c r="AK254" s="177"/>
    </row>
    <row r="255" spans="1:37" ht="15" x14ac:dyDescent="0.2">
      <c r="A255" s="142" t="s">
        <v>1220</v>
      </c>
      <c r="B255" s="143" t="s">
        <v>1221</v>
      </c>
      <c r="C255" s="143" t="s">
        <v>1421</v>
      </c>
      <c r="D255" s="143" t="s">
        <v>1422</v>
      </c>
      <c r="E255" s="143" t="s">
        <v>309</v>
      </c>
      <c r="F255" s="143" t="s">
        <v>1447</v>
      </c>
      <c r="G255" s="143" t="s">
        <v>1448</v>
      </c>
      <c r="H255" s="143" t="s">
        <v>321</v>
      </c>
      <c r="I255" s="143" t="s">
        <v>951</v>
      </c>
      <c r="J255" s="143" t="s">
        <v>204</v>
      </c>
      <c r="K255" s="143" t="s">
        <v>204</v>
      </c>
      <c r="L255" s="143" t="s">
        <v>325</v>
      </c>
      <c r="M255" s="143" t="s">
        <v>340</v>
      </c>
      <c r="N255" s="143" t="s">
        <v>445</v>
      </c>
      <c r="O255" s="143" t="s">
        <v>339</v>
      </c>
      <c r="P255" s="143" t="s">
        <v>1425</v>
      </c>
      <c r="Q255" s="143" t="s">
        <v>415</v>
      </c>
      <c r="R255" s="143" t="s">
        <v>407</v>
      </c>
      <c r="S255" s="143" t="s">
        <v>1210</v>
      </c>
      <c r="T255" s="144">
        <v>4.7300000000000004</v>
      </c>
      <c r="U255" s="143" t="s">
        <v>1449</v>
      </c>
      <c r="V255" s="146">
        <v>3.95E-2</v>
      </c>
      <c r="W255" s="146">
        <v>5.4330999999999997E-2</v>
      </c>
      <c r="X255" s="143" t="s">
        <v>412</v>
      </c>
      <c r="Y255" s="145" t="s">
        <v>3930</v>
      </c>
      <c r="Z255" s="144">
        <v>18313</v>
      </c>
      <c r="AA255" s="145" t="s">
        <v>3930</v>
      </c>
      <c r="AB255" s="143" t="s">
        <v>1450</v>
      </c>
      <c r="AC255" s="145" t="s">
        <v>3930</v>
      </c>
      <c r="AD255" s="144">
        <v>17.322299999999998</v>
      </c>
      <c r="AE255" s="145" t="s">
        <v>3930</v>
      </c>
      <c r="AF255" s="145" t="s">
        <v>3930</v>
      </c>
      <c r="AG255" s="145" t="s">
        <v>3930</v>
      </c>
      <c r="AH255" s="146">
        <v>7.6300996042360296E-5</v>
      </c>
      <c r="AI255" s="146">
        <v>1.0485718102691923E-3</v>
      </c>
      <c r="AJ255" s="147">
        <v>5.7352595844815696E-5</v>
      </c>
      <c r="AK255" s="177"/>
    </row>
    <row r="256" spans="1:37" ht="15" x14ac:dyDescent="0.2">
      <c r="A256" s="142" t="s">
        <v>1220</v>
      </c>
      <c r="B256" s="143" t="s">
        <v>1221</v>
      </c>
      <c r="C256" s="143" t="s">
        <v>1421</v>
      </c>
      <c r="D256" s="143" t="s">
        <v>1422</v>
      </c>
      <c r="E256" s="143" t="s">
        <v>309</v>
      </c>
      <c r="F256" s="143" t="s">
        <v>1451</v>
      </c>
      <c r="G256" s="143" t="s">
        <v>1452</v>
      </c>
      <c r="H256" s="143" t="s">
        <v>321</v>
      </c>
      <c r="I256" s="143" t="s">
        <v>951</v>
      </c>
      <c r="J256" s="143" t="s">
        <v>204</v>
      </c>
      <c r="K256" s="143" t="s">
        <v>204</v>
      </c>
      <c r="L256" s="143" t="s">
        <v>325</v>
      </c>
      <c r="M256" s="143" t="s">
        <v>340</v>
      </c>
      <c r="N256" s="143" t="s">
        <v>445</v>
      </c>
      <c r="O256" s="143" t="s">
        <v>339</v>
      </c>
      <c r="P256" s="143" t="s">
        <v>1425</v>
      </c>
      <c r="Q256" s="143" t="s">
        <v>415</v>
      </c>
      <c r="R256" s="143" t="s">
        <v>407</v>
      </c>
      <c r="S256" s="143" t="s">
        <v>1210</v>
      </c>
      <c r="T256" s="144">
        <v>3.91</v>
      </c>
      <c r="U256" s="143" t="s">
        <v>1453</v>
      </c>
      <c r="V256" s="146">
        <v>3.95E-2</v>
      </c>
      <c r="W256" s="146">
        <v>5.1232E-2</v>
      </c>
      <c r="X256" s="143" t="s">
        <v>412</v>
      </c>
      <c r="Y256" s="145" t="s">
        <v>3930</v>
      </c>
      <c r="Z256" s="144">
        <v>13212</v>
      </c>
      <c r="AA256" s="145" t="s">
        <v>3930</v>
      </c>
      <c r="AB256" s="143" t="s">
        <v>1454</v>
      </c>
      <c r="AC256" s="145" t="s">
        <v>3930</v>
      </c>
      <c r="AD256" s="144">
        <v>12.7866</v>
      </c>
      <c r="AE256" s="145" t="s">
        <v>3930</v>
      </c>
      <c r="AF256" s="145" t="s">
        <v>3930</v>
      </c>
      <c r="AG256" s="145" t="s">
        <v>3930</v>
      </c>
      <c r="AH256" s="146">
        <v>5.5047712538178569E-5</v>
      </c>
      <c r="AI256" s="146">
        <v>7.7401190381696779E-4</v>
      </c>
      <c r="AJ256" s="147">
        <v>4.2335290214691709E-5</v>
      </c>
      <c r="AK256" s="177"/>
    </row>
    <row r="257" spans="1:37" ht="15" x14ac:dyDescent="0.2">
      <c r="A257" s="142" t="s">
        <v>1220</v>
      </c>
      <c r="B257" s="143" t="s">
        <v>1221</v>
      </c>
      <c r="C257" s="143" t="s">
        <v>1455</v>
      </c>
      <c r="D257" s="143" t="s">
        <v>1456</v>
      </c>
      <c r="E257" s="143" t="s">
        <v>309</v>
      </c>
      <c r="F257" s="143" t="s">
        <v>1457</v>
      </c>
      <c r="G257" s="143" t="s">
        <v>1458</v>
      </c>
      <c r="H257" s="143" t="s">
        <v>321</v>
      </c>
      <c r="I257" s="143" t="s">
        <v>951</v>
      </c>
      <c r="J257" s="143" t="s">
        <v>204</v>
      </c>
      <c r="K257" s="143" t="s">
        <v>204</v>
      </c>
      <c r="L257" s="143" t="s">
        <v>325</v>
      </c>
      <c r="M257" s="143" t="s">
        <v>340</v>
      </c>
      <c r="N257" s="143" t="s">
        <v>464</v>
      </c>
      <c r="O257" s="143" t="s">
        <v>339</v>
      </c>
      <c r="P257" s="143" t="s">
        <v>1412</v>
      </c>
      <c r="Q257" s="143" t="s">
        <v>413</v>
      </c>
      <c r="R257" s="143" t="s">
        <v>407</v>
      </c>
      <c r="S257" s="143" t="s">
        <v>1210</v>
      </c>
      <c r="T257" s="144">
        <v>5.14</v>
      </c>
      <c r="U257" s="143" t="s">
        <v>1459</v>
      </c>
      <c r="V257" s="146">
        <v>2.5499999999999998E-2</v>
      </c>
      <c r="W257" s="146">
        <v>5.9679000000000003E-2</v>
      </c>
      <c r="X257" s="143" t="s">
        <v>412</v>
      </c>
      <c r="Y257" s="145" t="s">
        <v>3930</v>
      </c>
      <c r="Z257" s="144">
        <v>7204.6</v>
      </c>
      <c r="AA257" s="145" t="s">
        <v>3930</v>
      </c>
      <c r="AB257" s="143" t="s">
        <v>1460</v>
      </c>
      <c r="AC257" s="145" t="s">
        <v>3930</v>
      </c>
      <c r="AD257" s="144">
        <v>6.0958000000000006</v>
      </c>
      <c r="AE257" s="145" t="s">
        <v>3930</v>
      </c>
      <c r="AF257" s="145" t="s">
        <v>3930</v>
      </c>
      <c r="AG257" s="145" t="s">
        <v>3930</v>
      </c>
      <c r="AH257" s="146">
        <v>4.1551051991046494E-6</v>
      </c>
      <c r="AI257" s="146">
        <v>3.6899886126421174E-4</v>
      </c>
      <c r="AJ257" s="147">
        <v>2.0182730786793246E-5</v>
      </c>
      <c r="AK257" s="177"/>
    </row>
    <row r="258" spans="1:37" ht="15" x14ac:dyDescent="0.2">
      <c r="A258" s="142" t="s">
        <v>1220</v>
      </c>
      <c r="B258" s="143" t="s">
        <v>1221</v>
      </c>
      <c r="C258" s="143" t="s">
        <v>1434</v>
      </c>
      <c r="D258" s="143" t="s">
        <v>1435</v>
      </c>
      <c r="E258" s="143" t="s">
        <v>309</v>
      </c>
      <c r="F258" s="143" t="s">
        <v>1436</v>
      </c>
      <c r="G258" s="143" t="s">
        <v>1437</v>
      </c>
      <c r="H258" s="143" t="s">
        <v>321</v>
      </c>
      <c r="I258" s="143" t="s">
        <v>951</v>
      </c>
      <c r="J258" s="143" t="s">
        <v>204</v>
      </c>
      <c r="K258" s="143" t="s">
        <v>204</v>
      </c>
      <c r="L258" s="143" t="s">
        <v>325</v>
      </c>
      <c r="M258" s="143" t="s">
        <v>340</v>
      </c>
      <c r="N258" s="143" t="s">
        <v>484</v>
      </c>
      <c r="O258" s="143" t="s">
        <v>339</v>
      </c>
      <c r="P258" s="143" t="s">
        <v>1398</v>
      </c>
      <c r="Q258" s="143" t="s">
        <v>413</v>
      </c>
      <c r="R258" s="143" t="s">
        <v>407</v>
      </c>
      <c r="S258" s="143" t="s">
        <v>1210</v>
      </c>
      <c r="T258" s="144">
        <v>0.75</v>
      </c>
      <c r="U258" s="143" t="s">
        <v>1438</v>
      </c>
      <c r="V258" s="146">
        <v>4.1399999999999999E-2</v>
      </c>
      <c r="W258" s="146">
        <v>5.2513999999999998E-2</v>
      </c>
      <c r="X258" s="143" t="s">
        <v>412</v>
      </c>
      <c r="Y258" s="145" t="s">
        <v>3930</v>
      </c>
      <c r="Z258" s="144">
        <v>2007.88</v>
      </c>
      <c r="AA258" s="145" t="s">
        <v>3930</v>
      </c>
      <c r="AB258" s="143" t="s">
        <v>1439</v>
      </c>
      <c r="AC258" s="145" t="s">
        <v>3930</v>
      </c>
      <c r="AD258" s="144">
        <v>2.0105</v>
      </c>
      <c r="AE258" s="145" t="s">
        <v>3930</v>
      </c>
      <c r="AF258" s="145" t="s">
        <v>3930</v>
      </c>
      <c r="AG258" s="145" t="s">
        <v>3930</v>
      </c>
      <c r="AH258" s="146">
        <v>1.7838088334180026E-5</v>
      </c>
      <c r="AI258" s="146">
        <v>1.2170135878808692E-4</v>
      </c>
      <c r="AJ258" s="147">
        <v>6.6565673194534579E-6</v>
      </c>
      <c r="AK258" s="177"/>
    </row>
    <row r="259" spans="1:37" ht="15" x14ac:dyDescent="0.2">
      <c r="A259" s="142" t="s">
        <v>1220</v>
      </c>
      <c r="B259" s="143" t="s">
        <v>1221</v>
      </c>
      <c r="C259" s="143" t="s">
        <v>1461</v>
      </c>
      <c r="D259" s="143" t="s">
        <v>1462</v>
      </c>
      <c r="E259" s="143" t="s">
        <v>309</v>
      </c>
      <c r="F259" s="143" t="s">
        <v>1463</v>
      </c>
      <c r="G259" s="143" t="s">
        <v>1464</v>
      </c>
      <c r="H259" s="143" t="s">
        <v>321</v>
      </c>
      <c r="I259" s="143" t="s">
        <v>951</v>
      </c>
      <c r="J259" s="143" t="s">
        <v>204</v>
      </c>
      <c r="K259" s="143" t="s">
        <v>204</v>
      </c>
      <c r="L259" s="143" t="s">
        <v>325</v>
      </c>
      <c r="M259" s="143" t="s">
        <v>340</v>
      </c>
      <c r="N259" s="143" t="s">
        <v>464</v>
      </c>
      <c r="O259" s="143" t="s">
        <v>339</v>
      </c>
      <c r="P259" s="143" t="s">
        <v>1425</v>
      </c>
      <c r="Q259" s="143" t="s">
        <v>415</v>
      </c>
      <c r="R259" s="143" t="s">
        <v>407</v>
      </c>
      <c r="S259" s="143" t="s">
        <v>1210</v>
      </c>
      <c r="T259" s="144">
        <v>1.35</v>
      </c>
      <c r="U259" s="143" t="s">
        <v>1465</v>
      </c>
      <c r="V259" s="146">
        <v>3.85E-2</v>
      </c>
      <c r="W259" s="146">
        <v>5.4038999999999997E-2</v>
      </c>
      <c r="X259" s="143" t="s">
        <v>412</v>
      </c>
      <c r="Y259" s="145" t="s">
        <v>3930</v>
      </c>
      <c r="Z259" s="144">
        <v>0.03</v>
      </c>
      <c r="AA259" s="145" t="s">
        <v>3930</v>
      </c>
      <c r="AB259" s="143" t="s">
        <v>1466</v>
      </c>
      <c r="AC259" s="145" t="s">
        <v>3930</v>
      </c>
      <c r="AD259" s="144">
        <v>0</v>
      </c>
      <c r="AE259" s="145" t="s">
        <v>3930</v>
      </c>
      <c r="AF259" s="145" t="s">
        <v>3930</v>
      </c>
      <c r="AG259" s="145" t="s">
        <v>3930</v>
      </c>
      <c r="AH259" s="146">
        <v>6.4158384913431238E-11</v>
      </c>
      <c r="AI259" s="146">
        <v>1.8208984523201907E-9</v>
      </c>
      <c r="AJ259" s="147">
        <v>9.9595709123211973E-11</v>
      </c>
      <c r="AK259" s="177"/>
    </row>
    <row r="260" spans="1:37" ht="15" x14ac:dyDescent="0.2">
      <c r="A260" s="142" t="s">
        <v>1220</v>
      </c>
      <c r="B260" s="143" t="s">
        <v>1221</v>
      </c>
      <c r="C260" s="143" t="s">
        <v>1474</v>
      </c>
      <c r="D260" s="143" t="s">
        <v>1475</v>
      </c>
      <c r="E260" s="143" t="s">
        <v>313</v>
      </c>
      <c r="F260" s="143" t="s">
        <v>1476</v>
      </c>
      <c r="G260" s="143" t="s">
        <v>1477</v>
      </c>
      <c r="H260" s="143" t="s">
        <v>321</v>
      </c>
      <c r="I260" s="143" t="s">
        <v>754</v>
      </c>
      <c r="J260" s="143" t="s">
        <v>204</v>
      </c>
      <c r="K260" s="143" t="s">
        <v>204</v>
      </c>
      <c r="L260" s="143" t="s">
        <v>325</v>
      </c>
      <c r="M260" s="143" t="s">
        <v>340</v>
      </c>
      <c r="N260" s="143" t="s">
        <v>440</v>
      </c>
      <c r="O260" s="143" t="s">
        <v>339</v>
      </c>
      <c r="P260" s="143" t="s">
        <v>1478</v>
      </c>
      <c r="Q260" s="143" t="s">
        <v>415</v>
      </c>
      <c r="R260" s="143" t="s">
        <v>407</v>
      </c>
      <c r="S260" s="143" t="s">
        <v>1210</v>
      </c>
      <c r="T260" s="144">
        <v>10.4</v>
      </c>
      <c r="U260" s="143" t="s">
        <v>1479</v>
      </c>
      <c r="V260" s="146">
        <v>3.2000000000000001E-2</v>
      </c>
      <c r="W260" s="146">
        <v>3.4784000000000002E-2</v>
      </c>
      <c r="X260" s="143" t="s">
        <v>412</v>
      </c>
      <c r="Y260" s="145" t="s">
        <v>3930</v>
      </c>
      <c r="Z260" s="144">
        <v>1049197</v>
      </c>
      <c r="AA260" s="145" t="s">
        <v>3930</v>
      </c>
      <c r="AB260" s="143" t="s">
        <v>1480</v>
      </c>
      <c r="AC260" s="145" t="s">
        <v>3930</v>
      </c>
      <c r="AD260" s="144">
        <v>1080.3581999999999</v>
      </c>
      <c r="AE260" s="145" t="s">
        <v>3930</v>
      </c>
      <c r="AF260" s="145" t="s">
        <v>3930</v>
      </c>
      <c r="AG260" s="145" t="s">
        <v>3930</v>
      </c>
      <c r="AH260" s="146">
        <v>2.1306724085866426E-4</v>
      </c>
      <c r="AI260" s="146">
        <v>6.5397509555045141E-2</v>
      </c>
      <c r="AJ260" s="147">
        <v>3.5769767011046027E-3</v>
      </c>
      <c r="AK260" s="177"/>
    </row>
    <row r="261" spans="1:37" ht="15" x14ac:dyDescent="0.2">
      <c r="A261" s="142" t="s">
        <v>1220</v>
      </c>
      <c r="B261" s="143" t="s">
        <v>1221</v>
      </c>
      <c r="C261" s="143" t="s">
        <v>1474</v>
      </c>
      <c r="D261" s="143" t="s">
        <v>1475</v>
      </c>
      <c r="E261" s="143" t="s">
        <v>313</v>
      </c>
      <c r="F261" s="143" t="s">
        <v>1481</v>
      </c>
      <c r="G261" s="143" t="s">
        <v>1482</v>
      </c>
      <c r="H261" s="143" t="s">
        <v>321</v>
      </c>
      <c r="I261" s="143" t="s">
        <v>754</v>
      </c>
      <c r="J261" s="143" t="s">
        <v>204</v>
      </c>
      <c r="K261" s="143" t="s">
        <v>204</v>
      </c>
      <c r="L261" s="143" t="s">
        <v>325</v>
      </c>
      <c r="M261" s="143" t="s">
        <v>340</v>
      </c>
      <c r="N261" s="143" t="s">
        <v>440</v>
      </c>
      <c r="O261" s="143" t="s">
        <v>339</v>
      </c>
      <c r="P261" s="143" t="s">
        <v>1478</v>
      </c>
      <c r="Q261" s="143" t="s">
        <v>415</v>
      </c>
      <c r="R261" s="143" t="s">
        <v>407</v>
      </c>
      <c r="S261" s="143" t="s">
        <v>1210</v>
      </c>
      <c r="T261" s="144">
        <v>7.64</v>
      </c>
      <c r="U261" s="143" t="s">
        <v>1483</v>
      </c>
      <c r="V261" s="146">
        <v>0.03</v>
      </c>
      <c r="W261" s="146">
        <v>3.2599000000000003E-2</v>
      </c>
      <c r="X261" s="143" t="s">
        <v>412</v>
      </c>
      <c r="Y261" s="145" t="s">
        <v>3930</v>
      </c>
      <c r="Z261" s="144">
        <v>1025000</v>
      </c>
      <c r="AA261" s="145" t="s">
        <v>3930</v>
      </c>
      <c r="AB261" s="143" t="s">
        <v>1484</v>
      </c>
      <c r="AC261" s="145" t="s">
        <v>3930</v>
      </c>
      <c r="AD261" s="144">
        <v>1063.0274999999999</v>
      </c>
      <c r="AE261" s="145" t="s">
        <v>3930</v>
      </c>
      <c r="AF261" s="145" t="s">
        <v>3930</v>
      </c>
      <c r="AG261" s="145" t="s">
        <v>3930</v>
      </c>
      <c r="AH261" s="146">
        <v>2.5123755945138541E-4</v>
      </c>
      <c r="AI261" s="146">
        <v>6.4348430222525899E-2</v>
      </c>
      <c r="AJ261" s="147">
        <v>3.5195963458653375E-3</v>
      </c>
      <c r="AK261" s="177"/>
    </row>
    <row r="262" spans="1:37" ht="15" x14ac:dyDescent="0.2">
      <c r="A262" s="142" t="s">
        <v>1220</v>
      </c>
      <c r="B262" s="143" t="s">
        <v>1221</v>
      </c>
      <c r="C262" s="143" t="s">
        <v>1358</v>
      </c>
      <c r="D262" s="143" t="s">
        <v>1359</v>
      </c>
      <c r="E262" s="143" t="s">
        <v>309</v>
      </c>
      <c r="F262" s="143" t="s">
        <v>1485</v>
      </c>
      <c r="G262" s="143" t="s">
        <v>1486</v>
      </c>
      <c r="H262" s="143" t="s">
        <v>321</v>
      </c>
      <c r="I262" s="143" t="s">
        <v>754</v>
      </c>
      <c r="J262" s="143" t="s">
        <v>204</v>
      </c>
      <c r="K262" s="143" t="s">
        <v>204</v>
      </c>
      <c r="L262" s="143" t="s">
        <v>325</v>
      </c>
      <c r="M262" s="143" t="s">
        <v>340</v>
      </c>
      <c r="N262" s="143" t="s">
        <v>448</v>
      </c>
      <c r="O262" s="143" t="s">
        <v>339</v>
      </c>
      <c r="P262" s="143" t="s">
        <v>1303</v>
      </c>
      <c r="Q262" s="143" t="s">
        <v>413</v>
      </c>
      <c r="R262" s="143" t="s">
        <v>407</v>
      </c>
      <c r="S262" s="143" t="s">
        <v>1210</v>
      </c>
      <c r="T262" s="144">
        <v>1.72</v>
      </c>
      <c r="U262" s="143" t="s">
        <v>1487</v>
      </c>
      <c r="V262" s="146">
        <v>3.8E-3</v>
      </c>
      <c r="W262" s="146">
        <v>2.1166000000000001E-2</v>
      </c>
      <c r="X262" s="143" t="s">
        <v>412</v>
      </c>
      <c r="Y262" s="145" t="s">
        <v>3930</v>
      </c>
      <c r="Z262" s="144">
        <v>734516</v>
      </c>
      <c r="AA262" s="145" t="s">
        <v>3930</v>
      </c>
      <c r="AB262" s="143" t="s">
        <v>1488</v>
      </c>
      <c r="AC262" s="145" t="s">
        <v>3930</v>
      </c>
      <c r="AD262" s="144">
        <v>810.83219999999994</v>
      </c>
      <c r="AE262" s="145" t="s">
        <v>3930</v>
      </c>
      <c r="AF262" s="145" t="s">
        <v>3930</v>
      </c>
      <c r="AG262" s="145" t="s">
        <v>3930</v>
      </c>
      <c r="AH262" s="146">
        <v>2.4483866666666668E-4</v>
      </c>
      <c r="AI262" s="146">
        <v>4.9082248617084413E-2</v>
      </c>
      <c r="AJ262" s="147">
        <v>2.6845985563618505E-3</v>
      </c>
      <c r="AK262" s="177"/>
    </row>
    <row r="263" spans="1:37" ht="15" x14ac:dyDescent="0.2">
      <c r="A263" s="142" t="s">
        <v>1220</v>
      </c>
      <c r="B263" s="143" t="s">
        <v>1221</v>
      </c>
      <c r="C263" s="143" t="s">
        <v>1569</v>
      </c>
      <c r="D263" s="143" t="s">
        <v>1570</v>
      </c>
      <c r="E263" s="143" t="s">
        <v>309</v>
      </c>
      <c r="F263" s="143" t="s">
        <v>1602</v>
      </c>
      <c r="G263" s="143" t="s">
        <v>1603</v>
      </c>
      <c r="H263" s="143" t="s">
        <v>321</v>
      </c>
      <c r="I263" s="143" t="s">
        <v>754</v>
      </c>
      <c r="J263" s="143" t="s">
        <v>204</v>
      </c>
      <c r="K263" s="143" t="s">
        <v>204</v>
      </c>
      <c r="L263" s="143" t="s">
        <v>325</v>
      </c>
      <c r="M263" s="143" t="s">
        <v>340</v>
      </c>
      <c r="N263" s="143" t="s">
        <v>448</v>
      </c>
      <c r="O263" s="143" t="s">
        <v>339</v>
      </c>
      <c r="P263" s="143" t="s">
        <v>1303</v>
      </c>
      <c r="Q263" s="143" t="s">
        <v>413</v>
      </c>
      <c r="R263" s="143" t="s">
        <v>407</v>
      </c>
      <c r="S263" s="143" t="s">
        <v>1210</v>
      </c>
      <c r="T263" s="144">
        <v>3.01</v>
      </c>
      <c r="U263" s="143" t="s">
        <v>1604</v>
      </c>
      <c r="V263" s="146">
        <v>1.7500000000000002E-2</v>
      </c>
      <c r="W263" s="146">
        <v>2.3508000000000001E-2</v>
      </c>
      <c r="X263" s="143" t="s">
        <v>412</v>
      </c>
      <c r="Y263" s="145" t="s">
        <v>3930</v>
      </c>
      <c r="Z263" s="144">
        <v>602731.31000000006</v>
      </c>
      <c r="AA263" s="145" t="s">
        <v>3930</v>
      </c>
      <c r="AB263" s="143" t="s">
        <v>1605</v>
      </c>
      <c r="AC263" s="145" t="s">
        <v>3930</v>
      </c>
      <c r="AD263" s="144">
        <v>688.80130000000008</v>
      </c>
      <c r="AE263" s="145" t="s">
        <v>3930</v>
      </c>
      <c r="AF263" s="145" t="s">
        <v>3930</v>
      </c>
      <c r="AG263" s="145" t="s">
        <v>3930</v>
      </c>
      <c r="AH263" s="146">
        <v>2.317849793492119E-4</v>
      </c>
      <c r="AI263" s="146">
        <v>4.1695332465901833E-2</v>
      </c>
      <c r="AJ263" s="147">
        <v>2.28056440971666E-3</v>
      </c>
      <c r="AK263" s="177"/>
    </row>
    <row r="264" spans="1:37" ht="15" x14ac:dyDescent="0.2">
      <c r="A264" s="142" t="s">
        <v>1220</v>
      </c>
      <c r="B264" s="143" t="s">
        <v>1221</v>
      </c>
      <c r="C264" s="143" t="s">
        <v>1493</v>
      </c>
      <c r="D264" s="143" t="s">
        <v>1494</v>
      </c>
      <c r="E264" s="143" t="s">
        <v>309</v>
      </c>
      <c r="F264" s="143" t="s">
        <v>1495</v>
      </c>
      <c r="G264" s="143" t="s">
        <v>1496</v>
      </c>
      <c r="H264" s="143" t="s">
        <v>321</v>
      </c>
      <c r="I264" s="143" t="s">
        <v>754</v>
      </c>
      <c r="J264" s="143" t="s">
        <v>204</v>
      </c>
      <c r="K264" s="143" t="s">
        <v>204</v>
      </c>
      <c r="L264" s="143" t="s">
        <v>325</v>
      </c>
      <c r="M264" s="143" t="s">
        <v>340</v>
      </c>
      <c r="N264" s="143" t="s">
        <v>448</v>
      </c>
      <c r="O264" s="143" t="s">
        <v>339</v>
      </c>
      <c r="P264" s="143" t="s">
        <v>1303</v>
      </c>
      <c r="Q264" s="143" t="s">
        <v>413</v>
      </c>
      <c r="R264" s="143" t="s">
        <v>407</v>
      </c>
      <c r="S264" s="143" t="s">
        <v>1210</v>
      </c>
      <c r="T264" s="144">
        <v>5.14</v>
      </c>
      <c r="U264" s="143" t="s">
        <v>1497</v>
      </c>
      <c r="V264" s="146">
        <v>1E-3</v>
      </c>
      <c r="W264" s="146">
        <v>2.6318999999999999E-2</v>
      </c>
      <c r="X264" s="143" t="s">
        <v>412</v>
      </c>
      <c r="Y264" s="145" t="s">
        <v>3930</v>
      </c>
      <c r="Z264" s="144">
        <v>660000</v>
      </c>
      <c r="AA264" s="145" t="s">
        <v>3930</v>
      </c>
      <c r="AB264" s="143" t="s">
        <v>1498</v>
      </c>
      <c r="AC264" s="145" t="s">
        <v>3930</v>
      </c>
      <c r="AD264" s="144">
        <v>654.05999999999995</v>
      </c>
      <c r="AE264" s="145" t="s">
        <v>3930</v>
      </c>
      <c r="AF264" s="145" t="s">
        <v>3930</v>
      </c>
      <c r="AG264" s="145" t="s">
        <v>3930</v>
      </c>
      <c r="AH264" s="146">
        <v>2.653980105604281E-4</v>
      </c>
      <c r="AI264" s="146">
        <v>3.9592328769806319E-2</v>
      </c>
      <c r="AJ264" s="147">
        <v>2.1655386958255385E-3</v>
      </c>
      <c r="AK264" s="177"/>
    </row>
    <row r="265" spans="1:37" ht="15" x14ac:dyDescent="0.2">
      <c r="A265" s="142" t="s">
        <v>1220</v>
      </c>
      <c r="B265" s="143" t="s">
        <v>1221</v>
      </c>
      <c r="C265" s="143" t="s">
        <v>1358</v>
      </c>
      <c r="D265" s="143" t="s">
        <v>1359</v>
      </c>
      <c r="E265" s="143" t="s">
        <v>309</v>
      </c>
      <c r="F265" s="143" t="s">
        <v>1640</v>
      </c>
      <c r="G265" s="143" t="s">
        <v>1641</v>
      </c>
      <c r="H265" s="143" t="s">
        <v>321</v>
      </c>
      <c r="I265" s="143" t="s">
        <v>754</v>
      </c>
      <c r="J265" s="143" t="s">
        <v>204</v>
      </c>
      <c r="K265" s="143" t="s">
        <v>204</v>
      </c>
      <c r="L265" s="143" t="s">
        <v>325</v>
      </c>
      <c r="M265" s="143" t="s">
        <v>340</v>
      </c>
      <c r="N265" s="143" t="s">
        <v>448</v>
      </c>
      <c r="O265" s="143" t="s">
        <v>339</v>
      </c>
      <c r="P265" s="143" t="s">
        <v>1209</v>
      </c>
      <c r="Q265" s="143" t="s">
        <v>415</v>
      </c>
      <c r="R265" s="143" t="s">
        <v>407</v>
      </c>
      <c r="S265" s="143" t="s">
        <v>1210</v>
      </c>
      <c r="T265" s="144">
        <v>2.16</v>
      </c>
      <c r="U265" s="143" t="s">
        <v>1642</v>
      </c>
      <c r="V265" s="146">
        <v>5.0000000000000001E-3</v>
      </c>
      <c r="W265" s="146">
        <v>2.1333999999999999E-2</v>
      </c>
      <c r="X265" s="143" t="s">
        <v>412</v>
      </c>
      <c r="Y265" s="145" t="s">
        <v>3930</v>
      </c>
      <c r="Z265" s="144">
        <v>542209</v>
      </c>
      <c r="AA265" s="145" t="s">
        <v>3930</v>
      </c>
      <c r="AB265" s="143" t="s">
        <v>1643</v>
      </c>
      <c r="AC265" s="145" t="s">
        <v>3930</v>
      </c>
      <c r="AD265" s="144">
        <v>600.3338</v>
      </c>
      <c r="AE265" s="145" t="s">
        <v>3930</v>
      </c>
      <c r="AF265" s="145" t="s">
        <v>3930</v>
      </c>
      <c r="AG265" s="145" t="s">
        <v>3930</v>
      </c>
      <c r="AH265" s="146">
        <v>7.1040416975117523E-4</v>
      </c>
      <c r="AI265" s="146">
        <v>3.634011156663048E-2</v>
      </c>
      <c r="AJ265" s="147">
        <v>1.9876556962764506E-3</v>
      </c>
      <c r="AK265" s="177"/>
    </row>
    <row r="266" spans="1:37" ht="15" x14ac:dyDescent="0.2">
      <c r="A266" s="142" t="s">
        <v>1220</v>
      </c>
      <c r="B266" s="143" t="s">
        <v>1221</v>
      </c>
      <c r="C266" s="143" t="s">
        <v>1358</v>
      </c>
      <c r="D266" s="143" t="s">
        <v>1359</v>
      </c>
      <c r="E266" s="143" t="s">
        <v>309</v>
      </c>
      <c r="F266" s="143" t="s">
        <v>1489</v>
      </c>
      <c r="G266" s="143" t="s">
        <v>1490</v>
      </c>
      <c r="H266" s="143" t="s">
        <v>321</v>
      </c>
      <c r="I266" s="143" t="s">
        <v>754</v>
      </c>
      <c r="J266" s="143" t="s">
        <v>204</v>
      </c>
      <c r="K266" s="143" t="s">
        <v>204</v>
      </c>
      <c r="L266" s="143" t="s">
        <v>325</v>
      </c>
      <c r="M266" s="143" t="s">
        <v>340</v>
      </c>
      <c r="N266" s="143" t="s">
        <v>448</v>
      </c>
      <c r="O266" s="143" t="s">
        <v>339</v>
      </c>
      <c r="P266" s="143" t="s">
        <v>1303</v>
      </c>
      <c r="Q266" s="143" t="s">
        <v>413</v>
      </c>
      <c r="R266" s="143" t="s">
        <v>407</v>
      </c>
      <c r="S266" s="143" t="s">
        <v>1210</v>
      </c>
      <c r="T266" s="144">
        <v>2.96</v>
      </c>
      <c r="U266" s="143" t="s">
        <v>1491</v>
      </c>
      <c r="V266" s="146">
        <v>1.2200000000000001E-2</v>
      </c>
      <c r="W266" s="146">
        <v>2.2668000000000001E-2</v>
      </c>
      <c r="X266" s="143" t="s">
        <v>412</v>
      </c>
      <c r="Y266" s="145" t="s">
        <v>3930</v>
      </c>
      <c r="Z266" s="144">
        <v>524225</v>
      </c>
      <c r="AA266" s="145" t="s">
        <v>3930</v>
      </c>
      <c r="AB266" s="143" t="s">
        <v>1492</v>
      </c>
      <c r="AC266" s="145" t="s">
        <v>3930</v>
      </c>
      <c r="AD266" s="144">
        <v>592.58389999999997</v>
      </c>
      <c r="AE266" s="145" t="s">
        <v>3930</v>
      </c>
      <c r="AF266" s="145" t="s">
        <v>3930</v>
      </c>
      <c r="AG266" s="145" t="s">
        <v>3930</v>
      </c>
      <c r="AH266" s="146">
        <v>1.7383701882072361E-4</v>
      </c>
      <c r="AI266" s="146">
        <v>3.5870987640563838E-2</v>
      </c>
      <c r="AJ266" s="147">
        <v>1.9619965333375518E-3</v>
      </c>
      <c r="AK266" s="177"/>
    </row>
    <row r="267" spans="1:37" ht="15" x14ac:dyDescent="0.2">
      <c r="A267" s="142" t="s">
        <v>1220</v>
      </c>
      <c r="B267" s="143" t="s">
        <v>1221</v>
      </c>
      <c r="C267" s="143" t="s">
        <v>1493</v>
      </c>
      <c r="D267" s="143" t="s">
        <v>1494</v>
      </c>
      <c r="E267" s="143" t="s">
        <v>309</v>
      </c>
      <c r="F267" s="143" t="s">
        <v>1528</v>
      </c>
      <c r="G267" s="143" t="s">
        <v>1529</v>
      </c>
      <c r="H267" s="143" t="s">
        <v>321</v>
      </c>
      <c r="I267" s="143" t="s">
        <v>754</v>
      </c>
      <c r="J267" s="143" t="s">
        <v>204</v>
      </c>
      <c r="K267" s="143" t="s">
        <v>204</v>
      </c>
      <c r="L267" s="143" t="s">
        <v>325</v>
      </c>
      <c r="M267" s="143" t="s">
        <v>340</v>
      </c>
      <c r="N267" s="143" t="s">
        <v>448</v>
      </c>
      <c r="O267" s="143" t="s">
        <v>339</v>
      </c>
      <c r="P267" s="143" t="s">
        <v>1303</v>
      </c>
      <c r="Q267" s="143" t="s">
        <v>413</v>
      </c>
      <c r="R267" s="143" t="s">
        <v>407</v>
      </c>
      <c r="S267" s="143" t="s">
        <v>1210</v>
      </c>
      <c r="T267" s="144">
        <v>5.04</v>
      </c>
      <c r="U267" s="143" t="s">
        <v>1530</v>
      </c>
      <c r="V267" s="146">
        <v>2.0251999999999999E-2</v>
      </c>
      <c r="W267" s="146">
        <v>2.6082999999999999E-2</v>
      </c>
      <c r="X267" s="143" t="s">
        <v>412</v>
      </c>
      <c r="Y267" s="145" t="s">
        <v>3930</v>
      </c>
      <c r="Z267" s="144">
        <v>500000</v>
      </c>
      <c r="AA267" s="145" t="s">
        <v>3930</v>
      </c>
      <c r="AB267" s="143" t="s">
        <v>1531</v>
      </c>
      <c r="AC267" s="145" t="s">
        <v>3930</v>
      </c>
      <c r="AD267" s="144">
        <v>506.75</v>
      </c>
      <c r="AE267" s="145" t="s">
        <v>3930</v>
      </c>
      <c r="AF267" s="145" t="s">
        <v>3930</v>
      </c>
      <c r="AG267" s="145" t="s">
        <v>3930</v>
      </c>
      <c r="AH267" s="146">
        <v>1.4013390074483971E-4</v>
      </c>
      <c r="AI267" s="146">
        <v>3.0675186686388637E-2</v>
      </c>
      <c r="AJ267" s="147">
        <v>1.6778074398519885E-3</v>
      </c>
      <c r="AK267" s="177"/>
    </row>
    <row r="268" spans="1:37" ht="15" x14ac:dyDescent="0.2">
      <c r="A268" s="142" t="s">
        <v>1220</v>
      </c>
      <c r="B268" s="143" t="s">
        <v>1221</v>
      </c>
      <c r="C268" s="143" t="s">
        <v>1503</v>
      </c>
      <c r="D268" s="143" t="s">
        <v>1504</v>
      </c>
      <c r="E268" s="143" t="s">
        <v>309</v>
      </c>
      <c r="F268" s="143" t="s">
        <v>1505</v>
      </c>
      <c r="G268" s="143" t="s">
        <v>1506</v>
      </c>
      <c r="H268" s="143" t="s">
        <v>321</v>
      </c>
      <c r="I268" s="143" t="s">
        <v>754</v>
      </c>
      <c r="J268" s="143" t="s">
        <v>204</v>
      </c>
      <c r="K268" s="143" t="s">
        <v>204</v>
      </c>
      <c r="L268" s="143" t="s">
        <v>325</v>
      </c>
      <c r="M268" s="143" t="s">
        <v>340</v>
      </c>
      <c r="N268" s="143" t="s">
        <v>464</v>
      </c>
      <c r="O268" s="143" t="s">
        <v>339</v>
      </c>
      <c r="P268" s="143" t="s">
        <v>1412</v>
      </c>
      <c r="Q268" s="143" t="s">
        <v>413</v>
      </c>
      <c r="R268" s="143" t="s">
        <v>407</v>
      </c>
      <c r="S268" s="143" t="s">
        <v>1210</v>
      </c>
      <c r="T268" s="144">
        <v>1.5</v>
      </c>
      <c r="U268" s="143" t="s">
        <v>1507</v>
      </c>
      <c r="V268" s="146">
        <v>2.1499999999999998E-2</v>
      </c>
      <c r="W268" s="146">
        <v>2.5753000000000002E-2</v>
      </c>
      <c r="X268" s="143" t="s">
        <v>412</v>
      </c>
      <c r="Y268" s="145" t="s">
        <v>3930</v>
      </c>
      <c r="Z268" s="144">
        <v>406434.57</v>
      </c>
      <c r="AA268" s="145" t="s">
        <v>3930</v>
      </c>
      <c r="AB268" s="143" t="s">
        <v>1508</v>
      </c>
      <c r="AC268" s="145" t="s">
        <v>3930</v>
      </c>
      <c r="AD268" s="144">
        <v>479.10509999999999</v>
      </c>
      <c r="AE268" s="145" t="s">
        <v>3930</v>
      </c>
      <c r="AF268" s="145" t="s">
        <v>3930</v>
      </c>
      <c r="AG268" s="145" t="s">
        <v>3930</v>
      </c>
      <c r="AH268" s="146">
        <v>3.4071385507569382E-4</v>
      </c>
      <c r="AI268" s="146">
        <v>2.9001751354472236E-2</v>
      </c>
      <c r="AJ268" s="147">
        <v>1.5862773612022514E-3</v>
      </c>
      <c r="AK268" s="177"/>
    </row>
    <row r="269" spans="1:37" ht="15" x14ac:dyDescent="0.2">
      <c r="A269" s="142" t="s">
        <v>1220</v>
      </c>
      <c r="B269" s="143" t="s">
        <v>1221</v>
      </c>
      <c r="C269" s="143" t="s">
        <v>1474</v>
      </c>
      <c r="D269" s="143" t="s">
        <v>1475</v>
      </c>
      <c r="E269" s="143" t="s">
        <v>313</v>
      </c>
      <c r="F269" s="143" t="s">
        <v>1551</v>
      </c>
      <c r="G269" s="143" t="s">
        <v>1552</v>
      </c>
      <c r="H269" s="143" t="s">
        <v>321</v>
      </c>
      <c r="I269" s="143" t="s">
        <v>754</v>
      </c>
      <c r="J269" s="143" t="s">
        <v>204</v>
      </c>
      <c r="K269" s="143" t="s">
        <v>204</v>
      </c>
      <c r="L269" s="143" t="s">
        <v>325</v>
      </c>
      <c r="M269" s="143" t="s">
        <v>340</v>
      </c>
      <c r="N269" s="143" t="s">
        <v>440</v>
      </c>
      <c r="O269" s="143" t="s">
        <v>339</v>
      </c>
      <c r="P269" s="143" t="s">
        <v>1478</v>
      </c>
      <c r="Q269" s="143" t="s">
        <v>415</v>
      </c>
      <c r="R269" s="143" t="s">
        <v>407</v>
      </c>
      <c r="S269" s="143" t="s">
        <v>1210</v>
      </c>
      <c r="T269" s="144">
        <v>5.8</v>
      </c>
      <c r="U269" s="143" t="s">
        <v>1553</v>
      </c>
      <c r="V269" s="146">
        <v>2.3900000000000001E-2</v>
      </c>
      <c r="W269" s="146">
        <v>2.9045000000000001E-2</v>
      </c>
      <c r="X269" s="143" t="s">
        <v>412</v>
      </c>
      <c r="Y269" s="145" t="s">
        <v>3930</v>
      </c>
      <c r="Z269" s="144">
        <v>400000</v>
      </c>
      <c r="AA269" s="145" t="s">
        <v>3930</v>
      </c>
      <c r="AB269" s="143" t="s">
        <v>1554</v>
      </c>
      <c r="AC269" s="145" t="s">
        <v>3930</v>
      </c>
      <c r="AD269" s="144">
        <v>446.96</v>
      </c>
      <c r="AE269" s="145" t="s">
        <v>3930</v>
      </c>
      <c r="AF269" s="145" t="s">
        <v>3930</v>
      </c>
      <c r="AG269" s="145" t="s">
        <v>3930</v>
      </c>
      <c r="AH269" s="146">
        <v>1.028502900892432E-4</v>
      </c>
      <c r="AI269" s="146">
        <v>2.7055908123035551E-2</v>
      </c>
      <c r="AJ269" s="147">
        <v>1.4798476829131618E-3</v>
      </c>
      <c r="AK269" s="177"/>
    </row>
    <row r="270" spans="1:37" ht="15" x14ac:dyDescent="0.2">
      <c r="A270" s="142" t="s">
        <v>1220</v>
      </c>
      <c r="B270" s="143" t="s">
        <v>1221</v>
      </c>
      <c r="C270" s="143" t="s">
        <v>1522</v>
      </c>
      <c r="D270" s="143" t="s">
        <v>1523</v>
      </c>
      <c r="E270" s="143" t="s">
        <v>309</v>
      </c>
      <c r="F270" s="143" t="s">
        <v>1524</v>
      </c>
      <c r="G270" s="143" t="s">
        <v>1525</v>
      </c>
      <c r="H270" s="143" t="s">
        <v>321</v>
      </c>
      <c r="I270" s="143" t="s">
        <v>754</v>
      </c>
      <c r="J270" s="143" t="s">
        <v>204</v>
      </c>
      <c r="K270" s="143" t="s">
        <v>204</v>
      </c>
      <c r="L270" s="143" t="s">
        <v>325</v>
      </c>
      <c r="M270" s="143" t="s">
        <v>340</v>
      </c>
      <c r="N270" s="143" t="s">
        <v>448</v>
      </c>
      <c r="O270" s="143" t="s">
        <v>339</v>
      </c>
      <c r="P270" s="143" t="s">
        <v>1356</v>
      </c>
      <c r="Q270" s="143" t="s">
        <v>413</v>
      </c>
      <c r="R270" s="143" t="s">
        <v>407</v>
      </c>
      <c r="S270" s="143" t="s">
        <v>1210</v>
      </c>
      <c r="T270" s="144">
        <v>1.23</v>
      </c>
      <c r="U270" s="143" t="s">
        <v>1526</v>
      </c>
      <c r="V270" s="146">
        <v>2E-3</v>
      </c>
      <c r="W270" s="146">
        <v>2.0126999999999999E-2</v>
      </c>
      <c r="X270" s="143" t="s">
        <v>412</v>
      </c>
      <c r="Y270" s="145" t="s">
        <v>3930</v>
      </c>
      <c r="Z270" s="144">
        <v>397207.5</v>
      </c>
      <c r="AA270" s="145" t="s">
        <v>3930</v>
      </c>
      <c r="AB270" s="143" t="s">
        <v>1527</v>
      </c>
      <c r="AC270" s="145" t="s">
        <v>3930</v>
      </c>
      <c r="AD270" s="144">
        <v>444.27659999999997</v>
      </c>
      <c r="AE270" s="145" t="s">
        <v>3930</v>
      </c>
      <c r="AF270" s="145" t="s">
        <v>3930</v>
      </c>
      <c r="AG270" s="145" t="s">
        <v>3930</v>
      </c>
      <c r="AH270" s="146">
        <v>9.4975620108671581E-4</v>
      </c>
      <c r="AI270" s="146">
        <v>2.6893472718891288E-2</v>
      </c>
      <c r="AJ270" s="147">
        <v>1.4709631296631717E-3</v>
      </c>
      <c r="AK270" s="177"/>
    </row>
    <row r="271" spans="1:37" ht="15" x14ac:dyDescent="0.2">
      <c r="A271" s="142" t="s">
        <v>1220</v>
      </c>
      <c r="B271" s="143" t="s">
        <v>1221</v>
      </c>
      <c r="C271" s="143" t="s">
        <v>1532</v>
      </c>
      <c r="D271" s="143" t="s">
        <v>1533</v>
      </c>
      <c r="E271" s="143" t="s">
        <v>309</v>
      </c>
      <c r="F271" s="143" t="s">
        <v>1534</v>
      </c>
      <c r="G271" s="143" t="s">
        <v>1535</v>
      </c>
      <c r="H271" s="143" t="s">
        <v>321</v>
      </c>
      <c r="I271" s="143" t="s">
        <v>754</v>
      </c>
      <c r="J271" s="143" t="s">
        <v>204</v>
      </c>
      <c r="K271" s="143" t="s">
        <v>204</v>
      </c>
      <c r="L271" s="143" t="s">
        <v>325</v>
      </c>
      <c r="M271" s="143" t="s">
        <v>340</v>
      </c>
      <c r="N271" s="143" t="s">
        <v>464</v>
      </c>
      <c r="O271" s="143" t="s">
        <v>339</v>
      </c>
      <c r="P271" s="143" t="s">
        <v>1412</v>
      </c>
      <c r="Q271" s="143" t="s">
        <v>413</v>
      </c>
      <c r="R271" s="143" t="s">
        <v>407</v>
      </c>
      <c r="S271" s="143" t="s">
        <v>1210</v>
      </c>
      <c r="T271" s="144">
        <v>2.1800000000000002</v>
      </c>
      <c r="U271" s="143" t="s">
        <v>1304</v>
      </c>
      <c r="V271" s="146">
        <v>2.3400000000000001E-2</v>
      </c>
      <c r="W271" s="146">
        <v>2.7172000000000002E-2</v>
      </c>
      <c r="X271" s="143" t="s">
        <v>412</v>
      </c>
      <c r="Y271" s="145" t="s">
        <v>3930</v>
      </c>
      <c r="Z271" s="144">
        <v>355792.96</v>
      </c>
      <c r="AA271" s="145" t="s">
        <v>3930</v>
      </c>
      <c r="AB271" s="143" t="s">
        <v>1536</v>
      </c>
      <c r="AC271" s="145" t="s">
        <v>3930</v>
      </c>
      <c r="AD271" s="144">
        <v>412.25729999999999</v>
      </c>
      <c r="AE271" s="145" t="s">
        <v>3930</v>
      </c>
      <c r="AF271" s="145" t="s">
        <v>3930</v>
      </c>
      <c r="AG271" s="145" t="s">
        <v>3930</v>
      </c>
      <c r="AH271" s="146">
        <v>1.6865765564737277E-4</v>
      </c>
      <c r="AI271" s="146">
        <v>2.4955243660078227E-2</v>
      </c>
      <c r="AJ271" s="147">
        <v>1.3649499155216956E-3</v>
      </c>
      <c r="AK271" s="177"/>
    </row>
    <row r="272" spans="1:37" ht="15" x14ac:dyDescent="0.2">
      <c r="A272" s="142" t="s">
        <v>1220</v>
      </c>
      <c r="B272" s="143" t="s">
        <v>1221</v>
      </c>
      <c r="C272" s="143" t="s">
        <v>1352</v>
      </c>
      <c r="D272" s="143" t="s">
        <v>1353</v>
      </c>
      <c r="E272" s="143" t="s">
        <v>309</v>
      </c>
      <c r="F272" s="143" t="s">
        <v>1499</v>
      </c>
      <c r="G272" s="143" t="s">
        <v>1500</v>
      </c>
      <c r="H272" s="143" t="s">
        <v>321</v>
      </c>
      <c r="I272" s="143" t="s">
        <v>754</v>
      </c>
      <c r="J272" s="143" t="s">
        <v>204</v>
      </c>
      <c r="K272" s="143" t="s">
        <v>204</v>
      </c>
      <c r="L272" s="143" t="s">
        <v>325</v>
      </c>
      <c r="M272" s="143" t="s">
        <v>340</v>
      </c>
      <c r="N272" s="143" t="s">
        <v>445</v>
      </c>
      <c r="O272" s="143" t="s">
        <v>339</v>
      </c>
      <c r="P272" s="143" t="s">
        <v>1356</v>
      </c>
      <c r="Q272" s="143" t="s">
        <v>413</v>
      </c>
      <c r="R272" s="143" t="s">
        <v>407</v>
      </c>
      <c r="S272" s="143" t="s">
        <v>1210</v>
      </c>
      <c r="T272" s="144">
        <v>6.79</v>
      </c>
      <c r="U272" s="143" t="s">
        <v>1501</v>
      </c>
      <c r="V272" s="146">
        <v>2.5000000000000001E-2</v>
      </c>
      <c r="W272" s="146">
        <v>6.0318999999999998E-2</v>
      </c>
      <c r="X272" s="143" t="s">
        <v>412</v>
      </c>
      <c r="Y272" s="145" t="s">
        <v>3930</v>
      </c>
      <c r="Z272" s="144">
        <v>500000</v>
      </c>
      <c r="AA272" s="145" t="s">
        <v>3930</v>
      </c>
      <c r="AB272" s="143" t="s">
        <v>1502</v>
      </c>
      <c r="AC272" s="145" t="s">
        <v>3930</v>
      </c>
      <c r="AD272" s="144">
        <v>396.35</v>
      </c>
      <c r="AE272" s="145" t="s">
        <v>3930</v>
      </c>
      <c r="AF272" s="145" t="s">
        <v>3930</v>
      </c>
      <c r="AG272" s="145" t="s">
        <v>3930</v>
      </c>
      <c r="AH272" s="146">
        <v>3.749117210366944E-4</v>
      </c>
      <c r="AI272" s="146">
        <v>2.3992324110804413E-2</v>
      </c>
      <c r="AJ272" s="147">
        <v>1.3122821485650432E-3</v>
      </c>
      <c r="AK272" s="177"/>
    </row>
    <row r="273" spans="1:37" ht="15" x14ac:dyDescent="0.2">
      <c r="A273" s="142" t="s">
        <v>1220</v>
      </c>
      <c r="B273" s="143" t="s">
        <v>1221</v>
      </c>
      <c r="C273" s="143" t="s">
        <v>1455</v>
      </c>
      <c r="D273" s="143" t="s">
        <v>1456</v>
      </c>
      <c r="E273" s="143" t="s">
        <v>309</v>
      </c>
      <c r="F273" s="143" t="s">
        <v>1565</v>
      </c>
      <c r="G273" s="143" t="s">
        <v>1566</v>
      </c>
      <c r="H273" s="143" t="s">
        <v>321</v>
      </c>
      <c r="I273" s="143" t="s">
        <v>754</v>
      </c>
      <c r="J273" s="143" t="s">
        <v>204</v>
      </c>
      <c r="K273" s="143" t="s">
        <v>204</v>
      </c>
      <c r="L273" s="143" t="s">
        <v>325</v>
      </c>
      <c r="M273" s="143" t="s">
        <v>340</v>
      </c>
      <c r="N273" s="143" t="s">
        <v>464</v>
      </c>
      <c r="O273" s="143" t="s">
        <v>339</v>
      </c>
      <c r="P273" s="143" t="s">
        <v>1412</v>
      </c>
      <c r="Q273" s="143" t="s">
        <v>413</v>
      </c>
      <c r="R273" s="143" t="s">
        <v>407</v>
      </c>
      <c r="S273" s="143" t="s">
        <v>1210</v>
      </c>
      <c r="T273" s="144">
        <v>5.14</v>
      </c>
      <c r="U273" s="143" t="s">
        <v>1567</v>
      </c>
      <c r="V273" s="146">
        <v>5.8999999999999999E-3</v>
      </c>
      <c r="W273" s="146">
        <v>3.3244999999999997E-2</v>
      </c>
      <c r="X273" s="143" t="s">
        <v>412</v>
      </c>
      <c r="Y273" s="145" t="s">
        <v>3930</v>
      </c>
      <c r="Z273" s="144">
        <v>400000</v>
      </c>
      <c r="AA273" s="145" t="s">
        <v>3930</v>
      </c>
      <c r="AB273" s="143" t="s">
        <v>1568</v>
      </c>
      <c r="AC273" s="145" t="s">
        <v>3930</v>
      </c>
      <c r="AD273" s="144">
        <v>390.16</v>
      </c>
      <c r="AE273" s="145" t="s">
        <v>3930</v>
      </c>
      <c r="AF273" s="145" t="s">
        <v>3930</v>
      </c>
      <c r="AG273" s="145" t="s">
        <v>3930</v>
      </c>
      <c r="AH273" s="146">
        <v>2.8560799873761264E-4</v>
      </c>
      <c r="AI273" s="146">
        <v>2.3617623754437871E-2</v>
      </c>
      <c r="AJ273" s="147">
        <v>1.2917875692800235E-3</v>
      </c>
      <c r="AK273" s="177"/>
    </row>
    <row r="274" spans="1:37" ht="15" x14ac:dyDescent="0.2">
      <c r="A274" s="142" t="s">
        <v>1220</v>
      </c>
      <c r="B274" s="143" t="s">
        <v>1221</v>
      </c>
      <c r="C274" s="143" t="s">
        <v>1541</v>
      </c>
      <c r="D274" s="143" t="s">
        <v>1542</v>
      </c>
      <c r="E274" s="143" t="s">
        <v>309</v>
      </c>
      <c r="F274" s="143" t="s">
        <v>1543</v>
      </c>
      <c r="G274" s="143" t="s">
        <v>1544</v>
      </c>
      <c r="H274" s="143" t="s">
        <v>321</v>
      </c>
      <c r="I274" s="143" t="s">
        <v>754</v>
      </c>
      <c r="J274" s="143" t="s">
        <v>204</v>
      </c>
      <c r="K274" s="143" t="s">
        <v>204</v>
      </c>
      <c r="L274" s="143" t="s">
        <v>325</v>
      </c>
      <c r="M274" s="143" t="s">
        <v>340</v>
      </c>
      <c r="N274" s="143" t="s">
        <v>465</v>
      </c>
      <c r="O274" s="143" t="s">
        <v>339</v>
      </c>
      <c r="P274" s="143" t="s">
        <v>1444</v>
      </c>
      <c r="Q274" s="143" t="s">
        <v>415</v>
      </c>
      <c r="R274" s="143" t="s">
        <v>407</v>
      </c>
      <c r="S274" s="143" t="s">
        <v>1210</v>
      </c>
      <c r="T274" s="144">
        <v>1.46</v>
      </c>
      <c r="U274" s="143" t="s">
        <v>1545</v>
      </c>
      <c r="V274" s="146">
        <v>2.5700000000000001E-2</v>
      </c>
      <c r="W274" s="146">
        <v>3.1085000000000002E-2</v>
      </c>
      <c r="X274" s="143" t="s">
        <v>412</v>
      </c>
      <c r="Y274" s="145" t="s">
        <v>3930</v>
      </c>
      <c r="Z274" s="144">
        <v>322150</v>
      </c>
      <c r="AA274" s="145" t="s">
        <v>3930</v>
      </c>
      <c r="AB274" s="143" t="s">
        <v>1546</v>
      </c>
      <c r="AC274" s="145" t="s">
        <v>3930</v>
      </c>
      <c r="AD274" s="144">
        <v>376.52890000000002</v>
      </c>
      <c r="AE274" s="145" t="s">
        <v>3930</v>
      </c>
      <c r="AF274" s="145" t="s">
        <v>3930</v>
      </c>
      <c r="AG274" s="145" t="s">
        <v>3930</v>
      </c>
      <c r="AH274" s="146">
        <v>2.5120594840714064E-4</v>
      </c>
      <c r="AI274" s="146">
        <v>2.2792491196495891E-2</v>
      </c>
      <c r="AJ274" s="147">
        <v>1.2466561880521642E-3</v>
      </c>
      <c r="AK274" s="177"/>
    </row>
    <row r="275" spans="1:37" ht="15" x14ac:dyDescent="0.2">
      <c r="A275" s="142" t="s">
        <v>1220</v>
      </c>
      <c r="B275" s="143" t="s">
        <v>1221</v>
      </c>
      <c r="C275" s="143" t="s">
        <v>1569</v>
      </c>
      <c r="D275" s="143" t="s">
        <v>1570</v>
      </c>
      <c r="E275" s="143" t="s">
        <v>309</v>
      </c>
      <c r="F275" s="143" t="s">
        <v>1571</v>
      </c>
      <c r="G275" s="143" t="s">
        <v>1572</v>
      </c>
      <c r="H275" s="143" t="s">
        <v>321</v>
      </c>
      <c r="I275" s="143" t="s">
        <v>754</v>
      </c>
      <c r="J275" s="143" t="s">
        <v>204</v>
      </c>
      <c r="K275" s="143" t="s">
        <v>204</v>
      </c>
      <c r="L275" s="143" t="s">
        <v>325</v>
      </c>
      <c r="M275" s="143" t="s">
        <v>340</v>
      </c>
      <c r="N275" s="143" t="s">
        <v>448</v>
      </c>
      <c r="O275" s="143" t="s">
        <v>339</v>
      </c>
      <c r="P275" s="143" t="s">
        <v>1303</v>
      </c>
      <c r="Q275" s="143" t="s">
        <v>413</v>
      </c>
      <c r="R275" s="143" t="s">
        <v>407</v>
      </c>
      <c r="S275" s="143" t="s">
        <v>1210</v>
      </c>
      <c r="T275" s="144">
        <v>3.92</v>
      </c>
      <c r="U275" s="143" t="s">
        <v>1573</v>
      </c>
      <c r="V275" s="146">
        <v>1.3899999999999999E-2</v>
      </c>
      <c r="W275" s="146">
        <v>2.4587000000000001E-2</v>
      </c>
      <c r="X275" s="143" t="s">
        <v>412</v>
      </c>
      <c r="Y275" s="145" t="s">
        <v>3930</v>
      </c>
      <c r="Z275" s="144">
        <v>360000</v>
      </c>
      <c r="AA275" s="145" t="s">
        <v>3930</v>
      </c>
      <c r="AB275" s="143" t="s">
        <v>1574</v>
      </c>
      <c r="AC275" s="145" t="s">
        <v>3930</v>
      </c>
      <c r="AD275" s="144">
        <v>373.82400000000001</v>
      </c>
      <c r="AE275" s="145" t="s">
        <v>3930</v>
      </c>
      <c r="AF275" s="145" t="s">
        <v>3930</v>
      </c>
      <c r="AG275" s="145" t="s">
        <v>3930</v>
      </c>
      <c r="AH275" s="146">
        <v>2.0000000000000001E-4</v>
      </c>
      <c r="AI275" s="146">
        <v>2.2628753799413016E-2</v>
      </c>
      <c r="AJ275" s="147">
        <v>1.2377004211055348E-3</v>
      </c>
      <c r="AK275" s="177"/>
    </row>
    <row r="276" spans="1:37" ht="15" x14ac:dyDescent="0.2">
      <c r="A276" s="142" t="s">
        <v>1220</v>
      </c>
      <c r="B276" s="143" t="s">
        <v>1221</v>
      </c>
      <c r="C276" s="143" t="s">
        <v>1513</v>
      </c>
      <c r="D276" s="143" t="s">
        <v>1514</v>
      </c>
      <c r="E276" s="143" t="s">
        <v>309</v>
      </c>
      <c r="F276" s="143" t="s">
        <v>1537</v>
      </c>
      <c r="G276" s="143" t="s">
        <v>1538</v>
      </c>
      <c r="H276" s="143" t="s">
        <v>321</v>
      </c>
      <c r="I276" s="143" t="s">
        <v>754</v>
      </c>
      <c r="J276" s="143" t="s">
        <v>204</v>
      </c>
      <c r="K276" s="143" t="s">
        <v>204</v>
      </c>
      <c r="L276" s="143" t="s">
        <v>325</v>
      </c>
      <c r="M276" s="143" t="s">
        <v>340</v>
      </c>
      <c r="N276" s="143" t="s">
        <v>465</v>
      </c>
      <c r="O276" s="143" t="s">
        <v>339</v>
      </c>
      <c r="P276" s="143" t="s">
        <v>1405</v>
      </c>
      <c r="Q276" s="143" t="s">
        <v>415</v>
      </c>
      <c r="R276" s="143" t="s">
        <v>407</v>
      </c>
      <c r="S276" s="143" t="s">
        <v>1210</v>
      </c>
      <c r="T276" s="144">
        <v>2.23</v>
      </c>
      <c r="U276" s="143" t="s">
        <v>1539</v>
      </c>
      <c r="V276" s="146">
        <v>3.2800000000000003E-2</v>
      </c>
      <c r="W276" s="146">
        <v>4.3984000000000002E-2</v>
      </c>
      <c r="X276" s="143" t="s">
        <v>412</v>
      </c>
      <c r="Y276" s="145" t="s">
        <v>3930</v>
      </c>
      <c r="Z276" s="144">
        <v>324262.43</v>
      </c>
      <c r="AA276" s="145" t="s">
        <v>3930</v>
      </c>
      <c r="AB276" s="143" t="s">
        <v>1540</v>
      </c>
      <c r="AC276" s="145" t="s">
        <v>3930</v>
      </c>
      <c r="AD276" s="144">
        <v>373.09640000000002</v>
      </c>
      <c r="AE276" s="145" t="s">
        <v>3930</v>
      </c>
      <c r="AF276" s="145" t="s">
        <v>3930</v>
      </c>
      <c r="AG276" s="145" t="s">
        <v>3930</v>
      </c>
      <c r="AH276" s="146">
        <v>2.0253836584662593E-4</v>
      </c>
      <c r="AI276" s="146">
        <v>2.2584706952781867E-2</v>
      </c>
      <c r="AJ276" s="147">
        <v>1.235291238474136E-3</v>
      </c>
      <c r="AK276" s="177"/>
    </row>
    <row r="277" spans="1:37" ht="15" x14ac:dyDescent="0.2">
      <c r="A277" s="142" t="s">
        <v>1220</v>
      </c>
      <c r="B277" s="143" t="s">
        <v>1221</v>
      </c>
      <c r="C277" s="143" t="s">
        <v>1522</v>
      </c>
      <c r="D277" s="143" t="s">
        <v>1523</v>
      </c>
      <c r="E277" s="143" t="s">
        <v>309</v>
      </c>
      <c r="F277" s="143" t="s">
        <v>1561</v>
      </c>
      <c r="G277" s="143" t="s">
        <v>1562</v>
      </c>
      <c r="H277" s="143" t="s">
        <v>321</v>
      </c>
      <c r="I277" s="143" t="s">
        <v>754</v>
      </c>
      <c r="J277" s="143" t="s">
        <v>204</v>
      </c>
      <c r="K277" s="143" t="s">
        <v>204</v>
      </c>
      <c r="L277" s="143" t="s">
        <v>325</v>
      </c>
      <c r="M277" s="143" t="s">
        <v>340</v>
      </c>
      <c r="N277" s="143" t="s">
        <v>448</v>
      </c>
      <c r="O277" s="143" t="s">
        <v>339</v>
      </c>
      <c r="P277" s="143" t="s">
        <v>1356</v>
      </c>
      <c r="Q277" s="143" t="s">
        <v>413</v>
      </c>
      <c r="R277" s="143" t="s">
        <v>407</v>
      </c>
      <c r="S277" s="143" t="s">
        <v>1210</v>
      </c>
      <c r="T277" s="144">
        <v>4.5</v>
      </c>
      <c r="U277" s="143" t="s">
        <v>1563</v>
      </c>
      <c r="V277" s="146">
        <v>2.5899999999999999E-2</v>
      </c>
      <c r="W277" s="146">
        <v>2.6100000000000002E-2</v>
      </c>
      <c r="X277" s="143" t="s">
        <v>412</v>
      </c>
      <c r="Y277" s="145" t="s">
        <v>3930</v>
      </c>
      <c r="Z277" s="144">
        <v>346000</v>
      </c>
      <c r="AA277" s="145" t="s">
        <v>3930</v>
      </c>
      <c r="AB277" s="143" t="s">
        <v>1564</v>
      </c>
      <c r="AC277" s="145" t="s">
        <v>3930</v>
      </c>
      <c r="AD277" s="144">
        <v>363.74979999999999</v>
      </c>
      <c r="AE277" s="145" t="s">
        <v>3930</v>
      </c>
      <c r="AF277" s="145" t="s">
        <v>3930</v>
      </c>
      <c r="AG277" s="145" t="s">
        <v>3930</v>
      </c>
      <c r="AH277" s="146">
        <v>7.6888888888888894E-4</v>
      </c>
      <c r="AI277" s="146">
        <v>2.2018930482755855E-2</v>
      </c>
      <c r="AJ277" s="147">
        <v>1.2043455760921023E-3</v>
      </c>
      <c r="AK277" s="177"/>
    </row>
    <row r="278" spans="1:37" ht="15" x14ac:dyDescent="0.2">
      <c r="A278" s="142" t="s">
        <v>1220</v>
      </c>
      <c r="B278" s="143" t="s">
        <v>1221</v>
      </c>
      <c r="C278" s="143" t="s">
        <v>1474</v>
      </c>
      <c r="D278" s="143" t="s">
        <v>1475</v>
      </c>
      <c r="E278" s="143" t="s">
        <v>313</v>
      </c>
      <c r="F278" s="143" t="s">
        <v>1547</v>
      </c>
      <c r="G278" s="143" t="s">
        <v>1548</v>
      </c>
      <c r="H278" s="143" t="s">
        <v>321</v>
      </c>
      <c r="I278" s="143" t="s">
        <v>754</v>
      </c>
      <c r="J278" s="143" t="s">
        <v>204</v>
      </c>
      <c r="K278" s="143" t="s">
        <v>204</v>
      </c>
      <c r="L278" s="143" t="s">
        <v>325</v>
      </c>
      <c r="M278" s="143" t="s">
        <v>340</v>
      </c>
      <c r="N278" s="143" t="s">
        <v>440</v>
      </c>
      <c r="O278" s="143" t="s">
        <v>339</v>
      </c>
      <c r="P278" s="143" t="s">
        <v>1478</v>
      </c>
      <c r="Q278" s="143" t="s">
        <v>415</v>
      </c>
      <c r="R278" s="143" t="s">
        <v>407</v>
      </c>
      <c r="S278" s="143" t="s">
        <v>1210</v>
      </c>
      <c r="T278" s="144">
        <v>0.9</v>
      </c>
      <c r="U278" s="143" t="s">
        <v>1549</v>
      </c>
      <c r="V278" s="146">
        <v>4.4999999999999998E-2</v>
      </c>
      <c r="W278" s="146">
        <v>2.6144000000000001E-2</v>
      </c>
      <c r="X278" s="143" t="s">
        <v>412</v>
      </c>
      <c r="Y278" s="145" t="s">
        <v>3930</v>
      </c>
      <c r="Z278" s="144">
        <v>290907</v>
      </c>
      <c r="AA278" s="145" t="s">
        <v>3930</v>
      </c>
      <c r="AB278" s="143" t="s">
        <v>1550</v>
      </c>
      <c r="AC278" s="145" t="s">
        <v>3930</v>
      </c>
      <c r="AD278" s="144">
        <v>347.34300000000002</v>
      </c>
      <c r="AE278" s="145" t="s">
        <v>3930</v>
      </c>
      <c r="AF278" s="145" t="s">
        <v>3930</v>
      </c>
      <c r="AG278" s="145" t="s">
        <v>3930</v>
      </c>
      <c r="AH278" s="146">
        <v>9.8425559334062865E-5</v>
      </c>
      <c r="AI278" s="146">
        <v>2.1025772236511985E-2</v>
      </c>
      <c r="AJ278" s="147">
        <v>1.1500238759005364E-3</v>
      </c>
      <c r="AK278" s="177"/>
    </row>
    <row r="279" spans="1:37" ht="15" x14ac:dyDescent="0.2">
      <c r="A279" s="142" t="s">
        <v>1220</v>
      </c>
      <c r="B279" s="143" t="s">
        <v>1221</v>
      </c>
      <c r="C279" s="143" t="s">
        <v>1555</v>
      </c>
      <c r="D279" s="143" t="s">
        <v>1556</v>
      </c>
      <c r="E279" s="143" t="s">
        <v>309</v>
      </c>
      <c r="F279" s="143" t="s">
        <v>1557</v>
      </c>
      <c r="G279" s="143" t="s">
        <v>1558</v>
      </c>
      <c r="H279" s="143" t="s">
        <v>321</v>
      </c>
      <c r="I279" s="143" t="s">
        <v>754</v>
      </c>
      <c r="J279" s="143" t="s">
        <v>204</v>
      </c>
      <c r="K279" s="143" t="s">
        <v>204</v>
      </c>
      <c r="L279" s="143" t="s">
        <v>325</v>
      </c>
      <c r="M279" s="143" t="s">
        <v>340</v>
      </c>
      <c r="N279" s="143" t="s">
        <v>464</v>
      </c>
      <c r="O279" s="143" t="s">
        <v>339</v>
      </c>
      <c r="P279" s="143" t="s">
        <v>1412</v>
      </c>
      <c r="Q279" s="143" t="s">
        <v>413</v>
      </c>
      <c r="R279" s="143" t="s">
        <v>407</v>
      </c>
      <c r="S279" s="143" t="s">
        <v>1210</v>
      </c>
      <c r="T279" s="144">
        <v>2.1800000000000002</v>
      </c>
      <c r="U279" s="143" t="s">
        <v>1559</v>
      </c>
      <c r="V279" s="146">
        <v>3.2000000000000001E-2</v>
      </c>
      <c r="W279" s="146">
        <v>2.6786000000000001E-2</v>
      </c>
      <c r="X279" s="143" t="s">
        <v>412</v>
      </c>
      <c r="Y279" s="145" t="s">
        <v>3930</v>
      </c>
      <c r="Z279" s="144">
        <v>295896</v>
      </c>
      <c r="AA279" s="145" t="s">
        <v>3930</v>
      </c>
      <c r="AB279" s="143" t="s">
        <v>1560</v>
      </c>
      <c r="AC279" s="145" t="s">
        <v>3930</v>
      </c>
      <c r="AD279" s="144">
        <v>347.29309999999998</v>
      </c>
      <c r="AE279" s="145" t="s">
        <v>3930</v>
      </c>
      <c r="AF279" s="145" t="s">
        <v>3930</v>
      </c>
      <c r="AG279" s="145" t="s">
        <v>3930</v>
      </c>
      <c r="AH279" s="146">
        <v>2.812340859179371E-4</v>
      </c>
      <c r="AI279" s="146">
        <v>2.1022756304215511E-2</v>
      </c>
      <c r="AJ279" s="147">
        <v>1.1498589167204391E-3</v>
      </c>
      <c r="AK279" s="177"/>
    </row>
    <row r="280" spans="1:37" ht="15" x14ac:dyDescent="0.2">
      <c r="A280" s="142" t="s">
        <v>1220</v>
      </c>
      <c r="B280" s="143" t="s">
        <v>1221</v>
      </c>
      <c r="C280" s="143" t="s">
        <v>1569</v>
      </c>
      <c r="D280" s="143" t="s">
        <v>1570</v>
      </c>
      <c r="E280" s="143" t="s">
        <v>309</v>
      </c>
      <c r="F280" s="143" t="s">
        <v>1581</v>
      </c>
      <c r="G280" s="143" t="s">
        <v>1582</v>
      </c>
      <c r="H280" s="143" t="s">
        <v>321</v>
      </c>
      <c r="I280" s="143" t="s">
        <v>754</v>
      </c>
      <c r="J280" s="143" t="s">
        <v>204</v>
      </c>
      <c r="K280" s="143" t="s">
        <v>204</v>
      </c>
      <c r="L280" s="143" t="s">
        <v>325</v>
      </c>
      <c r="M280" s="143" t="s">
        <v>340</v>
      </c>
      <c r="N280" s="143" t="s">
        <v>448</v>
      </c>
      <c r="O280" s="143" t="s">
        <v>339</v>
      </c>
      <c r="P280" s="143" t="s">
        <v>1303</v>
      </c>
      <c r="Q280" s="143" t="s">
        <v>413</v>
      </c>
      <c r="R280" s="143" t="s">
        <v>407</v>
      </c>
      <c r="S280" s="143" t="s">
        <v>1210</v>
      </c>
      <c r="T280" s="144">
        <v>3.56</v>
      </c>
      <c r="U280" s="143" t="s">
        <v>1583</v>
      </c>
      <c r="V280" s="146">
        <v>1E-3</v>
      </c>
      <c r="W280" s="146">
        <v>2.3969000000000001E-2</v>
      </c>
      <c r="X280" s="143" t="s">
        <v>412</v>
      </c>
      <c r="Y280" s="145" t="s">
        <v>3930</v>
      </c>
      <c r="Z280" s="144">
        <v>320000</v>
      </c>
      <c r="AA280" s="145" t="s">
        <v>3930</v>
      </c>
      <c r="AB280" s="143" t="s">
        <v>1584</v>
      </c>
      <c r="AC280" s="145" t="s">
        <v>3930</v>
      </c>
      <c r="AD280" s="144">
        <v>331.93599999999998</v>
      </c>
      <c r="AE280" s="145" t="s">
        <v>3930</v>
      </c>
      <c r="AF280" s="145" t="s">
        <v>3930</v>
      </c>
      <c r="AG280" s="145" t="s">
        <v>3930</v>
      </c>
      <c r="AH280" s="146">
        <v>2.8450518415166609E-4</v>
      </c>
      <c r="AI280" s="146">
        <v>2.0093140143923233E-2</v>
      </c>
      <c r="AJ280" s="147">
        <v>1.0990127091360822E-3</v>
      </c>
      <c r="AK280" s="177"/>
    </row>
    <row r="281" spans="1:37" ht="15" x14ac:dyDescent="0.2">
      <c r="A281" s="142" t="s">
        <v>1220</v>
      </c>
      <c r="B281" s="143" t="s">
        <v>1221</v>
      </c>
      <c r="C281" s="143" t="s">
        <v>1358</v>
      </c>
      <c r="D281" s="143" t="s">
        <v>1359</v>
      </c>
      <c r="E281" s="143" t="s">
        <v>309</v>
      </c>
      <c r="F281" s="143" t="s">
        <v>1594</v>
      </c>
      <c r="G281" s="143" t="s">
        <v>1595</v>
      </c>
      <c r="H281" s="143" t="s">
        <v>321</v>
      </c>
      <c r="I281" s="143" t="s">
        <v>754</v>
      </c>
      <c r="J281" s="143" t="s">
        <v>204</v>
      </c>
      <c r="K281" s="143" t="s">
        <v>204</v>
      </c>
      <c r="L281" s="143" t="s">
        <v>325</v>
      </c>
      <c r="M281" s="143" t="s">
        <v>340</v>
      </c>
      <c r="N281" s="143" t="s">
        <v>448</v>
      </c>
      <c r="O281" s="143" t="s">
        <v>339</v>
      </c>
      <c r="P281" s="143" t="s">
        <v>1303</v>
      </c>
      <c r="Q281" s="143" t="s">
        <v>413</v>
      </c>
      <c r="R281" s="143" t="s">
        <v>407</v>
      </c>
      <c r="S281" s="143" t="s">
        <v>1210</v>
      </c>
      <c r="T281" s="144">
        <v>4.38</v>
      </c>
      <c r="U281" s="143" t="s">
        <v>1596</v>
      </c>
      <c r="V281" s="146">
        <v>1.9900000000000001E-2</v>
      </c>
      <c r="W281" s="146">
        <v>2.5611999999999999E-2</v>
      </c>
      <c r="X281" s="143" t="s">
        <v>412</v>
      </c>
      <c r="Y281" s="145" t="s">
        <v>3930</v>
      </c>
      <c r="Z281" s="144">
        <v>250000</v>
      </c>
      <c r="AA281" s="145" t="s">
        <v>3930</v>
      </c>
      <c r="AB281" s="143" t="s">
        <v>1597</v>
      </c>
      <c r="AC281" s="145" t="s">
        <v>3930</v>
      </c>
      <c r="AD281" s="144">
        <v>256.25</v>
      </c>
      <c r="AE281" s="145" t="s">
        <v>3930</v>
      </c>
      <c r="AF281" s="145" t="s">
        <v>3930</v>
      </c>
      <c r="AG281" s="145" t="s">
        <v>3930</v>
      </c>
      <c r="AH281" s="146">
        <v>9.2592592592592588E-5</v>
      </c>
      <c r="AI281" s="146">
        <v>1.5511626222766825E-2</v>
      </c>
      <c r="AJ281" s="147">
        <v>8.484226077199251E-4</v>
      </c>
      <c r="AK281" s="177"/>
    </row>
    <row r="282" spans="1:37" ht="15" x14ac:dyDescent="0.2">
      <c r="A282" s="142" t="s">
        <v>1220</v>
      </c>
      <c r="B282" s="143" t="s">
        <v>1221</v>
      </c>
      <c r="C282" s="143" t="s">
        <v>1364</v>
      </c>
      <c r="D282" s="143" t="s">
        <v>1365</v>
      </c>
      <c r="E282" s="143" t="s">
        <v>309</v>
      </c>
      <c r="F282" s="143" t="s">
        <v>1598</v>
      </c>
      <c r="G282" s="143" t="s">
        <v>1599</v>
      </c>
      <c r="H282" s="143" t="s">
        <v>321</v>
      </c>
      <c r="I282" s="143" t="s">
        <v>754</v>
      </c>
      <c r="J282" s="143" t="s">
        <v>204</v>
      </c>
      <c r="K282" s="143" t="s">
        <v>204</v>
      </c>
      <c r="L282" s="143" t="s">
        <v>325</v>
      </c>
      <c r="M282" s="143" t="s">
        <v>340</v>
      </c>
      <c r="N282" s="143" t="s">
        <v>445</v>
      </c>
      <c r="O282" s="143" t="s">
        <v>339</v>
      </c>
      <c r="P282" s="143" t="s">
        <v>1368</v>
      </c>
      <c r="Q282" s="143" t="s">
        <v>415</v>
      </c>
      <c r="R282" s="143" t="s">
        <v>407</v>
      </c>
      <c r="S282" s="143" t="s">
        <v>1210</v>
      </c>
      <c r="T282" s="144">
        <v>5.05</v>
      </c>
      <c r="U282" s="143" t="s">
        <v>1600</v>
      </c>
      <c r="V282" s="146">
        <v>4.6899999999999997E-2</v>
      </c>
      <c r="W282" s="146">
        <v>5.6607999999999999E-2</v>
      </c>
      <c r="X282" s="143" t="s">
        <v>412</v>
      </c>
      <c r="Y282" s="145" t="s">
        <v>3930</v>
      </c>
      <c r="Z282" s="144">
        <v>250000</v>
      </c>
      <c r="AA282" s="145" t="s">
        <v>3930</v>
      </c>
      <c r="AB282" s="143" t="s">
        <v>1601</v>
      </c>
      <c r="AC282" s="145" t="s">
        <v>3930</v>
      </c>
      <c r="AD282" s="144">
        <v>239.65</v>
      </c>
      <c r="AE282" s="145" t="s">
        <v>3930</v>
      </c>
      <c r="AF282" s="145" t="s">
        <v>3930</v>
      </c>
      <c r="AG282" s="145" t="s">
        <v>3930</v>
      </c>
      <c r="AH282" s="146">
        <v>5.0000000000000001E-4</v>
      </c>
      <c r="AI282" s="146">
        <v>1.4506775509409053E-2</v>
      </c>
      <c r="AJ282" s="147">
        <v>7.9346137732714172E-4</v>
      </c>
      <c r="AK282" s="177"/>
    </row>
    <row r="283" spans="1:37" ht="15" x14ac:dyDescent="0.2">
      <c r="A283" s="142" t="s">
        <v>1220</v>
      </c>
      <c r="B283" s="143" t="s">
        <v>1221</v>
      </c>
      <c r="C283" s="143" t="s">
        <v>1493</v>
      </c>
      <c r="D283" s="143" t="s">
        <v>1494</v>
      </c>
      <c r="E283" s="143" t="s">
        <v>309</v>
      </c>
      <c r="F283" s="143" t="s">
        <v>1591</v>
      </c>
      <c r="G283" s="143" t="s">
        <v>1592</v>
      </c>
      <c r="H283" s="143" t="s">
        <v>321</v>
      </c>
      <c r="I283" s="143" t="s">
        <v>754</v>
      </c>
      <c r="J283" s="143" t="s">
        <v>204</v>
      </c>
      <c r="K283" s="143" t="s">
        <v>204</v>
      </c>
      <c r="L283" s="143" t="s">
        <v>325</v>
      </c>
      <c r="M283" s="143" t="s">
        <v>340</v>
      </c>
      <c r="N283" s="143" t="s">
        <v>448</v>
      </c>
      <c r="O283" s="143" t="s">
        <v>339</v>
      </c>
      <c r="P283" s="143" t="s">
        <v>1303</v>
      </c>
      <c r="Q283" s="143" t="s">
        <v>413</v>
      </c>
      <c r="R283" s="143" t="s">
        <v>407</v>
      </c>
      <c r="S283" s="143" t="s">
        <v>1210</v>
      </c>
      <c r="T283" s="144">
        <v>1.74</v>
      </c>
      <c r="U283" s="143" t="s">
        <v>1419</v>
      </c>
      <c r="V283" s="146">
        <v>8.3000000000000001E-3</v>
      </c>
      <c r="W283" s="146">
        <v>2.0445000000000001E-2</v>
      </c>
      <c r="X283" s="143" t="s">
        <v>412</v>
      </c>
      <c r="Y283" s="145" t="s">
        <v>3930</v>
      </c>
      <c r="Z283" s="144">
        <v>196507.5</v>
      </c>
      <c r="AA283" s="145" t="s">
        <v>3930</v>
      </c>
      <c r="AB283" s="143" t="s">
        <v>1593</v>
      </c>
      <c r="AC283" s="145" t="s">
        <v>3930</v>
      </c>
      <c r="AD283" s="144">
        <v>222.44649999999999</v>
      </c>
      <c r="AE283" s="145" t="s">
        <v>3930</v>
      </c>
      <c r="AF283" s="145" t="s">
        <v>3930</v>
      </c>
      <c r="AG283" s="145" t="s">
        <v>3930</v>
      </c>
      <c r="AH283" s="146">
        <v>1.2920066958239202E-4</v>
      </c>
      <c r="AI283" s="146">
        <v>1.3465392419303173E-2</v>
      </c>
      <c r="AJ283" s="147">
        <v>7.3650197511783118E-4</v>
      </c>
      <c r="AK283" s="177"/>
    </row>
    <row r="284" spans="1:37" ht="15" x14ac:dyDescent="0.2">
      <c r="A284" s="142" t="s">
        <v>1220</v>
      </c>
      <c r="B284" s="143" t="s">
        <v>1221</v>
      </c>
      <c r="C284" s="143" t="s">
        <v>1585</v>
      </c>
      <c r="D284" s="143" t="s">
        <v>1586</v>
      </c>
      <c r="E284" s="143" t="s">
        <v>309</v>
      </c>
      <c r="F284" s="143" t="s">
        <v>1587</v>
      </c>
      <c r="G284" s="143" t="s">
        <v>1588</v>
      </c>
      <c r="H284" s="143" t="s">
        <v>321</v>
      </c>
      <c r="I284" s="143" t="s">
        <v>754</v>
      </c>
      <c r="J284" s="143" t="s">
        <v>204</v>
      </c>
      <c r="K284" s="143" t="s">
        <v>204</v>
      </c>
      <c r="L284" s="143" t="s">
        <v>325</v>
      </c>
      <c r="M284" s="143" t="s">
        <v>340</v>
      </c>
      <c r="N284" s="143" t="s">
        <v>448</v>
      </c>
      <c r="O284" s="143" t="s">
        <v>339</v>
      </c>
      <c r="P284" s="143" t="s">
        <v>1303</v>
      </c>
      <c r="Q284" s="143" t="s">
        <v>413</v>
      </c>
      <c r="R284" s="143" t="s">
        <v>407</v>
      </c>
      <c r="S284" s="143" t="s">
        <v>1210</v>
      </c>
      <c r="T284" s="144">
        <v>2.73</v>
      </c>
      <c r="U284" s="143" t="s">
        <v>1589</v>
      </c>
      <c r="V284" s="146">
        <v>1.4999999999999999E-2</v>
      </c>
      <c r="W284" s="146">
        <v>2.2589000000000001E-2</v>
      </c>
      <c r="X284" s="143" t="s">
        <v>412</v>
      </c>
      <c r="Y284" s="145" t="s">
        <v>3930</v>
      </c>
      <c r="Z284" s="144">
        <v>187211.45</v>
      </c>
      <c r="AA284" s="145" t="s">
        <v>3930</v>
      </c>
      <c r="AB284" s="143" t="s">
        <v>1590</v>
      </c>
      <c r="AC284" s="145" t="s">
        <v>3930</v>
      </c>
      <c r="AD284" s="144">
        <v>213.77679999999998</v>
      </c>
      <c r="AE284" s="145" t="s">
        <v>3930</v>
      </c>
      <c r="AF284" s="145" t="s">
        <v>3930</v>
      </c>
      <c r="AG284" s="145" t="s">
        <v>3930</v>
      </c>
      <c r="AH284" s="146">
        <v>6.706720438999081E-4</v>
      </c>
      <c r="AI284" s="146">
        <v>1.2940585814148879E-2</v>
      </c>
      <c r="AJ284" s="147">
        <v>7.0779719703079026E-4</v>
      </c>
      <c r="AK284" s="177"/>
    </row>
    <row r="285" spans="1:37" ht="15" x14ac:dyDescent="0.2">
      <c r="A285" s="142" t="s">
        <v>1220</v>
      </c>
      <c r="B285" s="143" t="s">
        <v>1221</v>
      </c>
      <c r="C285" s="143" t="s">
        <v>1503</v>
      </c>
      <c r="D285" s="143" t="s">
        <v>1504</v>
      </c>
      <c r="E285" s="143" t="s">
        <v>309</v>
      </c>
      <c r="F285" s="143" t="s">
        <v>1509</v>
      </c>
      <c r="G285" s="143" t="s">
        <v>1510</v>
      </c>
      <c r="H285" s="143" t="s">
        <v>321</v>
      </c>
      <c r="I285" s="143" t="s">
        <v>754</v>
      </c>
      <c r="J285" s="143" t="s">
        <v>204</v>
      </c>
      <c r="K285" s="143" t="s">
        <v>204</v>
      </c>
      <c r="L285" s="143" t="s">
        <v>325</v>
      </c>
      <c r="M285" s="143" t="s">
        <v>340</v>
      </c>
      <c r="N285" s="143" t="s">
        <v>464</v>
      </c>
      <c r="O285" s="143" t="s">
        <v>339</v>
      </c>
      <c r="P285" s="143" t="s">
        <v>1412</v>
      </c>
      <c r="Q285" s="143" t="s">
        <v>413</v>
      </c>
      <c r="R285" s="143" t="s">
        <v>407</v>
      </c>
      <c r="S285" s="143" t="s">
        <v>1210</v>
      </c>
      <c r="T285" s="144">
        <v>0.76</v>
      </c>
      <c r="U285" s="143" t="s">
        <v>1511</v>
      </c>
      <c r="V285" s="146">
        <v>3.2533699999999999E-2</v>
      </c>
      <c r="W285" s="146">
        <v>2.5586000000000001E-2</v>
      </c>
      <c r="X285" s="143" t="s">
        <v>412</v>
      </c>
      <c r="Y285" s="145" t="s">
        <v>3930</v>
      </c>
      <c r="Z285" s="144">
        <v>176051.76</v>
      </c>
      <c r="AA285" s="145" t="s">
        <v>3930</v>
      </c>
      <c r="AB285" s="143" t="s">
        <v>1512</v>
      </c>
      <c r="AC285" s="145" t="s">
        <v>3930</v>
      </c>
      <c r="AD285" s="144">
        <v>205.98060000000001</v>
      </c>
      <c r="AE285" s="145" t="s">
        <v>3930</v>
      </c>
      <c r="AF285" s="145" t="s">
        <v>3930</v>
      </c>
      <c r="AG285" s="145" t="s">
        <v>3930</v>
      </c>
      <c r="AH285" s="146">
        <v>2.2894490776444165E-4</v>
      </c>
      <c r="AI285" s="146">
        <v>1.2468657340358612E-2</v>
      </c>
      <c r="AJ285" s="147">
        <v>6.8198463678467291E-4</v>
      </c>
      <c r="AK285" s="177"/>
    </row>
    <row r="286" spans="1:37" ht="15" x14ac:dyDescent="0.2">
      <c r="A286" s="142" t="s">
        <v>1220</v>
      </c>
      <c r="B286" s="143" t="s">
        <v>1221</v>
      </c>
      <c r="C286" s="143" t="s">
        <v>1513</v>
      </c>
      <c r="D286" s="143" t="s">
        <v>1514</v>
      </c>
      <c r="E286" s="143" t="s">
        <v>309</v>
      </c>
      <c r="F286" s="143" t="s">
        <v>1616</v>
      </c>
      <c r="G286" s="143" t="s">
        <v>1617</v>
      </c>
      <c r="H286" s="143" t="s">
        <v>321</v>
      </c>
      <c r="I286" s="143" t="s">
        <v>754</v>
      </c>
      <c r="J286" s="143" t="s">
        <v>204</v>
      </c>
      <c r="K286" s="143" t="s">
        <v>204</v>
      </c>
      <c r="L286" s="143" t="s">
        <v>325</v>
      </c>
      <c r="M286" s="143" t="s">
        <v>340</v>
      </c>
      <c r="N286" s="143" t="s">
        <v>465</v>
      </c>
      <c r="O286" s="143" t="s">
        <v>339</v>
      </c>
      <c r="P286" s="143" t="s">
        <v>1405</v>
      </c>
      <c r="Q286" s="143" t="s">
        <v>415</v>
      </c>
      <c r="R286" s="143" t="s">
        <v>407</v>
      </c>
      <c r="S286" s="143" t="s">
        <v>1210</v>
      </c>
      <c r="T286" s="144">
        <v>5.6</v>
      </c>
      <c r="U286" s="143" t="s">
        <v>1618</v>
      </c>
      <c r="V286" s="146">
        <v>1.7899999999999999E-2</v>
      </c>
      <c r="W286" s="146">
        <v>5.3422999999999998E-2</v>
      </c>
      <c r="X286" s="143" t="s">
        <v>412</v>
      </c>
      <c r="Y286" s="145" t="s">
        <v>3930</v>
      </c>
      <c r="Z286" s="144">
        <v>178640.7</v>
      </c>
      <c r="AA286" s="145" t="s">
        <v>3930</v>
      </c>
      <c r="AB286" s="143" t="s">
        <v>1619</v>
      </c>
      <c r="AC286" s="145" t="s">
        <v>3930</v>
      </c>
      <c r="AD286" s="144">
        <v>168.70829999999998</v>
      </c>
      <c r="AE286" s="145" t="s">
        <v>3930</v>
      </c>
      <c r="AF286" s="145" t="s">
        <v>3930</v>
      </c>
      <c r="AG286" s="145" t="s">
        <v>3930</v>
      </c>
      <c r="AH286" s="146">
        <v>2.6379938921850009E-4</v>
      </c>
      <c r="AI286" s="146">
        <v>1.0212447745373422E-2</v>
      </c>
      <c r="AJ286" s="147">
        <v>5.5857918588936306E-4</v>
      </c>
      <c r="AK286" s="177"/>
    </row>
    <row r="287" spans="1:37" ht="15" x14ac:dyDescent="0.2">
      <c r="A287" s="142" t="s">
        <v>1220</v>
      </c>
      <c r="B287" s="143" t="s">
        <v>1221</v>
      </c>
      <c r="C287" s="143" t="s">
        <v>1421</v>
      </c>
      <c r="D287" s="143" t="s">
        <v>1422</v>
      </c>
      <c r="E287" s="143" t="s">
        <v>309</v>
      </c>
      <c r="F287" s="143" t="s">
        <v>1727</v>
      </c>
      <c r="G287" s="143" t="s">
        <v>1728</v>
      </c>
      <c r="H287" s="143" t="s">
        <v>321</v>
      </c>
      <c r="I287" s="143" t="s">
        <v>754</v>
      </c>
      <c r="J287" s="143" t="s">
        <v>204</v>
      </c>
      <c r="K287" s="143" t="s">
        <v>204</v>
      </c>
      <c r="L287" s="143" t="s">
        <v>325</v>
      </c>
      <c r="M287" s="143" t="s">
        <v>340</v>
      </c>
      <c r="N287" s="143" t="s">
        <v>445</v>
      </c>
      <c r="O287" s="143" t="s">
        <v>339</v>
      </c>
      <c r="P287" s="143" t="s">
        <v>1425</v>
      </c>
      <c r="Q287" s="143" t="s">
        <v>415</v>
      </c>
      <c r="R287" s="143" t="s">
        <v>407</v>
      </c>
      <c r="S287" s="143" t="s">
        <v>1210</v>
      </c>
      <c r="T287" s="144">
        <v>2.19</v>
      </c>
      <c r="U287" s="143" t="s">
        <v>1526</v>
      </c>
      <c r="V287" s="146">
        <v>2.4E-2</v>
      </c>
      <c r="W287" s="146">
        <v>2.2598E-2</v>
      </c>
      <c r="X287" s="143" t="s">
        <v>412</v>
      </c>
      <c r="Y287" s="145" t="s">
        <v>3930</v>
      </c>
      <c r="Z287" s="144">
        <v>139202.07999999999</v>
      </c>
      <c r="AA287" s="145" t="s">
        <v>3930</v>
      </c>
      <c r="AB287" s="143" t="s">
        <v>1729</v>
      </c>
      <c r="AC287" s="145" t="s">
        <v>3930</v>
      </c>
      <c r="AD287" s="144">
        <v>162.1704</v>
      </c>
      <c r="AE287" s="145" t="s">
        <v>3930</v>
      </c>
      <c r="AF287" s="145" t="s">
        <v>3930</v>
      </c>
      <c r="AG287" s="145" t="s">
        <v>3930</v>
      </c>
      <c r="AH287" s="146">
        <v>4.7156509537212422E-4</v>
      </c>
      <c r="AI287" s="146">
        <v>9.816690689039273E-3</v>
      </c>
      <c r="AJ287" s="147">
        <v>5.3693289110785499E-4</v>
      </c>
      <c r="AK287" s="177"/>
    </row>
    <row r="288" spans="1:37" ht="15" x14ac:dyDescent="0.2">
      <c r="A288" s="142" t="s">
        <v>1220</v>
      </c>
      <c r="B288" s="143" t="s">
        <v>1221</v>
      </c>
      <c r="C288" s="143" t="s">
        <v>1358</v>
      </c>
      <c r="D288" s="143" t="s">
        <v>1359</v>
      </c>
      <c r="E288" s="143" t="s">
        <v>309</v>
      </c>
      <c r="F288" s="143" t="s">
        <v>1606</v>
      </c>
      <c r="G288" s="143" t="s">
        <v>1607</v>
      </c>
      <c r="H288" s="143" t="s">
        <v>321</v>
      </c>
      <c r="I288" s="143" t="s">
        <v>754</v>
      </c>
      <c r="J288" s="143" t="s">
        <v>204</v>
      </c>
      <c r="K288" s="143" t="s">
        <v>204</v>
      </c>
      <c r="L288" s="143" t="s">
        <v>325</v>
      </c>
      <c r="M288" s="143" t="s">
        <v>340</v>
      </c>
      <c r="N288" s="143" t="s">
        <v>448</v>
      </c>
      <c r="O288" s="143" t="s">
        <v>339</v>
      </c>
      <c r="P288" s="143" t="s">
        <v>1209</v>
      </c>
      <c r="Q288" s="143" t="s">
        <v>415</v>
      </c>
      <c r="R288" s="143" t="s">
        <v>407</v>
      </c>
      <c r="S288" s="143" t="s">
        <v>1210</v>
      </c>
      <c r="T288" s="144">
        <v>0.42</v>
      </c>
      <c r="U288" s="143" t="s">
        <v>1608</v>
      </c>
      <c r="V288" s="146">
        <v>9.4999999999999998E-3</v>
      </c>
      <c r="W288" s="146">
        <v>3.0602000000000001E-2</v>
      </c>
      <c r="X288" s="143" t="s">
        <v>412</v>
      </c>
      <c r="Y288" s="145" t="s">
        <v>3930</v>
      </c>
      <c r="Z288" s="144">
        <v>100005.55</v>
      </c>
      <c r="AA288" s="145" t="s">
        <v>3930</v>
      </c>
      <c r="AB288" s="143" t="s">
        <v>1609</v>
      </c>
      <c r="AC288" s="145" t="s">
        <v>3930</v>
      </c>
      <c r="AD288" s="144">
        <v>116.0864</v>
      </c>
      <c r="AE288" s="145" t="s">
        <v>3930</v>
      </c>
      <c r="AF288" s="145" t="s">
        <v>3930</v>
      </c>
      <c r="AG288" s="145" t="s">
        <v>3930</v>
      </c>
      <c r="AH288" s="146">
        <v>6.2224092298095971E-4</v>
      </c>
      <c r="AI288" s="146">
        <v>7.0270809937951831E-3</v>
      </c>
      <c r="AJ288" s="147">
        <v>3.8435263303755626E-4</v>
      </c>
      <c r="AK288" s="177"/>
    </row>
    <row r="289" spans="1:37" ht="15" x14ac:dyDescent="0.2">
      <c r="A289" s="142" t="s">
        <v>1220</v>
      </c>
      <c r="B289" s="143" t="s">
        <v>1221</v>
      </c>
      <c r="C289" s="143" t="s">
        <v>1620</v>
      </c>
      <c r="D289" s="143" t="s">
        <v>1621</v>
      </c>
      <c r="E289" s="143" t="s">
        <v>309</v>
      </c>
      <c r="F289" s="143" t="s">
        <v>1622</v>
      </c>
      <c r="G289" s="143" t="s">
        <v>1623</v>
      </c>
      <c r="H289" s="143" t="s">
        <v>321</v>
      </c>
      <c r="I289" s="143" t="s">
        <v>754</v>
      </c>
      <c r="J289" s="143" t="s">
        <v>204</v>
      </c>
      <c r="K289" s="143" t="s">
        <v>204</v>
      </c>
      <c r="L289" s="143" t="s">
        <v>325</v>
      </c>
      <c r="M289" s="143" t="s">
        <v>340</v>
      </c>
      <c r="N289" s="143" t="s">
        <v>445</v>
      </c>
      <c r="O289" s="143" t="s">
        <v>339</v>
      </c>
      <c r="P289" s="143" t="s">
        <v>1624</v>
      </c>
      <c r="Q289" s="143" t="s">
        <v>415</v>
      </c>
      <c r="R289" s="143" t="s">
        <v>407</v>
      </c>
      <c r="S289" s="143" t="s">
        <v>1210</v>
      </c>
      <c r="T289" s="144">
        <v>4.51</v>
      </c>
      <c r="U289" s="143" t="s">
        <v>1406</v>
      </c>
      <c r="V289" s="146">
        <v>5.1700000000000003E-2</v>
      </c>
      <c r="W289" s="146">
        <v>5.7583000000000002E-2</v>
      </c>
      <c r="X289" s="143" t="s">
        <v>412</v>
      </c>
      <c r="Y289" s="145" t="s">
        <v>3930</v>
      </c>
      <c r="Z289" s="144">
        <v>97816</v>
      </c>
      <c r="AA289" s="145" t="s">
        <v>3930</v>
      </c>
      <c r="AB289" s="143" t="s">
        <v>1625</v>
      </c>
      <c r="AC289" s="145" t="s">
        <v>3930</v>
      </c>
      <c r="AD289" s="144">
        <v>97.366</v>
      </c>
      <c r="AE289" s="145" t="s">
        <v>3930</v>
      </c>
      <c r="AF289" s="145" t="s">
        <v>3930</v>
      </c>
      <c r="AG289" s="145" t="s">
        <v>3930</v>
      </c>
      <c r="AH289" s="146">
        <v>1.6029786271701404E-4</v>
      </c>
      <c r="AI289" s="146">
        <v>5.8938759748112055E-3</v>
      </c>
      <c r="AJ289" s="147">
        <v>3.2237094630270139E-4</v>
      </c>
      <c r="AK289" s="177"/>
    </row>
    <row r="290" spans="1:37" ht="15" x14ac:dyDescent="0.2">
      <c r="A290" s="142" t="s">
        <v>1220</v>
      </c>
      <c r="B290" s="143" t="s">
        <v>1221</v>
      </c>
      <c r="C290" s="143" t="s">
        <v>1610</v>
      </c>
      <c r="D290" s="143" t="s">
        <v>1611</v>
      </c>
      <c r="E290" s="143" t="s">
        <v>309</v>
      </c>
      <c r="F290" s="143" t="s">
        <v>1612</v>
      </c>
      <c r="G290" s="143" t="s">
        <v>1613</v>
      </c>
      <c r="H290" s="143" t="s">
        <v>321</v>
      </c>
      <c r="I290" s="143" t="s">
        <v>754</v>
      </c>
      <c r="J290" s="143" t="s">
        <v>204</v>
      </c>
      <c r="K290" s="143" t="s">
        <v>204</v>
      </c>
      <c r="L290" s="143" t="s">
        <v>325</v>
      </c>
      <c r="M290" s="143" t="s">
        <v>340</v>
      </c>
      <c r="N290" s="143" t="s">
        <v>440</v>
      </c>
      <c r="O290" s="143" t="s">
        <v>339</v>
      </c>
      <c r="P290" s="143" t="s">
        <v>1356</v>
      </c>
      <c r="Q290" s="143" t="s">
        <v>413</v>
      </c>
      <c r="R290" s="143" t="s">
        <v>407</v>
      </c>
      <c r="S290" s="143" t="s">
        <v>1210</v>
      </c>
      <c r="T290" s="144">
        <v>3.07</v>
      </c>
      <c r="U290" s="143" t="s">
        <v>1614</v>
      </c>
      <c r="V290" s="146">
        <v>1.23E-2</v>
      </c>
      <c r="W290" s="146">
        <v>2.589E-2</v>
      </c>
      <c r="X290" s="143" t="s">
        <v>412</v>
      </c>
      <c r="Y290" s="145" t="s">
        <v>3930</v>
      </c>
      <c r="Z290" s="144">
        <v>87096.97</v>
      </c>
      <c r="AA290" s="145" t="s">
        <v>3930</v>
      </c>
      <c r="AB290" s="143" t="s">
        <v>1615</v>
      </c>
      <c r="AC290" s="145" t="s">
        <v>3930</v>
      </c>
      <c r="AD290" s="144">
        <v>97.3309</v>
      </c>
      <c r="AE290" s="145" t="s">
        <v>3930</v>
      </c>
      <c r="AF290" s="145" t="s">
        <v>3930</v>
      </c>
      <c r="AG290" s="145" t="s">
        <v>3930</v>
      </c>
      <c r="AH290" s="146">
        <v>7.8121519698642579E-5</v>
      </c>
      <c r="AI290" s="146">
        <v>5.8917462709040429E-3</v>
      </c>
      <c r="AJ290" s="147">
        <v>3.2225446019630371E-4</v>
      </c>
      <c r="AK290" s="177"/>
    </row>
    <row r="291" spans="1:37" ht="15" x14ac:dyDescent="0.2">
      <c r="A291" s="142" t="s">
        <v>1220</v>
      </c>
      <c r="B291" s="143" t="s">
        <v>1221</v>
      </c>
      <c r="C291" s="143" t="s">
        <v>1610</v>
      </c>
      <c r="D291" s="143" t="s">
        <v>1611</v>
      </c>
      <c r="E291" s="143" t="s">
        <v>309</v>
      </c>
      <c r="F291" s="143" t="s">
        <v>1626</v>
      </c>
      <c r="G291" s="143" t="s">
        <v>1627</v>
      </c>
      <c r="H291" s="143" t="s">
        <v>321</v>
      </c>
      <c r="I291" s="143" t="s">
        <v>754</v>
      </c>
      <c r="J291" s="143" t="s">
        <v>204</v>
      </c>
      <c r="K291" s="143" t="s">
        <v>204</v>
      </c>
      <c r="L291" s="143" t="s">
        <v>325</v>
      </c>
      <c r="M291" s="143" t="s">
        <v>340</v>
      </c>
      <c r="N291" s="143" t="s">
        <v>440</v>
      </c>
      <c r="O291" s="143" t="s">
        <v>339</v>
      </c>
      <c r="P291" s="143" t="s">
        <v>1356</v>
      </c>
      <c r="Q291" s="143" t="s">
        <v>413</v>
      </c>
      <c r="R291" s="143" t="s">
        <v>407</v>
      </c>
      <c r="S291" s="143" t="s">
        <v>1210</v>
      </c>
      <c r="T291" s="144">
        <v>2.09</v>
      </c>
      <c r="U291" s="143" t="s">
        <v>1628</v>
      </c>
      <c r="V291" s="146">
        <v>1.9400000000000001E-2</v>
      </c>
      <c r="W291" s="146">
        <v>2.4282000000000001E-2</v>
      </c>
      <c r="X291" s="143" t="s">
        <v>412</v>
      </c>
      <c r="Y291" s="145" t="s">
        <v>3930</v>
      </c>
      <c r="Z291" s="144">
        <v>68641.460000000006</v>
      </c>
      <c r="AA291" s="145" t="s">
        <v>3930</v>
      </c>
      <c r="AB291" s="143" t="s">
        <v>1629</v>
      </c>
      <c r="AC291" s="145" t="s">
        <v>3930</v>
      </c>
      <c r="AD291" s="144">
        <v>79.541699999999992</v>
      </c>
      <c r="AE291" s="145" t="s">
        <v>3930</v>
      </c>
      <c r="AF291" s="145" t="s">
        <v>3930</v>
      </c>
      <c r="AG291" s="145" t="s">
        <v>3930</v>
      </c>
      <c r="AH291" s="146">
        <v>2.2785273918494368E-4</v>
      </c>
      <c r="AI291" s="146">
        <v>4.8149131295403477E-3</v>
      </c>
      <c r="AJ291" s="147">
        <v>2.6335608495476416E-4</v>
      </c>
      <c r="AK291" s="177"/>
    </row>
    <row r="292" spans="1:37" ht="15" x14ac:dyDescent="0.2">
      <c r="A292" s="142" t="s">
        <v>1220</v>
      </c>
      <c r="B292" s="143" t="s">
        <v>1221</v>
      </c>
      <c r="C292" s="143" t="s">
        <v>1620</v>
      </c>
      <c r="D292" s="143" t="s">
        <v>1621</v>
      </c>
      <c r="E292" s="143" t="s">
        <v>309</v>
      </c>
      <c r="F292" s="143" t="s">
        <v>1636</v>
      </c>
      <c r="G292" s="143" t="s">
        <v>1637</v>
      </c>
      <c r="H292" s="143" t="s">
        <v>321</v>
      </c>
      <c r="I292" s="143" t="s">
        <v>754</v>
      </c>
      <c r="J292" s="143" t="s">
        <v>204</v>
      </c>
      <c r="K292" s="143" t="s">
        <v>204</v>
      </c>
      <c r="L292" s="143" t="s">
        <v>325</v>
      </c>
      <c r="M292" s="143" t="s">
        <v>340</v>
      </c>
      <c r="N292" s="143" t="s">
        <v>445</v>
      </c>
      <c r="O292" s="143" t="s">
        <v>339</v>
      </c>
      <c r="P292" s="143" t="s">
        <v>1624</v>
      </c>
      <c r="Q292" s="143" t="s">
        <v>415</v>
      </c>
      <c r="R292" s="143" t="s">
        <v>407</v>
      </c>
      <c r="S292" s="143" t="s">
        <v>1210</v>
      </c>
      <c r="T292" s="144">
        <v>5.3</v>
      </c>
      <c r="U292" s="143" t="s">
        <v>1638</v>
      </c>
      <c r="V292" s="146">
        <v>5.3999999999999999E-2</v>
      </c>
      <c r="W292" s="146">
        <v>5.9711E-2</v>
      </c>
      <c r="X292" s="143" t="s">
        <v>412</v>
      </c>
      <c r="Y292" s="145" t="s">
        <v>3930</v>
      </c>
      <c r="Z292" s="144">
        <v>53017</v>
      </c>
      <c r="AA292" s="145" t="s">
        <v>3930</v>
      </c>
      <c r="AB292" s="143" t="s">
        <v>1639</v>
      </c>
      <c r="AC292" s="145" t="s">
        <v>3930</v>
      </c>
      <c r="AD292" s="144">
        <v>52.486800000000002</v>
      </c>
      <c r="AE292" s="145" t="s">
        <v>3930</v>
      </c>
      <c r="AF292" s="145" t="s">
        <v>3930</v>
      </c>
      <c r="AG292" s="145" t="s">
        <v>3930</v>
      </c>
      <c r="AH292" s="146">
        <v>9.2767081680942109E-5</v>
      </c>
      <c r="AI292" s="146">
        <v>3.1771944920113344E-3</v>
      </c>
      <c r="AJ292" s="147">
        <v>1.7377956362752154E-4</v>
      </c>
      <c r="AK292" s="177"/>
    </row>
    <row r="293" spans="1:37" ht="15" x14ac:dyDescent="0.2">
      <c r="A293" s="142" t="s">
        <v>1220</v>
      </c>
      <c r="B293" s="143" t="s">
        <v>1221</v>
      </c>
      <c r="C293" s="143" t="s">
        <v>1513</v>
      </c>
      <c r="D293" s="143" t="s">
        <v>1514</v>
      </c>
      <c r="E293" s="143" t="s">
        <v>309</v>
      </c>
      <c r="F293" s="143" t="s">
        <v>1515</v>
      </c>
      <c r="G293" s="143" t="s">
        <v>1516</v>
      </c>
      <c r="H293" s="143" t="s">
        <v>321</v>
      </c>
      <c r="I293" s="143" t="s">
        <v>754</v>
      </c>
      <c r="J293" s="143" t="s">
        <v>204</v>
      </c>
      <c r="K293" s="143" t="s">
        <v>204</v>
      </c>
      <c r="L293" s="143" t="s">
        <v>325</v>
      </c>
      <c r="M293" s="143" t="s">
        <v>340</v>
      </c>
      <c r="N293" s="143" t="s">
        <v>465</v>
      </c>
      <c r="O293" s="143" t="s">
        <v>339</v>
      </c>
      <c r="P293" s="143" t="s">
        <v>1405</v>
      </c>
      <c r="Q293" s="143" t="s">
        <v>415</v>
      </c>
      <c r="R293" s="143" t="s">
        <v>407</v>
      </c>
      <c r="S293" s="143" t="s">
        <v>1210</v>
      </c>
      <c r="T293" s="144">
        <v>1.86</v>
      </c>
      <c r="U293" s="143" t="s">
        <v>1517</v>
      </c>
      <c r="V293" s="146">
        <v>0.04</v>
      </c>
      <c r="W293" s="146">
        <v>4.0134000000000003E-2</v>
      </c>
      <c r="X293" s="143" t="s">
        <v>412</v>
      </c>
      <c r="Y293" s="145" t="s">
        <v>3930</v>
      </c>
      <c r="Z293" s="144">
        <v>40824.75</v>
      </c>
      <c r="AA293" s="145" t="s">
        <v>3930</v>
      </c>
      <c r="AB293" s="143" t="s">
        <v>1518</v>
      </c>
      <c r="AC293" s="145" t="s">
        <v>3930</v>
      </c>
      <c r="AD293" s="144">
        <v>47.438400000000001</v>
      </c>
      <c r="AE293" s="145" t="s">
        <v>3930</v>
      </c>
      <c r="AF293" s="145" t="s">
        <v>3930</v>
      </c>
      <c r="AG293" s="145" t="s">
        <v>3930</v>
      </c>
      <c r="AH293" s="146">
        <v>1.969256369776004E-5</v>
      </c>
      <c r="AI293" s="146">
        <v>2.8715945412106916E-3</v>
      </c>
      <c r="AJ293" s="147">
        <v>1.5706449433344503E-4</v>
      </c>
      <c r="AK293" s="177"/>
    </row>
    <row r="294" spans="1:37" ht="15" x14ac:dyDescent="0.2">
      <c r="A294" s="142" t="s">
        <v>1220</v>
      </c>
      <c r="B294" s="143" t="s">
        <v>1221</v>
      </c>
      <c r="C294" s="143" t="s">
        <v>1630</v>
      </c>
      <c r="D294" s="143" t="s">
        <v>1631</v>
      </c>
      <c r="E294" s="143" t="s">
        <v>309</v>
      </c>
      <c r="F294" s="143" t="s">
        <v>1632</v>
      </c>
      <c r="G294" s="143" t="s">
        <v>1633</v>
      </c>
      <c r="H294" s="143" t="s">
        <v>321</v>
      </c>
      <c r="I294" s="143" t="s">
        <v>754</v>
      </c>
      <c r="J294" s="143" t="s">
        <v>204</v>
      </c>
      <c r="K294" s="143" t="s">
        <v>204</v>
      </c>
      <c r="L294" s="143" t="s">
        <v>325</v>
      </c>
      <c r="M294" s="143" t="s">
        <v>340</v>
      </c>
      <c r="N294" s="143" t="s">
        <v>445</v>
      </c>
      <c r="O294" s="143" t="s">
        <v>339</v>
      </c>
      <c r="P294" s="143" t="s">
        <v>1412</v>
      </c>
      <c r="Q294" s="143" t="s">
        <v>413</v>
      </c>
      <c r="R294" s="143" t="s">
        <v>407</v>
      </c>
      <c r="S294" s="143" t="s">
        <v>1210</v>
      </c>
      <c r="T294" s="144">
        <v>4.54</v>
      </c>
      <c r="U294" s="143" t="s">
        <v>1634</v>
      </c>
      <c r="V294" s="146">
        <v>4.4000000000000003E-3</v>
      </c>
      <c r="W294" s="146">
        <v>2.6984000000000001E-2</v>
      </c>
      <c r="X294" s="143" t="s">
        <v>412</v>
      </c>
      <c r="Y294" s="145" t="s">
        <v>3930</v>
      </c>
      <c r="Z294" s="144">
        <v>41453.279999999999</v>
      </c>
      <c r="AA294" s="145" t="s">
        <v>3930</v>
      </c>
      <c r="AB294" s="143" t="s">
        <v>1635</v>
      </c>
      <c r="AC294" s="145" t="s">
        <v>3930</v>
      </c>
      <c r="AD294" s="144">
        <v>43.194300000000005</v>
      </c>
      <c r="AE294" s="145" t="s">
        <v>3930</v>
      </c>
      <c r="AF294" s="145" t="s">
        <v>3930</v>
      </c>
      <c r="AG294" s="145" t="s">
        <v>3930</v>
      </c>
      <c r="AH294" s="146">
        <v>4.8597264095326231E-5</v>
      </c>
      <c r="AI294" s="146">
        <v>2.6146892177191759E-3</v>
      </c>
      <c r="AJ294" s="147">
        <v>1.4301282229316011E-4</v>
      </c>
      <c r="AK294" s="177"/>
    </row>
    <row r="295" spans="1:37" ht="15" x14ac:dyDescent="0.2">
      <c r="A295" s="142" t="s">
        <v>1220</v>
      </c>
      <c r="B295" s="143" t="s">
        <v>1221</v>
      </c>
      <c r="C295" s="143" t="s">
        <v>1352</v>
      </c>
      <c r="D295" s="143" t="s">
        <v>1353</v>
      </c>
      <c r="E295" s="143" t="s">
        <v>309</v>
      </c>
      <c r="F295" s="143" t="s">
        <v>1519</v>
      </c>
      <c r="G295" s="143" t="s">
        <v>1520</v>
      </c>
      <c r="H295" s="143" t="s">
        <v>321</v>
      </c>
      <c r="I295" s="143" t="s">
        <v>754</v>
      </c>
      <c r="J295" s="143" t="s">
        <v>204</v>
      </c>
      <c r="K295" s="143" t="s">
        <v>204</v>
      </c>
      <c r="L295" s="143" t="s">
        <v>325</v>
      </c>
      <c r="M295" s="143" t="s">
        <v>340</v>
      </c>
      <c r="N295" s="143" t="s">
        <v>445</v>
      </c>
      <c r="O295" s="143" t="s">
        <v>339</v>
      </c>
      <c r="P295" s="143" t="s">
        <v>1356</v>
      </c>
      <c r="Q295" s="143" t="s">
        <v>413</v>
      </c>
      <c r="R295" s="143" t="s">
        <v>407</v>
      </c>
      <c r="S295" s="143" t="s">
        <v>1210</v>
      </c>
      <c r="T295" s="144">
        <v>0.82</v>
      </c>
      <c r="U295" s="143" t="s">
        <v>1369</v>
      </c>
      <c r="V295" s="146">
        <v>2.4799999999999999E-2</v>
      </c>
      <c r="W295" s="146">
        <v>2.6313E-2</v>
      </c>
      <c r="X295" s="143" t="s">
        <v>412</v>
      </c>
      <c r="Y295" s="145" t="s">
        <v>3930</v>
      </c>
      <c r="Z295" s="144">
        <v>28239.59</v>
      </c>
      <c r="AA295" s="145" t="s">
        <v>3930</v>
      </c>
      <c r="AB295" s="143" t="s">
        <v>1521</v>
      </c>
      <c r="AC295" s="145" t="s">
        <v>3930</v>
      </c>
      <c r="AD295" s="144">
        <v>32.741</v>
      </c>
      <c r="AE295" s="145" t="s">
        <v>3930</v>
      </c>
      <c r="AF295" s="145" t="s">
        <v>3930</v>
      </c>
      <c r="AG295" s="145" t="s">
        <v>3930</v>
      </c>
      <c r="AH295" s="146">
        <v>6.6683611571003432E-5</v>
      </c>
      <c r="AI295" s="146">
        <v>1.9819155276003695E-3</v>
      </c>
      <c r="AJ295" s="147">
        <v>1.0840268557653431E-4</v>
      </c>
      <c r="AK295" s="177"/>
    </row>
    <row r="296" spans="1:37" ht="15" x14ac:dyDescent="0.2">
      <c r="A296" s="142" t="s">
        <v>1220</v>
      </c>
      <c r="B296" s="143" t="s">
        <v>1221</v>
      </c>
      <c r="C296" s="143" t="s">
        <v>1644</v>
      </c>
      <c r="D296" s="143" t="s">
        <v>1645</v>
      </c>
      <c r="E296" s="143" t="s">
        <v>309</v>
      </c>
      <c r="F296" s="143" t="s">
        <v>1646</v>
      </c>
      <c r="G296" s="143" t="s">
        <v>1647</v>
      </c>
      <c r="H296" s="143" t="s">
        <v>321</v>
      </c>
      <c r="I296" s="143" t="s">
        <v>754</v>
      </c>
      <c r="J296" s="143" t="s">
        <v>204</v>
      </c>
      <c r="K296" s="143" t="s">
        <v>204</v>
      </c>
      <c r="L296" s="143" t="s">
        <v>325</v>
      </c>
      <c r="M296" s="143" t="s">
        <v>340</v>
      </c>
      <c r="N296" s="143" t="s">
        <v>464</v>
      </c>
      <c r="O296" s="143" t="s">
        <v>339</v>
      </c>
      <c r="P296" s="143" t="s">
        <v>1425</v>
      </c>
      <c r="Q296" s="143" t="s">
        <v>415</v>
      </c>
      <c r="R296" s="143" t="s">
        <v>407</v>
      </c>
      <c r="S296" s="143" t="s">
        <v>1210</v>
      </c>
      <c r="T296" s="144">
        <v>2.91</v>
      </c>
      <c r="U296" s="143" t="s">
        <v>1648</v>
      </c>
      <c r="V296" s="146">
        <v>1.9599999999999999E-2</v>
      </c>
      <c r="W296" s="146">
        <v>2.8162E-2</v>
      </c>
      <c r="X296" s="143" t="s">
        <v>412</v>
      </c>
      <c r="Y296" s="145" t="s">
        <v>3930</v>
      </c>
      <c r="Z296" s="144">
        <v>16300</v>
      </c>
      <c r="AA296" s="145" t="s">
        <v>3930</v>
      </c>
      <c r="AB296" s="143" t="s">
        <v>1649</v>
      </c>
      <c r="AC296" s="145" t="s">
        <v>3930</v>
      </c>
      <c r="AD296" s="144">
        <v>18.657</v>
      </c>
      <c r="AE296" s="145" t="s">
        <v>3930</v>
      </c>
      <c r="AF296" s="145" t="s">
        <v>3930</v>
      </c>
      <c r="AG296" s="145" t="s">
        <v>3930</v>
      </c>
      <c r="AH296" s="146">
        <v>1.4234657239972462E-5</v>
      </c>
      <c r="AI296" s="146">
        <v>1.1293662447049218E-3</v>
      </c>
      <c r="AJ296" s="147">
        <v>6.1771721458647762E-5</v>
      </c>
      <c r="AK296" s="177"/>
    </row>
    <row r="297" spans="1:37" ht="15" x14ac:dyDescent="0.2">
      <c r="A297" s="142" t="s">
        <v>1220</v>
      </c>
      <c r="B297" s="143" t="s">
        <v>1221</v>
      </c>
      <c r="C297" s="143" t="s">
        <v>1644</v>
      </c>
      <c r="D297" s="143" t="s">
        <v>1645</v>
      </c>
      <c r="E297" s="143" t="s">
        <v>309</v>
      </c>
      <c r="F297" s="143" t="s">
        <v>1650</v>
      </c>
      <c r="G297" s="143" t="s">
        <v>1651</v>
      </c>
      <c r="H297" s="143" t="s">
        <v>321</v>
      </c>
      <c r="I297" s="143" t="s">
        <v>754</v>
      </c>
      <c r="J297" s="143" t="s">
        <v>204</v>
      </c>
      <c r="K297" s="143" t="s">
        <v>204</v>
      </c>
      <c r="L297" s="143" t="s">
        <v>325</v>
      </c>
      <c r="M297" s="143" t="s">
        <v>340</v>
      </c>
      <c r="N297" s="143" t="s">
        <v>464</v>
      </c>
      <c r="O297" s="143" t="s">
        <v>339</v>
      </c>
      <c r="P297" s="143" t="s">
        <v>1425</v>
      </c>
      <c r="Q297" s="143" t="s">
        <v>415</v>
      </c>
      <c r="R297" s="143" t="s">
        <v>407</v>
      </c>
      <c r="S297" s="143" t="s">
        <v>1210</v>
      </c>
      <c r="T297" s="144">
        <v>0.28000000000000003</v>
      </c>
      <c r="U297" s="143" t="s">
        <v>1652</v>
      </c>
      <c r="V297" s="146">
        <v>2.75E-2</v>
      </c>
      <c r="W297" s="146">
        <v>4.6851999999999998E-2</v>
      </c>
      <c r="X297" s="143" t="s">
        <v>412</v>
      </c>
      <c r="Y297" s="145" t="s">
        <v>3930</v>
      </c>
      <c r="Z297" s="144">
        <v>2944.26</v>
      </c>
      <c r="AA297" s="145" t="s">
        <v>3930</v>
      </c>
      <c r="AB297" s="143" t="s">
        <v>1653</v>
      </c>
      <c r="AC297" s="145" t="s">
        <v>3930</v>
      </c>
      <c r="AD297" s="144">
        <v>3.4371</v>
      </c>
      <c r="AE297" s="145" t="s">
        <v>3930</v>
      </c>
      <c r="AF297" s="145" t="s">
        <v>3930</v>
      </c>
      <c r="AG297" s="145" t="s">
        <v>3930</v>
      </c>
      <c r="AH297" s="146">
        <v>2.1297986350498395E-5</v>
      </c>
      <c r="AI297" s="146">
        <v>2.0806034049121547E-4</v>
      </c>
      <c r="AJ297" s="147">
        <v>1.1380050944211441E-5</v>
      </c>
      <c r="AK297" s="177"/>
    </row>
    <row r="298" spans="1:37" ht="15" x14ac:dyDescent="0.2">
      <c r="A298" s="142" t="s">
        <v>1220</v>
      </c>
      <c r="B298" s="143" t="s">
        <v>1222</v>
      </c>
      <c r="C298" s="143" t="s">
        <v>1364</v>
      </c>
      <c r="D298" s="143" t="s">
        <v>1365</v>
      </c>
      <c r="E298" s="143" t="s">
        <v>309</v>
      </c>
      <c r="F298" s="143" t="s">
        <v>1366</v>
      </c>
      <c r="G298" s="143" t="s">
        <v>1367</v>
      </c>
      <c r="H298" s="143" t="s">
        <v>321</v>
      </c>
      <c r="I298" s="143" t="s">
        <v>951</v>
      </c>
      <c r="J298" s="143" t="s">
        <v>204</v>
      </c>
      <c r="K298" s="143" t="s">
        <v>204</v>
      </c>
      <c r="L298" s="143" t="s">
        <v>325</v>
      </c>
      <c r="M298" s="143" t="s">
        <v>340</v>
      </c>
      <c r="N298" s="143" t="s">
        <v>445</v>
      </c>
      <c r="O298" s="143" t="s">
        <v>339</v>
      </c>
      <c r="P298" s="143" t="s">
        <v>1368</v>
      </c>
      <c r="Q298" s="143" t="s">
        <v>415</v>
      </c>
      <c r="R298" s="143" t="s">
        <v>407</v>
      </c>
      <c r="S298" s="143" t="s">
        <v>1210</v>
      </c>
      <c r="T298" s="144">
        <v>0.82</v>
      </c>
      <c r="U298" s="143" t="s">
        <v>1369</v>
      </c>
      <c r="V298" s="146">
        <v>3.61E-2</v>
      </c>
      <c r="W298" s="146">
        <v>5.1797000000000003E-2</v>
      </c>
      <c r="X298" s="143" t="s">
        <v>412</v>
      </c>
      <c r="Y298" s="145" t="s">
        <v>3930</v>
      </c>
      <c r="Z298" s="144">
        <v>32237</v>
      </c>
      <c r="AA298" s="145" t="s">
        <v>3930</v>
      </c>
      <c r="AB298" s="143" t="s">
        <v>1370</v>
      </c>
      <c r="AC298" s="145" t="s">
        <v>3930</v>
      </c>
      <c r="AD298" s="144">
        <v>32.040399999999998</v>
      </c>
      <c r="AE298" s="145" t="s">
        <v>3930</v>
      </c>
      <c r="AF298" s="145" t="s">
        <v>3930</v>
      </c>
      <c r="AG298" s="145" t="s">
        <v>3930</v>
      </c>
      <c r="AH298" s="146">
        <v>4.2002605863192185E-5</v>
      </c>
      <c r="AI298" s="146">
        <v>4.2168549154964131E-2</v>
      </c>
      <c r="AJ298" s="147">
        <v>4.0295757556167667E-3</v>
      </c>
      <c r="AK298" s="177"/>
    </row>
    <row r="299" spans="1:37" ht="15" x14ac:dyDescent="0.2">
      <c r="A299" s="142" t="s">
        <v>1220</v>
      </c>
      <c r="B299" s="143" t="s">
        <v>1222</v>
      </c>
      <c r="C299" s="143" t="s">
        <v>1388</v>
      </c>
      <c r="D299" s="143" t="s">
        <v>1389</v>
      </c>
      <c r="E299" s="143" t="s">
        <v>309</v>
      </c>
      <c r="F299" s="143" t="s">
        <v>1390</v>
      </c>
      <c r="G299" s="143" t="s">
        <v>1391</v>
      </c>
      <c r="H299" s="143" t="s">
        <v>321</v>
      </c>
      <c r="I299" s="143" t="s">
        <v>951</v>
      </c>
      <c r="J299" s="143" t="s">
        <v>204</v>
      </c>
      <c r="K299" s="143" t="s">
        <v>204</v>
      </c>
      <c r="L299" s="143" t="s">
        <v>325</v>
      </c>
      <c r="M299" s="143" t="s">
        <v>340</v>
      </c>
      <c r="N299" s="143" t="s">
        <v>445</v>
      </c>
      <c r="O299" s="143" t="s">
        <v>339</v>
      </c>
      <c r="P299" s="143" t="s">
        <v>1356</v>
      </c>
      <c r="Q299" s="143" t="s">
        <v>413</v>
      </c>
      <c r="R299" s="143" t="s">
        <v>407</v>
      </c>
      <c r="S299" s="143" t="s">
        <v>1210</v>
      </c>
      <c r="T299" s="144">
        <v>5.16</v>
      </c>
      <c r="U299" s="143" t="s">
        <v>1392</v>
      </c>
      <c r="V299" s="146">
        <v>5.2499999999999998E-2</v>
      </c>
      <c r="W299" s="146">
        <v>5.6903000000000002E-2</v>
      </c>
      <c r="X299" s="143" t="s">
        <v>412</v>
      </c>
      <c r="Y299" s="145" t="s">
        <v>3930</v>
      </c>
      <c r="Z299" s="144">
        <v>26000</v>
      </c>
      <c r="AA299" s="145" t="s">
        <v>3930</v>
      </c>
      <c r="AB299" s="143" t="s">
        <v>1393</v>
      </c>
      <c r="AC299" s="145" t="s">
        <v>3930</v>
      </c>
      <c r="AD299" s="144">
        <v>26.085799999999999</v>
      </c>
      <c r="AE299" s="145" t="s">
        <v>3930</v>
      </c>
      <c r="AF299" s="145" t="s">
        <v>3930</v>
      </c>
      <c r="AG299" s="145" t="s">
        <v>3930</v>
      </c>
      <c r="AH299" s="146">
        <v>5.1999999999999997E-5</v>
      </c>
      <c r="AI299" s="146">
        <v>3.433171584955174E-2</v>
      </c>
      <c r="AJ299" s="147">
        <v>3.2806974062040213E-3</v>
      </c>
      <c r="AK299" s="177"/>
    </row>
    <row r="300" spans="1:37" ht="15" x14ac:dyDescent="0.2">
      <c r="A300" s="142" t="s">
        <v>1220</v>
      </c>
      <c r="B300" s="143" t="s">
        <v>1222</v>
      </c>
      <c r="C300" s="143" t="s">
        <v>1371</v>
      </c>
      <c r="D300" s="143" t="s">
        <v>1372</v>
      </c>
      <c r="E300" s="143" t="s">
        <v>309</v>
      </c>
      <c r="F300" s="143" t="s">
        <v>1373</v>
      </c>
      <c r="G300" s="143" t="s">
        <v>1374</v>
      </c>
      <c r="H300" s="143" t="s">
        <v>321</v>
      </c>
      <c r="I300" s="143" t="s">
        <v>951</v>
      </c>
      <c r="J300" s="143" t="s">
        <v>204</v>
      </c>
      <c r="K300" s="143" t="s">
        <v>204</v>
      </c>
      <c r="L300" s="143" t="s">
        <v>325</v>
      </c>
      <c r="M300" s="143" t="s">
        <v>340</v>
      </c>
      <c r="N300" s="143" t="s">
        <v>440</v>
      </c>
      <c r="O300" s="143" t="s">
        <v>339</v>
      </c>
      <c r="P300" s="143" t="s">
        <v>1375</v>
      </c>
      <c r="Q300" s="143" t="s">
        <v>413</v>
      </c>
      <c r="R300" s="143" t="s">
        <v>407</v>
      </c>
      <c r="S300" s="143" t="s">
        <v>1210</v>
      </c>
      <c r="T300" s="144">
        <v>3.24</v>
      </c>
      <c r="U300" s="143" t="s">
        <v>1376</v>
      </c>
      <c r="V300" s="146">
        <v>2.5000000000000001E-2</v>
      </c>
      <c r="W300" s="146">
        <v>6.1240999999999997E-2</v>
      </c>
      <c r="X300" s="143" t="s">
        <v>412</v>
      </c>
      <c r="Y300" s="145" t="s">
        <v>3930</v>
      </c>
      <c r="Z300" s="144">
        <v>27000</v>
      </c>
      <c r="AA300" s="145" t="s">
        <v>3930</v>
      </c>
      <c r="AB300" s="143" t="s">
        <v>1377</v>
      </c>
      <c r="AC300" s="145" t="s">
        <v>3930</v>
      </c>
      <c r="AD300" s="144">
        <v>24.140700000000002</v>
      </c>
      <c r="AE300" s="145" t="s">
        <v>3930</v>
      </c>
      <c r="AF300" s="145" t="s">
        <v>3930</v>
      </c>
      <c r="AG300" s="145" t="s">
        <v>3930</v>
      </c>
      <c r="AH300" s="146">
        <v>3.5262298608197077E-5</v>
      </c>
      <c r="AI300" s="146">
        <v>3.1771755238837747E-2</v>
      </c>
      <c r="AJ300" s="147">
        <v>3.0360706543004017E-3</v>
      </c>
      <c r="AK300" s="177"/>
    </row>
    <row r="301" spans="1:37" ht="15" x14ac:dyDescent="0.2">
      <c r="A301" s="142" t="s">
        <v>1220</v>
      </c>
      <c r="B301" s="143" t="s">
        <v>1222</v>
      </c>
      <c r="C301" s="143" t="s">
        <v>1401</v>
      </c>
      <c r="D301" s="143" t="s">
        <v>1402</v>
      </c>
      <c r="E301" s="143" t="s">
        <v>309</v>
      </c>
      <c r="F301" s="143" t="s">
        <v>1403</v>
      </c>
      <c r="G301" s="143" t="s">
        <v>1404</v>
      </c>
      <c r="H301" s="143" t="s">
        <v>321</v>
      </c>
      <c r="I301" s="143" t="s">
        <v>951</v>
      </c>
      <c r="J301" s="143" t="s">
        <v>204</v>
      </c>
      <c r="K301" s="143" t="s">
        <v>204</v>
      </c>
      <c r="L301" s="143" t="s">
        <v>325</v>
      </c>
      <c r="M301" s="143" t="s">
        <v>340</v>
      </c>
      <c r="N301" s="143" t="s">
        <v>484</v>
      </c>
      <c r="O301" s="143" t="s">
        <v>339</v>
      </c>
      <c r="P301" s="143" t="s">
        <v>1405</v>
      </c>
      <c r="Q301" s="143" t="s">
        <v>415</v>
      </c>
      <c r="R301" s="143" t="s">
        <v>407</v>
      </c>
      <c r="S301" s="143" t="s">
        <v>1210</v>
      </c>
      <c r="T301" s="144">
        <v>4.55</v>
      </c>
      <c r="U301" s="143" t="s">
        <v>1406</v>
      </c>
      <c r="V301" s="146">
        <v>5.5E-2</v>
      </c>
      <c r="W301" s="146">
        <v>6.1679999999999999E-2</v>
      </c>
      <c r="X301" s="143" t="s">
        <v>412</v>
      </c>
      <c r="Y301" s="145" t="s">
        <v>3930</v>
      </c>
      <c r="Z301" s="144">
        <v>21508.59</v>
      </c>
      <c r="AA301" s="145" t="s">
        <v>3930</v>
      </c>
      <c r="AB301" s="143" t="s">
        <v>1407</v>
      </c>
      <c r="AC301" s="145" t="s">
        <v>3930</v>
      </c>
      <c r="AD301" s="144">
        <v>21.005299999999998</v>
      </c>
      <c r="AE301" s="145" t="s">
        <v>3930</v>
      </c>
      <c r="AF301" s="145" t="s">
        <v>3930</v>
      </c>
      <c r="AG301" s="145" t="s">
        <v>3930</v>
      </c>
      <c r="AH301" s="146">
        <v>2.1312998418276638E-5</v>
      </c>
      <c r="AI301" s="146">
        <v>2.7645217439362588E-2</v>
      </c>
      <c r="AJ301" s="147">
        <v>2.6417436735381578E-3</v>
      </c>
      <c r="AK301" s="177"/>
    </row>
    <row r="302" spans="1:37" ht="15" x14ac:dyDescent="0.2">
      <c r="A302" s="142" t="s">
        <v>1220</v>
      </c>
      <c r="B302" s="143" t="s">
        <v>1222</v>
      </c>
      <c r="C302" s="143" t="s">
        <v>1887</v>
      </c>
      <c r="D302" s="143" t="s">
        <v>1888</v>
      </c>
      <c r="E302" s="143" t="s">
        <v>309</v>
      </c>
      <c r="F302" s="143" t="s">
        <v>2038</v>
      </c>
      <c r="G302" s="143" t="s">
        <v>2039</v>
      </c>
      <c r="H302" s="143" t="s">
        <v>321</v>
      </c>
      <c r="I302" s="143" t="s">
        <v>951</v>
      </c>
      <c r="J302" s="143" t="s">
        <v>204</v>
      </c>
      <c r="K302" s="143" t="s">
        <v>204</v>
      </c>
      <c r="L302" s="143" t="s">
        <v>325</v>
      </c>
      <c r="M302" s="143" t="s">
        <v>340</v>
      </c>
      <c r="N302" s="143" t="s">
        <v>448</v>
      </c>
      <c r="O302" s="143" t="s">
        <v>339</v>
      </c>
      <c r="P302" s="143" t="s">
        <v>1303</v>
      </c>
      <c r="Q302" s="143" t="s">
        <v>413</v>
      </c>
      <c r="R302" s="143" t="s">
        <v>407</v>
      </c>
      <c r="S302" s="143" t="s">
        <v>1210</v>
      </c>
      <c r="T302" s="144">
        <v>2.88</v>
      </c>
      <c r="U302" s="143" t="s">
        <v>2040</v>
      </c>
      <c r="V302" s="146">
        <v>2.6800000000000001E-2</v>
      </c>
      <c r="W302" s="146">
        <v>5.1560000000000002E-2</v>
      </c>
      <c r="X302" s="143" t="s">
        <v>412</v>
      </c>
      <c r="Y302" s="145" t="s">
        <v>3930</v>
      </c>
      <c r="Z302" s="144">
        <v>15721.28</v>
      </c>
      <c r="AA302" s="145" t="s">
        <v>3930</v>
      </c>
      <c r="AB302" s="143" t="s">
        <v>2041</v>
      </c>
      <c r="AC302" s="145" t="s">
        <v>3930</v>
      </c>
      <c r="AD302" s="144">
        <v>15.001200000000001</v>
      </c>
      <c r="AE302" s="145" t="s">
        <v>3930</v>
      </c>
      <c r="AF302" s="145" t="s">
        <v>3930</v>
      </c>
      <c r="AG302" s="145" t="s">
        <v>3930</v>
      </c>
      <c r="AH302" s="146">
        <v>6.8845683077171375E-6</v>
      </c>
      <c r="AI302" s="146">
        <v>1.9743250873587699E-2</v>
      </c>
      <c r="AJ302" s="147">
        <v>1.8866412682330335E-3</v>
      </c>
      <c r="AK302" s="177"/>
    </row>
    <row r="303" spans="1:37" ht="15" x14ac:dyDescent="0.2">
      <c r="A303" s="142" t="s">
        <v>1220</v>
      </c>
      <c r="B303" s="143" t="s">
        <v>1222</v>
      </c>
      <c r="C303" s="143" t="s">
        <v>1382</v>
      </c>
      <c r="D303" s="143" t="s">
        <v>1383</v>
      </c>
      <c r="E303" s="143" t="s">
        <v>309</v>
      </c>
      <c r="F303" s="143" t="s">
        <v>1384</v>
      </c>
      <c r="G303" s="143" t="s">
        <v>1385</v>
      </c>
      <c r="H303" s="143" t="s">
        <v>321</v>
      </c>
      <c r="I303" s="143" t="s">
        <v>951</v>
      </c>
      <c r="J303" s="143" t="s">
        <v>204</v>
      </c>
      <c r="K303" s="143" t="s">
        <v>204</v>
      </c>
      <c r="L303" s="143" t="s">
        <v>325</v>
      </c>
      <c r="M303" s="143" t="s">
        <v>340</v>
      </c>
      <c r="N303" s="143" t="s">
        <v>484</v>
      </c>
      <c r="O303" s="143" t="s">
        <v>339</v>
      </c>
      <c r="P303" s="143" t="s">
        <v>1368</v>
      </c>
      <c r="Q303" s="143" t="s">
        <v>415</v>
      </c>
      <c r="R303" s="143" t="s">
        <v>407</v>
      </c>
      <c r="S303" s="143" t="s">
        <v>1210</v>
      </c>
      <c r="T303" s="144">
        <v>0.65</v>
      </c>
      <c r="U303" s="143" t="s">
        <v>1386</v>
      </c>
      <c r="V303" s="146">
        <v>3.6499999999999998E-2</v>
      </c>
      <c r="W303" s="146">
        <v>5.0511E-2</v>
      </c>
      <c r="X303" s="143" t="s">
        <v>412</v>
      </c>
      <c r="Y303" s="145" t="s">
        <v>3930</v>
      </c>
      <c r="Z303" s="144">
        <v>13262.57</v>
      </c>
      <c r="AA303" s="145" t="s">
        <v>3930</v>
      </c>
      <c r="AB303" s="143" t="s">
        <v>1387</v>
      </c>
      <c r="AC303" s="145" t="s">
        <v>3930</v>
      </c>
      <c r="AD303" s="144">
        <v>13.308999999999999</v>
      </c>
      <c r="AE303" s="145" t="s">
        <v>3930</v>
      </c>
      <c r="AF303" s="145" t="s">
        <v>3930</v>
      </c>
      <c r="AG303" s="145" t="s">
        <v>3930</v>
      </c>
      <c r="AH303" s="146">
        <v>1.2453340689108432E-5</v>
      </c>
      <c r="AI303" s="146">
        <v>1.7516059634787938E-2</v>
      </c>
      <c r="AJ303" s="147">
        <v>1.6738135566129605E-3</v>
      </c>
      <c r="AK303" s="177"/>
    </row>
    <row r="304" spans="1:37" ht="15" x14ac:dyDescent="0.2">
      <c r="A304" s="142" t="s">
        <v>1220</v>
      </c>
      <c r="B304" s="143" t="s">
        <v>1222</v>
      </c>
      <c r="C304" s="143" t="s">
        <v>1352</v>
      </c>
      <c r="D304" s="143" t="s">
        <v>1353</v>
      </c>
      <c r="E304" s="143" t="s">
        <v>309</v>
      </c>
      <c r="F304" s="143" t="s">
        <v>1378</v>
      </c>
      <c r="G304" s="143" t="s">
        <v>1379</v>
      </c>
      <c r="H304" s="143" t="s">
        <v>321</v>
      </c>
      <c r="I304" s="143" t="s">
        <v>951</v>
      </c>
      <c r="J304" s="143" t="s">
        <v>204</v>
      </c>
      <c r="K304" s="143" t="s">
        <v>204</v>
      </c>
      <c r="L304" s="143" t="s">
        <v>325</v>
      </c>
      <c r="M304" s="143" t="s">
        <v>340</v>
      </c>
      <c r="N304" s="143" t="s">
        <v>445</v>
      </c>
      <c r="O304" s="143" t="s">
        <v>339</v>
      </c>
      <c r="P304" s="143" t="s">
        <v>1356</v>
      </c>
      <c r="Q304" s="143" t="s">
        <v>413</v>
      </c>
      <c r="R304" s="143" t="s">
        <v>407</v>
      </c>
      <c r="S304" s="143" t="s">
        <v>1210</v>
      </c>
      <c r="T304" s="144">
        <v>7.65</v>
      </c>
      <c r="U304" s="143" t="s">
        <v>1380</v>
      </c>
      <c r="V304" s="146">
        <v>5.3100000000000001E-2</v>
      </c>
      <c r="W304" s="146">
        <v>6.0852000000000003E-2</v>
      </c>
      <c r="X304" s="143" t="s">
        <v>412</v>
      </c>
      <c r="Y304" s="145" t="s">
        <v>3930</v>
      </c>
      <c r="Z304" s="144">
        <v>13894.31</v>
      </c>
      <c r="AA304" s="145" t="s">
        <v>3930</v>
      </c>
      <c r="AB304" s="143" t="s">
        <v>1381</v>
      </c>
      <c r="AC304" s="145" t="s">
        <v>3930</v>
      </c>
      <c r="AD304" s="144">
        <v>13.2996</v>
      </c>
      <c r="AE304" s="145" t="s">
        <v>3930</v>
      </c>
      <c r="AF304" s="145" t="s">
        <v>3930</v>
      </c>
      <c r="AG304" s="145" t="s">
        <v>3930</v>
      </c>
      <c r="AH304" s="146">
        <v>1.0911355246430511E-5</v>
      </c>
      <c r="AI304" s="146">
        <v>1.7503746840188694E-2</v>
      </c>
      <c r="AJ304" s="147">
        <v>1.672636960794625E-3</v>
      </c>
      <c r="AK304" s="177"/>
    </row>
    <row r="305" spans="1:37" ht="15" x14ac:dyDescent="0.2">
      <c r="A305" s="142" t="s">
        <v>1220</v>
      </c>
      <c r="B305" s="143" t="s">
        <v>1222</v>
      </c>
      <c r="C305" s="143" t="s">
        <v>1666</v>
      </c>
      <c r="D305" s="143" t="s">
        <v>1667</v>
      </c>
      <c r="E305" s="143" t="s">
        <v>309</v>
      </c>
      <c r="F305" s="143" t="s">
        <v>1668</v>
      </c>
      <c r="G305" s="143" t="s">
        <v>1669</v>
      </c>
      <c r="H305" s="143" t="s">
        <v>321</v>
      </c>
      <c r="I305" s="143" t="s">
        <v>951</v>
      </c>
      <c r="J305" s="143" t="s">
        <v>204</v>
      </c>
      <c r="K305" s="143" t="s">
        <v>204</v>
      </c>
      <c r="L305" s="143" t="s">
        <v>325</v>
      </c>
      <c r="M305" s="143" t="s">
        <v>340</v>
      </c>
      <c r="N305" s="143" t="s">
        <v>451</v>
      </c>
      <c r="O305" s="143" t="s">
        <v>339</v>
      </c>
      <c r="P305" s="143" t="s">
        <v>1398</v>
      </c>
      <c r="Q305" s="143" t="s">
        <v>413</v>
      </c>
      <c r="R305" s="143" t="s">
        <v>407</v>
      </c>
      <c r="S305" s="143" t="s">
        <v>1210</v>
      </c>
      <c r="T305" s="144">
        <v>2.33</v>
      </c>
      <c r="U305" s="143" t="s">
        <v>1539</v>
      </c>
      <c r="V305" s="146">
        <v>2.1999999999999999E-2</v>
      </c>
      <c r="W305" s="146">
        <v>5.6347000000000001E-2</v>
      </c>
      <c r="X305" s="143" t="s">
        <v>412</v>
      </c>
      <c r="Y305" s="145" t="s">
        <v>3930</v>
      </c>
      <c r="Z305" s="144">
        <v>10279.5</v>
      </c>
      <c r="AA305" s="145" t="s">
        <v>3930</v>
      </c>
      <c r="AB305" s="143" t="s">
        <v>1670</v>
      </c>
      <c r="AC305" s="145" t="s">
        <v>3930</v>
      </c>
      <c r="AD305" s="144">
        <v>9.5661000000000005</v>
      </c>
      <c r="AE305" s="145" t="s">
        <v>3930</v>
      </c>
      <c r="AF305" s="145" t="s">
        <v>3930</v>
      </c>
      <c r="AG305" s="145" t="s">
        <v>3930</v>
      </c>
      <c r="AH305" s="146">
        <v>9.4851211072664355E-6</v>
      </c>
      <c r="AI305" s="146">
        <v>1.259001907873363E-2</v>
      </c>
      <c r="AJ305" s="147">
        <v>1.2030870556153648E-3</v>
      </c>
      <c r="AK305" s="177"/>
    </row>
    <row r="306" spans="1:37" ht="15" x14ac:dyDescent="0.2">
      <c r="A306" s="142" t="s">
        <v>1220</v>
      </c>
      <c r="B306" s="143" t="s">
        <v>1222</v>
      </c>
      <c r="C306" s="143" t="s">
        <v>1421</v>
      </c>
      <c r="D306" s="143" t="s">
        <v>1422</v>
      </c>
      <c r="E306" s="143" t="s">
        <v>309</v>
      </c>
      <c r="F306" s="143" t="s">
        <v>1423</v>
      </c>
      <c r="G306" s="143" t="s">
        <v>1424</v>
      </c>
      <c r="H306" s="143" t="s">
        <v>321</v>
      </c>
      <c r="I306" s="143" t="s">
        <v>951</v>
      </c>
      <c r="J306" s="143" t="s">
        <v>204</v>
      </c>
      <c r="K306" s="143" t="s">
        <v>204</v>
      </c>
      <c r="L306" s="143" t="s">
        <v>325</v>
      </c>
      <c r="M306" s="143" t="s">
        <v>340</v>
      </c>
      <c r="N306" s="143" t="s">
        <v>445</v>
      </c>
      <c r="O306" s="143" t="s">
        <v>339</v>
      </c>
      <c r="P306" s="143" t="s">
        <v>1425</v>
      </c>
      <c r="Q306" s="143" t="s">
        <v>415</v>
      </c>
      <c r="R306" s="143" t="s">
        <v>407</v>
      </c>
      <c r="S306" s="143" t="s">
        <v>1210</v>
      </c>
      <c r="T306" s="144">
        <v>3.03</v>
      </c>
      <c r="U306" s="143" t="s">
        <v>1426</v>
      </c>
      <c r="V306" s="146">
        <v>4.36E-2</v>
      </c>
      <c r="W306" s="146">
        <v>4.9925999999999998E-2</v>
      </c>
      <c r="X306" s="143" t="s">
        <v>412</v>
      </c>
      <c r="Y306" s="145" t="s">
        <v>3930</v>
      </c>
      <c r="Z306" s="144">
        <v>9465</v>
      </c>
      <c r="AA306" s="145" t="s">
        <v>3930</v>
      </c>
      <c r="AB306" s="143" t="s">
        <v>1427</v>
      </c>
      <c r="AC306" s="145" t="s">
        <v>3930</v>
      </c>
      <c r="AD306" s="144">
        <v>9.4223999999999997</v>
      </c>
      <c r="AE306" s="145" t="s">
        <v>3930</v>
      </c>
      <c r="AF306" s="145" t="s">
        <v>3930</v>
      </c>
      <c r="AG306" s="145" t="s">
        <v>3930</v>
      </c>
      <c r="AH306" s="146">
        <v>3.1550000000000001E-5</v>
      </c>
      <c r="AI306" s="146">
        <v>1.2400900754766395E-2</v>
      </c>
      <c r="AJ306" s="147">
        <v>1.1850151364131947E-3</v>
      </c>
      <c r="AK306" s="177"/>
    </row>
    <row r="307" spans="1:37" ht="15" x14ac:dyDescent="0.2">
      <c r="A307" s="142" t="s">
        <v>1220</v>
      </c>
      <c r="B307" s="143" t="s">
        <v>1222</v>
      </c>
      <c r="C307" s="143" t="s">
        <v>1461</v>
      </c>
      <c r="D307" s="143" t="s">
        <v>1462</v>
      </c>
      <c r="E307" s="143" t="s">
        <v>309</v>
      </c>
      <c r="F307" s="143" t="s">
        <v>1663</v>
      </c>
      <c r="G307" s="143" t="s">
        <v>1664</v>
      </c>
      <c r="H307" s="143" t="s">
        <v>321</v>
      </c>
      <c r="I307" s="143" t="s">
        <v>951</v>
      </c>
      <c r="J307" s="143" t="s">
        <v>204</v>
      </c>
      <c r="K307" s="143" t="s">
        <v>204</v>
      </c>
      <c r="L307" s="143" t="s">
        <v>325</v>
      </c>
      <c r="M307" s="143" t="s">
        <v>340</v>
      </c>
      <c r="N307" s="143" t="s">
        <v>464</v>
      </c>
      <c r="O307" s="143" t="s">
        <v>339</v>
      </c>
      <c r="P307" s="143" t="s">
        <v>1425</v>
      </c>
      <c r="Q307" s="143" t="s">
        <v>415</v>
      </c>
      <c r="R307" s="143" t="s">
        <v>407</v>
      </c>
      <c r="S307" s="143" t="s">
        <v>1210</v>
      </c>
      <c r="T307" s="144">
        <v>1.33</v>
      </c>
      <c r="U307" s="143" t="s">
        <v>1465</v>
      </c>
      <c r="V307" s="146">
        <v>6.7400000000000002E-2</v>
      </c>
      <c r="W307" s="146">
        <v>6.1572000000000002E-2</v>
      </c>
      <c r="X307" s="143" t="s">
        <v>412</v>
      </c>
      <c r="Y307" s="145" t="s">
        <v>3930</v>
      </c>
      <c r="Z307" s="144">
        <v>9241.5</v>
      </c>
      <c r="AA307" s="145" t="s">
        <v>3930</v>
      </c>
      <c r="AB307" s="143" t="s">
        <v>1665</v>
      </c>
      <c r="AC307" s="145" t="s">
        <v>3930</v>
      </c>
      <c r="AD307" s="144">
        <v>9.3810000000000002</v>
      </c>
      <c r="AE307" s="145" t="s">
        <v>3930</v>
      </c>
      <c r="AF307" s="145" t="s">
        <v>3930</v>
      </c>
      <c r="AG307" s="145" t="s">
        <v>3930</v>
      </c>
      <c r="AH307" s="146">
        <v>8.8053098262098245E-6</v>
      </c>
      <c r="AI307" s="146">
        <v>1.2346465431736396E-2</v>
      </c>
      <c r="AJ307" s="147">
        <v>1.1798133625242056E-3</v>
      </c>
      <c r="AK307" s="177"/>
    </row>
    <row r="308" spans="1:37" ht="15" x14ac:dyDescent="0.2">
      <c r="A308" s="142" t="s">
        <v>1220</v>
      </c>
      <c r="B308" s="143" t="s">
        <v>1222</v>
      </c>
      <c r="C308" s="143" t="s">
        <v>1352</v>
      </c>
      <c r="D308" s="143" t="s">
        <v>1353</v>
      </c>
      <c r="E308" s="143" t="s">
        <v>309</v>
      </c>
      <c r="F308" s="143" t="s">
        <v>1354</v>
      </c>
      <c r="G308" s="143" t="s">
        <v>1355</v>
      </c>
      <c r="H308" s="143" t="s">
        <v>321</v>
      </c>
      <c r="I308" s="143" t="s">
        <v>951</v>
      </c>
      <c r="J308" s="143" t="s">
        <v>204</v>
      </c>
      <c r="K308" s="143" t="s">
        <v>204</v>
      </c>
      <c r="L308" s="143" t="s">
        <v>325</v>
      </c>
      <c r="M308" s="143" t="s">
        <v>340</v>
      </c>
      <c r="N308" s="143" t="s">
        <v>445</v>
      </c>
      <c r="O308" s="143" t="s">
        <v>339</v>
      </c>
      <c r="P308" s="143" t="s">
        <v>1356</v>
      </c>
      <c r="Q308" s="143" t="s">
        <v>413</v>
      </c>
      <c r="R308" s="143" t="s">
        <v>407</v>
      </c>
      <c r="S308" s="143" t="s">
        <v>1210</v>
      </c>
      <c r="T308" s="144">
        <v>5.12</v>
      </c>
      <c r="U308" s="143" t="s">
        <v>1295</v>
      </c>
      <c r="V308" s="146">
        <v>2.64E-2</v>
      </c>
      <c r="W308" s="146">
        <v>5.7553E-2</v>
      </c>
      <c r="X308" s="143" t="s">
        <v>412</v>
      </c>
      <c r="Y308" s="145" t="s">
        <v>3930</v>
      </c>
      <c r="Z308" s="144">
        <v>8965</v>
      </c>
      <c r="AA308" s="145" t="s">
        <v>3930</v>
      </c>
      <c r="AB308" s="143" t="s">
        <v>1357</v>
      </c>
      <c r="AC308" s="145" t="s">
        <v>3930</v>
      </c>
      <c r="AD308" s="144">
        <v>7.6875</v>
      </c>
      <c r="AE308" s="145" t="s">
        <v>3930</v>
      </c>
      <c r="AF308" s="145" t="s">
        <v>3930</v>
      </c>
      <c r="AG308" s="145" t="s">
        <v>3930</v>
      </c>
      <c r="AH308" s="146">
        <v>5.4792519351947744E-6</v>
      </c>
      <c r="AI308" s="146">
        <v>1.0117559608943597E-2</v>
      </c>
      <c r="AJ308" s="147">
        <v>9.6682180732336504E-4</v>
      </c>
      <c r="AK308" s="177"/>
    </row>
    <row r="309" spans="1:37" ht="15" x14ac:dyDescent="0.2">
      <c r="A309" s="142" t="s">
        <v>1220</v>
      </c>
      <c r="B309" s="143" t="s">
        <v>1222</v>
      </c>
      <c r="C309" s="143" t="s">
        <v>1677</v>
      </c>
      <c r="D309" s="143" t="s">
        <v>1678</v>
      </c>
      <c r="E309" s="143" t="s">
        <v>309</v>
      </c>
      <c r="F309" s="143" t="s">
        <v>1679</v>
      </c>
      <c r="G309" s="143" t="s">
        <v>1680</v>
      </c>
      <c r="H309" s="143" t="s">
        <v>321</v>
      </c>
      <c r="I309" s="143" t="s">
        <v>951</v>
      </c>
      <c r="J309" s="143" t="s">
        <v>204</v>
      </c>
      <c r="K309" s="143" t="s">
        <v>204</v>
      </c>
      <c r="L309" s="143" t="s">
        <v>325</v>
      </c>
      <c r="M309" s="143" t="s">
        <v>340</v>
      </c>
      <c r="N309" s="143" t="s">
        <v>445</v>
      </c>
      <c r="O309" s="143" t="s">
        <v>339</v>
      </c>
      <c r="P309" s="143" t="s">
        <v>1425</v>
      </c>
      <c r="Q309" s="143" t="s">
        <v>415</v>
      </c>
      <c r="R309" s="143" t="s">
        <v>407</v>
      </c>
      <c r="S309" s="143" t="s">
        <v>1210</v>
      </c>
      <c r="T309" s="144">
        <v>1.97</v>
      </c>
      <c r="U309" s="143" t="s">
        <v>1432</v>
      </c>
      <c r="V309" s="146">
        <v>1.84E-2</v>
      </c>
      <c r="W309" s="146">
        <v>5.3180999999999999E-2</v>
      </c>
      <c r="X309" s="143" t="s">
        <v>412</v>
      </c>
      <c r="Y309" s="145" t="s">
        <v>3930</v>
      </c>
      <c r="Z309" s="144">
        <v>8000</v>
      </c>
      <c r="AA309" s="145" t="s">
        <v>3930</v>
      </c>
      <c r="AB309" s="143" t="s">
        <v>1681</v>
      </c>
      <c r="AC309" s="145" t="s">
        <v>3930</v>
      </c>
      <c r="AD309" s="144">
        <v>7.4927999999999999</v>
      </c>
      <c r="AE309" s="145" t="s">
        <v>3930</v>
      </c>
      <c r="AF309" s="145" t="s">
        <v>3930</v>
      </c>
      <c r="AG309" s="145" t="s">
        <v>3930</v>
      </c>
      <c r="AH309" s="146">
        <v>2.6666666666666667E-5</v>
      </c>
      <c r="AI309" s="146">
        <v>9.8613299387989364E-3</v>
      </c>
      <c r="AJ309" s="147">
        <v>9.423368087313976E-4</v>
      </c>
      <c r="AK309" s="177"/>
    </row>
    <row r="310" spans="1:37" ht="15" x14ac:dyDescent="0.2">
      <c r="A310" s="142" t="s">
        <v>1220</v>
      </c>
      <c r="B310" s="143" t="s">
        <v>1222</v>
      </c>
      <c r="C310" s="143" t="s">
        <v>1415</v>
      </c>
      <c r="D310" s="143" t="s">
        <v>1416</v>
      </c>
      <c r="E310" s="143" t="s">
        <v>309</v>
      </c>
      <c r="F310" s="143" t="s">
        <v>1417</v>
      </c>
      <c r="G310" s="143" t="s">
        <v>1418</v>
      </c>
      <c r="H310" s="143" t="s">
        <v>321</v>
      </c>
      <c r="I310" s="143" t="s">
        <v>951</v>
      </c>
      <c r="J310" s="143" t="s">
        <v>204</v>
      </c>
      <c r="K310" s="143" t="s">
        <v>204</v>
      </c>
      <c r="L310" s="143" t="s">
        <v>325</v>
      </c>
      <c r="M310" s="143" t="s">
        <v>340</v>
      </c>
      <c r="N310" s="143" t="s">
        <v>451</v>
      </c>
      <c r="O310" s="143" t="s">
        <v>339</v>
      </c>
      <c r="P310" s="143" t="s">
        <v>1398</v>
      </c>
      <c r="Q310" s="143" t="s">
        <v>413</v>
      </c>
      <c r="R310" s="143" t="s">
        <v>407</v>
      </c>
      <c r="S310" s="143" t="s">
        <v>1210</v>
      </c>
      <c r="T310" s="144">
        <v>1.21</v>
      </c>
      <c r="U310" s="143" t="s">
        <v>1419</v>
      </c>
      <c r="V310" s="146">
        <v>0.04</v>
      </c>
      <c r="W310" s="146">
        <v>5.4871000000000003E-2</v>
      </c>
      <c r="X310" s="143" t="s">
        <v>412</v>
      </c>
      <c r="Y310" s="145" t="s">
        <v>3930</v>
      </c>
      <c r="Z310" s="144">
        <v>6348.47</v>
      </c>
      <c r="AA310" s="145" t="s">
        <v>3930</v>
      </c>
      <c r="AB310" s="143" t="s">
        <v>1420</v>
      </c>
      <c r="AC310" s="145" t="s">
        <v>3930</v>
      </c>
      <c r="AD310" s="144">
        <v>6.3071999999999999</v>
      </c>
      <c r="AE310" s="145" t="s">
        <v>3930</v>
      </c>
      <c r="AF310" s="145" t="s">
        <v>3930</v>
      </c>
      <c r="AG310" s="145" t="s">
        <v>3930</v>
      </c>
      <c r="AH310" s="146">
        <v>4.8182894068110874E-5</v>
      </c>
      <c r="AI310" s="146">
        <v>8.3009594483062672E-3</v>
      </c>
      <c r="AJ310" s="147">
        <v>7.9322968448192796E-4</v>
      </c>
      <c r="AK310" s="177"/>
    </row>
    <row r="311" spans="1:37" ht="15" x14ac:dyDescent="0.2">
      <c r="A311" s="142" t="s">
        <v>1220</v>
      </c>
      <c r="B311" s="143" t="s">
        <v>1222</v>
      </c>
      <c r="C311" s="143" t="s">
        <v>1428</v>
      </c>
      <c r="D311" s="143" t="s">
        <v>1429</v>
      </c>
      <c r="E311" s="143" t="s">
        <v>309</v>
      </c>
      <c r="F311" s="143" t="s">
        <v>1430</v>
      </c>
      <c r="G311" s="143" t="s">
        <v>1431</v>
      </c>
      <c r="H311" s="143" t="s">
        <v>321</v>
      </c>
      <c r="I311" s="143" t="s">
        <v>951</v>
      </c>
      <c r="J311" s="143" t="s">
        <v>204</v>
      </c>
      <c r="K311" s="143" t="s">
        <v>204</v>
      </c>
      <c r="L311" s="143" t="s">
        <v>325</v>
      </c>
      <c r="M311" s="143" t="s">
        <v>340</v>
      </c>
      <c r="N311" s="143" t="s">
        <v>445</v>
      </c>
      <c r="O311" s="143" t="s">
        <v>339</v>
      </c>
      <c r="P311" s="143" t="s">
        <v>1368</v>
      </c>
      <c r="Q311" s="143" t="s">
        <v>415</v>
      </c>
      <c r="R311" s="143" t="s">
        <v>407</v>
      </c>
      <c r="S311" s="143" t="s">
        <v>1210</v>
      </c>
      <c r="T311" s="144">
        <v>1.48</v>
      </c>
      <c r="U311" s="143" t="s">
        <v>1432</v>
      </c>
      <c r="V311" s="146">
        <v>2.9399999999999999E-2</v>
      </c>
      <c r="W311" s="146">
        <v>5.4391000000000002E-2</v>
      </c>
      <c r="X311" s="143" t="s">
        <v>412</v>
      </c>
      <c r="Y311" s="145" t="s">
        <v>3930</v>
      </c>
      <c r="Z311" s="144">
        <v>5357.85</v>
      </c>
      <c r="AA311" s="145" t="s">
        <v>3930</v>
      </c>
      <c r="AB311" s="143" t="s">
        <v>1433</v>
      </c>
      <c r="AC311" s="145" t="s">
        <v>3930</v>
      </c>
      <c r="AD311" s="144">
        <v>5.1746000000000008</v>
      </c>
      <c r="AE311" s="145" t="s">
        <v>3930</v>
      </c>
      <c r="AF311" s="145" t="s">
        <v>3930</v>
      </c>
      <c r="AG311" s="145" t="s">
        <v>3930</v>
      </c>
      <c r="AH311" s="146">
        <v>4.9952423133743449E-5</v>
      </c>
      <c r="AI311" s="146">
        <v>6.8103448113446463E-3</v>
      </c>
      <c r="AJ311" s="147">
        <v>6.50788345559056E-4</v>
      </c>
      <c r="AK311" s="177"/>
    </row>
    <row r="312" spans="1:37" ht="15" x14ac:dyDescent="0.2">
      <c r="A312" s="142" t="s">
        <v>1220</v>
      </c>
      <c r="B312" s="143" t="s">
        <v>1222</v>
      </c>
      <c r="C312" s="143" t="s">
        <v>1682</v>
      </c>
      <c r="D312" s="143" t="s">
        <v>1683</v>
      </c>
      <c r="E312" s="143" t="s">
        <v>309</v>
      </c>
      <c r="F312" s="143" t="s">
        <v>1684</v>
      </c>
      <c r="G312" s="143" t="s">
        <v>1685</v>
      </c>
      <c r="H312" s="143" t="s">
        <v>321</v>
      </c>
      <c r="I312" s="143" t="s">
        <v>951</v>
      </c>
      <c r="J312" s="143" t="s">
        <v>204</v>
      </c>
      <c r="K312" s="143" t="s">
        <v>204</v>
      </c>
      <c r="L312" s="143" t="s">
        <v>325</v>
      </c>
      <c r="M312" s="143" t="s">
        <v>340</v>
      </c>
      <c r="N312" s="143" t="s">
        <v>443</v>
      </c>
      <c r="O312" s="143" t="s">
        <v>339</v>
      </c>
      <c r="P312" s="143" t="s">
        <v>1624</v>
      </c>
      <c r="Q312" s="143" t="s">
        <v>415</v>
      </c>
      <c r="R312" s="143" t="s">
        <v>407</v>
      </c>
      <c r="S312" s="143" t="s">
        <v>1210</v>
      </c>
      <c r="T312" s="144">
        <v>0.96</v>
      </c>
      <c r="U312" s="143" t="s">
        <v>1686</v>
      </c>
      <c r="V312" s="146">
        <v>4.7500000000000001E-2</v>
      </c>
      <c r="W312" s="146">
        <v>6.4082E-2</v>
      </c>
      <c r="X312" s="143" t="s">
        <v>412</v>
      </c>
      <c r="Y312" s="145" t="s">
        <v>3930</v>
      </c>
      <c r="Z312" s="144">
        <v>5123.2</v>
      </c>
      <c r="AA312" s="145" t="s">
        <v>3930</v>
      </c>
      <c r="AB312" s="143" t="s">
        <v>1687</v>
      </c>
      <c r="AC312" s="145" t="s">
        <v>3930</v>
      </c>
      <c r="AD312" s="144">
        <v>5.0556000000000001</v>
      </c>
      <c r="AE312" s="145" t="s">
        <v>3930</v>
      </c>
      <c r="AF312" s="145" t="s">
        <v>3930</v>
      </c>
      <c r="AG312" s="145" t="s">
        <v>3930</v>
      </c>
      <c r="AH312" s="146">
        <v>8.1179637101510911E-6</v>
      </c>
      <c r="AI312" s="146">
        <v>6.6536783148214698E-3</v>
      </c>
      <c r="AJ312" s="147">
        <v>6.3581748389181518E-4</v>
      </c>
      <c r="AK312" s="177"/>
    </row>
    <row r="313" spans="1:37" ht="15" x14ac:dyDescent="0.2">
      <c r="A313" s="142" t="s">
        <v>1220</v>
      </c>
      <c r="B313" s="143" t="s">
        <v>1222</v>
      </c>
      <c r="C313" s="143" t="s">
        <v>1394</v>
      </c>
      <c r="D313" s="143" t="s">
        <v>1395</v>
      </c>
      <c r="E313" s="143" t="s">
        <v>309</v>
      </c>
      <c r="F313" s="143" t="s">
        <v>1688</v>
      </c>
      <c r="G313" s="143" t="s">
        <v>1689</v>
      </c>
      <c r="H313" s="143" t="s">
        <v>321</v>
      </c>
      <c r="I313" s="143" t="s">
        <v>951</v>
      </c>
      <c r="J313" s="143" t="s">
        <v>204</v>
      </c>
      <c r="K313" s="143" t="s">
        <v>204</v>
      </c>
      <c r="L313" s="143" t="s">
        <v>325</v>
      </c>
      <c r="M313" s="143" t="s">
        <v>340</v>
      </c>
      <c r="N313" s="143" t="s">
        <v>463</v>
      </c>
      <c r="O313" s="143" t="s">
        <v>339</v>
      </c>
      <c r="P313" s="143" t="s">
        <v>1398</v>
      </c>
      <c r="Q313" s="143" t="s">
        <v>413</v>
      </c>
      <c r="R313" s="143" t="s">
        <v>407</v>
      </c>
      <c r="S313" s="143" t="s">
        <v>1210</v>
      </c>
      <c r="T313" s="144">
        <v>3.02</v>
      </c>
      <c r="U313" s="143" t="s">
        <v>1690</v>
      </c>
      <c r="V313" s="146">
        <v>2.6200000000000001E-2</v>
      </c>
      <c r="W313" s="146">
        <v>5.7479000000000002E-2</v>
      </c>
      <c r="X313" s="143" t="s">
        <v>412</v>
      </c>
      <c r="Y313" s="145" t="s">
        <v>3930</v>
      </c>
      <c r="Z313" s="144">
        <v>4878.2</v>
      </c>
      <c r="AA313" s="145" t="s">
        <v>3930</v>
      </c>
      <c r="AB313" s="143" t="s">
        <v>1691</v>
      </c>
      <c r="AC313" s="145" t="s">
        <v>3930</v>
      </c>
      <c r="AD313" s="144">
        <v>4.4791999999999996</v>
      </c>
      <c r="AE313" s="145" t="s">
        <v>3930</v>
      </c>
      <c r="AF313" s="145" t="s">
        <v>3930</v>
      </c>
      <c r="AG313" s="145" t="s">
        <v>3930</v>
      </c>
      <c r="AH313" s="146">
        <v>1.1354219944851803E-5</v>
      </c>
      <c r="AI313" s="146">
        <v>5.8950601323109709E-3</v>
      </c>
      <c r="AJ313" s="147">
        <v>5.6332484429967263E-4</v>
      </c>
      <c r="AK313" s="177"/>
    </row>
    <row r="314" spans="1:37" ht="15" x14ac:dyDescent="0.2">
      <c r="A314" s="142" t="s">
        <v>1220</v>
      </c>
      <c r="B314" s="143" t="s">
        <v>1222</v>
      </c>
      <c r="C314" s="143" t="s">
        <v>1692</v>
      </c>
      <c r="D314" s="143" t="s">
        <v>1693</v>
      </c>
      <c r="E314" s="143" t="s">
        <v>309</v>
      </c>
      <c r="F314" s="143" t="s">
        <v>1694</v>
      </c>
      <c r="G314" s="143" t="s">
        <v>1695</v>
      </c>
      <c r="H314" s="143" t="s">
        <v>321</v>
      </c>
      <c r="I314" s="143" t="s">
        <v>951</v>
      </c>
      <c r="J314" s="143" t="s">
        <v>204</v>
      </c>
      <c r="K314" s="143" t="s">
        <v>224</v>
      </c>
      <c r="L314" s="143" t="s">
        <v>325</v>
      </c>
      <c r="M314" s="143" t="s">
        <v>340</v>
      </c>
      <c r="N314" s="143" t="s">
        <v>465</v>
      </c>
      <c r="O314" s="143" t="s">
        <v>339</v>
      </c>
      <c r="P314" s="143" t="s">
        <v>1412</v>
      </c>
      <c r="Q314" s="143" t="s">
        <v>413</v>
      </c>
      <c r="R314" s="143" t="s">
        <v>407</v>
      </c>
      <c r="S314" s="143" t="s">
        <v>1210</v>
      </c>
      <c r="T314" s="144">
        <v>0.25</v>
      </c>
      <c r="U314" s="143" t="s">
        <v>1696</v>
      </c>
      <c r="V314" s="146">
        <v>3.3799999999999997E-2</v>
      </c>
      <c r="W314" s="146">
        <v>6.0142000000000001E-2</v>
      </c>
      <c r="X314" s="143" t="s">
        <v>412</v>
      </c>
      <c r="Y314" s="145" t="s">
        <v>3930</v>
      </c>
      <c r="Z314" s="144">
        <v>2000</v>
      </c>
      <c r="AA314" s="145" t="s">
        <v>3930</v>
      </c>
      <c r="AB314" s="143" t="s">
        <v>1697</v>
      </c>
      <c r="AC314" s="145" t="s">
        <v>3930</v>
      </c>
      <c r="AD314" s="144">
        <v>2.0047999999999999</v>
      </c>
      <c r="AE314" s="145" t="s">
        <v>3930</v>
      </c>
      <c r="AF314" s="145" t="s">
        <v>3930</v>
      </c>
      <c r="AG314" s="145" t="s">
        <v>3930</v>
      </c>
      <c r="AH314" s="146">
        <v>9.7736305005687039E-6</v>
      </c>
      <c r="AI314" s="146">
        <v>2.6385322257772939E-3</v>
      </c>
      <c r="AJ314" s="147">
        <v>2.5213496078164451E-4</v>
      </c>
      <c r="AK314" s="177"/>
    </row>
    <row r="315" spans="1:37" ht="15" x14ac:dyDescent="0.2">
      <c r="A315" s="142" t="s">
        <v>1220</v>
      </c>
      <c r="B315" s="143" t="s">
        <v>1222</v>
      </c>
      <c r="C315" s="143" t="s">
        <v>1467</v>
      </c>
      <c r="D315" s="143" t="s">
        <v>1468</v>
      </c>
      <c r="E315" s="143" t="s">
        <v>309</v>
      </c>
      <c r="F315" s="143" t="s">
        <v>1469</v>
      </c>
      <c r="G315" s="143" t="s">
        <v>1470</v>
      </c>
      <c r="H315" s="143" t="s">
        <v>321</v>
      </c>
      <c r="I315" s="143" t="s">
        <v>951</v>
      </c>
      <c r="J315" s="143" t="s">
        <v>204</v>
      </c>
      <c r="K315" s="143" t="s">
        <v>204</v>
      </c>
      <c r="L315" s="143" t="s">
        <v>325</v>
      </c>
      <c r="M315" s="143" t="s">
        <v>340</v>
      </c>
      <c r="N315" s="143" t="s">
        <v>465</v>
      </c>
      <c r="O315" s="143" t="s">
        <v>339</v>
      </c>
      <c r="P315" s="143" t="s">
        <v>1471</v>
      </c>
      <c r="Q315" s="143" t="s">
        <v>415</v>
      </c>
      <c r="R315" s="143" t="s">
        <v>407</v>
      </c>
      <c r="S315" s="143" t="s">
        <v>1210</v>
      </c>
      <c r="T315" s="144">
        <v>0.25</v>
      </c>
      <c r="U315" s="143" t="s">
        <v>1472</v>
      </c>
      <c r="V315" s="146">
        <v>3.7999999999999999E-2</v>
      </c>
      <c r="W315" s="146">
        <v>9.3542E-2</v>
      </c>
      <c r="X315" s="143" t="s">
        <v>412</v>
      </c>
      <c r="Y315" s="145" t="s">
        <v>3930</v>
      </c>
      <c r="Z315" s="144">
        <v>0.44</v>
      </c>
      <c r="AA315" s="145" t="s">
        <v>3930</v>
      </c>
      <c r="AB315" s="143" t="s">
        <v>1473</v>
      </c>
      <c r="AC315" s="145" t="s">
        <v>3930</v>
      </c>
      <c r="AD315" s="144">
        <v>4.0000000000000002E-4</v>
      </c>
      <c r="AE315" s="145" t="s">
        <v>3930</v>
      </c>
      <c r="AF315" s="145" t="s">
        <v>3930</v>
      </c>
      <c r="AG315" s="145" t="s">
        <v>3930</v>
      </c>
      <c r="AH315" s="146">
        <v>1.3167678510985508E-9</v>
      </c>
      <c r="AI315" s="146">
        <v>5.7792910563813114E-7</v>
      </c>
      <c r="AJ315" s="147">
        <v>5.5226209087408087E-8</v>
      </c>
      <c r="AK315" s="177"/>
    </row>
    <row r="316" spans="1:37" ht="15" x14ac:dyDescent="0.2">
      <c r="A316" s="142" t="s">
        <v>1220</v>
      </c>
      <c r="B316" s="143" t="s">
        <v>1222</v>
      </c>
      <c r="C316" s="143" t="s">
        <v>1575</v>
      </c>
      <c r="D316" s="143" t="s">
        <v>1576</v>
      </c>
      <c r="E316" s="143" t="s">
        <v>309</v>
      </c>
      <c r="F316" s="143" t="s">
        <v>1698</v>
      </c>
      <c r="G316" s="143" t="s">
        <v>1699</v>
      </c>
      <c r="H316" s="143" t="s">
        <v>321</v>
      </c>
      <c r="I316" s="143" t="s">
        <v>754</v>
      </c>
      <c r="J316" s="143" t="s">
        <v>204</v>
      </c>
      <c r="K316" s="143" t="s">
        <v>204</v>
      </c>
      <c r="L316" s="143" t="s">
        <v>325</v>
      </c>
      <c r="M316" s="143" t="s">
        <v>340</v>
      </c>
      <c r="N316" s="143" t="s">
        <v>464</v>
      </c>
      <c r="O316" s="143" t="s">
        <v>339</v>
      </c>
      <c r="P316" s="143" t="s">
        <v>1425</v>
      </c>
      <c r="Q316" s="143" t="s">
        <v>415</v>
      </c>
      <c r="R316" s="143" t="s">
        <v>407</v>
      </c>
      <c r="S316" s="143" t="s">
        <v>1210</v>
      </c>
      <c r="T316" s="144">
        <v>4.25</v>
      </c>
      <c r="U316" s="143" t="s">
        <v>1700</v>
      </c>
      <c r="V316" s="146">
        <v>1.3299999999999999E-2</v>
      </c>
      <c r="W316" s="146">
        <v>3.1257E-2</v>
      </c>
      <c r="X316" s="143" t="s">
        <v>412</v>
      </c>
      <c r="Y316" s="145" t="s">
        <v>3930</v>
      </c>
      <c r="Z316" s="144">
        <v>40185</v>
      </c>
      <c r="AA316" s="145" t="s">
        <v>3930</v>
      </c>
      <c r="AB316" s="143" t="s">
        <v>1701</v>
      </c>
      <c r="AC316" s="145" t="s">
        <v>3930</v>
      </c>
      <c r="AD316" s="144">
        <v>42.901499999999999</v>
      </c>
      <c r="AE316" s="145" t="s">
        <v>3930</v>
      </c>
      <c r="AF316" s="145" t="s">
        <v>3930</v>
      </c>
      <c r="AG316" s="145" t="s">
        <v>3930</v>
      </c>
      <c r="AH316" s="146">
        <v>3.3840000000000001E-5</v>
      </c>
      <c r="AI316" s="146">
        <v>5.6462991877183719E-2</v>
      </c>
      <c r="AJ316" s="147">
        <v>5.3955354812367743E-3</v>
      </c>
      <c r="AK316" s="177"/>
    </row>
    <row r="317" spans="1:37" ht="15" x14ac:dyDescent="0.2">
      <c r="A317" s="142" t="s">
        <v>1220</v>
      </c>
      <c r="B317" s="143" t="s">
        <v>1222</v>
      </c>
      <c r="C317" s="143" t="s">
        <v>1358</v>
      </c>
      <c r="D317" s="143" t="s">
        <v>1359</v>
      </c>
      <c r="E317" s="143" t="s">
        <v>309</v>
      </c>
      <c r="F317" s="143" t="s">
        <v>1489</v>
      </c>
      <c r="G317" s="143" t="s">
        <v>1490</v>
      </c>
      <c r="H317" s="143" t="s">
        <v>321</v>
      </c>
      <c r="I317" s="143" t="s">
        <v>754</v>
      </c>
      <c r="J317" s="143" t="s">
        <v>204</v>
      </c>
      <c r="K317" s="143" t="s">
        <v>204</v>
      </c>
      <c r="L317" s="143" t="s">
        <v>325</v>
      </c>
      <c r="M317" s="143" t="s">
        <v>340</v>
      </c>
      <c r="N317" s="143" t="s">
        <v>448</v>
      </c>
      <c r="O317" s="143" t="s">
        <v>339</v>
      </c>
      <c r="P317" s="143" t="s">
        <v>1303</v>
      </c>
      <c r="Q317" s="143" t="s">
        <v>413</v>
      </c>
      <c r="R317" s="143" t="s">
        <v>407</v>
      </c>
      <c r="S317" s="143" t="s">
        <v>1210</v>
      </c>
      <c r="T317" s="144">
        <v>2.96</v>
      </c>
      <c r="U317" s="143" t="s">
        <v>1491</v>
      </c>
      <c r="V317" s="146">
        <v>1.2200000000000001E-2</v>
      </c>
      <c r="W317" s="146">
        <v>2.2668000000000001E-2</v>
      </c>
      <c r="X317" s="143" t="s">
        <v>412</v>
      </c>
      <c r="Y317" s="145" t="s">
        <v>3930</v>
      </c>
      <c r="Z317" s="144">
        <v>34908</v>
      </c>
      <c r="AA317" s="145" t="s">
        <v>3930</v>
      </c>
      <c r="AB317" s="143" t="s">
        <v>1492</v>
      </c>
      <c r="AC317" s="145" t="s">
        <v>3930</v>
      </c>
      <c r="AD317" s="144">
        <v>39.46</v>
      </c>
      <c r="AE317" s="145" t="s">
        <v>3930</v>
      </c>
      <c r="AF317" s="145" t="s">
        <v>3930</v>
      </c>
      <c r="AG317" s="145" t="s">
        <v>3930</v>
      </c>
      <c r="AH317" s="146">
        <v>1.1575759746280357E-5</v>
      </c>
      <c r="AI317" s="146">
        <v>5.193360438571186E-2</v>
      </c>
      <c r="AJ317" s="147">
        <v>4.9627126692316269E-3</v>
      </c>
      <c r="AK317" s="177"/>
    </row>
    <row r="318" spans="1:37" ht="15" x14ac:dyDescent="0.2">
      <c r="A318" s="142" t="s">
        <v>1220</v>
      </c>
      <c r="B318" s="143" t="s">
        <v>1222</v>
      </c>
      <c r="C318" s="143" t="s">
        <v>1541</v>
      </c>
      <c r="D318" s="143" t="s">
        <v>1542</v>
      </c>
      <c r="E318" s="143" t="s">
        <v>309</v>
      </c>
      <c r="F318" s="143" t="s">
        <v>1712</v>
      </c>
      <c r="G318" s="143" t="s">
        <v>1713</v>
      </c>
      <c r="H318" s="143" t="s">
        <v>321</v>
      </c>
      <c r="I318" s="143" t="s">
        <v>754</v>
      </c>
      <c r="J318" s="143" t="s">
        <v>204</v>
      </c>
      <c r="K318" s="143" t="s">
        <v>293</v>
      </c>
      <c r="L318" s="143" t="s">
        <v>325</v>
      </c>
      <c r="M318" s="143" t="s">
        <v>340</v>
      </c>
      <c r="N318" s="143" t="s">
        <v>465</v>
      </c>
      <c r="O318" s="143" t="s">
        <v>339</v>
      </c>
      <c r="P318" s="143" t="s">
        <v>1444</v>
      </c>
      <c r="Q318" s="143" t="s">
        <v>415</v>
      </c>
      <c r="R318" s="143" t="s">
        <v>407</v>
      </c>
      <c r="S318" s="143" t="s">
        <v>1210</v>
      </c>
      <c r="T318" s="144">
        <v>5.16</v>
      </c>
      <c r="U318" s="143" t="s">
        <v>1700</v>
      </c>
      <c r="V318" s="146">
        <v>1.54E-2</v>
      </c>
      <c r="W318" s="146">
        <v>3.6589000000000003E-2</v>
      </c>
      <c r="X318" s="143" t="s">
        <v>412</v>
      </c>
      <c r="Y318" s="145" t="s">
        <v>3930</v>
      </c>
      <c r="Z318" s="144">
        <v>35000</v>
      </c>
      <c r="AA318" s="145" t="s">
        <v>3930</v>
      </c>
      <c r="AB318" s="143" t="s">
        <v>1714</v>
      </c>
      <c r="AC318" s="145" t="s">
        <v>3930</v>
      </c>
      <c r="AD318" s="144">
        <v>35.259</v>
      </c>
      <c r="AE318" s="145" t="s">
        <v>3930</v>
      </c>
      <c r="AF318" s="145" t="s">
        <v>3930</v>
      </c>
      <c r="AG318" s="145" t="s">
        <v>3930</v>
      </c>
      <c r="AH318" s="146">
        <v>5.8681411908302751E-5</v>
      </c>
      <c r="AI318" s="146">
        <v>4.6404632755727059E-2</v>
      </c>
      <c r="AJ318" s="147">
        <v>4.4343708011771767E-3</v>
      </c>
      <c r="AK318" s="177"/>
    </row>
    <row r="319" spans="1:37" ht="15" x14ac:dyDescent="0.2">
      <c r="A319" s="142" t="s">
        <v>1220</v>
      </c>
      <c r="B319" s="143" t="s">
        <v>1222</v>
      </c>
      <c r="C319" s="143" t="s">
        <v>1474</v>
      </c>
      <c r="D319" s="143" t="s">
        <v>1475</v>
      </c>
      <c r="E319" s="143" t="s">
        <v>313</v>
      </c>
      <c r="F319" s="143" t="s">
        <v>1476</v>
      </c>
      <c r="G319" s="143" t="s">
        <v>1477</v>
      </c>
      <c r="H319" s="143" t="s">
        <v>321</v>
      </c>
      <c r="I319" s="143" t="s">
        <v>754</v>
      </c>
      <c r="J319" s="143" t="s">
        <v>204</v>
      </c>
      <c r="K319" s="143" t="s">
        <v>204</v>
      </c>
      <c r="L319" s="143" t="s">
        <v>325</v>
      </c>
      <c r="M319" s="143" t="s">
        <v>340</v>
      </c>
      <c r="N319" s="143" t="s">
        <v>440</v>
      </c>
      <c r="O319" s="143" t="s">
        <v>339</v>
      </c>
      <c r="P319" s="143" t="s">
        <v>1478</v>
      </c>
      <c r="Q319" s="143" t="s">
        <v>415</v>
      </c>
      <c r="R319" s="143" t="s">
        <v>407</v>
      </c>
      <c r="S319" s="143" t="s">
        <v>1210</v>
      </c>
      <c r="T319" s="144">
        <v>10.4</v>
      </c>
      <c r="U319" s="143" t="s">
        <v>1479</v>
      </c>
      <c r="V319" s="146">
        <v>3.2000000000000001E-2</v>
      </c>
      <c r="W319" s="146">
        <v>3.4784000000000002E-2</v>
      </c>
      <c r="X319" s="143" t="s">
        <v>412</v>
      </c>
      <c r="Y319" s="145" t="s">
        <v>3930</v>
      </c>
      <c r="Z319" s="144">
        <v>33340</v>
      </c>
      <c r="AA319" s="145" t="s">
        <v>3930</v>
      </c>
      <c r="AB319" s="143" t="s">
        <v>1480</v>
      </c>
      <c r="AC319" s="145" t="s">
        <v>3930</v>
      </c>
      <c r="AD319" s="144">
        <v>34.330199999999998</v>
      </c>
      <c r="AE319" s="145" t="s">
        <v>3930</v>
      </c>
      <c r="AF319" s="145" t="s">
        <v>3930</v>
      </c>
      <c r="AG319" s="145" t="s">
        <v>3930</v>
      </c>
      <c r="AH319" s="146">
        <v>6.7705700742833483E-6</v>
      </c>
      <c r="AI319" s="146">
        <v>4.5182229519311251E-2</v>
      </c>
      <c r="AJ319" s="147">
        <v>4.31755942056868E-3</v>
      </c>
      <c r="AK319" s="177"/>
    </row>
    <row r="320" spans="1:37" ht="15" x14ac:dyDescent="0.2">
      <c r="A320" s="142" t="s">
        <v>1220</v>
      </c>
      <c r="B320" s="143" t="s">
        <v>1222</v>
      </c>
      <c r="C320" s="143" t="s">
        <v>1522</v>
      </c>
      <c r="D320" s="143" t="s">
        <v>1523</v>
      </c>
      <c r="E320" s="143" t="s">
        <v>309</v>
      </c>
      <c r="F320" s="143" t="s">
        <v>1561</v>
      </c>
      <c r="G320" s="143" t="s">
        <v>1562</v>
      </c>
      <c r="H320" s="143" t="s">
        <v>321</v>
      </c>
      <c r="I320" s="143" t="s">
        <v>754</v>
      </c>
      <c r="J320" s="143" t="s">
        <v>204</v>
      </c>
      <c r="K320" s="143" t="s">
        <v>204</v>
      </c>
      <c r="L320" s="143" t="s">
        <v>325</v>
      </c>
      <c r="M320" s="143" t="s">
        <v>340</v>
      </c>
      <c r="N320" s="143" t="s">
        <v>448</v>
      </c>
      <c r="O320" s="143" t="s">
        <v>339</v>
      </c>
      <c r="P320" s="143" t="s">
        <v>1356</v>
      </c>
      <c r="Q320" s="143" t="s">
        <v>413</v>
      </c>
      <c r="R320" s="143" t="s">
        <v>407</v>
      </c>
      <c r="S320" s="143" t="s">
        <v>1210</v>
      </c>
      <c r="T320" s="144">
        <v>4.5</v>
      </c>
      <c r="U320" s="143" t="s">
        <v>1563</v>
      </c>
      <c r="V320" s="146">
        <v>2.5899999999999999E-2</v>
      </c>
      <c r="W320" s="146">
        <v>2.6100000000000002E-2</v>
      </c>
      <c r="X320" s="143" t="s">
        <v>412</v>
      </c>
      <c r="Y320" s="145" t="s">
        <v>3930</v>
      </c>
      <c r="Z320" s="144">
        <v>26000</v>
      </c>
      <c r="AA320" s="145" t="s">
        <v>3930</v>
      </c>
      <c r="AB320" s="143" t="s">
        <v>1564</v>
      </c>
      <c r="AC320" s="145" t="s">
        <v>3930</v>
      </c>
      <c r="AD320" s="144">
        <v>27.3338</v>
      </c>
      <c r="AE320" s="145" t="s">
        <v>3930</v>
      </c>
      <c r="AF320" s="145" t="s">
        <v>3930</v>
      </c>
      <c r="AG320" s="145" t="s">
        <v>3930</v>
      </c>
      <c r="AH320" s="146">
        <v>5.7777777777777776E-5</v>
      </c>
      <c r="AI320" s="146">
        <v>3.5974217953387566E-2</v>
      </c>
      <c r="AJ320" s="147">
        <v>3.4376529284783092E-3</v>
      </c>
      <c r="AK320" s="177"/>
    </row>
    <row r="321" spans="1:37" ht="15" x14ac:dyDescent="0.2">
      <c r="A321" s="142" t="s">
        <v>1220</v>
      </c>
      <c r="B321" s="143" t="s">
        <v>1222</v>
      </c>
      <c r="C321" s="143" t="s">
        <v>1555</v>
      </c>
      <c r="D321" s="143" t="s">
        <v>1556</v>
      </c>
      <c r="E321" s="143" t="s">
        <v>309</v>
      </c>
      <c r="F321" s="143" t="s">
        <v>1896</v>
      </c>
      <c r="G321" s="143" t="s">
        <v>1897</v>
      </c>
      <c r="H321" s="143" t="s">
        <v>321</v>
      </c>
      <c r="I321" s="143" t="s">
        <v>754</v>
      </c>
      <c r="J321" s="143" t="s">
        <v>204</v>
      </c>
      <c r="K321" s="143" t="s">
        <v>204</v>
      </c>
      <c r="L321" s="143" t="s">
        <v>325</v>
      </c>
      <c r="M321" s="143" t="s">
        <v>340</v>
      </c>
      <c r="N321" s="143" t="s">
        <v>464</v>
      </c>
      <c r="O321" s="143" t="s">
        <v>339</v>
      </c>
      <c r="P321" s="143" t="s">
        <v>1412</v>
      </c>
      <c r="Q321" s="143" t="s">
        <v>413</v>
      </c>
      <c r="R321" s="143" t="s">
        <v>407</v>
      </c>
      <c r="S321" s="143" t="s">
        <v>1210</v>
      </c>
      <c r="T321" s="144">
        <v>5.56</v>
      </c>
      <c r="U321" s="143" t="s">
        <v>1761</v>
      </c>
      <c r="V321" s="146">
        <v>9.1999999999999998E-3</v>
      </c>
      <c r="W321" s="146">
        <v>3.2926999999999998E-2</v>
      </c>
      <c r="X321" s="143" t="s">
        <v>412</v>
      </c>
      <c r="Y321" s="145" t="s">
        <v>3930</v>
      </c>
      <c r="Z321" s="144">
        <v>24600</v>
      </c>
      <c r="AA321" s="145" t="s">
        <v>3930</v>
      </c>
      <c r="AB321" s="143" t="s">
        <v>1898</v>
      </c>
      <c r="AC321" s="145" t="s">
        <v>3930</v>
      </c>
      <c r="AD321" s="144">
        <v>25.121500000000001</v>
      </c>
      <c r="AE321" s="145" t="s">
        <v>3930</v>
      </c>
      <c r="AF321" s="145" t="s">
        <v>3930</v>
      </c>
      <c r="AG321" s="145" t="s">
        <v>3930</v>
      </c>
      <c r="AH321" s="146">
        <v>9.5101389292124798E-6</v>
      </c>
      <c r="AI321" s="146">
        <v>3.3062619752847563E-2</v>
      </c>
      <c r="AJ321" s="147">
        <v>3.1594241121185645E-3</v>
      </c>
      <c r="AK321" s="177"/>
    </row>
    <row r="322" spans="1:37" ht="15" x14ac:dyDescent="0.2">
      <c r="A322" s="142" t="s">
        <v>1220</v>
      </c>
      <c r="B322" s="143" t="s">
        <v>1222</v>
      </c>
      <c r="C322" s="143" t="s">
        <v>1474</v>
      </c>
      <c r="D322" s="143" t="s">
        <v>1475</v>
      </c>
      <c r="E322" s="143" t="s">
        <v>313</v>
      </c>
      <c r="F322" s="143" t="s">
        <v>1547</v>
      </c>
      <c r="G322" s="143" t="s">
        <v>1548</v>
      </c>
      <c r="H322" s="143" t="s">
        <v>321</v>
      </c>
      <c r="I322" s="143" t="s">
        <v>754</v>
      </c>
      <c r="J322" s="143" t="s">
        <v>204</v>
      </c>
      <c r="K322" s="143" t="s">
        <v>204</v>
      </c>
      <c r="L322" s="143" t="s">
        <v>325</v>
      </c>
      <c r="M322" s="143" t="s">
        <v>340</v>
      </c>
      <c r="N322" s="143" t="s">
        <v>440</v>
      </c>
      <c r="O322" s="143" t="s">
        <v>339</v>
      </c>
      <c r="P322" s="143" t="s">
        <v>1478</v>
      </c>
      <c r="Q322" s="143" t="s">
        <v>415</v>
      </c>
      <c r="R322" s="143" t="s">
        <v>407</v>
      </c>
      <c r="S322" s="143" t="s">
        <v>1210</v>
      </c>
      <c r="T322" s="144">
        <v>0.9</v>
      </c>
      <c r="U322" s="143" t="s">
        <v>1549</v>
      </c>
      <c r="V322" s="146">
        <v>4.4999999999999998E-2</v>
      </c>
      <c r="W322" s="146">
        <v>2.6144000000000001E-2</v>
      </c>
      <c r="X322" s="143" t="s">
        <v>412</v>
      </c>
      <c r="Y322" s="145" t="s">
        <v>3930</v>
      </c>
      <c r="Z322" s="144">
        <v>20367</v>
      </c>
      <c r="AA322" s="145" t="s">
        <v>3930</v>
      </c>
      <c r="AB322" s="143" t="s">
        <v>1550</v>
      </c>
      <c r="AC322" s="145" t="s">
        <v>3930</v>
      </c>
      <c r="AD322" s="144">
        <v>24.318200000000001</v>
      </c>
      <c r="AE322" s="145" t="s">
        <v>3930</v>
      </c>
      <c r="AF322" s="145" t="s">
        <v>3930</v>
      </c>
      <c r="AG322" s="145" t="s">
        <v>3930</v>
      </c>
      <c r="AH322" s="146">
        <v>6.890976727809432E-6</v>
      </c>
      <c r="AI322" s="146">
        <v>3.2005361679884742E-2</v>
      </c>
      <c r="AJ322" s="147">
        <v>3.0583938043746337E-3</v>
      </c>
      <c r="AK322" s="177"/>
    </row>
    <row r="323" spans="1:37" ht="15" x14ac:dyDescent="0.2">
      <c r="A323" s="142" t="s">
        <v>1220</v>
      </c>
      <c r="B323" s="143" t="s">
        <v>1222</v>
      </c>
      <c r="C323" s="143" t="s">
        <v>1352</v>
      </c>
      <c r="D323" s="143" t="s">
        <v>1353</v>
      </c>
      <c r="E323" s="143" t="s">
        <v>309</v>
      </c>
      <c r="F323" s="143" t="s">
        <v>1519</v>
      </c>
      <c r="G323" s="143" t="s">
        <v>1520</v>
      </c>
      <c r="H323" s="143" t="s">
        <v>321</v>
      </c>
      <c r="I323" s="143" t="s">
        <v>754</v>
      </c>
      <c r="J323" s="143" t="s">
        <v>204</v>
      </c>
      <c r="K323" s="143" t="s">
        <v>204</v>
      </c>
      <c r="L323" s="143" t="s">
        <v>325</v>
      </c>
      <c r="M323" s="143" t="s">
        <v>340</v>
      </c>
      <c r="N323" s="143" t="s">
        <v>445</v>
      </c>
      <c r="O323" s="143" t="s">
        <v>339</v>
      </c>
      <c r="P323" s="143" t="s">
        <v>1356</v>
      </c>
      <c r="Q323" s="143" t="s">
        <v>413</v>
      </c>
      <c r="R323" s="143" t="s">
        <v>407</v>
      </c>
      <c r="S323" s="143" t="s">
        <v>1210</v>
      </c>
      <c r="T323" s="144">
        <v>0.82</v>
      </c>
      <c r="U323" s="143" t="s">
        <v>1369</v>
      </c>
      <c r="V323" s="146">
        <v>2.4799999999999999E-2</v>
      </c>
      <c r="W323" s="146">
        <v>2.6313E-2</v>
      </c>
      <c r="X323" s="143" t="s">
        <v>412</v>
      </c>
      <c r="Y323" s="145" t="s">
        <v>3930</v>
      </c>
      <c r="Z323" s="144">
        <v>20553.169999999998</v>
      </c>
      <c r="AA323" s="145" t="s">
        <v>3930</v>
      </c>
      <c r="AB323" s="143" t="s">
        <v>1521</v>
      </c>
      <c r="AC323" s="145" t="s">
        <v>3930</v>
      </c>
      <c r="AD323" s="144">
        <v>23.8293</v>
      </c>
      <c r="AE323" s="145" t="s">
        <v>3930</v>
      </c>
      <c r="AF323" s="145" t="s">
        <v>3930</v>
      </c>
      <c r="AG323" s="145" t="s">
        <v>3930</v>
      </c>
      <c r="AH323" s="146">
        <v>4.85332685365758E-5</v>
      </c>
      <c r="AI323" s="146">
        <v>3.1361978994387286E-2</v>
      </c>
      <c r="AJ323" s="147">
        <v>2.996912930049628E-3</v>
      </c>
      <c r="AK323" s="177"/>
    </row>
    <row r="324" spans="1:37" ht="15" x14ac:dyDescent="0.2">
      <c r="A324" s="142" t="s">
        <v>1220</v>
      </c>
      <c r="B324" s="143" t="s">
        <v>1222</v>
      </c>
      <c r="C324" s="143" t="s">
        <v>1569</v>
      </c>
      <c r="D324" s="143" t="s">
        <v>1570</v>
      </c>
      <c r="E324" s="143" t="s">
        <v>309</v>
      </c>
      <c r="F324" s="143" t="s">
        <v>1602</v>
      </c>
      <c r="G324" s="143" t="s">
        <v>1603</v>
      </c>
      <c r="H324" s="143" t="s">
        <v>321</v>
      </c>
      <c r="I324" s="143" t="s">
        <v>754</v>
      </c>
      <c r="J324" s="143" t="s">
        <v>204</v>
      </c>
      <c r="K324" s="143" t="s">
        <v>204</v>
      </c>
      <c r="L324" s="143" t="s">
        <v>325</v>
      </c>
      <c r="M324" s="143" t="s">
        <v>340</v>
      </c>
      <c r="N324" s="143" t="s">
        <v>448</v>
      </c>
      <c r="O324" s="143" t="s">
        <v>339</v>
      </c>
      <c r="P324" s="143" t="s">
        <v>1303</v>
      </c>
      <c r="Q324" s="143" t="s">
        <v>413</v>
      </c>
      <c r="R324" s="143" t="s">
        <v>407</v>
      </c>
      <c r="S324" s="143" t="s">
        <v>1210</v>
      </c>
      <c r="T324" s="144">
        <v>3.01</v>
      </c>
      <c r="U324" s="143" t="s">
        <v>1604</v>
      </c>
      <c r="V324" s="146">
        <v>1.7500000000000002E-2</v>
      </c>
      <c r="W324" s="146">
        <v>2.3508000000000001E-2</v>
      </c>
      <c r="X324" s="143" t="s">
        <v>412</v>
      </c>
      <c r="Y324" s="145" t="s">
        <v>3930</v>
      </c>
      <c r="Z324" s="144">
        <v>19432.349999999999</v>
      </c>
      <c r="AA324" s="145" t="s">
        <v>3930</v>
      </c>
      <c r="AB324" s="143" t="s">
        <v>1605</v>
      </c>
      <c r="AC324" s="145" t="s">
        <v>3930</v>
      </c>
      <c r="AD324" s="144">
        <v>22.2073</v>
      </c>
      <c r="AE324" s="145" t="s">
        <v>3930</v>
      </c>
      <c r="AF324" s="145" t="s">
        <v>3930</v>
      </c>
      <c r="AG324" s="145" t="s">
        <v>3930</v>
      </c>
      <c r="AH324" s="146">
        <v>7.4728602425791643E-6</v>
      </c>
      <c r="AI324" s="146">
        <v>2.9227179371507536E-2</v>
      </c>
      <c r="AJ324" s="147">
        <v>2.7929140499401051E-3</v>
      </c>
      <c r="AK324" s="177"/>
    </row>
    <row r="325" spans="1:37" ht="15" x14ac:dyDescent="0.2">
      <c r="A325" s="142" t="s">
        <v>1220</v>
      </c>
      <c r="B325" s="143" t="s">
        <v>1222</v>
      </c>
      <c r="C325" s="143" t="s">
        <v>1358</v>
      </c>
      <c r="D325" s="143" t="s">
        <v>1359</v>
      </c>
      <c r="E325" s="143" t="s">
        <v>309</v>
      </c>
      <c r="F325" s="143" t="s">
        <v>1594</v>
      </c>
      <c r="G325" s="143" t="s">
        <v>1595</v>
      </c>
      <c r="H325" s="143" t="s">
        <v>321</v>
      </c>
      <c r="I325" s="143" t="s">
        <v>754</v>
      </c>
      <c r="J325" s="143" t="s">
        <v>204</v>
      </c>
      <c r="K325" s="143" t="s">
        <v>204</v>
      </c>
      <c r="L325" s="143" t="s">
        <v>325</v>
      </c>
      <c r="M325" s="143" t="s">
        <v>340</v>
      </c>
      <c r="N325" s="143" t="s">
        <v>448</v>
      </c>
      <c r="O325" s="143" t="s">
        <v>339</v>
      </c>
      <c r="P325" s="143" t="s">
        <v>1303</v>
      </c>
      <c r="Q325" s="143" t="s">
        <v>413</v>
      </c>
      <c r="R325" s="143" t="s">
        <v>407</v>
      </c>
      <c r="S325" s="143" t="s">
        <v>1210</v>
      </c>
      <c r="T325" s="144">
        <v>4.38</v>
      </c>
      <c r="U325" s="143" t="s">
        <v>1596</v>
      </c>
      <c r="V325" s="146">
        <v>1.9900000000000001E-2</v>
      </c>
      <c r="W325" s="146">
        <v>2.5611999999999999E-2</v>
      </c>
      <c r="X325" s="143" t="s">
        <v>412</v>
      </c>
      <c r="Y325" s="145" t="s">
        <v>3930</v>
      </c>
      <c r="Z325" s="144">
        <v>19000</v>
      </c>
      <c r="AA325" s="145" t="s">
        <v>3930</v>
      </c>
      <c r="AB325" s="143" t="s">
        <v>1597</v>
      </c>
      <c r="AC325" s="145" t="s">
        <v>3930</v>
      </c>
      <c r="AD325" s="144">
        <v>19.475000000000001</v>
      </c>
      <c r="AE325" s="145" t="s">
        <v>3930</v>
      </c>
      <c r="AF325" s="145" t="s">
        <v>3930</v>
      </c>
      <c r="AG325" s="145" t="s">
        <v>3930</v>
      </c>
      <c r="AH325" s="146">
        <v>7.0370370370370366E-6</v>
      </c>
      <c r="AI325" s="146">
        <v>2.5631192686059855E-2</v>
      </c>
      <c r="AJ325" s="147">
        <v>2.4492858944645483E-3</v>
      </c>
      <c r="AK325" s="177"/>
    </row>
    <row r="326" spans="1:37" ht="15" x14ac:dyDescent="0.2">
      <c r="A326" s="142" t="s">
        <v>1220</v>
      </c>
      <c r="B326" s="143" t="s">
        <v>1222</v>
      </c>
      <c r="C326" s="143" t="s">
        <v>1493</v>
      </c>
      <c r="D326" s="143" t="s">
        <v>1494</v>
      </c>
      <c r="E326" s="143" t="s">
        <v>309</v>
      </c>
      <c r="F326" s="143" t="s">
        <v>1528</v>
      </c>
      <c r="G326" s="143" t="s">
        <v>1529</v>
      </c>
      <c r="H326" s="143" t="s">
        <v>321</v>
      </c>
      <c r="I326" s="143" t="s">
        <v>754</v>
      </c>
      <c r="J326" s="143" t="s">
        <v>204</v>
      </c>
      <c r="K326" s="143" t="s">
        <v>204</v>
      </c>
      <c r="L326" s="143" t="s">
        <v>325</v>
      </c>
      <c r="M326" s="143" t="s">
        <v>340</v>
      </c>
      <c r="N326" s="143" t="s">
        <v>448</v>
      </c>
      <c r="O326" s="143" t="s">
        <v>339</v>
      </c>
      <c r="P326" s="143" t="s">
        <v>1303</v>
      </c>
      <c r="Q326" s="143" t="s">
        <v>413</v>
      </c>
      <c r="R326" s="143" t="s">
        <v>407</v>
      </c>
      <c r="S326" s="143" t="s">
        <v>1210</v>
      </c>
      <c r="T326" s="144">
        <v>5.04</v>
      </c>
      <c r="U326" s="143" t="s">
        <v>1530</v>
      </c>
      <c r="V326" s="146">
        <v>2.0251999999999999E-2</v>
      </c>
      <c r="W326" s="146">
        <v>2.6082999999999999E-2</v>
      </c>
      <c r="X326" s="143" t="s">
        <v>412</v>
      </c>
      <c r="Y326" s="145" t="s">
        <v>3930</v>
      </c>
      <c r="Z326" s="144">
        <v>19000</v>
      </c>
      <c r="AA326" s="145" t="s">
        <v>3930</v>
      </c>
      <c r="AB326" s="143" t="s">
        <v>1531</v>
      </c>
      <c r="AC326" s="145" t="s">
        <v>3930</v>
      </c>
      <c r="AD326" s="144">
        <v>19.256499999999999</v>
      </c>
      <c r="AE326" s="145" t="s">
        <v>3930</v>
      </c>
      <c r="AF326" s="145" t="s">
        <v>3930</v>
      </c>
      <c r="AG326" s="145" t="s">
        <v>3930</v>
      </c>
      <c r="AH326" s="146">
        <v>5.3250882283039088E-6</v>
      </c>
      <c r="AI326" s="146">
        <v>2.5343623207143087E-2</v>
      </c>
      <c r="AJ326" s="147">
        <v>2.4218061015022631E-3</v>
      </c>
      <c r="AK326" s="177"/>
    </row>
    <row r="327" spans="1:37" ht="15" x14ac:dyDescent="0.2">
      <c r="A327" s="142" t="s">
        <v>1220</v>
      </c>
      <c r="B327" s="143" t="s">
        <v>1222</v>
      </c>
      <c r="C327" s="143" t="s">
        <v>1706</v>
      </c>
      <c r="D327" s="143" t="s">
        <v>1707</v>
      </c>
      <c r="E327" s="143" t="s">
        <v>309</v>
      </c>
      <c r="F327" s="143" t="s">
        <v>1719</v>
      </c>
      <c r="G327" s="143" t="s">
        <v>1720</v>
      </c>
      <c r="H327" s="143" t="s">
        <v>321</v>
      </c>
      <c r="I327" s="143" t="s">
        <v>754</v>
      </c>
      <c r="J327" s="143" t="s">
        <v>204</v>
      </c>
      <c r="K327" s="143" t="s">
        <v>204</v>
      </c>
      <c r="L327" s="143" t="s">
        <v>325</v>
      </c>
      <c r="M327" s="143" t="s">
        <v>340</v>
      </c>
      <c r="N327" s="143" t="s">
        <v>464</v>
      </c>
      <c r="O327" s="143" t="s">
        <v>339</v>
      </c>
      <c r="P327" s="143" t="s">
        <v>1721</v>
      </c>
      <c r="Q327" s="143" t="s">
        <v>413</v>
      </c>
      <c r="R327" s="143" t="s">
        <v>407</v>
      </c>
      <c r="S327" s="143" t="s">
        <v>1210</v>
      </c>
      <c r="T327" s="144">
        <v>10.34</v>
      </c>
      <c r="U327" s="143" t="s">
        <v>1722</v>
      </c>
      <c r="V327" s="146">
        <v>1.6899999999999998E-2</v>
      </c>
      <c r="W327" s="146">
        <v>3.6212000000000001E-2</v>
      </c>
      <c r="X327" s="143" t="s">
        <v>412</v>
      </c>
      <c r="Y327" s="145" t="s">
        <v>3930</v>
      </c>
      <c r="Z327" s="144">
        <v>20397</v>
      </c>
      <c r="AA327" s="145" t="s">
        <v>3930</v>
      </c>
      <c r="AB327" s="143" t="s">
        <v>1723</v>
      </c>
      <c r="AC327" s="145" t="s">
        <v>3930</v>
      </c>
      <c r="AD327" s="144">
        <v>19.093599999999999</v>
      </c>
      <c r="AE327" s="145" t="s">
        <v>3930</v>
      </c>
      <c r="AF327" s="145" t="s">
        <v>3930</v>
      </c>
      <c r="AG327" s="145" t="s">
        <v>3930</v>
      </c>
      <c r="AH327" s="146">
        <v>4.675037130755267E-6</v>
      </c>
      <c r="AI327" s="146">
        <v>2.5129271023330454E-2</v>
      </c>
      <c r="AJ327" s="147">
        <v>2.4013228650532044E-3</v>
      </c>
      <c r="AK327" s="177"/>
    </row>
    <row r="328" spans="1:37" ht="15" x14ac:dyDescent="0.2">
      <c r="A328" s="142" t="s">
        <v>1220</v>
      </c>
      <c r="B328" s="143" t="s">
        <v>1222</v>
      </c>
      <c r="C328" s="143" t="s">
        <v>1364</v>
      </c>
      <c r="D328" s="143" t="s">
        <v>1365</v>
      </c>
      <c r="E328" s="143" t="s">
        <v>309</v>
      </c>
      <c r="F328" s="143" t="s">
        <v>1598</v>
      </c>
      <c r="G328" s="143" t="s">
        <v>1599</v>
      </c>
      <c r="H328" s="143" t="s">
        <v>321</v>
      </c>
      <c r="I328" s="143" t="s">
        <v>754</v>
      </c>
      <c r="J328" s="143" t="s">
        <v>204</v>
      </c>
      <c r="K328" s="143" t="s">
        <v>204</v>
      </c>
      <c r="L328" s="143" t="s">
        <v>325</v>
      </c>
      <c r="M328" s="143" t="s">
        <v>340</v>
      </c>
      <c r="N328" s="143" t="s">
        <v>445</v>
      </c>
      <c r="O328" s="143" t="s">
        <v>339</v>
      </c>
      <c r="P328" s="143" t="s">
        <v>1368</v>
      </c>
      <c r="Q328" s="143" t="s">
        <v>415</v>
      </c>
      <c r="R328" s="143" t="s">
        <v>407</v>
      </c>
      <c r="S328" s="143" t="s">
        <v>1210</v>
      </c>
      <c r="T328" s="144">
        <v>5.05</v>
      </c>
      <c r="U328" s="143" t="s">
        <v>1600</v>
      </c>
      <c r="V328" s="146">
        <v>4.6899999999999997E-2</v>
      </c>
      <c r="W328" s="146">
        <v>5.6607999999999999E-2</v>
      </c>
      <c r="X328" s="143" t="s">
        <v>412</v>
      </c>
      <c r="Y328" s="145" t="s">
        <v>3930</v>
      </c>
      <c r="Z328" s="144">
        <v>19000</v>
      </c>
      <c r="AA328" s="145" t="s">
        <v>3930</v>
      </c>
      <c r="AB328" s="143" t="s">
        <v>1601</v>
      </c>
      <c r="AC328" s="145" t="s">
        <v>3930</v>
      </c>
      <c r="AD328" s="144">
        <v>18.2134</v>
      </c>
      <c r="AE328" s="145" t="s">
        <v>3930</v>
      </c>
      <c r="AF328" s="145" t="s">
        <v>3930</v>
      </c>
      <c r="AG328" s="145" t="s">
        <v>3930</v>
      </c>
      <c r="AH328" s="146">
        <v>3.8000000000000002E-5</v>
      </c>
      <c r="AI328" s="146">
        <v>2.3970791520836074E-2</v>
      </c>
      <c r="AJ328" s="147">
        <v>2.2906199594475278E-3</v>
      </c>
      <c r="AK328" s="177"/>
    </row>
    <row r="329" spans="1:37" ht="15" x14ac:dyDescent="0.2">
      <c r="A329" s="142" t="s">
        <v>1220</v>
      </c>
      <c r="B329" s="143" t="s">
        <v>1222</v>
      </c>
      <c r="C329" s="143" t="s">
        <v>1541</v>
      </c>
      <c r="D329" s="143" t="s">
        <v>1542</v>
      </c>
      <c r="E329" s="143" t="s">
        <v>309</v>
      </c>
      <c r="F329" s="143" t="s">
        <v>1543</v>
      </c>
      <c r="G329" s="143" t="s">
        <v>1544</v>
      </c>
      <c r="H329" s="143" t="s">
        <v>321</v>
      </c>
      <c r="I329" s="143" t="s">
        <v>754</v>
      </c>
      <c r="J329" s="143" t="s">
        <v>204</v>
      </c>
      <c r="K329" s="143" t="s">
        <v>204</v>
      </c>
      <c r="L329" s="143" t="s">
        <v>325</v>
      </c>
      <c r="M329" s="143" t="s">
        <v>340</v>
      </c>
      <c r="N329" s="143" t="s">
        <v>465</v>
      </c>
      <c r="O329" s="143" t="s">
        <v>339</v>
      </c>
      <c r="P329" s="143" t="s">
        <v>1444</v>
      </c>
      <c r="Q329" s="143" t="s">
        <v>415</v>
      </c>
      <c r="R329" s="143" t="s">
        <v>407</v>
      </c>
      <c r="S329" s="143" t="s">
        <v>1210</v>
      </c>
      <c r="T329" s="144">
        <v>1.46</v>
      </c>
      <c r="U329" s="143" t="s">
        <v>1545</v>
      </c>
      <c r="V329" s="146">
        <v>2.5700000000000001E-2</v>
      </c>
      <c r="W329" s="146">
        <v>3.1085000000000002E-2</v>
      </c>
      <c r="X329" s="143" t="s">
        <v>412</v>
      </c>
      <c r="Y329" s="145" t="s">
        <v>3930</v>
      </c>
      <c r="Z329" s="144">
        <v>15300</v>
      </c>
      <c r="AA329" s="145" t="s">
        <v>3930</v>
      </c>
      <c r="AB329" s="143" t="s">
        <v>1546</v>
      </c>
      <c r="AC329" s="145" t="s">
        <v>3930</v>
      </c>
      <c r="AD329" s="144">
        <v>17.8826</v>
      </c>
      <c r="AE329" s="145" t="s">
        <v>3930</v>
      </c>
      <c r="AF329" s="145" t="s">
        <v>3930</v>
      </c>
      <c r="AG329" s="145" t="s">
        <v>3930</v>
      </c>
      <c r="AH329" s="146">
        <v>1.1930625518017233E-5</v>
      </c>
      <c r="AI329" s="146">
        <v>2.3535475819021382E-2</v>
      </c>
      <c r="AJ329" s="147">
        <v>2.2490217154191275E-3</v>
      </c>
      <c r="AK329" s="177"/>
    </row>
    <row r="330" spans="1:37" ht="15" x14ac:dyDescent="0.2">
      <c r="A330" s="142" t="s">
        <v>1220</v>
      </c>
      <c r="B330" s="143" t="s">
        <v>1222</v>
      </c>
      <c r="C330" s="143" t="s">
        <v>1408</v>
      </c>
      <c r="D330" s="143" t="s">
        <v>1409</v>
      </c>
      <c r="E330" s="143" t="s">
        <v>309</v>
      </c>
      <c r="F330" s="143" t="s">
        <v>2042</v>
      </c>
      <c r="G330" s="143" t="s">
        <v>2043</v>
      </c>
      <c r="H330" s="143" t="s">
        <v>321</v>
      </c>
      <c r="I330" s="143" t="s">
        <v>754</v>
      </c>
      <c r="J330" s="143" t="s">
        <v>204</v>
      </c>
      <c r="K330" s="143" t="s">
        <v>204</v>
      </c>
      <c r="L330" s="143" t="s">
        <v>325</v>
      </c>
      <c r="M330" s="143" t="s">
        <v>340</v>
      </c>
      <c r="N330" s="143" t="s">
        <v>475</v>
      </c>
      <c r="O330" s="143" t="s">
        <v>339</v>
      </c>
      <c r="P330" s="143" t="s">
        <v>1412</v>
      </c>
      <c r="Q330" s="143" t="s">
        <v>413</v>
      </c>
      <c r="R330" s="143" t="s">
        <v>407</v>
      </c>
      <c r="S330" s="143" t="s">
        <v>1210</v>
      </c>
      <c r="T330" s="144">
        <v>2.44</v>
      </c>
      <c r="U330" s="143" t="s">
        <v>2044</v>
      </c>
      <c r="V330" s="146">
        <v>4.2999999999999997E-2</v>
      </c>
      <c r="W330" s="146">
        <v>2.2993E-2</v>
      </c>
      <c r="X330" s="143" t="s">
        <v>412</v>
      </c>
      <c r="Y330" s="145" t="s">
        <v>3930</v>
      </c>
      <c r="Z330" s="144">
        <v>11262.86</v>
      </c>
      <c r="AA330" s="145" t="s">
        <v>3930</v>
      </c>
      <c r="AB330" s="143" t="s">
        <v>2045</v>
      </c>
      <c r="AC330" s="144">
        <v>3.9453</v>
      </c>
      <c r="AD330" s="144">
        <v>17.549700000000001</v>
      </c>
      <c r="AE330" s="145" t="s">
        <v>3930</v>
      </c>
      <c r="AF330" s="145" t="s">
        <v>3930</v>
      </c>
      <c r="AG330" s="145" t="s">
        <v>3930</v>
      </c>
      <c r="AH330" s="146">
        <v>2.7610025794428921E-5</v>
      </c>
      <c r="AI330" s="146">
        <v>2.8289609445035065E-2</v>
      </c>
      <c r="AJ330" s="147">
        <v>2.7033209972831319E-3</v>
      </c>
      <c r="AK330" s="177"/>
    </row>
    <row r="331" spans="1:37" ht="15" x14ac:dyDescent="0.2">
      <c r="A331" s="142" t="s">
        <v>1220</v>
      </c>
      <c r="B331" s="143" t="s">
        <v>1222</v>
      </c>
      <c r="C331" s="143" t="s">
        <v>1474</v>
      </c>
      <c r="D331" s="143" t="s">
        <v>1475</v>
      </c>
      <c r="E331" s="143" t="s">
        <v>313</v>
      </c>
      <c r="F331" s="143" t="s">
        <v>1481</v>
      </c>
      <c r="G331" s="143" t="s">
        <v>1482</v>
      </c>
      <c r="H331" s="143" t="s">
        <v>321</v>
      </c>
      <c r="I331" s="143" t="s">
        <v>754</v>
      </c>
      <c r="J331" s="143" t="s">
        <v>204</v>
      </c>
      <c r="K331" s="143" t="s">
        <v>204</v>
      </c>
      <c r="L331" s="143" t="s">
        <v>325</v>
      </c>
      <c r="M331" s="143" t="s">
        <v>340</v>
      </c>
      <c r="N331" s="143" t="s">
        <v>440</v>
      </c>
      <c r="O331" s="143" t="s">
        <v>339</v>
      </c>
      <c r="P331" s="143" t="s">
        <v>1478</v>
      </c>
      <c r="Q331" s="143" t="s">
        <v>415</v>
      </c>
      <c r="R331" s="143" t="s">
        <v>407</v>
      </c>
      <c r="S331" s="143" t="s">
        <v>1210</v>
      </c>
      <c r="T331" s="144">
        <v>7.64</v>
      </c>
      <c r="U331" s="143" t="s">
        <v>1483</v>
      </c>
      <c r="V331" s="146">
        <v>0.03</v>
      </c>
      <c r="W331" s="146">
        <v>3.2599000000000003E-2</v>
      </c>
      <c r="X331" s="143" t="s">
        <v>412</v>
      </c>
      <c r="Y331" s="145" t="s">
        <v>3930</v>
      </c>
      <c r="Z331" s="144">
        <v>16000</v>
      </c>
      <c r="AA331" s="145" t="s">
        <v>3930</v>
      </c>
      <c r="AB331" s="143" t="s">
        <v>1484</v>
      </c>
      <c r="AC331" s="145" t="s">
        <v>3930</v>
      </c>
      <c r="AD331" s="144">
        <v>16.593599999999999</v>
      </c>
      <c r="AE331" s="145" t="s">
        <v>3930</v>
      </c>
      <c r="AF331" s="145" t="s">
        <v>3930</v>
      </c>
      <c r="AG331" s="145" t="s">
        <v>3930</v>
      </c>
      <c r="AH331" s="146">
        <v>3.9217570255826017E-6</v>
      </c>
      <c r="AI331" s="146">
        <v>2.1838960665232492E-2</v>
      </c>
      <c r="AJ331" s="147">
        <v>2.0869047711623585E-3</v>
      </c>
      <c r="AK331" s="177"/>
    </row>
    <row r="332" spans="1:37" ht="15" x14ac:dyDescent="0.2">
      <c r="A332" s="142" t="s">
        <v>1220</v>
      </c>
      <c r="B332" s="143" t="s">
        <v>1222</v>
      </c>
      <c r="C332" s="143" t="s">
        <v>1421</v>
      </c>
      <c r="D332" s="143" t="s">
        <v>1422</v>
      </c>
      <c r="E332" s="143" t="s">
        <v>309</v>
      </c>
      <c r="F332" s="143" t="s">
        <v>1727</v>
      </c>
      <c r="G332" s="143" t="s">
        <v>1728</v>
      </c>
      <c r="H332" s="143" t="s">
        <v>321</v>
      </c>
      <c r="I332" s="143" t="s">
        <v>754</v>
      </c>
      <c r="J332" s="143" t="s">
        <v>204</v>
      </c>
      <c r="K332" s="143" t="s">
        <v>204</v>
      </c>
      <c r="L332" s="143" t="s">
        <v>325</v>
      </c>
      <c r="M332" s="143" t="s">
        <v>340</v>
      </c>
      <c r="N332" s="143" t="s">
        <v>445</v>
      </c>
      <c r="O332" s="143" t="s">
        <v>339</v>
      </c>
      <c r="P332" s="143" t="s">
        <v>1425</v>
      </c>
      <c r="Q332" s="143" t="s">
        <v>415</v>
      </c>
      <c r="R332" s="143" t="s">
        <v>407</v>
      </c>
      <c r="S332" s="143" t="s">
        <v>1210</v>
      </c>
      <c r="T332" s="144">
        <v>2.19</v>
      </c>
      <c r="U332" s="143" t="s">
        <v>1526</v>
      </c>
      <c r="V332" s="146">
        <v>2.4E-2</v>
      </c>
      <c r="W332" s="146">
        <v>2.2598E-2</v>
      </c>
      <c r="X332" s="143" t="s">
        <v>412</v>
      </c>
      <c r="Y332" s="145" t="s">
        <v>3930</v>
      </c>
      <c r="Z332" s="144">
        <v>13704.55</v>
      </c>
      <c r="AA332" s="145" t="s">
        <v>3930</v>
      </c>
      <c r="AB332" s="143" t="s">
        <v>1729</v>
      </c>
      <c r="AC332" s="145" t="s">
        <v>3930</v>
      </c>
      <c r="AD332" s="144">
        <v>15.9658</v>
      </c>
      <c r="AE332" s="145" t="s">
        <v>3930</v>
      </c>
      <c r="AF332" s="145" t="s">
        <v>3930</v>
      </c>
      <c r="AG332" s="145" t="s">
        <v>3930</v>
      </c>
      <c r="AH332" s="146">
        <v>4.6425940099329299E-5</v>
      </c>
      <c r="AI332" s="146">
        <v>2.1012709392066186E-2</v>
      </c>
      <c r="AJ332" s="147">
        <v>2.007949194906624E-3</v>
      </c>
      <c r="AK332" s="177"/>
    </row>
    <row r="333" spans="1:37" ht="15" x14ac:dyDescent="0.2">
      <c r="A333" s="142" t="s">
        <v>1220</v>
      </c>
      <c r="B333" s="143" t="s">
        <v>1222</v>
      </c>
      <c r="C333" s="143" t="s">
        <v>1358</v>
      </c>
      <c r="D333" s="143" t="s">
        <v>1359</v>
      </c>
      <c r="E333" s="143" t="s">
        <v>309</v>
      </c>
      <c r="F333" s="143" t="s">
        <v>1640</v>
      </c>
      <c r="G333" s="143" t="s">
        <v>1641</v>
      </c>
      <c r="H333" s="143" t="s">
        <v>321</v>
      </c>
      <c r="I333" s="143" t="s">
        <v>754</v>
      </c>
      <c r="J333" s="143" t="s">
        <v>204</v>
      </c>
      <c r="K333" s="143" t="s">
        <v>204</v>
      </c>
      <c r="L333" s="143" t="s">
        <v>325</v>
      </c>
      <c r="M333" s="143" t="s">
        <v>340</v>
      </c>
      <c r="N333" s="143" t="s">
        <v>448</v>
      </c>
      <c r="O333" s="143" t="s">
        <v>339</v>
      </c>
      <c r="P333" s="143" t="s">
        <v>1209</v>
      </c>
      <c r="Q333" s="143" t="s">
        <v>415</v>
      </c>
      <c r="R333" s="143" t="s">
        <v>407</v>
      </c>
      <c r="S333" s="143" t="s">
        <v>1210</v>
      </c>
      <c r="T333" s="144">
        <v>2.16</v>
      </c>
      <c r="U333" s="143" t="s">
        <v>1642</v>
      </c>
      <c r="V333" s="146">
        <v>5.0000000000000001E-3</v>
      </c>
      <c r="W333" s="146">
        <v>2.1333999999999999E-2</v>
      </c>
      <c r="X333" s="143" t="s">
        <v>412</v>
      </c>
      <c r="Y333" s="145" t="s">
        <v>3930</v>
      </c>
      <c r="Z333" s="144">
        <v>13800</v>
      </c>
      <c r="AA333" s="145" t="s">
        <v>3930</v>
      </c>
      <c r="AB333" s="143" t="s">
        <v>1643</v>
      </c>
      <c r="AC333" s="145" t="s">
        <v>3930</v>
      </c>
      <c r="AD333" s="144">
        <v>15.279399999999999</v>
      </c>
      <c r="AE333" s="145" t="s">
        <v>3930</v>
      </c>
      <c r="AF333" s="145" t="s">
        <v>3930</v>
      </c>
      <c r="AG333" s="145" t="s">
        <v>3930</v>
      </c>
      <c r="AH333" s="146">
        <v>1.8080809323648663E-5</v>
      </c>
      <c r="AI333" s="146">
        <v>2.0109279603577689E-2</v>
      </c>
      <c r="AJ333" s="147">
        <v>1.9216185327058199E-3</v>
      </c>
      <c r="AK333" s="177"/>
    </row>
    <row r="334" spans="1:37" ht="15" x14ac:dyDescent="0.2">
      <c r="A334" s="142" t="s">
        <v>1220</v>
      </c>
      <c r="B334" s="143" t="s">
        <v>1222</v>
      </c>
      <c r="C334" s="143" t="s">
        <v>1734</v>
      </c>
      <c r="D334" s="143" t="s">
        <v>1735</v>
      </c>
      <c r="E334" s="143" t="s">
        <v>309</v>
      </c>
      <c r="F334" s="143" t="s">
        <v>1736</v>
      </c>
      <c r="G334" s="143" t="s">
        <v>1737</v>
      </c>
      <c r="H334" s="143" t="s">
        <v>321</v>
      </c>
      <c r="I334" s="143" t="s">
        <v>754</v>
      </c>
      <c r="J334" s="143" t="s">
        <v>204</v>
      </c>
      <c r="K334" s="143" t="s">
        <v>204</v>
      </c>
      <c r="L334" s="143" t="s">
        <v>325</v>
      </c>
      <c r="M334" s="143" t="s">
        <v>340</v>
      </c>
      <c r="N334" s="143" t="s">
        <v>440</v>
      </c>
      <c r="O334" s="143" t="s">
        <v>339</v>
      </c>
      <c r="P334" s="143" t="s">
        <v>1405</v>
      </c>
      <c r="Q334" s="143" t="s">
        <v>415</v>
      </c>
      <c r="R334" s="143" t="s">
        <v>407</v>
      </c>
      <c r="S334" s="143" t="s">
        <v>1210</v>
      </c>
      <c r="T334" s="144">
        <v>3.67</v>
      </c>
      <c r="U334" s="143" t="s">
        <v>1618</v>
      </c>
      <c r="V334" s="146">
        <v>1.7999999999999999E-2</v>
      </c>
      <c r="W334" s="146">
        <v>3.6724E-2</v>
      </c>
      <c r="X334" s="143" t="s">
        <v>412</v>
      </c>
      <c r="Y334" s="145" t="s">
        <v>3930</v>
      </c>
      <c r="Z334" s="144">
        <v>12750</v>
      </c>
      <c r="AA334" s="145" t="s">
        <v>3930</v>
      </c>
      <c r="AB334" s="143" t="s">
        <v>1738</v>
      </c>
      <c r="AC334" s="145" t="s">
        <v>3930</v>
      </c>
      <c r="AD334" s="144">
        <v>13.756</v>
      </c>
      <c r="AE334" s="145" t="s">
        <v>3930</v>
      </c>
      <c r="AF334" s="145" t="s">
        <v>3930</v>
      </c>
      <c r="AG334" s="145" t="s">
        <v>3930</v>
      </c>
      <c r="AH334" s="146">
        <v>1.3498094169148015E-5</v>
      </c>
      <c r="AI334" s="146">
        <v>1.8104341248247609E-2</v>
      </c>
      <c r="AJ334" s="147">
        <v>1.7300290388758391E-3</v>
      </c>
      <c r="AK334" s="177"/>
    </row>
    <row r="335" spans="1:37" ht="15" x14ac:dyDescent="0.2">
      <c r="A335" s="142" t="s">
        <v>1220</v>
      </c>
      <c r="B335" s="143" t="s">
        <v>1222</v>
      </c>
      <c r="C335" s="143" t="s">
        <v>1739</v>
      </c>
      <c r="D335" s="143" t="s">
        <v>1740</v>
      </c>
      <c r="E335" s="143" t="s">
        <v>309</v>
      </c>
      <c r="F335" s="143" t="s">
        <v>1741</v>
      </c>
      <c r="G335" s="143" t="s">
        <v>1742</v>
      </c>
      <c r="H335" s="143" t="s">
        <v>321</v>
      </c>
      <c r="I335" s="143" t="s">
        <v>754</v>
      </c>
      <c r="J335" s="143" t="s">
        <v>204</v>
      </c>
      <c r="K335" s="143" t="s">
        <v>204</v>
      </c>
      <c r="L335" s="143" t="s">
        <v>325</v>
      </c>
      <c r="M335" s="143" t="s">
        <v>340</v>
      </c>
      <c r="N335" s="143" t="s">
        <v>464</v>
      </c>
      <c r="O335" s="143" t="s">
        <v>339</v>
      </c>
      <c r="P335" s="143" t="s">
        <v>1743</v>
      </c>
      <c r="Q335" s="143" t="s">
        <v>413</v>
      </c>
      <c r="R335" s="143" t="s">
        <v>407</v>
      </c>
      <c r="S335" s="143" t="s">
        <v>1210</v>
      </c>
      <c r="T335" s="144">
        <v>2.79</v>
      </c>
      <c r="U335" s="143" t="s">
        <v>1426</v>
      </c>
      <c r="V335" s="146">
        <v>1.7999999999999999E-2</v>
      </c>
      <c r="W335" s="146">
        <v>2.7909E-2</v>
      </c>
      <c r="X335" s="143" t="s">
        <v>412</v>
      </c>
      <c r="Y335" s="145" t="s">
        <v>3930</v>
      </c>
      <c r="Z335" s="144">
        <v>9344.7999999999993</v>
      </c>
      <c r="AA335" s="145" t="s">
        <v>3930</v>
      </c>
      <c r="AB335" s="143" t="s">
        <v>1744</v>
      </c>
      <c r="AC335" s="145" t="s">
        <v>3930</v>
      </c>
      <c r="AD335" s="144">
        <v>10.601700000000001</v>
      </c>
      <c r="AE335" s="145" t="s">
        <v>3930</v>
      </c>
      <c r="AF335" s="145" t="s">
        <v>3930</v>
      </c>
      <c r="AG335" s="145" t="s">
        <v>3930</v>
      </c>
      <c r="AH335" s="146">
        <v>1.1848014740042007E-5</v>
      </c>
      <c r="AI335" s="146">
        <v>1.3952944292616135E-2</v>
      </c>
      <c r="AJ335" s="147">
        <v>1.3333265470998191E-3</v>
      </c>
      <c r="AK335" s="177"/>
    </row>
    <row r="336" spans="1:37" ht="15" x14ac:dyDescent="0.2">
      <c r="A336" s="142" t="s">
        <v>1220</v>
      </c>
      <c r="B336" s="143" t="s">
        <v>1222</v>
      </c>
      <c r="C336" s="143" t="s">
        <v>1532</v>
      </c>
      <c r="D336" s="143" t="s">
        <v>1533</v>
      </c>
      <c r="E336" s="143" t="s">
        <v>309</v>
      </c>
      <c r="F336" s="143" t="s">
        <v>1534</v>
      </c>
      <c r="G336" s="143" t="s">
        <v>1535</v>
      </c>
      <c r="H336" s="143" t="s">
        <v>321</v>
      </c>
      <c r="I336" s="143" t="s">
        <v>754</v>
      </c>
      <c r="J336" s="143" t="s">
        <v>204</v>
      </c>
      <c r="K336" s="143" t="s">
        <v>204</v>
      </c>
      <c r="L336" s="143" t="s">
        <v>325</v>
      </c>
      <c r="M336" s="143" t="s">
        <v>340</v>
      </c>
      <c r="N336" s="143" t="s">
        <v>464</v>
      </c>
      <c r="O336" s="143" t="s">
        <v>339</v>
      </c>
      <c r="P336" s="143" t="s">
        <v>1412</v>
      </c>
      <c r="Q336" s="143" t="s">
        <v>413</v>
      </c>
      <c r="R336" s="143" t="s">
        <v>407</v>
      </c>
      <c r="S336" s="143" t="s">
        <v>1210</v>
      </c>
      <c r="T336" s="144">
        <v>2.1800000000000002</v>
      </c>
      <c r="U336" s="143" t="s">
        <v>1304</v>
      </c>
      <c r="V336" s="146">
        <v>2.3400000000000001E-2</v>
      </c>
      <c r="W336" s="146">
        <v>2.7172000000000002E-2</v>
      </c>
      <c r="X336" s="143" t="s">
        <v>412</v>
      </c>
      <c r="Y336" s="145" t="s">
        <v>3930</v>
      </c>
      <c r="Z336" s="144">
        <v>8134.21</v>
      </c>
      <c r="AA336" s="145" t="s">
        <v>3930</v>
      </c>
      <c r="AB336" s="143" t="s">
        <v>1536</v>
      </c>
      <c r="AC336" s="145" t="s">
        <v>3930</v>
      </c>
      <c r="AD336" s="144">
        <v>9.4251000000000005</v>
      </c>
      <c r="AE336" s="145" t="s">
        <v>3930</v>
      </c>
      <c r="AF336" s="145" t="s">
        <v>3930</v>
      </c>
      <c r="AG336" s="145" t="s">
        <v>3930</v>
      </c>
      <c r="AH336" s="146">
        <v>3.8558851449545715E-6</v>
      </c>
      <c r="AI336" s="146">
        <v>1.2404456386201714E-2</v>
      </c>
      <c r="AJ336" s="147">
        <v>1.1853549082695852E-3</v>
      </c>
      <c r="AK336" s="177"/>
    </row>
    <row r="337" spans="1:37" ht="15" x14ac:dyDescent="0.2">
      <c r="A337" s="142" t="s">
        <v>1220</v>
      </c>
      <c r="B337" s="143" t="s">
        <v>1222</v>
      </c>
      <c r="C337" s="143" t="s">
        <v>1513</v>
      </c>
      <c r="D337" s="143" t="s">
        <v>1514</v>
      </c>
      <c r="E337" s="143" t="s">
        <v>309</v>
      </c>
      <c r="F337" s="143" t="s">
        <v>1616</v>
      </c>
      <c r="G337" s="143" t="s">
        <v>1617</v>
      </c>
      <c r="H337" s="143" t="s">
        <v>321</v>
      </c>
      <c r="I337" s="143" t="s">
        <v>754</v>
      </c>
      <c r="J337" s="143" t="s">
        <v>204</v>
      </c>
      <c r="K337" s="143" t="s">
        <v>204</v>
      </c>
      <c r="L337" s="143" t="s">
        <v>325</v>
      </c>
      <c r="M337" s="143" t="s">
        <v>340</v>
      </c>
      <c r="N337" s="143" t="s">
        <v>465</v>
      </c>
      <c r="O337" s="143" t="s">
        <v>339</v>
      </c>
      <c r="P337" s="143" t="s">
        <v>1405</v>
      </c>
      <c r="Q337" s="143" t="s">
        <v>415</v>
      </c>
      <c r="R337" s="143" t="s">
        <v>407</v>
      </c>
      <c r="S337" s="143" t="s">
        <v>1210</v>
      </c>
      <c r="T337" s="144">
        <v>5.6</v>
      </c>
      <c r="U337" s="143" t="s">
        <v>1618</v>
      </c>
      <c r="V337" s="146">
        <v>1.7899999999999999E-2</v>
      </c>
      <c r="W337" s="146">
        <v>5.3422999999999998E-2</v>
      </c>
      <c r="X337" s="143" t="s">
        <v>412</v>
      </c>
      <c r="Y337" s="145" t="s">
        <v>3930</v>
      </c>
      <c r="Z337" s="144">
        <v>9287.77</v>
      </c>
      <c r="AA337" s="145" t="s">
        <v>3930</v>
      </c>
      <c r="AB337" s="143" t="s">
        <v>1619</v>
      </c>
      <c r="AC337" s="145" t="s">
        <v>3930</v>
      </c>
      <c r="AD337" s="144">
        <v>8.7713999999999999</v>
      </c>
      <c r="AE337" s="145" t="s">
        <v>3930</v>
      </c>
      <c r="AF337" s="145" t="s">
        <v>3930</v>
      </c>
      <c r="AG337" s="145" t="s">
        <v>3930</v>
      </c>
      <c r="AH337" s="146">
        <v>1.3715284664703556E-5</v>
      </c>
      <c r="AI337" s="146">
        <v>1.154406543174072E-2</v>
      </c>
      <c r="AJ337" s="147">
        <v>1.1031369851983606E-3</v>
      </c>
      <c r="AK337" s="177"/>
    </row>
    <row r="338" spans="1:37" ht="15" x14ac:dyDescent="0.2">
      <c r="A338" s="142" t="s">
        <v>1220</v>
      </c>
      <c r="B338" s="143" t="s">
        <v>1222</v>
      </c>
      <c r="C338" s="143" t="s">
        <v>1358</v>
      </c>
      <c r="D338" s="143" t="s">
        <v>1359</v>
      </c>
      <c r="E338" s="143" t="s">
        <v>309</v>
      </c>
      <c r="F338" s="143" t="s">
        <v>1485</v>
      </c>
      <c r="G338" s="143" t="s">
        <v>1486</v>
      </c>
      <c r="H338" s="143" t="s">
        <v>321</v>
      </c>
      <c r="I338" s="143" t="s">
        <v>754</v>
      </c>
      <c r="J338" s="143" t="s">
        <v>204</v>
      </c>
      <c r="K338" s="143" t="s">
        <v>204</v>
      </c>
      <c r="L338" s="143" t="s">
        <v>325</v>
      </c>
      <c r="M338" s="143" t="s">
        <v>340</v>
      </c>
      <c r="N338" s="143" t="s">
        <v>448</v>
      </c>
      <c r="O338" s="143" t="s">
        <v>339</v>
      </c>
      <c r="P338" s="143" t="s">
        <v>1303</v>
      </c>
      <c r="Q338" s="143" t="s">
        <v>413</v>
      </c>
      <c r="R338" s="143" t="s">
        <v>407</v>
      </c>
      <c r="S338" s="143" t="s">
        <v>1210</v>
      </c>
      <c r="T338" s="144">
        <v>1.72</v>
      </c>
      <c r="U338" s="143" t="s">
        <v>1487</v>
      </c>
      <c r="V338" s="146">
        <v>3.8E-3</v>
      </c>
      <c r="W338" s="146">
        <v>2.1166000000000001E-2</v>
      </c>
      <c r="X338" s="143" t="s">
        <v>412</v>
      </c>
      <c r="Y338" s="145" t="s">
        <v>3930</v>
      </c>
      <c r="Z338" s="144">
        <v>7678</v>
      </c>
      <c r="AA338" s="145" t="s">
        <v>3930</v>
      </c>
      <c r="AB338" s="143" t="s">
        <v>1488</v>
      </c>
      <c r="AC338" s="145" t="s">
        <v>3930</v>
      </c>
      <c r="AD338" s="144">
        <v>8.4757000000000016</v>
      </c>
      <c r="AE338" s="145" t="s">
        <v>3930</v>
      </c>
      <c r="AF338" s="145" t="s">
        <v>3930</v>
      </c>
      <c r="AG338" s="145" t="s">
        <v>3930</v>
      </c>
      <c r="AH338" s="146">
        <v>2.5593333333333332E-6</v>
      </c>
      <c r="AI338" s="146">
        <v>1.1154990128264659E-2</v>
      </c>
      <c r="AJ338" s="147">
        <v>1.0659574179280979E-3</v>
      </c>
      <c r="AK338" s="177"/>
    </row>
    <row r="339" spans="1:37" ht="15" x14ac:dyDescent="0.2">
      <c r="A339" s="142" t="s">
        <v>1220</v>
      </c>
      <c r="B339" s="143" t="s">
        <v>1222</v>
      </c>
      <c r="C339" s="143" t="s">
        <v>1585</v>
      </c>
      <c r="D339" s="143" t="s">
        <v>1586</v>
      </c>
      <c r="E339" s="143" t="s">
        <v>309</v>
      </c>
      <c r="F339" s="143" t="s">
        <v>1587</v>
      </c>
      <c r="G339" s="143" t="s">
        <v>1588</v>
      </c>
      <c r="H339" s="143" t="s">
        <v>321</v>
      </c>
      <c r="I339" s="143" t="s">
        <v>754</v>
      </c>
      <c r="J339" s="143" t="s">
        <v>204</v>
      </c>
      <c r="K339" s="143" t="s">
        <v>204</v>
      </c>
      <c r="L339" s="143" t="s">
        <v>325</v>
      </c>
      <c r="M339" s="143" t="s">
        <v>340</v>
      </c>
      <c r="N339" s="143" t="s">
        <v>448</v>
      </c>
      <c r="O339" s="143" t="s">
        <v>339</v>
      </c>
      <c r="P339" s="143" t="s">
        <v>1303</v>
      </c>
      <c r="Q339" s="143" t="s">
        <v>413</v>
      </c>
      <c r="R339" s="143" t="s">
        <v>407</v>
      </c>
      <c r="S339" s="143" t="s">
        <v>1210</v>
      </c>
      <c r="T339" s="144">
        <v>2.73</v>
      </c>
      <c r="U339" s="143" t="s">
        <v>1589</v>
      </c>
      <c r="V339" s="146">
        <v>1.4999999999999999E-2</v>
      </c>
      <c r="W339" s="146">
        <v>2.2589000000000001E-2</v>
      </c>
      <c r="X339" s="143" t="s">
        <v>412</v>
      </c>
      <c r="Y339" s="145" t="s">
        <v>3930</v>
      </c>
      <c r="Z339" s="144">
        <v>7307.86</v>
      </c>
      <c r="AA339" s="145" t="s">
        <v>3930</v>
      </c>
      <c r="AB339" s="143" t="s">
        <v>1590</v>
      </c>
      <c r="AC339" s="145" t="s">
        <v>3930</v>
      </c>
      <c r="AD339" s="144">
        <v>8.3447999999999993</v>
      </c>
      <c r="AE339" s="145" t="s">
        <v>3930</v>
      </c>
      <c r="AF339" s="145" t="s">
        <v>3930</v>
      </c>
      <c r="AG339" s="145" t="s">
        <v>3930</v>
      </c>
      <c r="AH339" s="146">
        <v>2.6179901938339683E-5</v>
      </c>
      <c r="AI339" s="146">
        <v>1.0982713154871451E-2</v>
      </c>
      <c r="AJ339" s="147">
        <v>1.0494948378975354E-3</v>
      </c>
      <c r="AK339" s="177"/>
    </row>
    <row r="340" spans="1:37" ht="15" x14ac:dyDescent="0.2">
      <c r="A340" s="142" t="s">
        <v>1220</v>
      </c>
      <c r="B340" s="143" t="s">
        <v>1222</v>
      </c>
      <c r="C340" s="143" t="s">
        <v>1610</v>
      </c>
      <c r="D340" s="143" t="s">
        <v>1611</v>
      </c>
      <c r="E340" s="143" t="s">
        <v>309</v>
      </c>
      <c r="F340" s="143" t="s">
        <v>1626</v>
      </c>
      <c r="G340" s="143" t="s">
        <v>1627</v>
      </c>
      <c r="H340" s="143" t="s">
        <v>321</v>
      </c>
      <c r="I340" s="143" t="s">
        <v>754</v>
      </c>
      <c r="J340" s="143" t="s">
        <v>204</v>
      </c>
      <c r="K340" s="143" t="s">
        <v>204</v>
      </c>
      <c r="L340" s="143" t="s">
        <v>325</v>
      </c>
      <c r="M340" s="143" t="s">
        <v>340</v>
      </c>
      <c r="N340" s="143" t="s">
        <v>440</v>
      </c>
      <c r="O340" s="143" t="s">
        <v>339</v>
      </c>
      <c r="P340" s="143" t="s">
        <v>1356</v>
      </c>
      <c r="Q340" s="143" t="s">
        <v>413</v>
      </c>
      <c r="R340" s="143" t="s">
        <v>407</v>
      </c>
      <c r="S340" s="143" t="s">
        <v>1210</v>
      </c>
      <c r="T340" s="144">
        <v>2.09</v>
      </c>
      <c r="U340" s="143" t="s">
        <v>1628</v>
      </c>
      <c r="V340" s="146">
        <v>1.9400000000000001E-2</v>
      </c>
      <c r="W340" s="146">
        <v>2.4282000000000001E-2</v>
      </c>
      <c r="X340" s="143" t="s">
        <v>412</v>
      </c>
      <c r="Y340" s="145" t="s">
        <v>3930</v>
      </c>
      <c r="Z340" s="144">
        <v>6709.66</v>
      </c>
      <c r="AA340" s="145" t="s">
        <v>3930</v>
      </c>
      <c r="AB340" s="143" t="s">
        <v>1629</v>
      </c>
      <c r="AC340" s="145" t="s">
        <v>3930</v>
      </c>
      <c r="AD340" s="144">
        <v>7.7751999999999999</v>
      </c>
      <c r="AE340" s="145" t="s">
        <v>3930</v>
      </c>
      <c r="AF340" s="145" t="s">
        <v>3930</v>
      </c>
      <c r="AG340" s="145" t="s">
        <v>3930</v>
      </c>
      <c r="AH340" s="146">
        <v>2.2272463464495788E-5</v>
      </c>
      <c r="AI340" s="146">
        <v>1.0232938153675921E-2</v>
      </c>
      <c r="AJ340" s="147">
        <v>9.778472420582233E-4</v>
      </c>
      <c r="AK340" s="177"/>
    </row>
    <row r="341" spans="1:37" ht="15" x14ac:dyDescent="0.2">
      <c r="A341" s="142" t="s">
        <v>1220</v>
      </c>
      <c r="B341" s="143" t="s">
        <v>1222</v>
      </c>
      <c r="C341" s="143" t="s">
        <v>1610</v>
      </c>
      <c r="D341" s="143" t="s">
        <v>1611</v>
      </c>
      <c r="E341" s="143" t="s">
        <v>309</v>
      </c>
      <c r="F341" s="143" t="s">
        <v>1612</v>
      </c>
      <c r="G341" s="143" t="s">
        <v>1613</v>
      </c>
      <c r="H341" s="143" t="s">
        <v>321</v>
      </c>
      <c r="I341" s="143" t="s">
        <v>754</v>
      </c>
      <c r="J341" s="143" t="s">
        <v>204</v>
      </c>
      <c r="K341" s="143" t="s">
        <v>204</v>
      </c>
      <c r="L341" s="143" t="s">
        <v>325</v>
      </c>
      <c r="M341" s="143" t="s">
        <v>340</v>
      </c>
      <c r="N341" s="143" t="s">
        <v>440</v>
      </c>
      <c r="O341" s="143" t="s">
        <v>339</v>
      </c>
      <c r="P341" s="143" t="s">
        <v>1356</v>
      </c>
      <c r="Q341" s="143" t="s">
        <v>413</v>
      </c>
      <c r="R341" s="143" t="s">
        <v>407</v>
      </c>
      <c r="S341" s="143" t="s">
        <v>1210</v>
      </c>
      <c r="T341" s="144">
        <v>3.07</v>
      </c>
      <c r="U341" s="143" t="s">
        <v>1614</v>
      </c>
      <c r="V341" s="146">
        <v>1.23E-2</v>
      </c>
      <c r="W341" s="146">
        <v>2.589E-2</v>
      </c>
      <c r="X341" s="143" t="s">
        <v>412</v>
      </c>
      <c r="Y341" s="145" t="s">
        <v>3930</v>
      </c>
      <c r="Z341" s="144">
        <v>6616.32</v>
      </c>
      <c r="AA341" s="145" t="s">
        <v>3930</v>
      </c>
      <c r="AB341" s="143" t="s">
        <v>1615</v>
      </c>
      <c r="AC341" s="145" t="s">
        <v>3930</v>
      </c>
      <c r="AD341" s="144">
        <v>7.3936999999999999</v>
      </c>
      <c r="AE341" s="145" t="s">
        <v>3930</v>
      </c>
      <c r="AF341" s="145" t="s">
        <v>3930</v>
      </c>
      <c r="AG341" s="145" t="s">
        <v>3930</v>
      </c>
      <c r="AH341" s="146">
        <v>5.9345000545084731E-6</v>
      </c>
      <c r="AI341" s="146">
        <v>9.7309531756490757E-3</v>
      </c>
      <c r="AJ341" s="147">
        <v>9.2987816231333311E-4</v>
      </c>
      <c r="AK341" s="177"/>
    </row>
    <row r="342" spans="1:37" ht="15" x14ac:dyDescent="0.2">
      <c r="A342" s="142" t="s">
        <v>1220</v>
      </c>
      <c r="B342" s="143" t="s">
        <v>1222</v>
      </c>
      <c r="C342" s="143" t="s">
        <v>1706</v>
      </c>
      <c r="D342" s="143" t="s">
        <v>1707</v>
      </c>
      <c r="E342" s="143" t="s">
        <v>309</v>
      </c>
      <c r="F342" s="143" t="s">
        <v>1745</v>
      </c>
      <c r="G342" s="143" t="s">
        <v>1746</v>
      </c>
      <c r="H342" s="143" t="s">
        <v>321</v>
      </c>
      <c r="I342" s="143" t="s">
        <v>754</v>
      </c>
      <c r="J342" s="143" t="s">
        <v>204</v>
      </c>
      <c r="K342" s="143" t="s">
        <v>204</v>
      </c>
      <c r="L342" s="143" t="s">
        <v>325</v>
      </c>
      <c r="M342" s="143" t="s">
        <v>340</v>
      </c>
      <c r="N342" s="143" t="s">
        <v>464</v>
      </c>
      <c r="O342" s="143" t="s">
        <v>339</v>
      </c>
      <c r="P342" s="143" t="s">
        <v>1478</v>
      </c>
      <c r="Q342" s="143" t="s">
        <v>415</v>
      </c>
      <c r="R342" s="143" t="s">
        <v>407</v>
      </c>
      <c r="S342" s="143" t="s">
        <v>1210</v>
      </c>
      <c r="T342" s="144">
        <v>2.5499999999999998</v>
      </c>
      <c r="U342" s="143" t="s">
        <v>1539</v>
      </c>
      <c r="V342" s="146">
        <v>1.77E-2</v>
      </c>
      <c r="W342" s="146">
        <v>2.7564999999999999E-2</v>
      </c>
      <c r="X342" s="143" t="s">
        <v>412</v>
      </c>
      <c r="Y342" s="145" t="s">
        <v>3930</v>
      </c>
      <c r="Z342" s="144">
        <v>6400</v>
      </c>
      <c r="AA342" s="145" t="s">
        <v>3930</v>
      </c>
      <c r="AB342" s="143" t="s">
        <v>1747</v>
      </c>
      <c r="AC342" s="145" t="s">
        <v>3930</v>
      </c>
      <c r="AD342" s="144">
        <v>7.2442000000000002</v>
      </c>
      <c r="AE342" s="145" t="s">
        <v>3930</v>
      </c>
      <c r="AF342" s="145" t="s">
        <v>3930</v>
      </c>
      <c r="AG342" s="145" t="s">
        <v>3930</v>
      </c>
      <c r="AH342" s="146">
        <v>2.4665542936133225E-6</v>
      </c>
      <c r="AI342" s="146">
        <v>9.5340929811885671E-3</v>
      </c>
      <c r="AJ342" s="147">
        <v>9.1106643929367412E-4</v>
      </c>
      <c r="AK342" s="177"/>
    </row>
    <row r="343" spans="1:37" ht="15" x14ac:dyDescent="0.2">
      <c r="A343" s="142" t="s">
        <v>1220</v>
      </c>
      <c r="B343" s="143" t="s">
        <v>1222</v>
      </c>
      <c r="C343" s="143" t="s">
        <v>1961</v>
      </c>
      <c r="D343" s="143" t="s">
        <v>1962</v>
      </c>
      <c r="E343" s="143" t="s">
        <v>309</v>
      </c>
      <c r="F343" s="143" t="s">
        <v>1963</v>
      </c>
      <c r="G343" s="143" t="s">
        <v>1964</v>
      </c>
      <c r="H343" s="143" t="s">
        <v>321</v>
      </c>
      <c r="I343" s="143" t="s">
        <v>754</v>
      </c>
      <c r="J343" s="143" t="s">
        <v>204</v>
      </c>
      <c r="K343" s="143" t="s">
        <v>204</v>
      </c>
      <c r="L343" s="143" t="s">
        <v>325</v>
      </c>
      <c r="M343" s="143" t="s">
        <v>340</v>
      </c>
      <c r="N343" s="143" t="s">
        <v>464</v>
      </c>
      <c r="O343" s="143" t="s">
        <v>339</v>
      </c>
      <c r="P343" s="143" t="s">
        <v>1209</v>
      </c>
      <c r="Q343" s="143" t="s">
        <v>415</v>
      </c>
      <c r="R343" s="143" t="s">
        <v>407</v>
      </c>
      <c r="S343" s="143" t="s">
        <v>1210</v>
      </c>
      <c r="T343" s="144">
        <v>1.46</v>
      </c>
      <c r="U343" s="143" t="s">
        <v>1526</v>
      </c>
      <c r="V343" s="146">
        <v>8.3000000000000001E-3</v>
      </c>
      <c r="W343" s="146">
        <v>2.2186000000000001E-2</v>
      </c>
      <c r="X343" s="143" t="s">
        <v>412</v>
      </c>
      <c r="Y343" s="145" t="s">
        <v>3930</v>
      </c>
      <c r="Z343" s="144">
        <v>6016.33</v>
      </c>
      <c r="AA343" s="145" t="s">
        <v>3930</v>
      </c>
      <c r="AB343" s="143" t="s">
        <v>1965</v>
      </c>
      <c r="AC343" s="145" t="s">
        <v>3930</v>
      </c>
      <c r="AD343" s="144">
        <v>6.8803000000000001</v>
      </c>
      <c r="AE343" s="145" t="s">
        <v>3930</v>
      </c>
      <c r="AF343" s="145" t="s">
        <v>3930</v>
      </c>
      <c r="AG343" s="145" t="s">
        <v>3930</v>
      </c>
      <c r="AH343" s="146">
        <v>5.069149094809965E-6</v>
      </c>
      <c r="AI343" s="146">
        <v>9.0551812041338199E-3</v>
      </c>
      <c r="AJ343" s="147">
        <v>8.653022068367466E-4</v>
      </c>
      <c r="AK343" s="177"/>
    </row>
    <row r="344" spans="1:37" ht="15" x14ac:dyDescent="0.2">
      <c r="A344" s="142" t="s">
        <v>1220</v>
      </c>
      <c r="B344" s="143" t="s">
        <v>1222</v>
      </c>
      <c r="C344" s="143" t="s">
        <v>1522</v>
      </c>
      <c r="D344" s="143" t="s">
        <v>1523</v>
      </c>
      <c r="E344" s="143" t="s">
        <v>309</v>
      </c>
      <c r="F344" s="143" t="s">
        <v>1524</v>
      </c>
      <c r="G344" s="143" t="s">
        <v>1525</v>
      </c>
      <c r="H344" s="143" t="s">
        <v>321</v>
      </c>
      <c r="I344" s="143" t="s">
        <v>754</v>
      </c>
      <c r="J344" s="143" t="s">
        <v>204</v>
      </c>
      <c r="K344" s="143" t="s">
        <v>204</v>
      </c>
      <c r="L344" s="143" t="s">
        <v>325</v>
      </c>
      <c r="M344" s="143" t="s">
        <v>340</v>
      </c>
      <c r="N344" s="143" t="s">
        <v>448</v>
      </c>
      <c r="O344" s="143" t="s">
        <v>339</v>
      </c>
      <c r="P344" s="143" t="s">
        <v>1356</v>
      </c>
      <c r="Q344" s="143" t="s">
        <v>413</v>
      </c>
      <c r="R344" s="143" t="s">
        <v>407</v>
      </c>
      <c r="S344" s="143" t="s">
        <v>1210</v>
      </c>
      <c r="T344" s="144">
        <v>1.23</v>
      </c>
      <c r="U344" s="143" t="s">
        <v>1526</v>
      </c>
      <c r="V344" s="146">
        <v>2E-3</v>
      </c>
      <c r="W344" s="146">
        <v>2.0126999999999999E-2</v>
      </c>
      <c r="X344" s="143" t="s">
        <v>412</v>
      </c>
      <c r="Y344" s="145" t="s">
        <v>3930</v>
      </c>
      <c r="Z344" s="144">
        <v>6000</v>
      </c>
      <c r="AA344" s="145" t="s">
        <v>3930</v>
      </c>
      <c r="AB344" s="143" t="s">
        <v>1527</v>
      </c>
      <c r="AC344" s="145" t="s">
        <v>3930</v>
      </c>
      <c r="AD344" s="144">
        <v>6.7110000000000003</v>
      </c>
      <c r="AE344" s="145" t="s">
        <v>3930</v>
      </c>
      <c r="AF344" s="145" t="s">
        <v>3930</v>
      </c>
      <c r="AG344" s="145" t="s">
        <v>3930</v>
      </c>
      <c r="AH344" s="146">
        <v>1.434649951604714E-5</v>
      </c>
      <c r="AI344" s="146">
        <v>8.8323971304825506E-3</v>
      </c>
      <c r="AJ344" s="147">
        <v>8.4401322915284125E-4</v>
      </c>
      <c r="AK344" s="177"/>
    </row>
    <row r="345" spans="1:37" ht="15" x14ac:dyDescent="0.2">
      <c r="A345" s="142" t="s">
        <v>1220</v>
      </c>
      <c r="B345" s="143" t="s">
        <v>1222</v>
      </c>
      <c r="C345" s="143" t="s">
        <v>1748</v>
      </c>
      <c r="D345" s="143" t="s">
        <v>1749</v>
      </c>
      <c r="E345" s="143" t="s">
        <v>309</v>
      </c>
      <c r="F345" s="143" t="s">
        <v>1750</v>
      </c>
      <c r="G345" s="143" t="s">
        <v>1751</v>
      </c>
      <c r="H345" s="143" t="s">
        <v>321</v>
      </c>
      <c r="I345" s="143" t="s">
        <v>754</v>
      </c>
      <c r="J345" s="143" t="s">
        <v>204</v>
      </c>
      <c r="K345" s="143" t="s">
        <v>204</v>
      </c>
      <c r="L345" s="143" t="s">
        <v>325</v>
      </c>
      <c r="M345" s="143" t="s">
        <v>340</v>
      </c>
      <c r="N345" s="143" t="s">
        <v>451</v>
      </c>
      <c r="O345" s="143" t="s">
        <v>339</v>
      </c>
      <c r="P345" s="145" t="s">
        <v>3930</v>
      </c>
      <c r="Q345" s="143" t="s">
        <v>410</v>
      </c>
      <c r="R345" s="143" t="s">
        <v>410</v>
      </c>
      <c r="S345" s="143" t="s">
        <v>1210</v>
      </c>
      <c r="T345" s="144">
        <v>2.78</v>
      </c>
      <c r="U345" s="143" t="s">
        <v>1539</v>
      </c>
      <c r="V345" s="146">
        <v>3.6999999999999998E-2</v>
      </c>
      <c r="W345" s="146">
        <v>4.0440999999999998E-2</v>
      </c>
      <c r="X345" s="143" t="s">
        <v>412</v>
      </c>
      <c r="Y345" s="145" t="s">
        <v>3930</v>
      </c>
      <c r="Z345" s="144">
        <v>5276.6</v>
      </c>
      <c r="AA345" s="145" t="s">
        <v>3930</v>
      </c>
      <c r="AB345" s="143" t="s">
        <v>1752</v>
      </c>
      <c r="AC345" s="145" t="s">
        <v>3930</v>
      </c>
      <c r="AD345" s="144">
        <v>6.0928999999999993</v>
      </c>
      <c r="AE345" s="145" t="s">
        <v>3930</v>
      </c>
      <c r="AF345" s="145" t="s">
        <v>3930</v>
      </c>
      <c r="AG345" s="145" t="s">
        <v>3930</v>
      </c>
      <c r="AH345" s="146">
        <v>6.6818057699759558E-6</v>
      </c>
      <c r="AI345" s="146">
        <v>8.0188979777967174E-3</v>
      </c>
      <c r="AJ345" s="147">
        <v>7.6627623016738481E-4</v>
      </c>
      <c r="AK345" s="177"/>
    </row>
    <row r="346" spans="1:37" ht="15" x14ac:dyDescent="0.2">
      <c r="A346" s="142" t="s">
        <v>1220</v>
      </c>
      <c r="B346" s="143" t="s">
        <v>1222</v>
      </c>
      <c r="C346" s="143" t="s">
        <v>1620</v>
      </c>
      <c r="D346" s="143" t="s">
        <v>1621</v>
      </c>
      <c r="E346" s="143" t="s">
        <v>309</v>
      </c>
      <c r="F346" s="143" t="s">
        <v>1622</v>
      </c>
      <c r="G346" s="143" t="s">
        <v>1623</v>
      </c>
      <c r="H346" s="143" t="s">
        <v>321</v>
      </c>
      <c r="I346" s="143" t="s">
        <v>754</v>
      </c>
      <c r="J346" s="143" t="s">
        <v>204</v>
      </c>
      <c r="K346" s="143" t="s">
        <v>204</v>
      </c>
      <c r="L346" s="143" t="s">
        <v>325</v>
      </c>
      <c r="M346" s="143" t="s">
        <v>340</v>
      </c>
      <c r="N346" s="143" t="s">
        <v>445</v>
      </c>
      <c r="O346" s="143" t="s">
        <v>339</v>
      </c>
      <c r="P346" s="143" t="s">
        <v>1624</v>
      </c>
      <c r="Q346" s="143" t="s">
        <v>415</v>
      </c>
      <c r="R346" s="143" t="s">
        <v>407</v>
      </c>
      <c r="S346" s="143" t="s">
        <v>1210</v>
      </c>
      <c r="T346" s="144">
        <v>4.51</v>
      </c>
      <c r="U346" s="143" t="s">
        <v>1406</v>
      </c>
      <c r="V346" s="146">
        <v>5.1700000000000003E-2</v>
      </c>
      <c r="W346" s="146">
        <v>5.7583000000000002E-2</v>
      </c>
      <c r="X346" s="143" t="s">
        <v>412</v>
      </c>
      <c r="Y346" s="145" t="s">
        <v>3930</v>
      </c>
      <c r="Z346" s="144">
        <v>5381</v>
      </c>
      <c r="AA346" s="145" t="s">
        <v>3930</v>
      </c>
      <c r="AB346" s="143" t="s">
        <v>1625</v>
      </c>
      <c r="AC346" s="145" t="s">
        <v>3930</v>
      </c>
      <c r="AD346" s="144">
        <v>5.3561999999999994</v>
      </c>
      <c r="AE346" s="145" t="s">
        <v>3930</v>
      </c>
      <c r="AF346" s="145" t="s">
        <v>3930</v>
      </c>
      <c r="AG346" s="145" t="s">
        <v>3930</v>
      </c>
      <c r="AH346" s="146">
        <v>8.8182178711075137E-6</v>
      </c>
      <c r="AI346" s="146">
        <v>7.0493971339464501E-3</v>
      </c>
      <c r="AJ346" s="147">
        <v>6.736318975138594E-4</v>
      </c>
      <c r="AK346" s="177"/>
    </row>
    <row r="347" spans="1:37" ht="15" x14ac:dyDescent="0.2">
      <c r="A347" s="142" t="s">
        <v>1220</v>
      </c>
      <c r="B347" s="143" t="s">
        <v>1222</v>
      </c>
      <c r="C347" s="143" t="s">
        <v>1358</v>
      </c>
      <c r="D347" s="143" t="s">
        <v>1359</v>
      </c>
      <c r="E347" s="143" t="s">
        <v>309</v>
      </c>
      <c r="F347" s="143" t="s">
        <v>1606</v>
      </c>
      <c r="G347" s="143" t="s">
        <v>1607</v>
      </c>
      <c r="H347" s="143" t="s">
        <v>321</v>
      </c>
      <c r="I347" s="143" t="s">
        <v>754</v>
      </c>
      <c r="J347" s="143" t="s">
        <v>204</v>
      </c>
      <c r="K347" s="143" t="s">
        <v>204</v>
      </c>
      <c r="L347" s="143" t="s">
        <v>325</v>
      </c>
      <c r="M347" s="143" t="s">
        <v>340</v>
      </c>
      <c r="N347" s="143" t="s">
        <v>448</v>
      </c>
      <c r="O347" s="143" t="s">
        <v>339</v>
      </c>
      <c r="P347" s="143" t="s">
        <v>1209</v>
      </c>
      <c r="Q347" s="143" t="s">
        <v>415</v>
      </c>
      <c r="R347" s="143" t="s">
        <v>407</v>
      </c>
      <c r="S347" s="143" t="s">
        <v>1210</v>
      </c>
      <c r="T347" s="144">
        <v>0.42</v>
      </c>
      <c r="U347" s="143" t="s">
        <v>1608</v>
      </c>
      <c r="V347" s="146">
        <v>9.4999999999999998E-3</v>
      </c>
      <c r="W347" s="146">
        <v>3.0602000000000001E-2</v>
      </c>
      <c r="X347" s="143" t="s">
        <v>412</v>
      </c>
      <c r="Y347" s="145" t="s">
        <v>3930</v>
      </c>
      <c r="Z347" s="144">
        <v>3941.75</v>
      </c>
      <c r="AA347" s="145" t="s">
        <v>3930</v>
      </c>
      <c r="AB347" s="143" t="s">
        <v>1609</v>
      </c>
      <c r="AC347" s="145" t="s">
        <v>3930</v>
      </c>
      <c r="AD347" s="144">
        <v>4.5756000000000006</v>
      </c>
      <c r="AE347" s="145" t="s">
        <v>3930</v>
      </c>
      <c r="AF347" s="145" t="s">
        <v>3930</v>
      </c>
      <c r="AG347" s="145" t="s">
        <v>3930</v>
      </c>
      <c r="AH347" s="146">
        <v>2.4525820398569859E-5</v>
      </c>
      <c r="AI347" s="146">
        <v>6.0219594236989417E-3</v>
      </c>
      <c r="AJ347" s="147">
        <v>5.7545118770557845E-4</v>
      </c>
      <c r="AK347" s="177"/>
    </row>
    <row r="348" spans="1:37" ht="15" x14ac:dyDescent="0.2">
      <c r="A348" s="142" t="s">
        <v>1220</v>
      </c>
      <c r="B348" s="143" t="s">
        <v>1222</v>
      </c>
      <c r="C348" s="143" t="s">
        <v>1620</v>
      </c>
      <c r="D348" s="143" t="s">
        <v>1621</v>
      </c>
      <c r="E348" s="143" t="s">
        <v>309</v>
      </c>
      <c r="F348" s="143" t="s">
        <v>1636</v>
      </c>
      <c r="G348" s="143" t="s">
        <v>1637</v>
      </c>
      <c r="H348" s="143" t="s">
        <v>321</v>
      </c>
      <c r="I348" s="143" t="s">
        <v>754</v>
      </c>
      <c r="J348" s="143" t="s">
        <v>204</v>
      </c>
      <c r="K348" s="143" t="s">
        <v>204</v>
      </c>
      <c r="L348" s="143" t="s">
        <v>325</v>
      </c>
      <c r="M348" s="143" t="s">
        <v>340</v>
      </c>
      <c r="N348" s="143" t="s">
        <v>445</v>
      </c>
      <c r="O348" s="143" t="s">
        <v>339</v>
      </c>
      <c r="P348" s="143" t="s">
        <v>1624</v>
      </c>
      <c r="Q348" s="143" t="s">
        <v>415</v>
      </c>
      <c r="R348" s="143" t="s">
        <v>407</v>
      </c>
      <c r="S348" s="143" t="s">
        <v>1210</v>
      </c>
      <c r="T348" s="144">
        <v>5.3</v>
      </c>
      <c r="U348" s="143" t="s">
        <v>1638</v>
      </c>
      <c r="V348" s="146">
        <v>5.3999999999999999E-2</v>
      </c>
      <c r="W348" s="146">
        <v>5.9711E-2</v>
      </c>
      <c r="X348" s="143" t="s">
        <v>412</v>
      </c>
      <c r="Y348" s="145" t="s">
        <v>3930</v>
      </c>
      <c r="Z348" s="144">
        <v>2917</v>
      </c>
      <c r="AA348" s="145" t="s">
        <v>3930</v>
      </c>
      <c r="AB348" s="143" t="s">
        <v>1639</v>
      </c>
      <c r="AC348" s="145" t="s">
        <v>3930</v>
      </c>
      <c r="AD348" s="144">
        <v>2.8878000000000004</v>
      </c>
      <c r="AE348" s="145" t="s">
        <v>3930</v>
      </c>
      <c r="AF348" s="145" t="s">
        <v>3930</v>
      </c>
      <c r="AG348" s="145" t="s">
        <v>3930</v>
      </c>
      <c r="AH348" s="146">
        <v>5.1040529879719362E-6</v>
      </c>
      <c r="AI348" s="146">
        <v>3.80069459176299E-3</v>
      </c>
      <c r="AJ348" s="147">
        <v>3.6318979638570254E-4</v>
      </c>
      <c r="AK348" s="177"/>
    </row>
    <row r="349" spans="1:37" ht="15" x14ac:dyDescent="0.2">
      <c r="A349" s="142" t="s">
        <v>1220</v>
      </c>
      <c r="B349" s="143" t="s">
        <v>1222</v>
      </c>
      <c r="C349" s="143" t="s">
        <v>2008</v>
      </c>
      <c r="D349" s="143" t="s">
        <v>2009</v>
      </c>
      <c r="E349" s="143" t="s">
        <v>309</v>
      </c>
      <c r="F349" s="143" t="s">
        <v>2010</v>
      </c>
      <c r="G349" s="143" t="s">
        <v>2011</v>
      </c>
      <c r="H349" s="143" t="s">
        <v>321</v>
      </c>
      <c r="I349" s="143" t="s">
        <v>755</v>
      </c>
      <c r="J349" s="143" t="s">
        <v>204</v>
      </c>
      <c r="K349" s="143" t="s">
        <v>204</v>
      </c>
      <c r="L349" s="143" t="s">
        <v>325</v>
      </c>
      <c r="M349" s="143" t="s">
        <v>340</v>
      </c>
      <c r="N349" s="143" t="s">
        <v>480</v>
      </c>
      <c r="O349" s="143" t="s">
        <v>339</v>
      </c>
      <c r="P349" s="143" t="s">
        <v>1356</v>
      </c>
      <c r="Q349" s="143" t="s">
        <v>413</v>
      </c>
      <c r="R349" s="143" t="s">
        <v>407</v>
      </c>
      <c r="S349" s="143" t="s">
        <v>1210</v>
      </c>
      <c r="T349" s="144">
        <v>0.73</v>
      </c>
      <c r="U349" s="143" t="s">
        <v>2012</v>
      </c>
      <c r="V349" s="146">
        <v>3.3700000000000001E-2</v>
      </c>
      <c r="W349" s="146">
        <v>6.7890000000000006E-2</v>
      </c>
      <c r="X349" s="143" t="s">
        <v>412</v>
      </c>
      <c r="Y349" s="145" t="s">
        <v>3930</v>
      </c>
      <c r="Z349" s="144">
        <v>0.66</v>
      </c>
      <c r="AA349" s="145" t="s">
        <v>3930</v>
      </c>
      <c r="AB349" s="143" t="s">
        <v>2013</v>
      </c>
      <c r="AC349" s="145" t="s">
        <v>3930</v>
      </c>
      <c r="AD349" s="144">
        <v>6.9999999999999999E-4</v>
      </c>
      <c r="AE349" s="145" t="s">
        <v>3930</v>
      </c>
      <c r="AF349" s="145" t="s">
        <v>3930</v>
      </c>
      <c r="AG349" s="145" t="s">
        <v>3930</v>
      </c>
      <c r="AH349" s="146">
        <v>4.7142857142857145E-9</v>
      </c>
      <c r="AI349" s="146">
        <v>8.9816437158791717E-7</v>
      </c>
      <c r="AJ349" s="147">
        <v>8.5827505305180303E-8</v>
      </c>
      <c r="AK349" s="177"/>
    </row>
    <row r="350" spans="1:37" ht="15" x14ac:dyDescent="0.2">
      <c r="A350" s="142" t="s">
        <v>1220</v>
      </c>
      <c r="B350" s="143" t="s">
        <v>1220</v>
      </c>
      <c r="C350" s="143" t="s">
        <v>1401</v>
      </c>
      <c r="D350" s="143" t="s">
        <v>1402</v>
      </c>
      <c r="E350" s="143" t="s">
        <v>309</v>
      </c>
      <c r="F350" s="143" t="s">
        <v>1403</v>
      </c>
      <c r="G350" s="143" t="s">
        <v>1404</v>
      </c>
      <c r="H350" s="143" t="s">
        <v>321</v>
      </c>
      <c r="I350" s="143" t="s">
        <v>951</v>
      </c>
      <c r="J350" s="143" t="s">
        <v>204</v>
      </c>
      <c r="K350" s="143" t="s">
        <v>204</v>
      </c>
      <c r="L350" s="143" t="s">
        <v>325</v>
      </c>
      <c r="M350" s="143" t="s">
        <v>340</v>
      </c>
      <c r="N350" s="143" t="s">
        <v>484</v>
      </c>
      <c r="O350" s="143" t="s">
        <v>339</v>
      </c>
      <c r="P350" s="143" t="s">
        <v>1405</v>
      </c>
      <c r="Q350" s="143" t="s">
        <v>415</v>
      </c>
      <c r="R350" s="143" t="s">
        <v>407</v>
      </c>
      <c r="S350" s="143" t="s">
        <v>1210</v>
      </c>
      <c r="T350" s="144">
        <v>4.55</v>
      </c>
      <c r="U350" s="143" t="s">
        <v>1406</v>
      </c>
      <c r="V350" s="146">
        <v>5.5E-2</v>
      </c>
      <c r="W350" s="146">
        <v>6.1679999999999999E-2</v>
      </c>
      <c r="X350" s="143" t="s">
        <v>412</v>
      </c>
      <c r="Y350" s="145" t="s">
        <v>3930</v>
      </c>
      <c r="Z350" s="144">
        <v>17157651.109999999</v>
      </c>
      <c r="AA350" s="145" t="s">
        <v>3930</v>
      </c>
      <c r="AB350" s="143" t="s">
        <v>1407</v>
      </c>
      <c r="AC350" s="145" t="s">
        <v>3930</v>
      </c>
      <c r="AD350" s="144">
        <v>16756.162100000001</v>
      </c>
      <c r="AE350" s="145" t="s">
        <v>3930</v>
      </c>
      <c r="AF350" s="145" t="s">
        <v>3930</v>
      </c>
      <c r="AG350" s="145" t="s">
        <v>3930</v>
      </c>
      <c r="AH350" s="146">
        <v>1.7001625442149969E-2</v>
      </c>
      <c r="AI350" s="146">
        <v>1.8173742256029843E-2</v>
      </c>
      <c r="AJ350" s="147">
        <v>2.1387972047625884E-3</v>
      </c>
      <c r="AK350" s="177"/>
    </row>
    <row r="351" spans="1:37" ht="15" x14ac:dyDescent="0.2">
      <c r="A351" s="142" t="s">
        <v>1220</v>
      </c>
      <c r="B351" s="143" t="s">
        <v>1220</v>
      </c>
      <c r="C351" s="143" t="s">
        <v>1352</v>
      </c>
      <c r="D351" s="143" t="s">
        <v>1353</v>
      </c>
      <c r="E351" s="143" t="s">
        <v>309</v>
      </c>
      <c r="F351" s="143" t="s">
        <v>1354</v>
      </c>
      <c r="G351" s="143" t="s">
        <v>1355</v>
      </c>
      <c r="H351" s="143" t="s">
        <v>321</v>
      </c>
      <c r="I351" s="143" t="s">
        <v>951</v>
      </c>
      <c r="J351" s="143" t="s">
        <v>204</v>
      </c>
      <c r="K351" s="143" t="s">
        <v>204</v>
      </c>
      <c r="L351" s="143" t="s">
        <v>325</v>
      </c>
      <c r="M351" s="143" t="s">
        <v>340</v>
      </c>
      <c r="N351" s="143" t="s">
        <v>445</v>
      </c>
      <c r="O351" s="143" t="s">
        <v>339</v>
      </c>
      <c r="P351" s="143" t="s">
        <v>1356</v>
      </c>
      <c r="Q351" s="143" t="s">
        <v>413</v>
      </c>
      <c r="R351" s="143" t="s">
        <v>407</v>
      </c>
      <c r="S351" s="143" t="s">
        <v>1210</v>
      </c>
      <c r="T351" s="144">
        <v>5.12</v>
      </c>
      <c r="U351" s="143" t="s">
        <v>1295</v>
      </c>
      <c r="V351" s="146">
        <v>2.64E-2</v>
      </c>
      <c r="W351" s="146">
        <v>5.7553E-2</v>
      </c>
      <c r="X351" s="143" t="s">
        <v>412</v>
      </c>
      <c r="Y351" s="145" t="s">
        <v>3930</v>
      </c>
      <c r="Z351" s="144">
        <v>19499366.699999999</v>
      </c>
      <c r="AA351" s="145" t="s">
        <v>3930</v>
      </c>
      <c r="AB351" s="143" t="s">
        <v>1357</v>
      </c>
      <c r="AC351" s="145" t="s">
        <v>3930</v>
      </c>
      <c r="AD351" s="144">
        <v>16720.706900000001</v>
      </c>
      <c r="AE351" s="145" t="s">
        <v>3930</v>
      </c>
      <c r="AF351" s="145" t="s">
        <v>3930</v>
      </c>
      <c r="AG351" s="145" t="s">
        <v>3930</v>
      </c>
      <c r="AH351" s="146">
        <v>1.1917673477529006E-2</v>
      </c>
      <c r="AI351" s="146">
        <v>1.8135287604589809E-2</v>
      </c>
      <c r="AJ351" s="147">
        <v>2.1342716260539557E-3</v>
      </c>
      <c r="AK351" s="177"/>
    </row>
    <row r="352" spans="1:37" ht="15" x14ac:dyDescent="0.2">
      <c r="A352" s="142" t="s">
        <v>1220</v>
      </c>
      <c r="B352" s="143" t="s">
        <v>1220</v>
      </c>
      <c r="C352" s="143" t="s">
        <v>1753</v>
      </c>
      <c r="D352" s="143" t="s">
        <v>1754</v>
      </c>
      <c r="E352" s="143" t="s">
        <v>309</v>
      </c>
      <c r="F352" s="143" t="s">
        <v>1755</v>
      </c>
      <c r="G352" s="143" t="s">
        <v>1756</v>
      </c>
      <c r="H352" s="143" t="s">
        <v>321</v>
      </c>
      <c r="I352" s="143" t="s">
        <v>951</v>
      </c>
      <c r="J352" s="143" t="s">
        <v>204</v>
      </c>
      <c r="K352" s="143" t="s">
        <v>204</v>
      </c>
      <c r="L352" s="143" t="s">
        <v>325</v>
      </c>
      <c r="M352" s="143" t="s">
        <v>340</v>
      </c>
      <c r="N352" s="143" t="s">
        <v>440</v>
      </c>
      <c r="O352" s="143" t="s">
        <v>339</v>
      </c>
      <c r="P352" s="143" t="s">
        <v>1398</v>
      </c>
      <c r="Q352" s="143" t="s">
        <v>413</v>
      </c>
      <c r="R352" s="143" t="s">
        <v>407</v>
      </c>
      <c r="S352" s="143" t="s">
        <v>1210</v>
      </c>
      <c r="T352" s="144">
        <v>4.5999999999999996</v>
      </c>
      <c r="U352" s="143" t="s">
        <v>1757</v>
      </c>
      <c r="V352" s="146">
        <v>5.7500000000000002E-2</v>
      </c>
      <c r="W352" s="146">
        <v>6.4191999999999999E-2</v>
      </c>
      <c r="X352" s="143" t="s">
        <v>412</v>
      </c>
      <c r="Y352" s="145" t="s">
        <v>3930</v>
      </c>
      <c r="Z352" s="144">
        <v>13464000</v>
      </c>
      <c r="AA352" s="145" t="s">
        <v>3930</v>
      </c>
      <c r="AB352" s="143" t="s">
        <v>1758</v>
      </c>
      <c r="AC352" s="145" t="s">
        <v>3930</v>
      </c>
      <c r="AD352" s="144">
        <v>13128.7464</v>
      </c>
      <c r="AE352" s="145" t="s">
        <v>3930</v>
      </c>
      <c r="AF352" s="145" t="s">
        <v>3930</v>
      </c>
      <c r="AG352" s="145" t="s">
        <v>3930</v>
      </c>
      <c r="AH352" s="146">
        <v>2.5645714285714286E-2</v>
      </c>
      <c r="AI352" s="146">
        <v>1.4239445295664394E-2</v>
      </c>
      <c r="AJ352" s="147">
        <v>1.6757850621344692E-3</v>
      </c>
      <c r="AK352" s="177"/>
    </row>
    <row r="353" spans="1:37" ht="15" x14ac:dyDescent="0.2">
      <c r="A353" s="142" t="s">
        <v>1220</v>
      </c>
      <c r="B353" s="143" t="s">
        <v>1220</v>
      </c>
      <c r="C353" s="143" t="s">
        <v>1364</v>
      </c>
      <c r="D353" s="143" t="s">
        <v>1365</v>
      </c>
      <c r="E353" s="143" t="s">
        <v>309</v>
      </c>
      <c r="F353" s="143" t="s">
        <v>1366</v>
      </c>
      <c r="G353" s="143" t="s">
        <v>1367</v>
      </c>
      <c r="H353" s="143" t="s">
        <v>321</v>
      </c>
      <c r="I353" s="143" t="s">
        <v>951</v>
      </c>
      <c r="J353" s="143" t="s">
        <v>204</v>
      </c>
      <c r="K353" s="143" t="s">
        <v>204</v>
      </c>
      <c r="L353" s="143" t="s">
        <v>325</v>
      </c>
      <c r="M353" s="143" t="s">
        <v>340</v>
      </c>
      <c r="N353" s="143" t="s">
        <v>445</v>
      </c>
      <c r="O353" s="143" t="s">
        <v>339</v>
      </c>
      <c r="P353" s="143" t="s">
        <v>1368</v>
      </c>
      <c r="Q353" s="143" t="s">
        <v>415</v>
      </c>
      <c r="R353" s="143" t="s">
        <v>407</v>
      </c>
      <c r="S353" s="143" t="s">
        <v>1210</v>
      </c>
      <c r="T353" s="144">
        <v>0.82</v>
      </c>
      <c r="U353" s="143" t="s">
        <v>1369</v>
      </c>
      <c r="V353" s="146">
        <v>3.61E-2</v>
      </c>
      <c r="W353" s="146">
        <v>5.1797000000000003E-2</v>
      </c>
      <c r="X353" s="143" t="s">
        <v>412</v>
      </c>
      <c r="Y353" s="145" t="s">
        <v>3930</v>
      </c>
      <c r="Z353" s="144">
        <v>13023728</v>
      </c>
      <c r="AA353" s="145" t="s">
        <v>3930</v>
      </c>
      <c r="AB353" s="143" t="s">
        <v>1370</v>
      </c>
      <c r="AC353" s="145" t="s">
        <v>3930</v>
      </c>
      <c r="AD353" s="144">
        <v>12944.283300000001</v>
      </c>
      <c r="AE353" s="145" t="s">
        <v>3930</v>
      </c>
      <c r="AF353" s="145" t="s">
        <v>3930</v>
      </c>
      <c r="AG353" s="145" t="s">
        <v>3930</v>
      </c>
      <c r="AH353" s="146">
        <v>1.6969026710097718E-2</v>
      </c>
      <c r="AI353" s="146">
        <v>1.4039376475499811E-2</v>
      </c>
      <c r="AJ353" s="147">
        <v>1.6522397390359097E-3</v>
      </c>
      <c r="AK353" s="177"/>
    </row>
    <row r="354" spans="1:37" ht="15" x14ac:dyDescent="0.2">
      <c r="A354" s="142" t="s">
        <v>1220</v>
      </c>
      <c r="B354" s="143" t="s">
        <v>1220</v>
      </c>
      <c r="C354" s="143" t="s">
        <v>1358</v>
      </c>
      <c r="D354" s="143" t="s">
        <v>1359</v>
      </c>
      <c r="E354" s="143" t="s">
        <v>309</v>
      </c>
      <c r="F354" s="143" t="s">
        <v>1360</v>
      </c>
      <c r="G354" s="143" t="s">
        <v>1361</v>
      </c>
      <c r="H354" s="143" t="s">
        <v>321</v>
      </c>
      <c r="I354" s="143" t="s">
        <v>951</v>
      </c>
      <c r="J354" s="143" t="s">
        <v>204</v>
      </c>
      <c r="K354" s="143" t="s">
        <v>204</v>
      </c>
      <c r="L354" s="143" t="s">
        <v>325</v>
      </c>
      <c r="M354" s="143" t="s">
        <v>340</v>
      </c>
      <c r="N354" s="143" t="s">
        <v>448</v>
      </c>
      <c r="O354" s="143" t="s">
        <v>339</v>
      </c>
      <c r="P354" s="143" t="s">
        <v>1303</v>
      </c>
      <c r="Q354" s="143" t="s">
        <v>413</v>
      </c>
      <c r="R354" s="143" t="s">
        <v>407</v>
      </c>
      <c r="S354" s="143" t="s">
        <v>1210</v>
      </c>
      <c r="T354" s="144">
        <v>0.68</v>
      </c>
      <c r="U354" s="143" t="s">
        <v>1362</v>
      </c>
      <c r="V354" s="146">
        <v>2.98E-2</v>
      </c>
      <c r="W354" s="146">
        <v>4.4567000000000002E-2</v>
      </c>
      <c r="X354" s="143" t="s">
        <v>412</v>
      </c>
      <c r="Y354" s="145" t="s">
        <v>3930</v>
      </c>
      <c r="Z354" s="144">
        <v>10686835</v>
      </c>
      <c r="AA354" s="145" t="s">
        <v>3930</v>
      </c>
      <c r="AB354" s="143" t="s">
        <v>1363</v>
      </c>
      <c r="AC354" s="145" t="s">
        <v>3930</v>
      </c>
      <c r="AD354" s="144">
        <v>10681.491599999999</v>
      </c>
      <c r="AE354" s="145" t="s">
        <v>3930</v>
      </c>
      <c r="AF354" s="145" t="s">
        <v>3930</v>
      </c>
      <c r="AG354" s="145" t="s">
        <v>3930</v>
      </c>
      <c r="AH354" s="146">
        <v>4.2039214652703997E-3</v>
      </c>
      <c r="AI354" s="146">
        <v>1.1585151425052164E-2</v>
      </c>
      <c r="AJ354" s="147">
        <v>1.3634115162182256E-3</v>
      </c>
      <c r="AK354" s="177"/>
    </row>
    <row r="355" spans="1:37" ht="15" x14ac:dyDescent="0.2">
      <c r="A355" s="142" t="s">
        <v>1220</v>
      </c>
      <c r="B355" s="143" t="s">
        <v>1220</v>
      </c>
      <c r="C355" s="143" t="s">
        <v>1388</v>
      </c>
      <c r="D355" s="143" t="s">
        <v>1389</v>
      </c>
      <c r="E355" s="143" t="s">
        <v>309</v>
      </c>
      <c r="F355" s="143" t="s">
        <v>1390</v>
      </c>
      <c r="G355" s="143" t="s">
        <v>1391</v>
      </c>
      <c r="H355" s="143" t="s">
        <v>321</v>
      </c>
      <c r="I355" s="143" t="s">
        <v>951</v>
      </c>
      <c r="J355" s="143" t="s">
        <v>204</v>
      </c>
      <c r="K355" s="143" t="s">
        <v>204</v>
      </c>
      <c r="L355" s="143" t="s">
        <v>325</v>
      </c>
      <c r="M355" s="143" t="s">
        <v>340</v>
      </c>
      <c r="N355" s="143" t="s">
        <v>445</v>
      </c>
      <c r="O355" s="143" t="s">
        <v>339</v>
      </c>
      <c r="P355" s="143" t="s">
        <v>1356</v>
      </c>
      <c r="Q355" s="143" t="s">
        <v>413</v>
      </c>
      <c r="R355" s="143" t="s">
        <v>407</v>
      </c>
      <c r="S355" s="143" t="s">
        <v>1210</v>
      </c>
      <c r="T355" s="144">
        <v>5.16</v>
      </c>
      <c r="U355" s="143" t="s">
        <v>1392</v>
      </c>
      <c r="V355" s="146">
        <v>5.2499999999999998E-2</v>
      </c>
      <c r="W355" s="146">
        <v>5.6903000000000002E-2</v>
      </c>
      <c r="X355" s="143" t="s">
        <v>412</v>
      </c>
      <c r="Y355" s="145" t="s">
        <v>3930</v>
      </c>
      <c r="Z355" s="144">
        <v>9668000</v>
      </c>
      <c r="AA355" s="145" t="s">
        <v>3930</v>
      </c>
      <c r="AB355" s="143" t="s">
        <v>1393</v>
      </c>
      <c r="AC355" s="145" t="s">
        <v>3930</v>
      </c>
      <c r="AD355" s="144">
        <v>9699.9044000000013</v>
      </c>
      <c r="AE355" s="145" t="s">
        <v>3930</v>
      </c>
      <c r="AF355" s="145" t="s">
        <v>3930</v>
      </c>
      <c r="AG355" s="145" t="s">
        <v>3930</v>
      </c>
      <c r="AH355" s="146">
        <v>1.9335999999999999E-2</v>
      </c>
      <c r="AI355" s="146">
        <v>1.0520521447270424E-2</v>
      </c>
      <c r="AJ355" s="147">
        <v>1.2381193453209218E-3</v>
      </c>
      <c r="AK355" s="177"/>
    </row>
    <row r="356" spans="1:37" ht="15" x14ac:dyDescent="0.2">
      <c r="A356" s="142" t="s">
        <v>1220</v>
      </c>
      <c r="B356" s="143" t="s">
        <v>1220</v>
      </c>
      <c r="C356" s="143" t="s">
        <v>1461</v>
      </c>
      <c r="D356" s="143" t="s">
        <v>1462</v>
      </c>
      <c r="E356" s="143" t="s">
        <v>309</v>
      </c>
      <c r="F356" s="143" t="s">
        <v>1788</v>
      </c>
      <c r="G356" s="143" t="s">
        <v>1789</v>
      </c>
      <c r="H356" s="143" t="s">
        <v>321</v>
      </c>
      <c r="I356" s="143" t="s">
        <v>951</v>
      </c>
      <c r="J356" s="143" t="s">
        <v>204</v>
      </c>
      <c r="K356" s="143" t="s">
        <v>204</v>
      </c>
      <c r="L356" s="143" t="s">
        <v>325</v>
      </c>
      <c r="M356" s="143" t="s">
        <v>340</v>
      </c>
      <c r="N356" s="143" t="s">
        <v>464</v>
      </c>
      <c r="O356" s="143" t="s">
        <v>339</v>
      </c>
      <c r="P356" s="143" t="s">
        <v>1356</v>
      </c>
      <c r="Q356" s="143" t="s">
        <v>413</v>
      </c>
      <c r="R356" s="143" t="s">
        <v>407</v>
      </c>
      <c r="S356" s="143" t="s">
        <v>1210</v>
      </c>
      <c r="T356" s="144">
        <v>6.25</v>
      </c>
      <c r="U356" s="143" t="s">
        <v>1790</v>
      </c>
      <c r="V356" s="146">
        <v>4.9399999999999999E-2</v>
      </c>
      <c r="W356" s="146">
        <v>6.6491999999999996E-2</v>
      </c>
      <c r="X356" s="143" t="s">
        <v>412</v>
      </c>
      <c r="Y356" s="145" t="s">
        <v>3930</v>
      </c>
      <c r="Z356" s="144">
        <v>9700000</v>
      </c>
      <c r="AA356" s="145" t="s">
        <v>3930</v>
      </c>
      <c r="AB356" s="143" t="s">
        <v>1791</v>
      </c>
      <c r="AC356" s="145" t="s">
        <v>3930</v>
      </c>
      <c r="AD356" s="144">
        <v>8988.99</v>
      </c>
      <c r="AE356" s="145" t="s">
        <v>3930</v>
      </c>
      <c r="AF356" s="145" t="s">
        <v>3930</v>
      </c>
      <c r="AG356" s="145" t="s">
        <v>3930</v>
      </c>
      <c r="AH356" s="146">
        <v>1.0806583325998969E-2</v>
      </c>
      <c r="AI356" s="146">
        <v>9.7494633126795939E-3</v>
      </c>
      <c r="AJ356" s="147">
        <v>1.1473765054732202E-3</v>
      </c>
      <c r="AK356" s="177"/>
    </row>
    <row r="357" spans="1:37" ht="15" x14ac:dyDescent="0.2">
      <c r="A357" s="142" t="s">
        <v>1220</v>
      </c>
      <c r="B357" s="143" t="s">
        <v>1220</v>
      </c>
      <c r="C357" s="143" t="s">
        <v>1763</v>
      </c>
      <c r="D357" s="143" t="s">
        <v>1764</v>
      </c>
      <c r="E357" s="143" t="s">
        <v>309</v>
      </c>
      <c r="F357" s="143" t="s">
        <v>1765</v>
      </c>
      <c r="G357" s="143" t="s">
        <v>1766</v>
      </c>
      <c r="H357" s="143" t="s">
        <v>321</v>
      </c>
      <c r="I357" s="143" t="s">
        <v>951</v>
      </c>
      <c r="J357" s="143" t="s">
        <v>204</v>
      </c>
      <c r="K357" s="143" t="s">
        <v>204</v>
      </c>
      <c r="L357" s="143" t="s">
        <v>325</v>
      </c>
      <c r="M357" s="143" t="s">
        <v>340</v>
      </c>
      <c r="N357" s="143" t="s">
        <v>445</v>
      </c>
      <c r="O357" s="143" t="s">
        <v>339</v>
      </c>
      <c r="P357" s="143" t="s">
        <v>1368</v>
      </c>
      <c r="Q357" s="143" t="s">
        <v>415</v>
      </c>
      <c r="R357" s="143" t="s">
        <v>407</v>
      </c>
      <c r="S357" s="143" t="s">
        <v>1210</v>
      </c>
      <c r="T357" s="144">
        <v>4.95</v>
      </c>
      <c r="U357" s="143" t="s">
        <v>1767</v>
      </c>
      <c r="V357" s="146">
        <v>1.95E-2</v>
      </c>
      <c r="W357" s="146">
        <v>5.8153999999999997E-2</v>
      </c>
      <c r="X357" s="143" t="s">
        <v>412</v>
      </c>
      <c r="Y357" s="145" t="s">
        <v>3930</v>
      </c>
      <c r="Z357" s="144">
        <v>10276270.460000001</v>
      </c>
      <c r="AA357" s="145" t="s">
        <v>3930</v>
      </c>
      <c r="AB357" s="143" t="s">
        <v>1768</v>
      </c>
      <c r="AC357" s="145" t="s">
        <v>3930</v>
      </c>
      <c r="AD357" s="144">
        <v>8537.5254999999997</v>
      </c>
      <c r="AE357" s="145" t="s">
        <v>3930</v>
      </c>
      <c r="AF357" s="145" t="s">
        <v>3930</v>
      </c>
      <c r="AG357" s="145" t="s">
        <v>3930</v>
      </c>
      <c r="AH357" s="146">
        <v>9.7970262226112145E-3</v>
      </c>
      <c r="AI357" s="146">
        <v>9.2598046749919043E-3</v>
      </c>
      <c r="AJ357" s="147">
        <v>1.0897504804740592E-3</v>
      </c>
      <c r="AK357" s="177"/>
    </row>
    <row r="358" spans="1:37" ht="15" x14ac:dyDescent="0.2">
      <c r="A358" s="142" t="s">
        <v>1220</v>
      </c>
      <c r="B358" s="143" t="s">
        <v>1220</v>
      </c>
      <c r="C358" s="143" t="s">
        <v>1388</v>
      </c>
      <c r="D358" s="143" t="s">
        <v>1389</v>
      </c>
      <c r="E358" s="143" t="s">
        <v>309</v>
      </c>
      <c r="F358" s="143" t="s">
        <v>1769</v>
      </c>
      <c r="G358" s="143" t="s">
        <v>1770</v>
      </c>
      <c r="H358" s="143" t="s">
        <v>321</v>
      </c>
      <c r="I358" s="143" t="s">
        <v>951</v>
      </c>
      <c r="J358" s="143" t="s">
        <v>204</v>
      </c>
      <c r="K358" s="143" t="s">
        <v>204</v>
      </c>
      <c r="L358" s="143" t="s">
        <v>325</v>
      </c>
      <c r="M358" s="143" t="s">
        <v>340</v>
      </c>
      <c r="N358" s="143" t="s">
        <v>445</v>
      </c>
      <c r="O358" s="143" t="s">
        <v>339</v>
      </c>
      <c r="P358" s="143" t="s">
        <v>1356</v>
      </c>
      <c r="Q358" s="143" t="s">
        <v>413</v>
      </c>
      <c r="R358" s="143" t="s">
        <v>407</v>
      </c>
      <c r="S358" s="143" t="s">
        <v>1210</v>
      </c>
      <c r="T358" s="144">
        <v>3.15</v>
      </c>
      <c r="U358" s="143" t="s">
        <v>1771</v>
      </c>
      <c r="V358" s="146">
        <v>4.7E-2</v>
      </c>
      <c r="W358" s="146">
        <v>5.4566000000000003E-2</v>
      </c>
      <c r="X358" s="143" t="s">
        <v>412</v>
      </c>
      <c r="Y358" s="145" t="s">
        <v>3930</v>
      </c>
      <c r="Z358" s="144">
        <v>8181000</v>
      </c>
      <c r="AA358" s="145" t="s">
        <v>3930</v>
      </c>
      <c r="AB358" s="143" t="s">
        <v>1772</v>
      </c>
      <c r="AC358" s="145" t="s">
        <v>3930</v>
      </c>
      <c r="AD358" s="144">
        <v>8212.0877999999993</v>
      </c>
      <c r="AE358" s="145" t="s">
        <v>3930</v>
      </c>
      <c r="AF358" s="145" t="s">
        <v>3930</v>
      </c>
      <c r="AG358" s="145" t="s">
        <v>3930</v>
      </c>
      <c r="AH358" s="146">
        <v>9.0990990990990998E-3</v>
      </c>
      <c r="AI358" s="146">
        <v>8.9068347752754955E-3</v>
      </c>
      <c r="AJ358" s="147">
        <v>1.0482108226400591E-3</v>
      </c>
      <c r="AK358" s="177"/>
    </row>
    <row r="359" spans="1:37" ht="15" x14ac:dyDescent="0.2">
      <c r="A359" s="142" t="s">
        <v>1220</v>
      </c>
      <c r="B359" s="143" t="s">
        <v>1220</v>
      </c>
      <c r="C359" s="143" t="s">
        <v>1555</v>
      </c>
      <c r="D359" s="143" t="s">
        <v>1556</v>
      </c>
      <c r="E359" s="143" t="s">
        <v>309</v>
      </c>
      <c r="F359" s="143" t="s">
        <v>1759</v>
      </c>
      <c r="G359" s="143" t="s">
        <v>1760</v>
      </c>
      <c r="H359" s="143" t="s">
        <v>321</v>
      </c>
      <c r="I359" s="143" t="s">
        <v>951</v>
      </c>
      <c r="J359" s="143" t="s">
        <v>204</v>
      </c>
      <c r="K359" s="143" t="s">
        <v>204</v>
      </c>
      <c r="L359" s="143" t="s">
        <v>325</v>
      </c>
      <c r="M359" s="143" t="s">
        <v>340</v>
      </c>
      <c r="N359" s="143" t="s">
        <v>464</v>
      </c>
      <c r="O359" s="143" t="s">
        <v>339</v>
      </c>
      <c r="P359" s="143" t="s">
        <v>1412</v>
      </c>
      <c r="Q359" s="143" t="s">
        <v>413</v>
      </c>
      <c r="R359" s="143" t="s">
        <v>407</v>
      </c>
      <c r="S359" s="143" t="s">
        <v>1210</v>
      </c>
      <c r="T359" s="144">
        <v>5.25</v>
      </c>
      <c r="U359" s="143" t="s">
        <v>1761</v>
      </c>
      <c r="V359" s="146">
        <v>2.4400000000000002E-2</v>
      </c>
      <c r="W359" s="146">
        <v>5.8953999999999999E-2</v>
      </c>
      <c r="X359" s="143" t="s">
        <v>412</v>
      </c>
      <c r="Y359" s="145" t="s">
        <v>3930</v>
      </c>
      <c r="Z359" s="144">
        <v>9000000</v>
      </c>
      <c r="AA359" s="145" t="s">
        <v>3930</v>
      </c>
      <c r="AB359" s="143" t="s">
        <v>1762</v>
      </c>
      <c r="AC359" s="145" t="s">
        <v>3930</v>
      </c>
      <c r="AD359" s="144">
        <v>7679.7</v>
      </c>
      <c r="AE359" s="145" t="s">
        <v>3930</v>
      </c>
      <c r="AF359" s="145" t="s">
        <v>3930</v>
      </c>
      <c r="AG359" s="145" t="s">
        <v>3930</v>
      </c>
      <c r="AH359" s="146">
        <v>7.4053473190174258E-3</v>
      </c>
      <c r="AI359" s="146">
        <v>8.3294066855548257E-3</v>
      </c>
      <c r="AJ359" s="147">
        <v>9.8025555141152557E-4</v>
      </c>
      <c r="AK359" s="177"/>
    </row>
    <row r="360" spans="1:37" ht="15" x14ac:dyDescent="0.2">
      <c r="A360" s="142" t="s">
        <v>1220</v>
      </c>
      <c r="B360" s="143" t="s">
        <v>1220</v>
      </c>
      <c r="C360" s="143" t="s">
        <v>1421</v>
      </c>
      <c r="D360" s="143" t="s">
        <v>1422</v>
      </c>
      <c r="E360" s="143" t="s">
        <v>309</v>
      </c>
      <c r="F360" s="143" t="s">
        <v>1773</v>
      </c>
      <c r="G360" s="143" t="s">
        <v>1774</v>
      </c>
      <c r="H360" s="143" t="s">
        <v>321</v>
      </c>
      <c r="I360" s="143" t="s">
        <v>951</v>
      </c>
      <c r="J360" s="143" t="s">
        <v>204</v>
      </c>
      <c r="K360" s="143" t="s">
        <v>204</v>
      </c>
      <c r="L360" s="143" t="s">
        <v>325</v>
      </c>
      <c r="M360" s="143" t="s">
        <v>340</v>
      </c>
      <c r="N360" s="143" t="s">
        <v>445</v>
      </c>
      <c r="O360" s="143" t="s">
        <v>339</v>
      </c>
      <c r="P360" s="143" t="s">
        <v>1356</v>
      </c>
      <c r="Q360" s="143" t="s">
        <v>413</v>
      </c>
      <c r="R360" s="143" t="s">
        <v>407</v>
      </c>
      <c r="S360" s="143" t="s">
        <v>1210</v>
      </c>
      <c r="T360" s="144">
        <v>7.13</v>
      </c>
      <c r="U360" s="143" t="s">
        <v>1775</v>
      </c>
      <c r="V360" s="146">
        <v>6.0199999999999997E-2</v>
      </c>
      <c r="W360" s="146">
        <v>5.9956000000000002E-2</v>
      </c>
      <c r="X360" s="143" t="s">
        <v>412</v>
      </c>
      <c r="Y360" s="145" t="s">
        <v>3930</v>
      </c>
      <c r="Z360" s="144">
        <v>7497000</v>
      </c>
      <c r="AA360" s="145" t="s">
        <v>3930</v>
      </c>
      <c r="AB360" s="143" t="s">
        <v>1776</v>
      </c>
      <c r="AC360" s="145" t="s">
        <v>3930</v>
      </c>
      <c r="AD360" s="144">
        <v>7667.9315999999999</v>
      </c>
      <c r="AE360" s="145" t="s">
        <v>3930</v>
      </c>
      <c r="AF360" s="145" t="s">
        <v>3930</v>
      </c>
      <c r="AG360" s="145" t="s">
        <v>3930</v>
      </c>
      <c r="AH360" s="146">
        <v>1.4994E-2</v>
      </c>
      <c r="AI360" s="146">
        <v>8.3166426726847542E-3</v>
      </c>
      <c r="AJ360" s="147">
        <v>9.7875340426629444E-4</v>
      </c>
      <c r="AK360" s="177"/>
    </row>
    <row r="361" spans="1:37" ht="15" x14ac:dyDescent="0.2">
      <c r="A361" s="142" t="s">
        <v>1220</v>
      </c>
      <c r="B361" s="143" t="s">
        <v>1220</v>
      </c>
      <c r="C361" s="143" t="s">
        <v>1692</v>
      </c>
      <c r="D361" s="143" t="s">
        <v>1693</v>
      </c>
      <c r="E361" s="143" t="s">
        <v>309</v>
      </c>
      <c r="F361" s="143" t="s">
        <v>1781</v>
      </c>
      <c r="G361" s="143" t="s">
        <v>1782</v>
      </c>
      <c r="H361" s="143" t="s">
        <v>321</v>
      </c>
      <c r="I361" s="143" t="s">
        <v>951</v>
      </c>
      <c r="J361" s="143" t="s">
        <v>204</v>
      </c>
      <c r="K361" s="143" t="s">
        <v>204</v>
      </c>
      <c r="L361" s="143" t="s">
        <v>325</v>
      </c>
      <c r="M361" s="143" t="s">
        <v>340</v>
      </c>
      <c r="N361" s="143" t="s">
        <v>465</v>
      </c>
      <c r="O361" s="143" t="s">
        <v>339</v>
      </c>
      <c r="P361" s="143" t="s">
        <v>1412</v>
      </c>
      <c r="Q361" s="143" t="s">
        <v>413</v>
      </c>
      <c r="R361" s="143" t="s">
        <v>407</v>
      </c>
      <c r="S361" s="143" t="s">
        <v>1210</v>
      </c>
      <c r="T361" s="144">
        <v>4.5</v>
      </c>
      <c r="U361" s="143" t="s">
        <v>1638</v>
      </c>
      <c r="V361" s="146">
        <v>6.7400000000000002E-2</v>
      </c>
      <c r="W361" s="146">
        <v>6.6975999999999994E-2</v>
      </c>
      <c r="X361" s="143" t="s">
        <v>412</v>
      </c>
      <c r="Y361" s="145" t="s">
        <v>3930</v>
      </c>
      <c r="Z361" s="144">
        <v>7342000</v>
      </c>
      <c r="AA361" s="145" t="s">
        <v>3930</v>
      </c>
      <c r="AB361" s="143" t="s">
        <v>1783</v>
      </c>
      <c r="AC361" s="145" t="s">
        <v>3930</v>
      </c>
      <c r="AD361" s="144">
        <v>7391.1914000000006</v>
      </c>
      <c r="AE361" s="145" t="s">
        <v>3930</v>
      </c>
      <c r="AF361" s="145" t="s">
        <v>3930</v>
      </c>
      <c r="AG361" s="145" t="s">
        <v>3930</v>
      </c>
      <c r="AH361" s="146">
        <v>2.576140350877193E-2</v>
      </c>
      <c r="AI361" s="146">
        <v>8.0164901052613164E-3</v>
      </c>
      <c r="AJ361" s="147">
        <v>9.4342961331759395E-4</v>
      </c>
      <c r="AK361" s="177"/>
    </row>
    <row r="362" spans="1:37" ht="15" x14ac:dyDescent="0.2">
      <c r="A362" s="142" t="s">
        <v>1220</v>
      </c>
      <c r="B362" s="143" t="s">
        <v>1220</v>
      </c>
      <c r="C362" s="143" t="s">
        <v>1461</v>
      </c>
      <c r="D362" s="143" t="s">
        <v>1462</v>
      </c>
      <c r="E362" s="143" t="s">
        <v>309</v>
      </c>
      <c r="F362" s="143" t="s">
        <v>1663</v>
      </c>
      <c r="G362" s="143" t="s">
        <v>1664</v>
      </c>
      <c r="H362" s="143" t="s">
        <v>321</v>
      </c>
      <c r="I362" s="143" t="s">
        <v>951</v>
      </c>
      <c r="J362" s="143" t="s">
        <v>204</v>
      </c>
      <c r="K362" s="143" t="s">
        <v>204</v>
      </c>
      <c r="L362" s="143" t="s">
        <v>325</v>
      </c>
      <c r="M362" s="143" t="s">
        <v>340</v>
      </c>
      <c r="N362" s="143" t="s">
        <v>464</v>
      </c>
      <c r="O362" s="143" t="s">
        <v>339</v>
      </c>
      <c r="P362" s="143" t="s">
        <v>1425</v>
      </c>
      <c r="Q362" s="143" t="s">
        <v>415</v>
      </c>
      <c r="R362" s="143" t="s">
        <v>407</v>
      </c>
      <c r="S362" s="143" t="s">
        <v>1210</v>
      </c>
      <c r="T362" s="144">
        <v>1.33</v>
      </c>
      <c r="U362" s="143" t="s">
        <v>1465</v>
      </c>
      <c r="V362" s="146">
        <v>6.7400000000000002E-2</v>
      </c>
      <c r="W362" s="146">
        <v>6.1572000000000002E-2</v>
      </c>
      <c r="X362" s="143" t="s">
        <v>412</v>
      </c>
      <c r="Y362" s="145" t="s">
        <v>3930</v>
      </c>
      <c r="Z362" s="144">
        <v>6741989.25</v>
      </c>
      <c r="AA362" s="145" t="s">
        <v>3930</v>
      </c>
      <c r="AB362" s="143" t="s">
        <v>1665</v>
      </c>
      <c r="AC362" s="145" t="s">
        <v>3930</v>
      </c>
      <c r="AD362" s="144">
        <v>6843.7932999999994</v>
      </c>
      <c r="AE362" s="145" t="s">
        <v>3930</v>
      </c>
      <c r="AF362" s="145" t="s">
        <v>3930</v>
      </c>
      <c r="AG362" s="145" t="s">
        <v>3930</v>
      </c>
      <c r="AH362" s="146">
        <v>6.4237736505140947E-3</v>
      </c>
      <c r="AI362" s="146">
        <v>7.4227818228466457E-3</v>
      </c>
      <c r="AJ362" s="147">
        <v>8.7355838938452742E-4</v>
      </c>
      <c r="AK362" s="177"/>
    </row>
    <row r="363" spans="1:37" ht="15" x14ac:dyDescent="0.2">
      <c r="A363" s="142" t="s">
        <v>1220</v>
      </c>
      <c r="B363" s="143" t="s">
        <v>1220</v>
      </c>
      <c r="C363" s="143" t="s">
        <v>1658</v>
      </c>
      <c r="D363" s="143" t="s">
        <v>1659</v>
      </c>
      <c r="E363" s="143" t="s">
        <v>309</v>
      </c>
      <c r="F363" s="143" t="s">
        <v>1660</v>
      </c>
      <c r="G363" s="143" t="s">
        <v>1661</v>
      </c>
      <c r="H363" s="143" t="s">
        <v>321</v>
      </c>
      <c r="I363" s="143" t="s">
        <v>951</v>
      </c>
      <c r="J363" s="143" t="s">
        <v>204</v>
      </c>
      <c r="K363" s="143" t="s">
        <v>204</v>
      </c>
      <c r="L363" s="143" t="s">
        <v>325</v>
      </c>
      <c r="M363" s="143" t="s">
        <v>340</v>
      </c>
      <c r="N363" s="143" t="s">
        <v>447</v>
      </c>
      <c r="O363" s="143" t="s">
        <v>339</v>
      </c>
      <c r="P363" s="143" t="s">
        <v>1405</v>
      </c>
      <c r="Q363" s="143" t="s">
        <v>415</v>
      </c>
      <c r="R363" s="143" t="s">
        <v>407</v>
      </c>
      <c r="S363" s="143" t="s">
        <v>1210</v>
      </c>
      <c r="T363" s="144">
        <v>2.2400000000000002</v>
      </c>
      <c r="U363" s="143" t="s">
        <v>1426</v>
      </c>
      <c r="V363" s="146">
        <v>4.53E-2</v>
      </c>
      <c r="W363" s="146">
        <v>6.3292000000000001E-2</v>
      </c>
      <c r="X363" s="143" t="s">
        <v>412</v>
      </c>
      <c r="Y363" s="145" t="s">
        <v>3930</v>
      </c>
      <c r="Z363" s="144">
        <v>6987413</v>
      </c>
      <c r="AA363" s="145" t="s">
        <v>3930</v>
      </c>
      <c r="AB363" s="143" t="s">
        <v>1662</v>
      </c>
      <c r="AC363" s="145" t="s">
        <v>3930</v>
      </c>
      <c r="AD363" s="144">
        <v>6807.8365000000003</v>
      </c>
      <c r="AE363" s="145" t="s">
        <v>3930</v>
      </c>
      <c r="AF363" s="145" t="s">
        <v>3930</v>
      </c>
      <c r="AG363" s="145" t="s">
        <v>3930</v>
      </c>
      <c r="AH363" s="146">
        <v>9.9820185714285716E-3</v>
      </c>
      <c r="AI363" s="146">
        <v>7.3837830566063165E-3</v>
      </c>
      <c r="AJ363" s="147">
        <v>8.6896877591642998E-4</v>
      </c>
      <c r="AK363" s="177"/>
    </row>
    <row r="364" spans="1:37" ht="15" x14ac:dyDescent="0.2">
      <c r="A364" s="142" t="s">
        <v>1220</v>
      </c>
      <c r="B364" s="143" t="s">
        <v>1220</v>
      </c>
      <c r="C364" s="143" t="s">
        <v>1671</v>
      </c>
      <c r="D364" s="143" t="s">
        <v>1672</v>
      </c>
      <c r="E364" s="143" t="s">
        <v>309</v>
      </c>
      <c r="F364" s="143" t="s">
        <v>1784</v>
      </c>
      <c r="G364" s="143" t="s">
        <v>1785</v>
      </c>
      <c r="H364" s="143" t="s">
        <v>321</v>
      </c>
      <c r="I364" s="143" t="s">
        <v>951</v>
      </c>
      <c r="J364" s="143" t="s">
        <v>204</v>
      </c>
      <c r="K364" s="143" t="s">
        <v>204</v>
      </c>
      <c r="L364" s="143" t="s">
        <v>325</v>
      </c>
      <c r="M364" s="143" t="s">
        <v>340</v>
      </c>
      <c r="N364" s="143" t="s">
        <v>464</v>
      </c>
      <c r="O364" s="143" t="s">
        <v>339</v>
      </c>
      <c r="P364" s="143" t="s">
        <v>1444</v>
      </c>
      <c r="Q364" s="143" t="s">
        <v>415</v>
      </c>
      <c r="R364" s="143" t="s">
        <v>407</v>
      </c>
      <c r="S364" s="143" t="s">
        <v>1210</v>
      </c>
      <c r="T364" s="144">
        <v>5.31</v>
      </c>
      <c r="U364" s="143" t="s">
        <v>1786</v>
      </c>
      <c r="V364" s="146">
        <v>5.4800000000000001E-2</v>
      </c>
      <c r="W364" s="146">
        <v>6.1699999999999998E-2</v>
      </c>
      <c r="X364" s="143" t="s">
        <v>412</v>
      </c>
      <c r="Y364" s="145" t="s">
        <v>3930</v>
      </c>
      <c r="Z364" s="144">
        <v>6899000</v>
      </c>
      <c r="AA364" s="145" t="s">
        <v>3930</v>
      </c>
      <c r="AB364" s="143" t="s">
        <v>1787</v>
      </c>
      <c r="AC364" s="145" t="s">
        <v>3930</v>
      </c>
      <c r="AD364" s="144">
        <v>6769.9886999999999</v>
      </c>
      <c r="AE364" s="145" t="s">
        <v>3930</v>
      </c>
      <c r="AF364" s="145" t="s">
        <v>3930</v>
      </c>
      <c r="AG364" s="145" t="s">
        <v>3930</v>
      </c>
      <c r="AH364" s="146">
        <v>2.2996666666666665E-2</v>
      </c>
      <c r="AI364" s="146">
        <v>7.3427333279829452E-3</v>
      </c>
      <c r="AJ364" s="147">
        <v>8.6413779264402221E-4</v>
      </c>
      <c r="AK364" s="177"/>
    </row>
    <row r="365" spans="1:37" ht="15" x14ac:dyDescent="0.2">
      <c r="A365" s="142" t="s">
        <v>1220</v>
      </c>
      <c r="B365" s="143" t="s">
        <v>1220</v>
      </c>
      <c r="C365" s="143" t="s">
        <v>1358</v>
      </c>
      <c r="D365" s="143" t="s">
        <v>1359</v>
      </c>
      <c r="E365" s="143" t="s">
        <v>309</v>
      </c>
      <c r="F365" s="143" t="s">
        <v>1777</v>
      </c>
      <c r="G365" s="143" t="s">
        <v>1778</v>
      </c>
      <c r="H365" s="143" t="s">
        <v>321</v>
      </c>
      <c r="I365" s="143" t="s">
        <v>951</v>
      </c>
      <c r="J365" s="143" t="s">
        <v>204</v>
      </c>
      <c r="K365" s="143" t="s">
        <v>204</v>
      </c>
      <c r="L365" s="143" t="s">
        <v>325</v>
      </c>
      <c r="M365" s="143" t="s">
        <v>340</v>
      </c>
      <c r="N365" s="143" t="s">
        <v>448</v>
      </c>
      <c r="O365" s="143" t="s">
        <v>339</v>
      </c>
      <c r="P365" s="143" t="s">
        <v>1303</v>
      </c>
      <c r="Q365" s="143" t="s">
        <v>413</v>
      </c>
      <c r="R365" s="143" t="s">
        <v>407</v>
      </c>
      <c r="S365" s="143" t="s">
        <v>1210</v>
      </c>
      <c r="T365" s="144">
        <v>3.23</v>
      </c>
      <c r="U365" s="143" t="s">
        <v>1779</v>
      </c>
      <c r="V365" s="146">
        <v>2.7400000000000001E-2</v>
      </c>
      <c r="W365" s="146">
        <v>5.1409999999999997E-2</v>
      </c>
      <c r="X365" s="143" t="s">
        <v>412</v>
      </c>
      <c r="Y365" s="145" t="s">
        <v>3930</v>
      </c>
      <c r="Z365" s="144">
        <v>7000200.2999999998</v>
      </c>
      <c r="AA365" s="145" t="s">
        <v>3930</v>
      </c>
      <c r="AB365" s="143" t="s">
        <v>1780</v>
      </c>
      <c r="AC365" s="145" t="s">
        <v>3930</v>
      </c>
      <c r="AD365" s="144">
        <v>6572.4880999999996</v>
      </c>
      <c r="AE365" s="145" t="s">
        <v>3930</v>
      </c>
      <c r="AF365" s="145" t="s">
        <v>3930</v>
      </c>
      <c r="AG365" s="145" t="s">
        <v>3930</v>
      </c>
      <c r="AH365" s="146">
        <v>4.6728610035245135E-3</v>
      </c>
      <c r="AI365" s="146">
        <v>7.1285240310954047E-3</v>
      </c>
      <c r="AJ365" s="147">
        <v>8.3892833171061304E-4</v>
      </c>
      <c r="AK365" s="177"/>
    </row>
    <row r="366" spans="1:37" ht="15" x14ac:dyDescent="0.2">
      <c r="A366" s="142" t="s">
        <v>1220</v>
      </c>
      <c r="B366" s="143" t="s">
        <v>1220</v>
      </c>
      <c r="C366" s="143" t="s">
        <v>1434</v>
      </c>
      <c r="D366" s="143" t="s">
        <v>1435</v>
      </c>
      <c r="E366" s="143" t="s">
        <v>309</v>
      </c>
      <c r="F366" s="143" t="s">
        <v>1654</v>
      </c>
      <c r="G366" s="143" t="s">
        <v>1655</v>
      </c>
      <c r="H366" s="143" t="s">
        <v>321</v>
      </c>
      <c r="I366" s="143" t="s">
        <v>951</v>
      </c>
      <c r="J366" s="143" t="s">
        <v>204</v>
      </c>
      <c r="K366" s="143" t="s">
        <v>204</v>
      </c>
      <c r="L366" s="143" t="s">
        <v>325</v>
      </c>
      <c r="M366" s="143" t="s">
        <v>340</v>
      </c>
      <c r="N366" s="143" t="s">
        <v>484</v>
      </c>
      <c r="O366" s="143" t="s">
        <v>339</v>
      </c>
      <c r="P366" s="143" t="s">
        <v>1398</v>
      </c>
      <c r="Q366" s="143" t="s">
        <v>413</v>
      </c>
      <c r="R366" s="143" t="s">
        <v>407</v>
      </c>
      <c r="S366" s="143" t="s">
        <v>1210</v>
      </c>
      <c r="T366" s="144">
        <v>3.24</v>
      </c>
      <c r="U366" s="143" t="s">
        <v>1656</v>
      </c>
      <c r="V366" s="146">
        <v>4.7300000000000002E-2</v>
      </c>
      <c r="W366" s="146">
        <v>5.6408E-2</v>
      </c>
      <c r="X366" s="143" t="s">
        <v>412</v>
      </c>
      <c r="Y366" s="145" t="s">
        <v>3930</v>
      </c>
      <c r="Z366" s="144">
        <v>6600000</v>
      </c>
      <c r="AA366" s="145" t="s">
        <v>3930</v>
      </c>
      <c r="AB366" s="143" t="s">
        <v>1657</v>
      </c>
      <c r="AC366" s="145" t="s">
        <v>3930</v>
      </c>
      <c r="AD366" s="144">
        <v>6497.04</v>
      </c>
      <c r="AE366" s="145" t="s">
        <v>3930</v>
      </c>
      <c r="AF366" s="145" t="s">
        <v>3930</v>
      </c>
      <c r="AG366" s="145" t="s">
        <v>3930</v>
      </c>
      <c r="AH366" s="146">
        <v>1.6712457111023891E-2</v>
      </c>
      <c r="AI366" s="146">
        <v>7.0466930234666884E-3</v>
      </c>
      <c r="AJ366" s="147">
        <v>8.2929795795965192E-4</v>
      </c>
      <c r="AK366" s="177"/>
    </row>
    <row r="367" spans="1:37" ht="15" x14ac:dyDescent="0.2">
      <c r="A367" s="142" t="s">
        <v>1220</v>
      </c>
      <c r="B367" s="143" t="s">
        <v>1220</v>
      </c>
      <c r="C367" s="143" t="s">
        <v>1455</v>
      </c>
      <c r="D367" s="143" t="s">
        <v>1456</v>
      </c>
      <c r="E367" s="143" t="s">
        <v>309</v>
      </c>
      <c r="F367" s="143" t="s">
        <v>1457</v>
      </c>
      <c r="G367" s="143" t="s">
        <v>1458</v>
      </c>
      <c r="H367" s="143" t="s">
        <v>321</v>
      </c>
      <c r="I367" s="143" t="s">
        <v>951</v>
      </c>
      <c r="J367" s="143" t="s">
        <v>204</v>
      </c>
      <c r="K367" s="143" t="s">
        <v>204</v>
      </c>
      <c r="L367" s="143" t="s">
        <v>325</v>
      </c>
      <c r="M367" s="143" t="s">
        <v>340</v>
      </c>
      <c r="N367" s="143" t="s">
        <v>464</v>
      </c>
      <c r="O367" s="143" t="s">
        <v>339</v>
      </c>
      <c r="P367" s="143" t="s">
        <v>1412</v>
      </c>
      <c r="Q367" s="143" t="s">
        <v>413</v>
      </c>
      <c r="R367" s="143" t="s">
        <v>407</v>
      </c>
      <c r="S367" s="143" t="s">
        <v>1210</v>
      </c>
      <c r="T367" s="144">
        <v>5.14</v>
      </c>
      <c r="U367" s="143" t="s">
        <v>1459</v>
      </c>
      <c r="V367" s="146">
        <v>2.5499999999999998E-2</v>
      </c>
      <c r="W367" s="146">
        <v>5.9679000000000003E-2</v>
      </c>
      <c r="X367" s="143" t="s">
        <v>412</v>
      </c>
      <c r="Y367" s="145" t="s">
        <v>3930</v>
      </c>
      <c r="Z367" s="144">
        <v>7103593.9100000001</v>
      </c>
      <c r="AA367" s="145" t="s">
        <v>3930</v>
      </c>
      <c r="AB367" s="143" t="s">
        <v>1460</v>
      </c>
      <c r="AC367" s="145" t="s">
        <v>3930</v>
      </c>
      <c r="AD367" s="144">
        <v>6010.3508000000002</v>
      </c>
      <c r="AE367" s="145" t="s">
        <v>3930</v>
      </c>
      <c r="AF367" s="145" t="s">
        <v>3930</v>
      </c>
      <c r="AG367" s="145" t="s">
        <v>3930</v>
      </c>
      <c r="AH367" s="146">
        <v>4.0968520095174092E-3</v>
      </c>
      <c r="AI367" s="146">
        <v>6.5188296673628294E-3</v>
      </c>
      <c r="AJ367" s="147">
        <v>7.6717576789959725E-4</v>
      </c>
      <c r="AK367" s="177"/>
    </row>
    <row r="368" spans="1:37" ht="15" x14ac:dyDescent="0.2">
      <c r="A368" s="142" t="s">
        <v>1220</v>
      </c>
      <c r="B368" s="143" t="s">
        <v>1220</v>
      </c>
      <c r="C368" s="143" t="s">
        <v>1415</v>
      </c>
      <c r="D368" s="143" t="s">
        <v>1416</v>
      </c>
      <c r="E368" s="143" t="s">
        <v>309</v>
      </c>
      <c r="F368" s="143" t="s">
        <v>1798</v>
      </c>
      <c r="G368" s="143" t="s">
        <v>1799</v>
      </c>
      <c r="H368" s="143" t="s">
        <v>321</v>
      </c>
      <c r="I368" s="143" t="s">
        <v>951</v>
      </c>
      <c r="J368" s="143" t="s">
        <v>204</v>
      </c>
      <c r="K368" s="143" t="s">
        <v>204</v>
      </c>
      <c r="L368" s="143" t="s">
        <v>325</v>
      </c>
      <c r="M368" s="143" t="s">
        <v>340</v>
      </c>
      <c r="N368" s="143" t="s">
        <v>451</v>
      </c>
      <c r="O368" s="143" t="s">
        <v>339</v>
      </c>
      <c r="P368" s="143" t="s">
        <v>1398</v>
      </c>
      <c r="Q368" s="143" t="s">
        <v>413</v>
      </c>
      <c r="R368" s="143" t="s">
        <v>407</v>
      </c>
      <c r="S368" s="143" t="s">
        <v>1210</v>
      </c>
      <c r="T368" s="144">
        <v>4.79</v>
      </c>
      <c r="U368" s="143" t="s">
        <v>1800</v>
      </c>
      <c r="V368" s="146">
        <v>2.07E-2</v>
      </c>
      <c r="W368" s="146">
        <v>6.0108000000000002E-2</v>
      </c>
      <c r="X368" s="143" t="s">
        <v>412</v>
      </c>
      <c r="Y368" s="145" t="s">
        <v>3930</v>
      </c>
      <c r="Z368" s="144">
        <v>7098000</v>
      </c>
      <c r="AA368" s="145" t="s">
        <v>3930</v>
      </c>
      <c r="AB368" s="143" t="s">
        <v>1801</v>
      </c>
      <c r="AC368" s="145" t="s">
        <v>3930</v>
      </c>
      <c r="AD368" s="144">
        <v>5916.183</v>
      </c>
      <c r="AE368" s="145" t="s">
        <v>3930</v>
      </c>
      <c r="AF368" s="145" t="s">
        <v>3930</v>
      </c>
      <c r="AG368" s="145" t="s">
        <v>3930</v>
      </c>
      <c r="AH368" s="146">
        <v>1.7282688093498904E-2</v>
      </c>
      <c r="AI368" s="146">
        <v>6.4166952137669191E-3</v>
      </c>
      <c r="AJ368" s="147">
        <v>7.5515596037820413E-4</v>
      </c>
      <c r="AK368" s="177"/>
    </row>
    <row r="369" spans="1:37" ht="15" x14ac:dyDescent="0.2">
      <c r="A369" s="142" t="s">
        <v>1220</v>
      </c>
      <c r="B369" s="143" t="s">
        <v>1220</v>
      </c>
      <c r="C369" s="143" t="s">
        <v>1792</v>
      </c>
      <c r="D369" s="143" t="s">
        <v>1793</v>
      </c>
      <c r="E369" s="143" t="s">
        <v>309</v>
      </c>
      <c r="F369" s="143" t="s">
        <v>1794</v>
      </c>
      <c r="G369" s="143" t="s">
        <v>1795</v>
      </c>
      <c r="H369" s="143" t="s">
        <v>321</v>
      </c>
      <c r="I369" s="143" t="s">
        <v>951</v>
      </c>
      <c r="J369" s="143" t="s">
        <v>204</v>
      </c>
      <c r="K369" s="143" t="s">
        <v>204</v>
      </c>
      <c r="L369" s="143" t="s">
        <v>325</v>
      </c>
      <c r="M369" s="143" t="s">
        <v>340</v>
      </c>
      <c r="N369" s="143" t="s">
        <v>464</v>
      </c>
      <c r="O369" s="143" t="s">
        <v>339</v>
      </c>
      <c r="P369" s="143" t="s">
        <v>1743</v>
      </c>
      <c r="Q369" s="143" t="s">
        <v>413</v>
      </c>
      <c r="R369" s="143" t="s">
        <v>407</v>
      </c>
      <c r="S369" s="143" t="s">
        <v>1210</v>
      </c>
      <c r="T369" s="144">
        <v>2.76</v>
      </c>
      <c r="U369" s="143" t="s">
        <v>1796</v>
      </c>
      <c r="V369" s="146">
        <v>5.0125999999999997E-2</v>
      </c>
      <c r="W369" s="146">
        <v>5.9816000000000001E-2</v>
      </c>
      <c r="X369" s="143" t="s">
        <v>412</v>
      </c>
      <c r="Y369" s="145" t="s">
        <v>3930</v>
      </c>
      <c r="Z369" s="144">
        <v>4855714.33</v>
      </c>
      <c r="AA369" s="145" t="s">
        <v>3930</v>
      </c>
      <c r="AB369" s="143" t="s">
        <v>1797</v>
      </c>
      <c r="AC369" s="144">
        <v>1125.5548000000001</v>
      </c>
      <c r="AD369" s="144">
        <v>5901.6354000000001</v>
      </c>
      <c r="AE369" s="145" t="s">
        <v>3930</v>
      </c>
      <c r="AF369" s="145" t="s">
        <v>3930</v>
      </c>
      <c r="AG369" s="145" t="s">
        <v>3930</v>
      </c>
      <c r="AH369" s="146">
        <v>1.2838574135565307E-2</v>
      </c>
      <c r="AI369" s="146">
        <v>7.6216942706828087E-3</v>
      </c>
      <c r="AJ369" s="147">
        <v>8.9696762351093942E-4</v>
      </c>
      <c r="AK369" s="177"/>
    </row>
    <row r="370" spans="1:37" ht="15" x14ac:dyDescent="0.2">
      <c r="A370" s="142" t="s">
        <v>1220</v>
      </c>
      <c r="B370" s="143" t="s">
        <v>1220</v>
      </c>
      <c r="C370" s="143" t="s">
        <v>1352</v>
      </c>
      <c r="D370" s="143" t="s">
        <v>1353</v>
      </c>
      <c r="E370" s="143" t="s">
        <v>309</v>
      </c>
      <c r="F370" s="143" t="s">
        <v>1378</v>
      </c>
      <c r="G370" s="143" t="s">
        <v>1379</v>
      </c>
      <c r="H370" s="143" t="s">
        <v>321</v>
      </c>
      <c r="I370" s="143" t="s">
        <v>951</v>
      </c>
      <c r="J370" s="143" t="s">
        <v>204</v>
      </c>
      <c r="K370" s="143" t="s">
        <v>204</v>
      </c>
      <c r="L370" s="143" t="s">
        <v>325</v>
      </c>
      <c r="M370" s="143" t="s">
        <v>340</v>
      </c>
      <c r="N370" s="143" t="s">
        <v>445</v>
      </c>
      <c r="O370" s="143" t="s">
        <v>339</v>
      </c>
      <c r="P370" s="143" t="s">
        <v>1356</v>
      </c>
      <c r="Q370" s="143" t="s">
        <v>413</v>
      </c>
      <c r="R370" s="143" t="s">
        <v>407</v>
      </c>
      <c r="S370" s="143" t="s">
        <v>1210</v>
      </c>
      <c r="T370" s="144">
        <v>7.65</v>
      </c>
      <c r="U370" s="143" t="s">
        <v>1380</v>
      </c>
      <c r="V370" s="146">
        <v>5.3100000000000001E-2</v>
      </c>
      <c r="W370" s="146">
        <v>6.0852000000000003E-2</v>
      </c>
      <c r="X370" s="143" t="s">
        <v>412</v>
      </c>
      <c r="Y370" s="145" t="s">
        <v>3930</v>
      </c>
      <c r="Z370" s="144">
        <v>6012771.21</v>
      </c>
      <c r="AA370" s="145" t="s">
        <v>3930</v>
      </c>
      <c r="AB370" s="143" t="s">
        <v>1381</v>
      </c>
      <c r="AC370" s="145" t="s">
        <v>3930</v>
      </c>
      <c r="AD370" s="144">
        <v>5755.4245999999994</v>
      </c>
      <c r="AE370" s="145" t="s">
        <v>3930</v>
      </c>
      <c r="AF370" s="145" t="s">
        <v>3930</v>
      </c>
      <c r="AG370" s="145" t="s">
        <v>3930</v>
      </c>
      <c r="AH370" s="146">
        <v>4.7218957031921575E-3</v>
      </c>
      <c r="AI370" s="146">
        <v>6.2423365704221984E-3</v>
      </c>
      <c r="AJ370" s="147">
        <v>7.346363682238609E-4</v>
      </c>
      <c r="AK370" s="177"/>
    </row>
    <row r="371" spans="1:37" ht="15" x14ac:dyDescent="0.2">
      <c r="A371" s="142" t="s">
        <v>1220</v>
      </c>
      <c r="B371" s="143" t="s">
        <v>1220</v>
      </c>
      <c r="C371" s="143" t="s">
        <v>1382</v>
      </c>
      <c r="D371" s="143" t="s">
        <v>1383</v>
      </c>
      <c r="E371" s="143" t="s">
        <v>309</v>
      </c>
      <c r="F371" s="143" t="s">
        <v>1802</v>
      </c>
      <c r="G371" s="143" t="s">
        <v>1803</v>
      </c>
      <c r="H371" s="143" t="s">
        <v>321</v>
      </c>
      <c r="I371" s="143" t="s">
        <v>951</v>
      </c>
      <c r="J371" s="143" t="s">
        <v>204</v>
      </c>
      <c r="K371" s="143" t="s">
        <v>204</v>
      </c>
      <c r="L371" s="143" t="s">
        <v>325</v>
      </c>
      <c r="M371" s="143" t="s">
        <v>340</v>
      </c>
      <c r="N371" s="143" t="s">
        <v>484</v>
      </c>
      <c r="O371" s="143" t="s">
        <v>339</v>
      </c>
      <c r="P371" s="143" t="s">
        <v>1368</v>
      </c>
      <c r="Q371" s="143" t="s">
        <v>415</v>
      </c>
      <c r="R371" s="143" t="s">
        <v>407</v>
      </c>
      <c r="S371" s="143" t="s">
        <v>1210</v>
      </c>
      <c r="T371" s="144">
        <v>7.85</v>
      </c>
      <c r="U371" s="143" t="s">
        <v>1804</v>
      </c>
      <c r="V371" s="146">
        <v>2.7900000000000001E-2</v>
      </c>
      <c r="W371" s="146">
        <v>5.6920999999999999E-2</v>
      </c>
      <c r="X371" s="143" t="s">
        <v>412</v>
      </c>
      <c r="Y371" s="145" t="s">
        <v>3930</v>
      </c>
      <c r="Z371" s="144">
        <v>7100000</v>
      </c>
      <c r="AA371" s="145" t="s">
        <v>3930</v>
      </c>
      <c r="AB371" s="143" t="s">
        <v>1805</v>
      </c>
      <c r="AC371" s="145" t="s">
        <v>3930</v>
      </c>
      <c r="AD371" s="144">
        <v>5743.9</v>
      </c>
      <c r="AE371" s="145" t="s">
        <v>3930</v>
      </c>
      <c r="AF371" s="145" t="s">
        <v>3930</v>
      </c>
      <c r="AG371" s="145" t="s">
        <v>3930</v>
      </c>
      <c r="AH371" s="146">
        <v>8.2351017151049161E-3</v>
      </c>
      <c r="AI371" s="146">
        <v>6.2298369807620565E-3</v>
      </c>
      <c r="AJ371" s="147">
        <v>7.3316534002013914E-4</v>
      </c>
      <c r="AK371" s="177"/>
    </row>
    <row r="372" spans="1:37" ht="15" x14ac:dyDescent="0.2">
      <c r="A372" s="142" t="s">
        <v>1220</v>
      </c>
      <c r="B372" s="143" t="s">
        <v>1220</v>
      </c>
      <c r="C372" s="143" t="s">
        <v>1371</v>
      </c>
      <c r="D372" s="143" t="s">
        <v>1372</v>
      </c>
      <c r="E372" s="143" t="s">
        <v>309</v>
      </c>
      <c r="F372" s="143" t="s">
        <v>1373</v>
      </c>
      <c r="G372" s="143" t="s">
        <v>1374</v>
      </c>
      <c r="H372" s="143" t="s">
        <v>321</v>
      </c>
      <c r="I372" s="143" t="s">
        <v>951</v>
      </c>
      <c r="J372" s="143" t="s">
        <v>204</v>
      </c>
      <c r="K372" s="143" t="s">
        <v>204</v>
      </c>
      <c r="L372" s="143" t="s">
        <v>325</v>
      </c>
      <c r="M372" s="143" t="s">
        <v>340</v>
      </c>
      <c r="N372" s="143" t="s">
        <v>440</v>
      </c>
      <c r="O372" s="143" t="s">
        <v>339</v>
      </c>
      <c r="P372" s="143" t="s">
        <v>1375</v>
      </c>
      <c r="Q372" s="143" t="s">
        <v>413</v>
      </c>
      <c r="R372" s="143" t="s">
        <v>407</v>
      </c>
      <c r="S372" s="143" t="s">
        <v>1210</v>
      </c>
      <c r="T372" s="144">
        <v>3.24</v>
      </c>
      <c r="U372" s="143" t="s">
        <v>1376</v>
      </c>
      <c r="V372" s="146">
        <v>2.5000000000000001E-2</v>
      </c>
      <c r="W372" s="146">
        <v>6.1240999999999997E-2</v>
      </c>
      <c r="X372" s="143" t="s">
        <v>412</v>
      </c>
      <c r="Y372" s="145" t="s">
        <v>3930</v>
      </c>
      <c r="Z372" s="144">
        <v>6294600.5199999996</v>
      </c>
      <c r="AA372" s="145" t="s">
        <v>3930</v>
      </c>
      <c r="AB372" s="143" t="s">
        <v>1377</v>
      </c>
      <c r="AC372" s="145" t="s">
        <v>3930</v>
      </c>
      <c r="AD372" s="144">
        <v>5628.0023000000001</v>
      </c>
      <c r="AE372" s="145" t="s">
        <v>3930</v>
      </c>
      <c r="AF372" s="145" t="s">
        <v>3930</v>
      </c>
      <c r="AG372" s="145" t="s">
        <v>3930</v>
      </c>
      <c r="AH372" s="146">
        <v>8.2208178946500954E-3</v>
      </c>
      <c r="AI372" s="146">
        <v>6.1041343010282568E-3</v>
      </c>
      <c r="AJ372" s="147">
        <v>7.1837187941867079E-4</v>
      </c>
      <c r="AK372" s="177"/>
    </row>
    <row r="373" spans="1:37" ht="15" x14ac:dyDescent="0.2">
      <c r="A373" s="142" t="s">
        <v>1220</v>
      </c>
      <c r="B373" s="143" t="s">
        <v>1220</v>
      </c>
      <c r="C373" s="143" t="s">
        <v>1421</v>
      </c>
      <c r="D373" s="143" t="s">
        <v>1422</v>
      </c>
      <c r="E373" s="143" t="s">
        <v>309</v>
      </c>
      <c r="F373" s="143" t="s">
        <v>1423</v>
      </c>
      <c r="G373" s="143" t="s">
        <v>1424</v>
      </c>
      <c r="H373" s="143" t="s">
        <v>321</v>
      </c>
      <c r="I373" s="143" t="s">
        <v>951</v>
      </c>
      <c r="J373" s="143" t="s">
        <v>204</v>
      </c>
      <c r="K373" s="143" t="s">
        <v>204</v>
      </c>
      <c r="L373" s="143" t="s">
        <v>325</v>
      </c>
      <c r="M373" s="143" t="s">
        <v>340</v>
      </c>
      <c r="N373" s="143" t="s">
        <v>445</v>
      </c>
      <c r="O373" s="143" t="s">
        <v>339</v>
      </c>
      <c r="P373" s="143" t="s">
        <v>1425</v>
      </c>
      <c r="Q373" s="143" t="s">
        <v>415</v>
      </c>
      <c r="R373" s="143" t="s">
        <v>407</v>
      </c>
      <c r="S373" s="143" t="s">
        <v>1210</v>
      </c>
      <c r="T373" s="144">
        <v>3.03</v>
      </c>
      <c r="U373" s="143" t="s">
        <v>1426</v>
      </c>
      <c r="V373" s="146">
        <v>4.36E-2</v>
      </c>
      <c r="W373" s="146">
        <v>4.9925999999999998E-2</v>
      </c>
      <c r="X373" s="143" t="s">
        <v>412</v>
      </c>
      <c r="Y373" s="145" t="s">
        <v>3930</v>
      </c>
      <c r="Z373" s="144">
        <v>5583000</v>
      </c>
      <c r="AA373" s="145" t="s">
        <v>3930</v>
      </c>
      <c r="AB373" s="143" t="s">
        <v>1427</v>
      </c>
      <c r="AC373" s="145" t="s">
        <v>3930</v>
      </c>
      <c r="AD373" s="144">
        <v>5557.8765000000003</v>
      </c>
      <c r="AE373" s="145" t="s">
        <v>3930</v>
      </c>
      <c r="AF373" s="145" t="s">
        <v>3930</v>
      </c>
      <c r="AG373" s="145" t="s">
        <v>3930</v>
      </c>
      <c r="AH373" s="146">
        <v>1.8610000000000002E-2</v>
      </c>
      <c r="AI373" s="146">
        <v>6.0280757941831133E-3</v>
      </c>
      <c r="AJ373" s="147">
        <v>7.0942084888532889E-4</v>
      </c>
      <c r="AK373" s="177"/>
    </row>
    <row r="374" spans="1:37" ht="15" x14ac:dyDescent="0.2">
      <c r="A374" s="142" t="s">
        <v>1220</v>
      </c>
      <c r="B374" s="143" t="s">
        <v>1220</v>
      </c>
      <c r="C374" s="143" t="s">
        <v>1415</v>
      </c>
      <c r="D374" s="143" t="s">
        <v>1416</v>
      </c>
      <c r="E374" s="143" t="s">
        <v>309</v>
      </c>
      <c r="F374" s="143" t="s">
        <v>1806</v>
      </c>
      <c r="G374" s="143" t="s">
        <v>1807</v>
      </c>
      <c r="H374" s="143" t="s">
        <v>321</v>
      </c>
      <c r="I374" s="143" t="s">
        <v>951</v>
      </c>
      <c r="J374" s="143" t="s">
        <v>204</v>
      </c>
      <c r="K374" s="143" t="s">
        <v>204</v>
      </c>
      <c r="L374" s="143" t="s">
        <v>325</v>
      </c>
      <c r="M374" s="143" t="s">
        <v>340</v>
      </c>
      <c r="N374" s="143" t="s">
        <v>451</v>
      </c>
      <c r="O374" s="143" t="s">
        <v>339</v>
      </c>
      <c r="P374" s="143" t="s">
        <v>1398</v>
      </c>
      <c r="Q374" s="143" t="s">
        <v>413</v>
      </c>
      <c r="R374" s="143" t="s">
        <v>407</v>
      </c>
      <c r="S374" s="143" t="s">
        <v>1210</v>
      </c>
      <c r="T374" s="144">
        <v>2.94</v>
      </c>
      <c r="U374" s="143" t="s">
        <v>1808</v>
      </c>
      <c r="V374" s="146">
        <v>0.04</v>
      </c>
      <c r="W374" s="146">
        <v>5.8043999999999998E-2</v>
      </c>
      <c r="X374" s="143" t="s">
        <v>412</v>
      </c>
      <c r="Y374" s="145" t="s">
        <v>3930</v>
      </c>
      <c r="Z374" s="144">
        <v>5687500.6500000004</v>
      </c>
      <c r="AA374" s="145" t="s">
        <v>3930</v>
      </c>
      <c r="AB374" s="143" t="s">
        <v>1809</v>
      </c>
      <c r="AC374" s="145" t="s">
        <v>3930</v>
      </c>
      <c r="AD374" s="144">
        <v>5462.2755999999999</v>
      </c>
      <c r="AE374" s="145" t="s">
        <v>3930</v>
      </c>
      <c r="AF374" s="145" t="s">
        <v>3930</v>
      </c>
      <c r="AG374" s="145" t="s">
        <v>3930</v>
      </c>
      <c r="AH374" s="146">
        <v>8.3950803910518481E-3</v>
      </c>
      <c r="AI374" s="146">
        <v>5.9243870337453812E-3</v>
      </c>
      <c r="AJ374" s="147">
        <v>6.9721812102305062E-4</v>
      </c>
      <c r="AK374" s="177"/>
    </row>
    <row r="375" spans="1:37" ht="15" x14ac:dyDescent="0.2">
      <c r="A375" s="142" t="s">
        <v>1220</v>
      </c>
      <c r="B375" s="143" t="s">
        <v>1220</v>
      </c>
      <c r="C375" s="143" t="s">
        <v>1810</v>
      </c>
      <c r="D375" s="143" t="s">
        <v>1811</v>
      </c>
      <c r="E375" s="143" t="s">
        <v>309</v>
      </c>
      <c r="F375" s="143" t="s">
        <v>1812</v>
      </c>
      <c r="G375" s="143" t="s">
        <v>1813</v>
      </c>
      <c r="H375" s="143" t="s">
        <v>321</v>
      </c>
      <c r="I375" s="143" t="s">
        <v>951</v>
      </c>
      <c r="J375" s="143" t="s">
        <v>204</v>
      </c>
      <c r="K375" s="143" t="s">
        <v>204</v>
      </c>
      <c r="L375" s="143" t="s">
        <v>325</v>
      </c>
      <c r="M375" s="143" t="s">
        <v>340</v>
      </c>
      <c r="N375" s="143" t="s">
        <v>454</v>
      </c>
      <c r="O375" s="143" t="s">
        <v>339</v>
      </c>
      <c r="P375" s="143" t="s">
        <v>1375</v>
      </c>
      <c r="Q375" s="143" t="s">
        <v>413</v>
      </c>
      <c r="R375" s="143" t="s">
        <v>407</v>
      </c>
      <c r="S375" s="143" t="s">
        <v>1210</v>
      </c>
      <c r="T375" s="144">
        <v>3.75</v>
      </c>
      <c r="U375" s="143" t="s">
        <v>1814</v>
      </c>
      <c r="V375" s="146">
        <v>6.7000000000000004E-2</v>
      </c>
      <c r="W375" s="146">
        <v>6.5794000000000005E-2</v>
      </c>
      <c r="X375" s="143" t="s">
        <v>412</v>
      </c>
      <c r="Y375" s="145" t="s">
        <v>3930</v>
      </c>
      <c r="Z375" s="144">
        <v>5204000</v>
      </c>
      <c r="AA375" s="145" t="s">
        <v>3930</v>
      </c>
      <c r="AB375" s="143" t="s">
        <v>1815</v>
      </c>
      <c r="AC375" s="145" t="s">
        <v>3930</v>
      </c>
      <c r="AD375" s="144">
        <v>5248.7544000000007</v>
      </c>
      <c r="AE375" s="145" t="s">
        <v>3930</v>
      </c>
      <c r="AF375" s="145" t="s">
        <v>3930</v>
      </c>
      <c r="AG375" s="145" t="s">
        <v>3930</v>
      </c>
      <c r="AH375" s="146">
        <v>5.7186813186813189E-3</v>
      </c>
      <c r="AI375" s="146">
        <v>5.6928018008770278E-3</v>
      </c>
      <c r="AJ375" s="147">
        <v>6.6996375360960341E-4</v>
      </c>
      <c r="AK375" s="177"/>
    </row>
    <row r="376" spans="1:37" ht="15" x14ac:dyDescent="0.2">
      <c r="A376" s="142" t="s">
        <v>1220</v>
      </c>
      <c r="B376" s="143" t="s">
        <v>1220</v>
      </c>
      <c r="C376" s="143" t="s">
        <v>1677</v>
      </c>
      <c r="D376" s="143" t="s">
        <v>1678</v>
      </c>
      <c r="E376" s="143" t="s">
        <v>309</v>
      </c>
      <c r="F376" s="143" t="s">
        <v>1679</v>
      </c>
      <c r="G376" s="143" t="s">
        <v>1680</v>
      </c>
      <c r="H376" s="143" t="s">
        <v>321</v>
      </c>
      <c r="I376" s="143" t="s">
        <v>951</v>
      </c>
      <c r="J376" s="143" t="s">
        <v>204</v>
      </c>
      <c r="K376" s="143" t="s">
        <v>204</v>
      </c>
      <c r="L376" s="143" t="s">
        <v>325</v>
      </c>
      <c r="M376" s="143" t="s">
        <v>340</v>
      </c>
      <c r="N376" s="143" t="s">
        <v>445</v>
      </c>
      <c r="O376" s="143" t="s">
        <v>339</v>
      </c>
      <c r="P376" s="143" t="s">
        <v>1425</v>
      </c>
      <c r="Q376" s="143" t="s">
        <v>415</v>
      </c>
      <c r="R376" s="143" t="s">
        <v>407</v>
      </c>
      <c r="S376" s="143" t="s">
        <v>1210</v>
      </c>
      <c r="T376" s="144">
        <v>1.97</v>
      </c>
      <c r="U376" s="143" t="s">
        <v>1432</v>
      </c>
      <c r="V376" s="146">
        <v>1.84E-2</v>
      </c>
      <c r="W376" s="146">
        <v>5.3180999999999999E-2</v>
      </c>
      <c r="X376" s="143" t="s">
        <v>412</v>
      </c>
      <c r="Y376" s="145" t="s">
        <v>3930</v>
      </c>
      <c r="Z376" s="144">
        <v>5529000</v>
      </c>
      <c r="AA376" s="145" t="s">
        <v>3930</v>
      </c>
      <c r="AB376" s="143" t="s">
        <v>1681</v>
      </c>
      <c r="AC376" s="145" t="s">
        <v>3930</v>
      </c>
      <c r="AD376" s="144">
        <v>5178.4614000000001</v>
      </c>
      <c r="AE376" s="145" t="s">
        <v>3930</v>
      </c>
      <c r="AF376" s="145" t="s">
        <v>3930</v>
      </c>
      <c r="AG376" s="145" t="s">
        <v>3930</v>
      </c>
      <c r="AH376" s="146">
        <v>1.8429999999999998E-2</v>
      </c>
      <c r="AI376" s="146">
        <v>5.6165619758646304E-3</v>
      </c>
      <c r="AJ376" s="147">
        <v>6.6099138444474404E-4</v>
      </c>
      <c r="AK376" s="177"/>
    </row>
    <row r="377" spans="1:37" ht="15" x14ac:dyDescent="0.2">
      <c r="A377" s="142" t="s">
        <v>1220</v>
      </c>
      <c r="B377" s="143" t="s">
        <v>1220</v>
      </c>
      <c r="C377" s="143" t="s">
        <v>1461</v>
      </c>
      <c r="D377" s="143" t="s">
        <v>1462</v>
      </c>
      <c r="E377" s="143" t="s">
        <v>309</v>
      </c>
      <c r="F377" s="143" t="s">
        <v>1816</v>
      </c>
      <c r="G377" s="143" t="s">
        <v>1817</v>
      </c>
      <c r="H377" s="143" t="s">
        <v>321</v>
      </c>
      <c r="I377" s="143" t="s">
        <v>951</v>
      </c>
      <c r="J377" s="143" t="s">
        <v>204</v>
      </c>
      <c r="K377" s="143" t="s">
        <v>204</v>
      </c>
      <c r="L377" s="143" t="s">
        <v>325</v>
      </c>
      <c r="M377" s="143" t="s">
        <v>340</v>
      </c>
      <c r="N377" s="143" t="s">
        <v>464</v>
      </c>
      <c r="O377" s="143" t="s">
        <v>339</v>
      </c>
      <c r="P377" s="143" t="s">
        <v>1425</v>
      </c>
      <c r="Q377" s="143" t="s">
        <v>415</v>
      </c>
      <c r="R377" s="143" t="s">
        <v>407</v>
      </c>
      <c r="S377" s="143" t="s">
        <v>1210</v>
      </c>
      <c r="T377" s="144">
        <v>4.33</v>
      </c>
      <c r="U377" s="143" t="s">
        <v>1818</v>
      </c>
      <c r="V377" s="146">
        <v>2.41E-2</v>
      </c>
      <c r="W377" s="146">
        <v>6.3097E-2</v>
      </c>
      <c r="X377" s="143" t="s">
        <v>412</v>
      </c>
      <c r="Y377" s="145" t="s">
        <v>3930</v>
      </c>
      <c r="Z377" s="144">
        <v>5777777.8499999996</v>
      </c>
      <c r="AA377" s="145" t="s">
        <v>3930</v>
      </c>
      <c r="AB377" s="143" t="s">
        <v>1819</v>
      </c>
      <c r="AC377" s="145" t="s">
        <v>3930</v>
      </c>
      <c r="AD377" s="144">
        <v>4973.5111999999999</v>
      </c>
      <c r="AE377" s="145" t="s">
        <v>3930</v>
      </c>
      <c r="AF377" s="145" t="s">
        <v>3930</v>
      </c>
      <c r="AG377" s="145" t="s">
        <v>3930</v>
      </c>
      <c r="AH377" s="146">
        <v>2.8116490401676221E-3</v>
      </c>
      <c r="AI377" s="146">
        <v>5.3942728514655598E-3</v>
      </c>
      <c r="AJ377" s="147">
        <v>6.3483103996444786E-4</v>
      </c>
      <c r="AK377" s="177"/>
    </row>
    <row r="378" spans="1:37" ht="15" x14ac:dyDescent="0.2">
      <c r="A378" s="142" t="s">
        <v>1220</v>
      </c>
      <c r="B378" s="143" t="s">
        <v>1220</v>
      </c>
      <c r="C378" s="143" t="s">
        <v>1382</v>
      </c>
      <c r="D378" s="143" t="s">
        <v>1383</v>
      </c>
      <c r="E378" s="143" t="s">
        <v>309</v>
      </c>
      <c r="F378" s="143" t="s">
        <v>1384</v>
      </c>
      <c r="G378" s="143" t="s">
        <v>1385</v>
      </c>
      <c r="H378" s="143" t="s">
        <v>321</v>
      </c>
      <c r="I378" s="143" t="s">
        <v>951</v>
      </c>
      <c r="J378" s="143" t="s">
        <v>204</v>
      </c>
      <c r="K378" s="143" t="s">
        <v>204</v>
      </c>
      <c r="L378" s="143" t="s">
        <v>325</v>
      </c>
      <c r="M378" s="143" t="s">
        <v>340</v>
      </c>
      <c r="N378" s="143" t="s">
        <v>484</v>
      </c>
      <c r="O378" s="143" t="s">
        <v>339</v>
      </c>
      <c r="P378" s="143" t="s">
        <v>1368</v>
      </c>
      <c r="Q378" s="143" t="s">
        <v>415</v>
      </c>
      <c r="R378" s="143" t="s">
        <v>407</v>
      </c>
      <c r="S378" s="143" t="s">
        <v>1210</v>
      </c>
      <c r="T378" s="144">
        <v>0.65</v>
      </c>
      <c r="U378" s="143" t="s">
        <v>1386</v>
      </c>
      <c r="V378" s="146">
        <v>3.6499999999999998E-2</v>
      </c>
      <c r="W378" s="146">
        <v>5.0511E-2</v>
      </c>
      <c r="X378" s="143" t="s">
        <v>412</v>
      </c>
      <c r="Y378" s="145" t="s">
        <v>3930</v>
      </c>
      <c r="Z378" s="144">
        <v>4710125.38</v>
      </c>
      <c r="AA378" s="145" t="s">
        <v>3930</v>
      </c>
      <c r="AB378" s="143" t="s">
        <v>1387</v>
      </c>
      <c r="AC378" s="145" t="s">
        <v>3930</v>
      </c>
      <c r="AD378" s="144">
        <v>4726.6107999999995</v>
      </c>
      <c r="AE378" s="145" t="s">
        <v>3930</v>
      </c>
      <c r="AF378" s="145" t="s">
        <v>3930</v>
      </c>
      <c r="AG378" s="145" t="s">
        <v>3930</v>
      </c>
      <c r="AH378" s="146">
        <v>4.4227322491460037E-3</v>
      </c>
      <c r="AI378" s="146">
        <v>5.1264845963225614E-3</v>
      </c>
      <c r="AJ378" s="147">
        <v>6.0331607934162594E-4</v>
      </c>
      <c r="AK378" s="177"/>
    </row>
    <row r="379" spans="1:37" ht="15" x14ac:dyDescent="0.2">
      <c r="A379" s="142" t="s">
        <v>1220</v>
      </c>
      <c r="B379" s="143" t="s">
        <v>1220</v>
      </c>
      <c r="C379" s="143" t="s">
        <v>1820</v>
      </c>
      <c r="D379" s="143" t="s">
        <v>1821</v>
      </c>
      <c r="E379" s="143" t="s">
        <v>309</v>
      </c>
      <c r="F379" s="143" t="s">
        <v>1822</v>
      </c>
      <c r="G379" s="143" t="s">
        <v>1823</v>
      </c>
      <c r="H379" s="143" t="s">
        <v>321</v>
      </c>
      <c r="I379" s="143" t="s">
        <v>951</v>
      </c>
      <c r="J379" s="143" t="s">
        <v>204</v>
      </c>
      <c r="K379" s="143" t="s">
        <v>204</v>
      </c>
      <c r="L379" s="143" t="s">
        <v>325</v>
      </c>
      <c r="M379" s="143" t="s">
        <v>340</v>
      </c>
      <c r="N379" s="143" t="s">
        <v>454</v>
      </c>
      <c r="O379" s="143" t="s">
        <v>339</v>
      </c>
      <c r="P379" s="143" t="s">
        <v>1412</v>
      </c>
      <c r="Q379" s="143" t="s">
        <v>413</v>
      </c>
      <c r="R379" s="143" t="s">
        <v>407</v>
      </c>
      <c r="S379" s="143" t="s">
        <v>1210</v>
      </c>
      <c r="T379" s="144">
        <v>3.24</v>
      </c>
      <c r="U379" s="143" t="s">
        <v>1824</v>
      </c>
      <c r="V379" s="146">
        <v>2.24E-2</v>
      </c>
      <c r="W379" s="146">
        <v>5.6226999999999999E-2</v>
      </c>
      <c r="X379" s="143" t="s">
        <v>412</v>
      </c>
      <c r="Y379" s="145" t="s">
        <v>3930</v>
      </c>
      <c r="Z379" s="144">
        <v>5085497.18</v>
      </c>
      <c r="AA379" s="145" t="s">
        <v>3930</v>
      </c>
      <c r="AB379" s="143" t="s">
        <v>1825</v>
      </c>
      <c r="AC379" s="145" t="s">
        <v>3930</v>
      </c>
      <c r="AD379" s="144">
        <v>4616.6143000000002</v>
      </c>
      <c r="AE379" s="145" t="s">
        <v>3930</v>
      </c>
      <c r="AF379" s="145" t="s">
        <v>3930</v>
      </c>
      <c r="AG379" s="145" t="s">
        <v>3930</v>
      </c>
      <c r="AH379" s="146">
        <v>8.6553335284033795E-3</v>
      </c>
      <c r="AI379" s="146">
        <v>5.0071823571568681E-3</v>
      </c>
      <c r="AJ379" s="147">
        <v>5.8927586175436253E-4</v>
      </c>
      <c r="AK379" s="177"/>
    </row>
    <row r="380" spans="1:37" ht="15" x14ac:dyDescent="0.2">
      <c r="A380" s="142" t="s">
        <v>1220</v>
      </c>
      <c r="B380" s="143" t="s">
        <v>1220</v>
      </c>
      <c r="C380" s="143" t="s">
        <v>1671</v>
      </c>
      <c r="D380" s="143" t="s">
        <v>1672</v>
      </c>
      <c r="E380" s="143" t="s">
        <v>309</v>
      </c>
      <c r="F380" s="143" t="s">
        <v>1673</v>
      </c>
      <c r="G380" s="143" t="s">
        <v>1674</v>
      </c>
      <c r="H380" s="143" t="s">
        <v>321</v>
      </c>
      <c r="I380" s="143" t="s">
        <v>951</v>
      </c>
      <c r="J380" s="143" t="s">
        <v>204</v>
      </c>
      <c r="K380" s="143" t="s">
        <v>204</v>
      </c>
      <c r="L380" s="143" t="s">
        <v>325</v>
      </c>
      <c r="M380" s="143" t="s">
        <v>340</v>
      </c>
      <c r="N380" s="143" t="s">
        <v>464</v>
      </c>
      <c r="O380" s="143" t="s">
        <v>339</v>
      </c>
      <c r="P380" s="143" t="s">
        <v>1444</v>
      </c>
      <c r="Q380" s="143" t="s">
        <v>415</v>
      </c>
      <c r="R380" s="143" t="s">
        <v>407</v>
      </c>
      <c r="S380" s="143" t="s">
        <v>1210</v>
      </c>
      <c r="T380" s="144">
        <v>3.1</v>
      </c>
      <c r="U380" s="143" t="s">
        <v>1675</v>
      </c>
      <c r="V380" s="146">
        <v>3.04E-2</v>
      </c>
      <c r="W380" s="146">
        <v>5.9735000000000003E-2</v>
      </c>
      <c r="X380" s="143" t="s">
        <v>412</v>
      </c>
      <c r="Y380" s="145" t="s">
        <v>3930</v>
      </c>
      <c r="Z380" s="144">
        <v>4505940</v>
      </c>
      <c r="AA380" s="145" t="s">
        <v>3930</v>
      </c>
      <c r="AB380" s="143" t="s">
        <v>1676</v>
      </c>
      <c r="AC380" s="145" t="s">
        <v>3930</v>
      </c>
      <c r="AD380" s="144">
        <v>4163.4885999999997</v>
      </c>
      <c r="AE380" s="145" t="s">
        <v>3930</v>
      </c>
      <c r="AF380" s="145" t="s">
        <v>3930</v>
      </c>
      <c r="AG380" s="145" t="s">
        <v>3930</v>
      </c>
      <c r="AH380" s="146">
        <v>8.3134940729763622E-3</v>
      </c>
      <c r="AI380" s="146">
        <v>4.5157218962843648E-3</v>
      </c>
      <c r="AJ380" s="147">
        <v>5.3143778717637134E-4</v>
      </c>
      <c r="AK380" s="177"/>
    </row>
    <row r="381" spans="1:37" ht="15" x14ac:dyDescent="0.2">
      <c r="A381" s="142" t="s">
        <v>1220</v>
      </c>
      <c r="B381" s="143" t="s">
        <v>1220</v>
      </c>
      <c r="C381" s="143" t="s">
        <v>1831</v>
      </c>
      <c r="D381" s="143" t="s">
        <v>1832</v>
      </c>
      <c r="E381" s="143" t="s">
        <v>309</v>
      </c>
      <c r="F381" s="143" t="s">
        <v>1833</v>
      </c>
      <c r="G381" s="143" t="s">
        <v>1834</v>
      </c>
      <c r="H381" s="143" t="s">
        <v>321</v>
      </c>
      <c r="I381" s="143" t="s">
        <v>951</v>
      </c>
      <c r="J381" s="143" t="s">
        <v>204</v>
      </c>
      <c r="K381" s="143" t="s">
        <v>204</v>
      </c>
      <c r="L381" s="143" t="s">
        <v>325</v>
      </c>
      <c r="M381" s="143" t="s">
        <v>340</v>
      </c>
      <c r="N381" s="143" t="s">
        <v>441</v>
      </c>
      <c r="O381" s="143" t="s">
        <v>339</v>
      </c>
      <c r="P381" s="143" t="s">
        <v>1405</v>
      </c>
      <c r="Q381" s="143" t="s">
        <v>415</v>
      </c>
      <c r="R381" s="143" t="s">
        <v>407</v>
      </c>
      <c r="S381" s="143" t="s">
        <v>1210</v>
      </c>
      <c r="T381" s="144">
        <v>3.61</v>
      </c>
      <c r="U381" s="143" t="s">
        <v>1600</v>
      </c>
      <c r="V381" s="146">
        <v>6.9500000000000006E-2</v>
      </c>
      <c r="W381" s="146">
        <v>6.3572000000000004E-2</v>
      </c>
      <c r="X381" s="143" t="s">
        <v>412</v>
      </c>
      <c r="Y381" s="145" t="s">
        <v>3930</v>
      </c>
      <c r="Z381" s="144">
        <v>3700000</v>
      </c>
      <c r="AA381" s="145" t="s">
        <v>3930</v>
      </c>
      <c r="AB381" s="143" t="s">
        <v>1835</v>
      </c>
      <c r="AC381" s="145" t="s">
        <v>3930</v>
      </c>
      <c r="AD381" s="144">
        <v>3856.51</v>
      </c>
      <c r="AE381" s="145" t="s">
        <v>3930</v>
      </c>
      <c r="AF381" s="145" t="s">
        <v>3930</v>
      </c>
      <c r="AG381" s="145" t="s">
        <v>3930</v>
      </c>
      <c r="AH381" s="146">
        <v>6.6195426790541566E-3</v>
      </c>
      <c r="AI381" s="146">
        <v>4.182772787597047E-3</v>
      </c>
      <c r="AJ381" s="147">
        <v>4.9225429854995149E-4</v>
      </c>
      <c r="AK381" s="177"/>
    </row>
    <row r="382" spans="1:37" ht="15" x14ac:dyDescent="0.2">
      <c r="A382" s="142" t="s">
        <v>1220</v>
      </c>
      <c r="B382" s="143" t="s">
        <v>1220</v>
      </c>
      <c r="C382" s="143" t="s">
        <v>1666</v>
      </c>
      <c r="D382" s="143" t="s">
        <v>1667</v>
      </c>
      <c r="E382" s="143" t="s">
        <v>309</v>
      </c>
      <c r="F382" s="143" t="s">
        <v>1668</v>
      </c>
      <c r="G382" s="143" t="s">
        <v>1669</v>
      </c>
      <c r="H382" s="143" t="s">
        <v>321</v>
      </c>
      <c r="I382" s="143" t="s">
        <v>951</v>
      </c>
      <c r="J382" s="143" t="s">
        <v>204</v>
      </c>
      <c r="K382" s="143" t="s">
        <v>204</v>
      </c>
      <c r="L382" s="143" t="s">
        <v>325</v>
      </c>
      <c r="M382" s="143" t="s">
        <v>340</v>
      </c>
      <c r="N382" s="143" t="s">
        <v>451</v>
      </c>
      <c r="O382" s="143" t="s">
        <v>339</v>
      </c>
      <c r="P382" s="143" t="s">
        <v>1398</v>
      </c>
      <c r="Q382" s="143" t="s">
        <v>413</v>
      </c>
      <c r="R382" s="143" t="s">
        <v>407</v>
      </c>
      <c r="S382" s="143" t="s">
        <v>1210</v>
      </c>
      <c r="T382" s="144">
        <v>2.33</v>
      </c>
      <c r="U382" s="143" t="s">
        <v>1539</v>
      </c>
      <c r="V382" s="146">
        <v>2.1999999999999999E-2</v>
      </c>
      <c r="W382" s="146">
        <v>5.6347000000000001E-2</v>
      </c>
      <c r="X382" s="143" t="s">
        <v>412</v>
      </c>
      <c r="Y382" s="145" t="s">
        <v>3930</v>
      </c>
      <c r="Z382" s="144">
        <v>3450834.8</v>
      </c>
      <c r="AA382" s="145" t="s">
        <v>3930</v>
      </c>
      <c r="AB382" s="143" t="s">
        <v>1670</v>
      </c>
      <c r="AC382" s="145" t="s">
        <v>3930</v>
      </c>
      <c r="AD382" s="144">
        <v>3211.3469</v>
      </c>
      <c r="AE382" s="145" t="s">
        <v>3930</v>
      </c>
      <c r="AF382" s="145" t="s">
        <v>3930</v>
      </c>
      <c r="AG382" s="145" t="s">
        <v>3930</v>
      </c>
      <c r="AH382" s="146">
        <v>3.184161291810842E-3</v>
      </c>
      <c r="AI382" s="146">
        <v>3.4830285097031135E-3</v>
      </c>
      <c r="AJ382" s="147">
        <v>4.0990410977077472E-4</v>
      </c>
      <c r="AK382" s="177"/>
    </row>
    <row r="383" spans="1:37" ht="15" x14ac:dyDescent="0.2">
      <c r="A383" s="142" t="s">
        <v>1220</v>
      </c>
      <c r="B383" s="143" t="s">
        <v>1220</v>
      </c>
      <c r="C383" s="143" t="s">
        <v>1836</v>
      </c>
      <c r="D383" s="143" t="s">
        <v>1837</v>
      </c>
      <c r="E383" s="143" t="s">
        <v>309</v>
      </c>
      <c r="F383" s="143" t="s">
        <v>1838</v>
      </c>
      <c r="G383" s="143" t="s">
        <v>1839</v>
      </c>
      <c r="H383" s="143" t="s">
        <v>321</v>
      </c>
      <c r="I383" s="143" t="s">
        <v>951</v>
      </c>
      <c r="J383" s="143" t="s">
        <v>204</v>
      </c>
      <c r="K383" s="143" t="s">
        <v>224</v>
      </c>
      <c r="L383" s="143" t="s">
        <v>325</v>
      </c>
      <c r="M383" s="143" t="s">
        <v>340</v>
      </c>
      <c r="N383" s="143" t="s">
        <v>465</v>
      </c>
      <c r="O383" s="143" t="s">
        <v>339</v>
      </c>
      <c r="P383" s="143" t="s">
        <v>1398</v>
      </c>
      <c r="Q383" s="143" t="s">
        <v>413</v>
      </c>
      <c r="R383" s="143" t="s">
        <v>407</v>
      </c>
      <c r="S383" s="143" t="s">
        <v>1210</v>
      </c>
      <c r="T383" s="144">
        <v>2.1800000000000002</v>
      </c>
      <c r="U383" s="143" t="s">
        <v>1840</v>
      </c>
      <c r="V383" s="146">
        <v>4.3499999999999997E-2</v>
      </c>
      <c r="W383" s="146">
        <v>6.5694000000000002E-2</v>
      </c>
      <c r="X383" s="143" t="s">
        <v>412</v>
      </c>
      <c r="Y383" s="145" t="s">
        <v>3930</v>
      </c>
      <c r="Z383" s="144">
        <v>3200000</v>
      </c>
      <c r="AA383" s="145" t="s">
        <v>3930</v>
      </c>
      <c r="AB383" s="143" t="s">
        <v>1841</v>
      </c>
      <c r="AC383" s="145" t="s">
        <v>3930</v>
      </c>
      <c r="AD383" s="144">
        <v>3082.56</v>
      </c>
      <c r="AE383" s="145" t="s">
        <v>3930</v>
      </c>
      <c r="AF383" s="145" t="s">
        <v>3930</v>
      </c>
      <c r="AG383" s="145" t="s">
        <v>3930</v>
      </c>
      <c r="AH383" s="146">
        <v>8.2474226804123713E-3</v>
      </c>
      <c r="AI383" s="146">
        <v>3.3433462078758134E-3</v>
      </c>
      <c r="AJ383" s="147">
        <v>3.9346544169161716E-4</v>
      </c>
      <c r="AK383" s="177"/>
    </row>
    <row r="384" spans="1:37" ht="15" x14ac:dyDescent="0.2">
      <c r="A384" s="142" t="s">
        <v>1220</v>
      </c>
      <c r="B384" s="143" t="s">
        <v>1220</v>
      </c>
      <c r="C384" s="143" t="s">
        <v>1826</v>
      </c>
      <c r="D384" s="143" t="s">
        <v>1827</v>
      </c>
      <c r="E384" s="143" t="s">
        <v>309</v>
      </c>
      <c r="F384" s="143" t="s">
        <v>1828</v>
      </c>
      <c r="G384" s="143" t="s">
        <v>1829</v>
      </c>
      <c r="H384" s="143" t="s">
        <v>321</v>
      </c>
      <c r="I384" s="143" t="s">
        <v>951</v>
      </c>
      <c r="J384" s="143" t="s">
        <v>204</v>
      </c>
      <c r="K384" s="143" t="s">
        <v>204</v>
      </c>
      <c r="L384" s="143" t="s">
        <v>325</v>
      </c>
      <c r="M384" s="143" t="s">
        <v>340</v>
      </c>
      <c r="N384" s="143" t="s">
        <v>443</v>
      </c>
      <c r="O384" s="143" t="s">
        <v>339</v>
      </c>
      <c r="P384" s="143" t="s">
        <v>1405</v>
      </c>
      <c r="Q384" s="143" t="s">
        <v>415</v>
      </c>
      <c r="R384" s="143" t="s">
        <v>407</v>
      </c>
      <c r="S384" s="143" t="s">
        <v>1210</v>
      </c>
      <c r="T384" s="144">
        <v>1.45</v>
      </c>
      <c r="U384" s="143" t="s">
        <v>1432</v>
      </c>
      <c r="V384" s="146">
        <v>6.9000000000000006E-2</v>
      </c>
      <c r="W384" s="146">
        <v>6.5989000000000006E-2</v>
      </c>
      <c r="X384" s="143" t="s">
        <v>412</v>
      </c>
      <c r="Y384" s="145" t="s">
        <v>3930</v>
      </c>
      <c r="Z384" s="144">
        <v>2948000</v>
      </c>
      <c r="AA384" s="145" t="s">
        <v>3930</v>
      </c>
      <c r="AB384" s="143" t="s">
        <v>1830</v>
      </c>
      <c r="AC384" s="145" t="s">
        <v>3930</v>
      </c>
      <c r="AD384" s="144">
        <v>2965.3932</v>
      </c>
      <c r="AE384" s="145" t="s">
        <v>3930</v>
      </c>
      <c r="AF384" s="145" t="s">
        <v>3930</v>
      </c>
      <c r="AG384" s="145" t="s">
        <v>3930</v>
      </c>
      <c r="AH384" s="146">
        <v>1.2195121951219513E-2</v>
      </c>
      <c r="AI384" s="146">
        <v>3.2162670345689047E-3</v>
      </c>
      <c r="AJ384" s="147">
        <v>3.7850998690287232E-4</v>
      </c>
      <c r="AK384" s="177"/>
    </row>
    <row r="385" spans="1:37" ht="15" x14ac:dyDescent="0.2">
      <c r="A385" s="142" t="s">
        <v>1220</v>
      </c>
      <c r="B385" s="143" t="s">
        <v>1220</v>
      </c>
      <c r="C385" s="143" t="s">
        <v>1682</v>
      </c>
      <c r="D385" s="143" t="s">
        <v>1683</v>
      </c>
      <c r="E385" s="143" t="s">
        <v>309</v>
      </c>
      <c r="F385" s="143" t="s">
        <v>1684</v>
      </c>
      <c r="G385" s="143" t="s">
        <v>1685</v>
      </c>
      <c r="H385" s="143" t="s">
        <v>321</v>
      </c>
      <c r="I385" s="143" t="s">
        <v>951</v>
      </c>
      <c r="J385" s="143" t="s">
        <v>204</v>
      </c>
      <c r="K385" s="143" t="s">
        <v>204</v>
      </c>
      <c r="L385" s="143" t="s">
        <v>325</v>
      </c>
      <c r="M385" s="143" t="s">
        <v>340</v>
      </c>
      <c r="N385" s="143" t="s">
        <v>443</v>
      </c>
      <c r="O385" s="143" t="s">
        <v>339</v>
      </c>
      <c r="P385" s="143" t="s">
        <v>1624</v>
      </c>
      <c r="Q385" s="143" t="s">
        <v>415</v>
      </c>
      <c r="R385" s="143" t="s">
        <v>407</v>
      </c>
      <c r="S385" s="143" t="s">
        <v>1210</v>
      </c>
      <c r="T385" s="144">
        <v>0.96</v>
      </c>
      <c r="U385" s="143" t="s">
        <v>1686</v>
      </c>
      <c r="V385" s="146">
        <v>4.7500000000000001E-2</v>
      </c>
      <c r="W385" s="146">
        <v>6.4082E-2</v>
      </c>
      <c r="X385" s="143" t="s">
        <v>412</v>
      </c>
      <c r="Y385" s="145" t="s">
        <v>3930</v>
      </c>
      <c r="Z385" s="144">
        <v>2990406.86</v>
      </c>
      <c r="AA385" s="145" t="s">
        <v>3930</v>
      </c>
      <c r="AB385" s="143" t="s">
        <v>1687</v>
      </c>
      <c r="AC385" s="145" t="s">
        <v>3930</v>
      </c>
      <c r="AD385" s="144">
        <v>2950.9335000000001</v>
      </c>
      <c r="AE385" s="145" t="s">
        <v>3930</v>
      </c>
      <c r="AF385" s="145" t="s">
        <v>3930</v>
      </c>
      <c r="AG385" s="145" t="s">
        <v>3930</v>
      </c>
      <c r="AH385" s="146">
        <v>4.738447526558962E-3</v>
      </c>
      <c r="AI385" s="146">
        <v>3.2005840248493823E-3</v>
      </c>
      <c r="AJ385" s="147">
        <v>3.7666431434529824E-4</v>
      </c>
      <c r="AK385" s="177"/>
    </row>
    <row r="386" spans="1:37" ht="15" x14ac:dyDescent="0.2">
      <c r="A386" s="142" t="s">
        <v>1220</v>
      </c>
      <c r="B386" s="143" t="s">
        <v>1220</v>
      </c>
      <c r="C386" s="143" t="s">
        <v>1428</v>
      </c>
      <c r="D386" s="143" t="s">
        <v>1429</v>
      </c>
      <c r="E386" s="143" t="s">
        <v>309</v>
      </c>
      <c r="F386" s="143" t="s">
        <v>1430</v>
      </c>
      <c r="G386" s="143" t="s">
        <v>1431</v>
      </c>
      <c r="H386" s="143" t="s">
        <v>321</v>
      </c>
      <c r="I386" s="143" t="s">
        <v>951</v>
      </c>
      <c r="J386" s="143" t="s">
        <v>204</v>
      </c>
      <c r="K386" s="143" t="s">
        <v>204</v>
      </c>
      <c r="L386" s="143" t="s">
        <v>325</v>
      </c>
      <c r="M386" s="143" t="s">
        <v>340</v>
      </c>
      <c r="N386" s="143" t="s">
        <v>445</v>
      </c>
      <c r="O386" s="143" t="s">
        <v>339</v>
      </c>
      <c r="P386" s="143" t="s">
        <v>1368</v>
      </c>
      <c r="Q386" s="143" t="s">
        <v>415</v>
      </c>
      <c r="R386" s="143" t="s">
        <v>407</v>
      </c>
      <c r="S386" s="143" t="s">
        <v>1210</v>
      </c>
      <c r="T386" s="144">
        <v>1.48</v>
      </c>
      <c r="U386" s="143" t="s">
        <v>1432</v>
      </c>
      <c r="V386" s="146">
        <v>2.9399999999999999E-2</v>
      </c>
      <c r="W386" s="146">
        <v>5.4391000000000002E-2</v>
      </c>
      <c r="X386" s="143" t="s">
        <v>412</v>
      </c>
      <c r="Y386" s="145" t="s">
        <v>3930</v>
      </c>
      <c r="Z386" s="144">
        <v>3000763.06</v>
      </c>
      <c r="AA386" s="145" t="s">
        <v>3930</v>
      </c>
      <c r="AB386" s="143" t="s">
        <v>1433</v>
      </c>
      <c r="AC386" s="145" t="s">
        <v>3930</v>
      </c>
      <c r="AD386" s="144">
        <v>2898.1370000000002</v>
      </c>
      <c r="AE386" s="145" t="s">
        <v>3930</v>
      </c>
      <c r="AF386" s="145" t="s">
        <v>3930</v>
      </c>
      <c r="AG386" s="145" t="s">
        <v>3930</v>
      </c>
      <c r="AH386" s="146">
        <v>2.7976779136636296E-2</v>
      </c>
      <c r="AI386" s="146">
        <v>3.1433208846913803E-3</v>
      </c>
      <c r="AJ386" s="147">
        <v>3.6992523758386632E-4</v>
      </c>
      <c r="AK386" s="177"/>
    </row>
    <row r="387" spans="1:37" ht="15" x14ac:dyDescent="0.2">
      <c r="A387" s="142" t="s">
        <v>1220</v>
      </c>
      <c r="B387" s="143" t="s">
        <v>1220</v>
      </c>
      <c r="C387" s="143" t="s">
        <v>1842</v>
      </c>
      <c r="D387" s="143" t="s">
        <v>1843</v>
      </c>
      <c r="E387" s="143" t="s">
        <v>309</v>
      </c>
      <c r="F387" s="143" t="s">
        <v>1844</v>
      </c>
      <c r="G387" s="143" t="s">
        <v>1845</v>
      </c>
      <c r="H387" s="143" t="s">
        <v>321</v>
      </c>
      <c r="I387" s="143" t="s">
        <v>951</v>
      </c>
      <c r="J387" s="143" t="s">
        <v>204</v>
      </c>
      <c r="K387" s="143" t="s">
        <v>204</v>
      </c>
      <c r="L387" s="143" t="s">
        <v>325</v>
      </c>
      <c r="M387" s="143" t="s">
        <v>340</v>
      </c>
      <c r="N387" s="143" t="s">
        <v>464</v>
      </c>
      <c r="O387" s="143" t="s">
        <v>339</v>
      </c>
      <c r="P387" s="143" t="s">
        <v>1368</v>
      </c>
      <c r="Q387" s="143" t="s">
        <v>415</v>
      </c>
      <c r="R387" s="143" t="s">
        <v>407</v>
      </c>
      <c r="S387" s="143" t="s">
        <v>1210</v>
      </c>
      <c r="T387" s="144">
        <v>2.09</v>
      </c>
      <c r="U387" s="143" t="s">
        <v>1539</v>
      </c>
      <c r="V387" s="146">
        <v>5.6500000000000002E-2</v>
      </c>
      <c r="W387" s="146">
        <v>5.3936999999999999E-2</v>
      </c>
      <c r="X387" s="143" t="s">
        <v>412</v>
      </c>
      <c r="Y387" s="145" t="s">
        <v>3930</v>
      </c>
      <c r="Z387" s="144">
        <v>2218353.2999999998</v>
      </c>
      <c r="AA387" s="145" t="s">
        <v>3930</v>
      </c>
      <c r="AB387" s="143" t="s">
        <v>1846</v>
      </c>
      <c r="AC387" s="145" t="s">
        <v>3930</v>
      </c>
      <c r="AD387" s="144">
        <v>2267.3788999999997</v>
      </c>
      <c r="AE387" s="145" t="s">
        <v>3930</v>
      </c>
      <c r="AF387" s="145" t="s">
        <v>3930</v>
      </c>
      <c r="AG387" s="145" t="s">
        <v>3930</v>
      </c>
      <c r="AH387" s="146">
        <v>1.4213891195626396E-2</v>
      </c>
      <c r="AI387" s="146">
        <v>2.4592003638681382E-3</v>
      </c>
      <c r="AJ387" s="147">
        <v>2.8941374814794651E-4</v>
      </c>
      <c r="AK387" s="177"/>
    </row>
    <row r="388" spans="1:37" ht="15" x14ac:dyDescent="0.2">
      <c r="A388" s="142" t="s">
        <v>1220</v>
      </c>
      <c r="B388" s="143" t="s">
        <v>1220</v>
      </c>
      <c r="C388" s="143" t="s">
        <v>1847</v>
      </c>
      <c r="D388" s="143" t="s">
        <v>1848</v>
      </c>
      <c r="E388" s="143" t="s">
        <v>309</v>
      </c>
      <c r="F388" s="143" t="s">
        <v>1849</v>
      </c>
      <c r="G388" s="143" t="s">
        <v>1850</v>
      </c>
      <c r="H388" s="143" t="s">
        <v>321</v>
      </c>
      <c r="I388" s="143" t="s">
        <v>951</v>
      </c>
      <c r="J388" s="143" t="s">
        <v>204</v>
      </c>
      <c r="K388" s="143" t="s">
        <v>204</v>
      </c>
      <c r="L388" s="143" t="s">
        <v>325</v>
      </c>
      <c r="M388" s="143" t="s">
        <v>340</v>
      </c>
      <c r="N388" s="143" t="s">
        <v>454</v>
      </c>
      <c r="O388" s="143" t="s">
        <v>339</v>
      </c>
      <c r="P388" s="143" t="s">
        <v>1405</v>
      </c>
      <c r="Q388" s="143" t="s">
        <v>415</v>
      </c>
      <c r="R388" s="143" t="s">
        <v>407</v>
      </c>
      <c r="S388" s="143" t="s">
        <v>1210</v>
      </c>
      <c r="T388" s="144">
        <v>2.72</v>
      </c>
      <c r="U388" s="143" t="s">
        <v>1851</v>
      </c>
      <c r="V388" s="146">
        <v>6.7500000000000004E-2</v>
      </c>
      <c r="W388" s="146">
        <v>6.4201999999999995E-2</v>
      </c>
      <c r="X388" s="143" t="s">
        <v>412</v>
      </c>
      <c r="Y388" s="145" t="s">
        <v>3930</v>
      </c>
      <c r="Z388" s="144">
        <v>2052710.43</v>
      </c>
      <c r="AA388" s="145" t="s">
        <v>3930</v>
      </c>
      <c r="AB388" s="143" t="s">
        <v>1852</v>
      </c>
      <c r="AC388" s="145" t="s">
        <v>3930</v>
      </c>
      <c r="AD388" s="144">
        <v>2097.8701000000001</v>
      </c>
      <c r="AE388" s="145" t="s">
        <v>3930</v>
      </c>
      <c r="AF388" s="145" t="s">
        <v>3930</v>
      </c>
      <c r="AG388" s="145" t="s">
        <v>3930</v>
      </c>
      <c r="AH388" s="146">
        <v>1.1729773885714285E-3</v>
      </c>
      <c r="AI388" s="146">
        <v>2.2753509770813214E-3</v>
      </c>
      <c r="AJ388" s="147">
        <v>2.6777722722576302E-4</v>
      </c>
      <c r="AK388" s="177"/>
    </row>
    <row r="389" spans="1:37" ht="15" x14ac:dyDescent="0.2">
      <c r="A389" s="142" t="s">
        <v>1220</v>
      </c>
      <c r="B389" s="143" t="s">
        <v>1220</v>
      </c>
      <c r="C389" s="143" t="s">
        <v>1408</v>
      </c>
      <c r="D389" s="143" t="s">
        <v>1409</v>
      </c>
      <c r="E389" s="143" t="s">
        <v>309</v>
      </c>
      <c r="F389" s="143" t="s">
        <v>1410</v>
      </c>
      <c r="G389" s="143" t="s">
        <v>1411</v>
      </c>
      <c r="H389" s="143" t="s">
        <v>321</v>
      </c>
      <c r="I389" s="143" t="s">
        <v>951</v>
      </c>
      <c r="J389" s="143" t="s">
        <v>204</v>
      </c>
      <c r="K389" s="143" t="s">
        <v>204</v>
      </c>
      <c r="L389" s="143" t="s">
        <v>325</v>
      </c>
      <c r="M389" s="143" t="s">
        <v>340</v>
      </c>
      <c r="N389" s="143" t="s">
        <v>475</v>
      </c>
      <c r="O389" s="143" t="s">
        <v>339</v>
      </c>
      <c r="P389" s="143" t="s">
        <v>1412</v>
      </c>
      <c r="Q389" s="143" t="s">
        <v>413</v>
      </c>
      <c r="R389" s="143" t="s">
        <v>407</v>
      </c>
      <c r="S389" s="143" t="s">
        <v>1210</v>
      </c>
      <c r="T389" s="144">
        <v>2.83</v>
      </c>
      <c r="U389" s="143" t="s">
        <v>1413</v>
      </c>
      <c r="V389" s="146">
        <v>5.0900000000000001E-2</v>
      </c>
      <c r="W389" s="146">
        <v>5.2837000000000002E-2</v>
      </c>
      <c r="X389" s="143" t="s">
        <v>412</v>
      </c>
      <c r="Y389" s="145" t="s">
        <v>3930</v>
      </c>
      <c r="Z389" s="144">
        <v>1583580.51</v>
      </c>
      <c r="AA389" s="145" t="s">
        <v>3930</v>
      </c>
      <c r="AB389" s="143" t="s">
        <v>1414</v>
      </c>
      <c r="AC389" s="144">
        <v>413.44130000000001</v>
      </c>
      <c r="AD389" s="144">
        <v>1987.6786999999999</v>
      </c>
      <c r="AE389" s="145" t="s">
        <v>3930</v>
      </c>
      <c r="AF389" s="145" t="s">
        <v>3930</v>
      </c>
      <c r="AG389" s="145" t="s">
        <v>3930</v>
      </c>
      <c r="AH389" s="146">
        <v>3.0676727246044975E-3</v>
      </c>
      <c r="AI389" s="146">
        <v>2.6042559634656395E-3</v>
      </c>
      <c r="AJ389" s="147">
        <v>3.0648477879114614E-4</v>
      </c>
      <c r="AK389" s="177"/>
    </row>
    <row r="390" spans="1:37" ht="15" x14ac:dyDescent="0.2">
      <c r="A390" s="142" t="s">
        <v>1220</v>
      </c>
      <c r="B390" s="143" t="s">
        <v>1220</v>
      </c>
      <c r="C390" s="143" t="s">
        <v>1859</v>
      </c>
      <c r="D390" s="143" t="s">
        <v>1860</v>
      </c>
      <c r="E390" s="143" t="s">
        <v>309</v>
      </c>
      <c r="F390" s="143" t="s">
        <v>1861</v>
      </c>
      <c r="G390" s="143" t="s">
        <v>1862</v>
      </c>
      <c r="H390" s="143" t="s">
        <v>321</v>
      </c>
      <c r="I390" s="143" t="s">
        <v>951</v>
      </c>
      <c r="J390" s="143" t="s">
        <v>204</v>
      </c>
      <c r="K390" s="143" t="s">
        <v>204</v>
      </c>
      <c r="L390" s="143" t="s">
        <v>325</v>
      </c>
      <c r="M390" s="143" t="s">
        <v>340</v>
      </c>
      <c r="N390" s="143" t="s">
        <v>451</v>
      </c>
      <c r="O390" s="143" t="s">
        <v>339</v>
      </c>
      <c r="P390" s="143" t="s">
        <v>1412</v>
      </c>
      <c r="Q390" s="143" t="s">
        <v>413</v>
      </c>
      <c r="R390" s="143" t="s">
        <v>407</v>
      </c>
      <c r="S390" s="143" t="s">
        <v>1210</v>
      </c>
      <c r="T390" s="144">
        <v>6.3</v>
      </c>
      <c r="U390" s="143" t="s">
        <v>1863</v>
      </c>
      <c r="V390" s="146">
        <v>5.3100000000000001E-2</v>
      </c>
      <c r="W390" s="146">
        <v>5.9367999999999997E-2</v>
      </c>
      <c r="X390" s="143" t="s">
        <v>412</v>
      </c>
      <c r="Y390" s="145" t="s">
        <v>3930</v>
      </c>
      <c r="Z390" s="144">
        <v>1868000</v>
      </c>
      <c r="AA390" s="145" t="s">
        <v>3930</v>
      </c>
      <c r="AB390" s="143" t="s">
        <v>1864</v>
      </c>
      <c r="AC390" s="145" t="s">
        <v>3930</v>
      </c>
      <c r="AD390" s="144">
        <v>1819.8056000000001</v>
      </c>
      <c r="AE390" s="145" t="s">
        <v>3930</v>
      </c>
      <c r="AF390" s="145" t="s">
        <v>3930</v>
      </c>
      <c r="AG390" s="145" t="s">
        <v>3930</v>
      </c>
      <c r="AH390" s="146">
        <v>5.8703371987052578E-3</v>
      </c>
      <c r="AI390" s="146">
        <v>1.9737621171465177E-3</v>
      </c>
      <c r="AJ390" s="147">
        <v>2.3228440458478617E-4</v>
      </c>
      <c r="AK390" s="177"/>
    </row>
    <row r="391" spans="1:37" ht="15" x14ac:dyDescent="0.2">
      <c r="A391" s="142" t="s">
        <v>1220</v>
      </c>
      <c r="B391" s="143" t="s">
        <v>1220</v>
      </c>
      <c r="C391" s="143" t="s">
        <v>1853</v>
      </c>
      <c r="D391" s="143" t="s">
        <v>1854</v>
      </c>
      <c r="E391" s="143" t="s">
        <v>309</v>
      </c>
      <c r="F391" s="143" t="s">
        <v>1855</v>
      </c>
      <c r="G391" s="143" t="s">
        <v>1856</v>
      </c>
      <c r="H391" s="143" t="s">
        <v>321</v>
      </c>
      <c r="I391" s="143" t="s">
        <v>951</v>
      </c>
      <c r="J391" s="143" t="s">
        <v>204</v>
      </c>
      <c r="K391" s="143" t="s">
        <v>204</v>
      </c>
      <c r="L391" s="143" t="s">
        <v>325</v>
      </c>
      <c r="M391" s="143" t="s">
        <v>340</v>
      </c>
      <c r="N391" s="143" t="s">
        <v>484</v>
      </c>
      <c r="O391" s="143" t="s">
        <v>339</v>
      </c>
      <c r="P391" s="143" t="s">
        <v>1356</v>
      </c>
      <c r="Q391" s="143" t="s">
        <v>413</v>
      </c>
      <c r="R391" s="143" t="s">
        <v>407</v>
      </c>
      <c r="S391" s="143" t="s">
        <v>1210</v>
      </c>
      <c r="T391" s="144">
        <v>2.08</v>
      </c>
      <c r="U391" s="143" t="s">
        <v>1857</v>
      </c>
      <c r="V391" s="146">
        <v>0.04</v>
      </c>
      <c r="W391" s="146">
        <v>5.2436000000000003E-2</v>
      </c>
      <c r="X391" s="143" t="s">
        <v>412</v>
      </c>
      <c r="Y391" s="145" t="s">
        <v>3930</v>
      </c>
      <c r="Z391" s="144">
        <v>1727409.62</v>
      </c>
      <c r="AA391" s="145" t="s">
        <v>3930</v>
      </c>
      <c r="AB391" s="143" t="s">
        <v>1858</v>
      </c>
      <c r="AC391" s="145" t="s">
        <v>3930</v>
      </c>
      <c r="AD391" s="144">
        <v>1703.0531000000001</v>
      </c>
      <c r="AE391" s="145" t="s">
        <v>3930</v>
      </c>
      <c r="AF391" s="145" t="s">
        <v>3930</v>
      </c>
      <c r="AG391" s="145" t="s">
        <v>3930</v>
      </c>
      <c r="AH391" s="146">
        <v>2.9003616314750582E-3</v>
      </c>
      <c r="AI391" s="146">
        <v>1.8471323419496455E-3</v>
      </c>
      <c r="AJ391" s="147">
        <v>2.1738183771576804E-4</v>
      </c>
      <c r="AK391" s="177"/>
    </row>
    <row r="392" spans="1:37" ht="15" x14ac:dyDescent="0.2">
      <c r="A392" s="142" t="s">
        <v>1220</v>
      </c>
      <c r="B392" s="143" t="s">
        <v>1220</v>
      </c>
      <c r="C392" s="143" t="s">
        <v>1692</v>
      </c>
      <c r="D392" s="143" t="s">
        <v>1693</v>
      </c>
      <c r="E392" s="143" t="s">
        <v>309</v>
      </c>
      <c r="F392" s="143" t="s">
        <v>1694</v>
      </c>
      <c r="G392" s="143" t="s">
        <v>1695</v>
      </c>
      <c r="H392" s="143" t="s">
        <v>321</v>
      </c>
      <c r="I392" s="143" t="s">
        <v>951</v>
      </c>
      <c r="J392" s="143" t="s">
        <v>204</v>
      </c>
      <c r="K392" s="143" t="s">
        <v>224</v>
      </c>
      <c r="L392" s="143" t="s">
        <v>325</v>
      </c>
      <c r="M392" s="143" t="s">
        <v>340</v>
      </c>
      <c r="N392" s="143" t="s">
        <v>465</v>
      </c>
      <c r="O392" s="143" t="s">
        <v>339</v>
      </c>
      <c r="P392" s="143" t="s">
        <v>1412</v>
      </c>
      <c r="Q392" s="143" t="s">
        <v>413</v>
      </c>
      <c r="R392" s="143" t="s">
        <v>407</v>
      </c>
      <c r="S392" s="143" t="s">
        <v>1210</v>
      </c>
      <c r="T392" s="144">
        <v>0.25</v>
      </c>
      <c r="U392" s="143" t="s">
        <v>1696</v>
      </c>
      <c r="V392" s="146">
        <v>3.3799999999999997E-2</v>
      </c>
      <c r="W392" s="146">
        <v>6.0142000000000001E-2</v>
      </c>
      <c r="X392" s="143" t="s">
        <v>412</v>
      </c>
      <c r="Y392" s="145" t="s">
        <v>3930</v>
      </c>
      <c r="Z392" s="144">
        <v>1296750.06</v>
      </c>
      <c r="AA392" s="145" t="s">
        <v>3930</v>
      </c>
      <c r="AB392" s="143" t="s">
        <v>1697</v>
      </c>
      <c r="AC392" s="145" t="s">
        <v>3930</v>
      </c>
      <c r="AD392" s="144">
        <v>1299.8623</v>
      </c>
      <c r="AE392" s="145" t="s">
        <v>3930</v>
      </c>
      <c r="AF392" s="145" t="s">
        <v>3930</v>
      </c>
      <c r="AG392" s="145" t="s">
        <v>3930</v>
      </c>
      <c r="AH392" s="146">
        <v>6.3369779690151482E-3</v>
      </c>
      <c r="AI392" s="146">
        <v>1.4098312954860007E-3</v>
      </c>
      <c r="AJ392" s="147">
        <v>1.6591757445948263E-4</v>
      </c>
      <c r="AK392" s="177"/>
    </row>
    <row r="393" spans="1:37" ht="15" x14ac:dyDescent="0.2">
      <c r="A393" s="142" t="s">
        <v>1220</v>
      </c>
      <c r="B393" s="143" t="s">
        <v>1220</v>
      </c>
      <c r="C393" s="143" t="s">
        <v>1415</v>
      </c>
      <c r="D393" s="143" t="s">
        <v>1416</v>
      </c>
      <c r="E393" s="143" t="s">
        <v>309</v>
      </c>
      <c r="F393" s="143" t="s">
        <v>1417</v>
      </c>
      <c r="G393" s="143" t="s">
        <v>1418</v>
      </c>
      <c r="H393" s="143" t="s">
        <v>321</v>
      </c>
      <c r="I393" s="143" t="s">
        <v>951</v>
      </c>
      <c r="J393" s="143" t="s">
        <v>204</v>
      </c>
      <c r="K393" s="143" t="s">
        <v>204</v>
      </c>
      <c r="L393" s="143" t="s">
        <v>325</v>
      </c>
      <c r="M393" s="143" t="s">
        <v>340</v>
      </c>
      <c r="N393" s="143" t="s">
        <v>451</v>
      </c>
      <c r="O393" s="143" t="s">
        <v>339</v>
      </c>
      <c r="P393" s="143" t="s">
        <v>1398</v>
      </c>
      <c r="Q393" s="143" t="s">
        <v>413</v>
      </c>
      <c r="R393" s="143" t="s">
        <v>407</v>
      </c>
      <c r="S393" s="143" t="s">
        <v>1210</v>
      </c>
      <c r="T393" s="144">
        <v>1.21</v>
      </c>
      <c r="U393" s="143" t="s">
        <v>1419</v>
      </c>
      <c r="V393" s="146">
        <v>0.04</v>
      </c>
      <c r="W393" s="146">
        <v>5.4871000000000003E-2</v>
      </c>
      <c r="X393" s="143" t="s">
        <v>412</v>
      </c>
      <c r="Y393" s="145" t="s">
        <v>3930</v>
      </c>
      <c r="Z393" s="144">
        <v>884033.82</v>
      </c>
      <c r="AA393" s="145" t="s">
        <v>3930</v>
      </c>
      <c r="AB393" s="143" t="s">
        <v>1420</v>
      </c>
      <c r="AC393" s="145" t="s">
        <v>3930</v>
      </c>
      <c r="AD393" s="144">
        <v>878.2876</v>
      </c>
      <c r="AE393" s="145" t="s">
        <v>3930</v>
      </c>
      <c r="AF393" s="145" t="s">
        <v>3930</v>
      </c>
      <c r="AG393" s="145" t="s">
        <v>3930</v>
      </c>
      <c r="AH393" s="146">
        <v>6.7095391333167513E-3</v>
      </c>
      <c r="AI393" s="146">
        <v>9.5259119610087656E-4</v>
      </c>
      <c r="AJ393" s="147">
        <v>1.1210676143632549E-4</v>
      </c>
      <c r="AK393" s="177"/>
    </row>
    <row r="394" spans="1:37" ht="15" x14ac:dyDescent="0.2">
      <c r="A394" s="142" t="s">
        <v>1220</v>
      </c>
      <c r="B394" s="143" t="s">
        <v>1220</v>
      </c>
      <c r="C394" s="143" t="s">
        <v>1421</v>
      </c>
      <c r="D394" s="143" t="s">
        <v>1422</v>
      </c>
      <c r="E394" s="143" t="s">
        <v>309</v>
      </c>
      <c r="F394" s="143" t="s">
        <v>1447</v>
      </c>
      <c r="G394" s="143" t="s">
        <v>1448</v>
      </c>
      <c r="H394" s="143" t="s">
        <v>321</v>
      </c>
      <c r="I394" s="143" t="s">
        <v>951</v>
      </c>
      <c r="J394" s="143" t="s">
        <v>204</v>
      </c>
      <c r="K394" s="143" t="s">
        <v>204</v>
      </c>
      <c r="L394" s="143" t="s">
        <v>325</v>
      </c>
      <c r="M394" s="143" t="s">
        <v>340</v>
      </c>
      <c r="N394" s="143" t="s">
        <v>445</v>
      </c>
      <c r="O394" s="143" t="s">
        <v>339</v>
      </c>
      <c r="P394" s="143" t="s">
        <v>1425</v>
      </c>
      <c r="Q394" s="143" t="s">
        <v>415</v>
      </c>
      <c r="R394" s="143" t="s">
        <v>407</v>
      </c>
      <c r="S394" s="143" t="s">
        <v>1210</v>
      </c>
      <c r="T394" s="144">
        <v>4.7300000000000004</v>
      </c>
      <c r="U394" s="143" t="s">
        <v>1449</v>
      </c>
      <c r="V394" s="146">
        <v>3.95E-2</v>
      </c>
      <c r="W394" s="146">
        <v>5.4330999999999997E-2</v>
      </c>
      <c r="X394" s="143" t="s">
        <v>412</v>
      </c>
      <c r="Y394" s="145" t="s">
        <v>3930</v>
      </c>
      <c r="Z394" s="144">
        <v>884566</v>
      </c>
      <c r="AA394" s="145" t="s">
        <v>3930</v>
      </c>
      <c r="AB394" s="143" t="s">
        <v>1450</v>
      </c>
      <c r="AC394" s="145" t="s">
        <v>3930</v>
      </c>
      <c r="AD394" s="144">
        <v>836.71100000000001</v>
      </c>
      <c r="AE394" s="145" t="s">
        <v>3930</v>
      </c>
      <c r="AF394" s="145" t="s">
        <v>3930</v>
      </c>
      <c r="AG394" s="145" t="s">
        <v>3930</v>
      </c>
      <c r="AH394" s="146">
        <v>3.6855385171848673E-3</v>
      </c>
      <c r="AI394" s="146">
        <v>9.0749717120349577E-4</v>
      </c>
      <c r="AJ394" s="147">
        <v>1.0679982062890799E-4</v>
      </c>
      <c r="AK394" s="177"/>
    </row>
    <row r="395" spans="1:37" ht="15" x14ac:dyDescent="0.2">
      <c r="A395" s="142" t="s">
        <v>1220</v>
      </c>
      <c r="B395" s="143" t="s">
        <v>1220</v>
      </c>
      <c r="C395" s="143" t="s">
        <v>1421</v>
      </c>
      <c r="D395" s="143" t="s">
        <v>1422</v>
      </c>
      <c r="E395" s="143" t="s">
        <v>309</v>
      </c>
      <c r="F395" s="143" t="s">
        <v>1451</v>
      </c>
      <c r="G395" s="143" t="s">
        <v>1452</v>
      </c>
      <c r="H395" s="143" t="s">
        <v>321</v>
      </c>
      <c r="I395" s="143" t="s">
        <v>951</v>
      </c>
      <c r="J395" s="143" t="s">
        <v>204</v>
      </c>
      <c r="K395" s="143" t="s">
        <v>204</v>
      </c>
      <c r="L395" s="143" t="s">
        <v>325</v>
      </c>
      <c r="M395" s="143" t="s">
        <v>340</v>
      </c>
      <c r="N395" s="143" t="s">
        <v>445</v>
      </c>
      <c r="O395" s="143" t="s">
        <v>339</v>
      </c>
      <c r="P395" s="143" t="s">
        <v>1425</v>
      </c>
      <c r="Q395" s="143" t="s">
        <v>415</v>
      </c>
      <c r="R395" s="143" t="s">
        <v>407</v>
      </c>
      <c r="S395" s="143" t="s">
        <v>1210</v>
      </c>
      <c r="T395" s="144">
        <v>3.91</v>
      </c>
      <c r="U395" s="143" t="s">
        <v>1453</v>
      </c>
      <c r="V395" s="146">
        <v>3.95E-2</v>
      </c>
      <c r="W395" s="146">
        <v>5.1232E-2</v>
      </c>
      <c r="X395" s="143" t="s">
        <v>412</v>
      </c>
      <c r="Y395" s="145" t="s">
        <v>3930</v>
      </c>
      <c r="Z395" s="144">
        <v>784329</v>
      </c>
      <c r="AA395" s="145" t="s">
        <v>3930</v>
      </c>
      <c r="AB395" s="143" t="s">
        <v>1454</v>
      </c>
      <c r="AC395" s="145" t="s">
        <v>3930</v>
      </c>
      <c r="AD395" s="144">
        <v>759.07359999999994</v>
      </c>
      <c r="AE395" s="145" t="s">
        <v>3930</v>
      </c>
      <c r="AF395" s="145" t="s">
        <v>3930</v>
      </c>
      <c r="AG395" s="145" t="s">
        <v>3930</v>
      </c>
      <c r="AH395" s="146">
        <v>3.2679017050678974E-3</v>
      </c>
      <c r="AI395" s="146">
        <v>8.232916351303425E-4</v>
      </c>
      <c r="AJ395" s="147">
        <v>9.6889997839435957E-5</v>
      </c>
      <c r="AK395" s="177"/>
    </row>
    <row r="396" spans="1:37" ht="15" x14ac:dyDescent="0.2">
      <c r="A396" s="142" t="s">
        <v>1220</v>
      </c>
      <c r="B396" s="143" t="s">
        <v>1220</v>
      </c>
      <c r="C396" s="143" t="s">
        <v>1865</v>
      </c>
      <c r="D396" s="143" t="s">
        <v>1866</v>
      </c>
      <c r="E396" s="143" t="s">
        <v>309</v>
      </c>
      <c r="F396" s="143" t="s">
        <v>1867</v>
      </c>
      <c r="G396" s="143" t="s">
        <v>1868</v>
      </c>
      <c r="H396" s="143" t="s">
        <v>321</v>
      </c>
      <c r="I396" s="143" t="s">
        <v>951</v>
      </c>
      <c r="J396" s="143" t="s">
        <v>204</v>
      </c>
      <c r="K396" s="143" t="s">
        <v>204</v>
      </c>
      <c r="L396" s="143" t="s">
        <v>325</v>
      </c>
      <c r="M396" s="143" t="s">
        <v>340</v>
      </c>
      <c r="N396" s="143" t="s">
        <v>445</v>
      </c>
      <c r="O396" s="143" t="s">
        <v>339</v>
      </c>
      <c r="P396" s="143" t="s">
        <v>1444</v>
      </c>
      <c r="Q396" s="143" t="s">
        <v>415</v>
      </c>
      <c r="R396" s="143" t="s">
        <v>407</v>
      </c>
      <c r="S396" s="143" t="s">
        <v>1210</v>
      </c>
      <c r="T396" s="144">
        <v>1.1000000000000001</v>
      </c>
      <c r="U396" s="143" t="s">
        <v>1869</v>
      </c>
      <c r="V396" s="146">
        <v>3.27E-2</v>
      </c>
      <c r="W396" s="146">
        <v>5.5626000000000002E-2</v>
      </c>
      <c r="X396" s="143" t="s">
        <v>412</v>
      </c>
      <c r="Y396" s="145" t="s">
        <v>3930</v>
      </c>
      <c r="Z396" s="144">
        <v>628000</v>
      </c>
      <c r="AA396" s="145" t="s">
        <v>3930</v>
      </c>
      <c r="AB396" s="143" t="s">
        <v>1870</v>
      </c>
      <c r="AC396" s="145" t="s">
        <v>3930</v>
      </c>
      <c r="AD396" s="144">
        <v>620.77800000000002</v>
      </c>
      <c r="AE396" s="145" t="s">
        <v>3930</v>
      </c>
      <c r="AF396" s="145" t="s">
        <v>3930</v>
      </c>
      <c r="AG396" s="145" t="s">
        <v>3930</v>
      </c>
      <c r="AH396" s="146">
        <v>1.9899047190527039E-3</v>
      </c>
      <c r="AI396" s="146">
        <v>6.7329614743353954E-4</v>
      </c>
      <c r="AJ396" s="147">
        <v>7.9237610934560469E-5</v>
      </c>
      <c r="AK396" s="177"/>
    </row>
    <row r="397" spans="1:37" ht="15" x14ac:dyDescent="0.2">
      <c r="A397" s="142" t="s">
        <v>1220</v>
      </c>
      <c r="B397" s="143" t="s">
        <v>1220</v>
      </c>
      <c r="C397" s="143" t="s">
        <v>1364</v>
      </c>
      <c r="D397" s="143" t="s">
        <v>1365</v>
      </c>
      <c r="E397" s="143" t="s">
        <v>309</v>
      </c>
      <c r="F397" s="143" t="s">
        <v>1871</v>
      </c>
      <c r="G397" s="143" t="s">
        <v>1872</v>
      </c>
      <c r="H397" s="143" t="s">
        <v>321</v>
      </c>
      <c r="I397" s="143" t="s">
        <v>951</v>
      </c>
      <c r="J397" s="143" t="s">
        <v>204</v>
      </c>
      <c r="K397" s="143" t="s">
        <v>204</v>
      </c>
      <c r="L397" s="143" t="s">
        <v>325</v>
      </c>
      <c r="M397" s="143" t="s">
        <v>340</v>
      </c>
      <c r="N397" s="143" t="s">
        <v>445</v>
      </c>
      <c r="O397" s="143" t="s">
        <v>339</v>
      </c>
      <c r="P397" s="143" t="s">
        <v>1368</v>
      </c>
      <c r="Q397" s="143" t="s">
        <v>415</v>
      </c>
      <c r="R397" s="143" t="s">
        <v>407</v>
      </c>
      <c r="S397" s="143" t="s">
        <v>1210</v>
      </c>
      <c r="T397" s="144">
        <v>4.28</v>
      </c>
      <c r="U397" s="143" t="s">
        <v>1873</v>
      </c>
      <c r="V397" s="146">
        <v>2.6200000000000001E-2</v>
      </c>
      <c r="W397" s="146">
        <v>5.4115000000000003E-2</v>
      </c>
      <c r="X397" s="143" t="s">
        <v>412</v>
      </c>
      <c r="Y397" s="145" t="s">
        <v>3930</v>
      </c>
      <c r="Z397" s="144">
        <v>630000</v>
      </c>
      <c r="AA397" s="145" t="s">
        <v>3930</v>
      </c>
      <c r="AB397" s="143" t="s">
        <v>1874</v>
      </c>
      <c r="AC397" s="145" t="s">
        <v>3930</v>
      </c>
      <c r="AD397" s="144">
        <v>567.75599999999997</v>
      </c>
      <c r="AE397" s="145" t="s">
        <v>3930</v>
      </c>
      <c r="AF397" s="145" t="s">
        <v>3930</v>
      </c>
      <c r="AG397" s="145" t="s">
        <v>3930</v>
      </c>
      <c r="AH397" s="146">
        <v>4.8710298207538342E-4</v>
      </c>
      <c r="AI397" s="146">
        <v>6.1578845816423369E-4</v>
      </c>
      <c r="AJ397" s="147">
        <v>7.2469754137167102E-5</v>
      </c>
      <c r="AK397" s="177"/>
    </row>
    <row r="398" spans="1:37" ht="15" x14ac:dyDescent="0.2">
      <c r="A398" s="142" t="s">
        <v>1220</v>
      </c>
      <c r="B398" s="143" t="s">
        <v>1220</v>
      </c>
      <c r="C398" s="143" t="s">
        <v>1875</v>
      </c>
      <c r="D398" s="143" t="s">
        <v>1876</v>
      </c>
      <c r="E398" s="143" t="s">
        <v>309</v>
      </c>
      <c r="F398" s="143" t="s">
        <v>1877</v>
      </c>
      <c r="G398" s="143" t="s">
        <v>1878</v>
      </c>
      <c r="H398" s="143" t="s">
        <v>321</v>
      </c>
      <c r="I398" s="143" t="s">
        <v>951</v>
      </c>
      <c r="J398" s="143" t="s">
        <v>204</v>
      </c>
      <c r="K398" s="143" t="s">
        <v>204</v>
      </c>
      <c r="L398" s="143" t="s">
        <v>325</v>
      </c>
      <c r="M398" s="143" t="s">
        <v>340</v>
      </c>
      <c r="N398" s="143" t="s">
        <v>437</v>
      </c>
      <c r="O398" s="143" t="s">
        <v>339</v>
      </c>
      <c r="P398" s="143" t="s">
        <v>1425</v>
      </c>
      <c r="Q398" s="143" t="s">
        <v>415</v>
      </c>
      <c r="R398" s="143" t="s">
        <v>407</v>
      </c>
      <c r="S398" s="143" t="s">
        <v>1210</v>
      </c>
      <c r="T398" s="144">
        <v>2.27</v>
      </c>
      <c r="U398" s="143" t="s">
        <v>1879</v>
      </c>
      <c r="V398" s="146">
        <v>0.05</v>
      </c>
      <c r="W398" s="146">
        <v>5.3633E-2</v>
      </c>
      <c r="X398" s="143" t="s">
        <v>412</v>
      </c>
      <c r="Y398" s="145" t="s">
        <v>3930</v>
      </c>
      <c r="Z398" s="144">
        <v>486155.28</v>
      </c>
      <c r="AA398" s="145" t="s">
        <v>3930</v>
      </c>
      <c r="AB398" s="143" t="s">
        <v>1880</v>
      </c>
      <c r="AC398" s="145" t="s">
        <v>3930</v>
      </c>
      <c r="AD398" s="144">
        <v>485.52330000000001</v>
      </c>
      <c r="AE398" s="145" t="s">
        <v>3930</v>
      </c>
      <c r="AF398" s="145" t="s">
        <v>3930</v>
      </c>
      <c r="AG398" s="145" t="s">
        <v>3930</v>
      </c>
      <c r="AH398" s="146">
        <v>2.178358059755062E-3</v>
      </c>
      <c r="AI398" s="146">
        <v>5.2659880449737538E-4</v>
      </c>
      <c r="AJ398" s="147">
        <v>6.197336988845088E-5</v>
      </c>
      <c r="AK398" s="177"/>
    </row>
    <row r="399" spans="1:37" ht="15" x14ac:dyDescent="0.2">
      <c r="A399" s="142" t="s">
        <v>1220</v>
      </c>
      <c r="B399" s="143" t="s">
        <v>1220</v>
      </c>
      <c r="C399" s="143" t="s">
        <v>1881</v>
      </c>
      <c r="D399" s="143" t="s">
        <v>1882</v>
      </c>
      <c r="E399" s="143" t="s">
        <v>309</v>
      </c>
      <c r="F399" s="143" t="s">
        <v>1883</v>
      </c>
      <c r="G399" s="143" t="s">
        <v>1884</v>
      </c>
      <c r="H399" s="143" t="s">
        <v>321</v>
      </c>
      <c r="I399" s="143" t="s">
        <v>951</v>
      </c>
      <c r="J399" s="143" t="s">
        <v>204</v>
      </c>
      <c r="K399" s="143" t="s">
        <v>204</v>
      </c>
      <c r="L399" s="143" t="s">
        <v>325</v>
      </c>
      <c r="M399" s="143" t="s">
        <v>340</v>
      </c>
      <c r="N399" s="143" t="s">
        <v>464</v>
      </c>
      <c r="O399" s="143" t="s">
        <v>339</v>
      </c>
      <c r="P399" s="143" t="s">
        <v>1412</v>
      </c>
      <c r="Q399" s="143" t="s">
        <v>413</v>
      </c>
      <c r="R399" s="143" t="s">
        <v>407</v>
      </c>
      <c r="S399" s="143" t="s">
        <v>1210</v>
      </c>
      <c r="T399" s="144">
        <v>0.73</v>
      </c>
      <c r="U399" s="143" t="s">
        <v>1885</v>
      </c>
      <c r="V399" s="146">
        <v>2.5499999999999998E-2</v>
      </c>
      <c r="W399" s="146">
        <v>4.8809999999999999E-2</v>
      </c>
      <c r="X399" s="143" t="s">
        <v>412</v>
      </c>
      <c r="Y399" s="145" t="s">
        <v>3930</v>
      </c>
      <c r="Z399" s="144">
        <v>0.12</v>
      </c>
      <c r="AA399" s="145" t="s">
        <v>3930</v>
      </c>
      <c r="AB399" s="143" t="s">
        <v>1886</v>
      </c>
      <c r="AC399" s="145" t="s">
        <v>3930</v>
      </c>
      <c r="AD399" s="144">
        <v>1E-4</v>
      </c>
      <c r="AE399" s="145" t="s">
        <v>3930</v>
      </c>
      <c r="AF399" s="145" t="s">
        <v>3930</v>
      </c>
      <c r="AG399" s="145" t="s">
        <v>3930</v>
      </c>
      <c r="AH399" s="146">
        <v>1.7881623651427549E-9</v>
      </c>
      <c r="AI399" s="146">
        <v>1.2890260371691862E-10</v>
      </c>
      <c r="AJ399" s="147">
        <v>1.5170047238063597E-11</v>
      </c>
      <c r="AK399" s="177"/>
    </row>
    <row r="400" spans="1:37" ht="15" x14ac:dyDescent="0.2">
      <c r="A400" s="142" t="s">
        <v>1220</v>
      </c>
      <c r="B400" s="143" t="s">
        <v>1220</v>
      </c>
      <c r="C400" s="143" t="s">
        <v>1887</v>
      </c>
      <c r="D400" s="143" t="s">
        <v>1888</v>
      </c>
      <c r="E400" s="143" t="s">
        <v>309</v>
      </c>
      <c r="F400" s="143" t="s">
        <v>1889</v>
      </c>
      <c r="G400" s="143" t="s">
        <v>1890</v>
      </c>
      <c r="H400" s="143" t="s">
        <v>321</v>
      </c>
      <c r="I400" s="143" t="s">
        <v>754</v>
      </c>
      <c r="J400" s="143" t="s">
        <v>204</v>
      </c>
      <c r="K400" s="143" t="s">
        <v>204</v>
      </c>
      <c r="L400" s="143" t="s">
        <v>325</v>
      </c>
      <c r="M400" s="143" t="s">
        <v>340</v>
      </c>
      <c r="N400" s="143" t="s">
        <v>448</v>
      </c>
      <c r="O400" s="143" t="s">
        <v>339</v>
      </c>
      <c r="P400" s="143" t="s">
        <v>1303</v>
      </c>
      <c r="Q400" s="143" t="s">
        <v>413</v>
      </c>
      <c r="R400" s="143" t="s">
        <v>407</v>
      </c>
      <c r="S400" s="143" t="s">
        <v>1210</v>
      </c>
      <c r="T400" s="144">
        <v>5.05</v>
      </c>
      <c r="U400" s="143" t="s">
        <v>1891</v>
      </c>
      <c r="V400" s="146">
        <v>2.1100000000000001E-2</v>
      </c>
      <c r="W400" s="146">
        <v>2.5798000000000001E-2</v>
      </c>
      <c r="X400" s="143" t="s">
        <v>412</v>
      </c>
      <c r="Y400" s="145" t="s">
        <v>3930</v>
      </c>
      <c r="Z400" s="144">
        <v>37300000</v>
      </c>
      <c r="AA400" s="145" t="s">
        <v>3930</v>
      </c>
      <c r="AB400" s="143" t="s">
        <v>1892</v>
      </c>
      <c r="AC400" s="145" t="s">
        <v>3930</v>
      </c>
      <c r="AD400" s="144">
        <v>38307.1</v>
      </c>
      <c r="AE400" s="145" t="s">
        <v>3930</v>
      </c>
      <c r="AF400" s="145" t="s">
        <v>3930</v>
      </c>
      <c r="AG400" s="145" t="s">
        <v>3930</v>
      </c>
      <c r="AH400" s="146">
        <v>1.3046825511475785E-2</v>
      </c>
      <c r="AI400" s="146">
        <v>4.15479009393879E-2</v>
      </c>
      <c r="AJ400" s="147">
        <v>4.8896112391729439E-3</v>
      </c>
      <c r="AK400" s="177"/>
    </row>
    <row r="401" spans="1:37" ht="15" x14ac:dyDescent="0.2">
      <c r="A401" s="142" t="s">
        <v>1220</v>
      </c>
      <c r="B401" s="143" t="s">
        <v>1220</v>
      </c>
      <c r="C401" s="143" t="s">
        <v>1493</v>
      </c>
      <c r="D401" s="143" t="s">
        <v>1494</v>
      </c>
      <c r="E401" s="143" t="s">
        <v>309</v>
      </c>
      <c r="F401" s="143" t="s">
        <v>1528</v>
      </c>
      <c r="G401" s="143" t="s">
        <v>1529</v>
      </c>
      <c r="H401" s="143" t="s">
        <v>321</v>
      </c>
      <c r="I401" s="143" t="s">
        <v>754</v>
      </c>
      <c r="J401" s="143" t="s">
        <v>204</v>
      </c>
      <c r="K401" s="143" t="s">
        <v>204</v>
      </c>
      <c r="L401" s="143" t="s">
        <v>325</v>
      </c>
      <c r="M401" s="143" t="s">
        <v>340</v>
      </c>
      <c r="N401" s="143" t="s">
        <v>448</v>
      </c>
      <c r="O401" s="143" t="s">
        <v>339</v>
      </c>
      <c r="P401" s="143" t="s">
        <v>1303</v>
      </c>
      <c r="Q401" s="143" t="s">
        <v>413</v>
      </c>
      <c r="R401" s="143" t="s">
        <v>407</v>
      </c>
      <c r="S401" s="143" t="s">
        <v>1210</v>
      </c>
      <c r="T401" s="144">
        <v>5.04</v>
      </c>
      <c r="U401" s="143" t="s">
        <v>1530</v>
      </c>
      <c r="V401" s="146">
        <v>2.0251999999999999E-2</v>
      </c>
      <c r="W401" s="146">
        <v>2.6082999999999999E-2</v>
      </c>
      <c r="X401" s="143" t="s">
        <v>412</v>
      </c>
      <c r="Y401" s="145" t="s">
        <v>3930</v>
      </c>
      <c r="Z401" s="144">
        <v>37100000</v>
      </c>
      <c r="AA401" s="145" t="s">
        <v>3930</v>
      </c>
      <c r="AB401" s="143" t="s">
        <v>1531</v>
      </c>
      <c r="AC401" s="145" t="s">
        <v>3930</v>
      </c>
      <c r="AD401" s="144">
        <v>37600.85</v>
      </c>
      <c r="AE401" s="145" t="s">
        <v>3930</v>
      </c>
      <c r="AF401" s="145" t="s">
        <v>3930</v>
      </c>
      <c r="AG401" s="145" t="s">
        <v>3930</v>
      </c>
      <c r="AH401" s="146">
        <v>1.0397935435267106E-2</v>
      </c>
      <c r="AI401" s="146">
        <v>4.0781901815506359E-2</v>
      </c>
      <c r="AJ401" s="147">
        <v>4.7994637746646435E-3</v>
      </c>
      <c r="AK401" s="177"/>
    </row>
    <row r="402" spans="1:37" ht="15" x14ac:dyDescent="0.2">
      <c r="A402" s="142" t="s">
        <v>1220</v>
      </c>
      <c r="B402" s="143" t="s">
        <v>1220</v>
      </c>
      <c r="C402" s="143" t="s">
        <v>1474</v>
      </c>
      <c r="D402" s="143" t="s">
        <v>1475</v>
      </c>
      <c r="E402" s="143" t="s">
        <v>313</v>
      </c>
      <c r="F402" s="143" t="s">
        <v>1476</v>
      </c>
      <c r="G402" s="143" t="s">
        <v>1477</v>
      </c>
      <c r="H402" s="143" t="s">
        <v>321</v>
      </c>
      <c r="I402" s="143" t="s">
        <v>754</v>
      </c>
      <c r="J402" s="143" t="s">
        <v>204</v>
      </c>
      <c r="K402" s="143" t="s">
        <v>204</v>
      </c>
      <c r="L402" s="143" t="s">
        <v>325</v>
      </c>
      <c r="M402" s="143" t="s">
        <v>340</v>
      </c>
      <c r="N402" s="143" t="s">
        <v>440</v>
      </c>
      <c r="O402" s="143" t="s">
        <v>339</v>
      </c>
      <c r="P402" s="143" t="s">
        <v>1478</v>
      </c>
      <c r="Q402" s="143" t="s">
        <v>415</v>
      </c>
      <c r="R402" s="143" t="s">
        <v>407</v>
      </c>
      <c r="S402" s="143" t="s">
        <v>1210</v>
      </c>
      <c r="T402" s="144">
        <v>10.4</v>
      </c>
      <c r="U402" s="143" t="s">
        <v>1479</v>
      </c>
      <c r="V402" s="146">
        <v>3.2000000000000001E-2</v>
      </c>
      <c r="W402" s="146">
        <v>3.4784000000000002E-2</v>
      </c>
      <c r="X402" s="143" t="s">
        <v>412</v>
      </c>
      <c r="Y402" s="145" t="s">
        <v>3930</v>
      </c>
      <c r="Z402" s="144">
        <v>28867920</v>
      </c>
      <c r="AA402" s="145" t="s">
        <v>3930</v>
      </c>
      <c r="AB402" s="143" t="s">
        <v>1480</v>
      </c>
      <c r="AC402" s="145" t="s">
        <v>3930</v>
      </c>
      <c r="AD402" s="144">
        <v>29725.297200000001</v>
      </c>
      <c r="AE402" s="145" t="s">
        <v>3930</v>
      </c>
      <c r="AF402" s="145" t="s">
        <v>3930</v>
      </c>
      <c r="AG402" s="145" t="s">
        <v>3930</v>
      </c>
      <c r="AH402" s="146">
        <v>5.8623957786084506E-3</v>
      </c>
      <c r="AI402" s="146">
        <v>3.2240073105419473E-2</v>
      </c>
      <c r="AJ402" s="147">
        <v>3.7942090994678977E-3</v>
      </c>
      <c r="AK402" s="177"/>
    </row>
    <row r="403" spans="1:37" ht="15" x14ac:dyDescent="0.2">
      <c r="A403" s="142" t="s">
        <v>1220</v>
      </c>
      <c r="B403" s="143" t="s">
        <v>1220</v>
      </c>
      <c r="C403" s="143" t="s">
        <v>1474</v>
      </c>
      <c r="D403" s="143" t="s">
        <v>1475</v>
      </c>
      <c r="E403" s="143" t="s">
        <v>313</v>
      </c>
      <c r="F403" s="143" t="s">
        <v>1481</v>
      </c>
      <c r="G403" s="143" t="s">
        <v>1482</v>
      </c>
      <c r="H403" s="143" t="s">
        <v>321</v>
      </c>
      <c r="I403" s="143" t="s">
        <v>754</v>
      </c>
      <c r="J403" s="143" t="s">
        <v>204</v>
      </c>
      <c r="K403" s="143" t="s">
        <v>204</v>
      </c>
      <c r="L403" s="143" t="s">
        <v>325</v>
      </c>
      <c r="M403" s="143" t="s">
        <v>340</v>
      </c>
      <c r="N403" s="143" t="s">
        <v>440</v>
      </c>
      <c r="O403" s="143" t="s">
        <v>339</v>
      </c>
      <c r="P403" s="143" t="s">
        <v>1478</v>
      </c>
      <c r="Q403" s="143" t="s">
        <v>415</v>
      </c>
      <c r="R403" s="143" t="s">
        <v>407</v>
      </c>
      <c r="S403" s="143" t="s">
        <v>1210</v>
      </c>
      <c r="T403" s="144">
        <v>7.64</v>
      </c>
      <c r="U403" s="143" t="s">
        <v>1483</v>
      </c>
      <c r="V403" s="146">
        <v>0.03</v>
      </c>
      <c r="W403" s="146">
        <v>3.2599000000000003E-2</v>
      </c>
      <c r="X403" s="143" t="s">
        <v>412</v>
      </c>
      <c r="Y403" s="145" t="s">
        <v>3930</v>
      </c>
      <c r="Z403" s="144">
        <v>28637000</v>
      </c>
      <c r="AA403" s="145" t="s">
        <v>3930</v>
      </c>
      <c r="AB403" s="143" t="s">
        <v>1484</v>
      </c>
      <c r="AC403" s="145" t="s">
        <v>3930</v>
      </c>
      <c r="AD403" s="144">
        <v>29699.432699999998</v>
      </c>
      <c r="AE403" s="145" t="s">
        <v>3930</v>
      </c>
      <c r="AF403" s="145" t="s">
        <v>3930</v>
      </c>
      <c r="AG403" s="145" t="s">
        <v>3930</v>
      </c>
      <c r="AH403" s="146">
        <v>7.0192097463505597E-3</v>
      </c>
      <c r="AI403" s="146">
        <v>3.2212020428996652E-2</v>
      </c>
      <c r="AJ403" s="147">
        <v>3.7909076888352406E-3</v>
      </c>
      <c r="AK403" s="177"/>
    </row>
    <row r="404" spans="1:37" ht="15" x14ac:dyDescent="0.2">
      <c r="A404" s="142" t="s">
        <v>1220</v>
      </c>
      <c r="B404" s="143" t="s">
        <v>1220</v>
      </c>
      <c r="C404" s="143" t="s">
        <v>1493</v>
      </c>
      <c r="D404" s="143" t="s">
        <v>1494</v>
      </c>
      <c r="E404" s="143" t="s">
        <v>309</v>
      </c>
      <c r="F404" s="143" t="s">
        <v>1495</v>
      </c>
      <c r="G404" s="143" t="s">
        <v>1496</v>
      </c>
      <c r="H404" s="143" t="s">
        <v>321</v>
      </c>
      <c r="I404" s="143" t="s">
        <v>754</v>
      </c>
      <c r="J404" s="143" t="s">
        <v>204</v>
      </c>
      <c r="K404" s="143" t="s">
        <v>204</v>
      </c>
      <c r="L404" s="143" t="s">
        <v>325</v>
      </c>
      <c r="M404" s="143" t="s">
        <v>340</v>
      </c>
      <c r="N404" s="143" t="s">
        <v>448</v>
      </c>
      <c r="O404" s="143" t="s">
        <v>339</v>
      </c>
      <c r="P404" s="143" t="s">
        <v>1303</v>
      </c>
      <c r="Q404" s="143" t="s">
        <v>413</v>
      </c>
      <c r="R404" s="143" t="s">
        <v>407</v>
      </c>
      <c r="S404" s="143" t="s">
        <v>1210</v>
      </c>
      <c r="T404" s="144">
        <v>5.14</v>
      </c>
      <c r="U404" s="143" t="s">
        <v>1497</v>
      </c>
      <c r="V404" s="146">
        <v>1E-3</v>
      </c>
      <c r="W404" s="146">
        <v>2.6318999999999999E-2</v>
      </c>
      <c r="X404" s="143" t="s">
        <v>412</v>
      </c>
      <c r="Y404" s="145" t="s">
        <v>3930</v>
      </c>
      <c r="Z404" s="144">
        <v>20000000</v>
      </c>
      <c r="AA404" s="145" t="s">
        <v>3930</v>
      </c>
      <c r="AB404" s="143" t="s">
        <v>1498</v>
      </c>
      <c r="AC404" s="145" t="s">
        <v>3930</v>
      </c>
      <c r="AD404" s="144">
        <v>19820</v>
      </c>
      <c r="AE404" s="145" t="s">
        <v>3930</v>
      </c>
      <c r="AF404" s="145" t="s">
        <v>3930</v>
      </c>
      <c r="AG404" s="145" t="s">
        <v>3930</v>
      </c>
      <c r="AH404" s="146">
        <v>8.0423639563766101E-3</v>
      </c>
      <c r="AI404" s="146">
        <v>2.1496782492505782E-2</v>
      </c>
      <c r="AJ404" s="147">
        <v>2.5298729154754011E-3</v>
      </c>
      <c r="AK404" s="177"/>
    </row>
    <row r="405" spans="1:37" ht="15" x14ac:dyDescent="0.2">
      <c r="A405" s="142" t="s">
        <v>1220</v>
      </c>
      <c r="B405" s="143" t="s">
        <v>1220</v>
      </c>
      <c r="C405" s="143" t="s">
        <v>1358</v>
      </c>
      <c r="D405" s="143" t="s">
        <v>1359</v>
      </c>
      <c r="E405" s="143" t="s">
        <v>309</v>
      </c>
      <c r="F405" s="143" t="s">
        <v>1489</v>
      </c>
      <c r="G405" s="143" t="s">
        <v>1490</v>
      </c>
      <c r="H405" s="143" t="s">
        <v>321</v>
      </c>
      <c r="I405" s="143" t="s">
        <v>754</v>
      </c>
      <c r="J405" s="143" t="s">
        <v>204</v>
      </c>
      <c r="K405" s="143" t="s">
        <v>204</v>
      </c>
      <c r="L405" s="143" t="s">
        <v>325</v>
      </c>
      <c r="M405" s="143" t="s">
        <v>340</v>
      </c>
      <c r="N405" s="143" t="s">
        <v>448</v>
      </c>
      <c r="O405" s="143" t="s">
        <v>339</v>
      </c>
      <c r="P405" s="143" t="s">
        <v>1303</v>
      </c>
      <c r="Q405" s="143" t="s">
        <v>413</v>
      </c>
      <c r="R405" s="143" t="s">
        <v>407</v>
      </c>
      <c r="S405" s="143" t="s">
        <v>1210</v>
      </c>
      <c r="T405" s="144">
        <v>2.96</v>
      </c>
      <c r="U405" s="143" t="s">
        <v>1491</v>
      </c>
      <c r="V405" s="146">
        <v>1.2200000000000001E-2</v>
      </c>
      <c r="W405" s="146">
        <v>2.2668000000000001E-2</v>
      </c>
      <c r="X405" s="143" t="s">
        <v>412</v>
      </c>
      <c r="Y405" s="145" t="s">
        <v>3930</v>
      </c>
      <c r="Z405" s="144">
        <v>17379335</v>
      </c>
      <c r="AA405" s="145" t="s">
        <v>3930</v>
      </c>
      <c r="AB405" s="143" t="s">
        <v>1492</v>
      </c>
      <c r="AC405" s="145" t="s">
        <v>3930</v>
      </c>
      <c r="AD405" s="144">
        <v>19645.600300000002</v>
      </c>
      <c r="AE405" s="145" t="s">
        <v>3930</v>
      </c>
      <c r="AF405" s="145" t="s">
        <v>3930</v>
      </c>
      <c r="AG405" s="145" t="s">
        <v>3930</v>
      </c>
      <c r="AH405" s="146">
        <v>5.7631203881666473E-3</v>
      </c>
      <c r="AI405" s="146">
        <v>2.130762846820675E-2</v>
      </c>
      <c r="AJ405" s="147">
        <v>2.5076121123485092E-3</v>
      </c>
      <c r="AK405" s="177"/>
    </row>
    <row r="406" spans="1:37" ht="15" x14ac:dyDescent="0.2">
      <c r="A406" s="142" t="s">
        <v>1220</v>
      </c>
      <c r="B406" s="143" t="s">
        <v>1220</v>
      </c>
      <c r="C406" s="143" t="s">
        <v>1352</v>
      </c>
      <c r="D406" s="143" t="s">
        <v>1353</v>
      </c>
      <c r="E406" s="143" t="s">
        <v>309</v>
      </c>
      <c r="F406" s="143" t="s">
        <v>1499</v>
      </c>
      <c r="G406" s="143" t="s">
        <v>1500</v>
      </c>
      <c r="H406" s="143" t="s">
        <v>321</v>
      </c>
      <c r="I406" s="143" t="s">
        <v>754</v>
      </c>
      <c r="J406" s="143" t="s">
        <v>204</v>
      </c>
      <c r="K406" s="143" t="s">
        <v>204</v>
      </c>
      <c r="L406" s="143" t="s">
        <v>325</v>
      </c>
      <c r="M406" s="143" t="s">
        <v>340</v>
      </c>
      <c r="N406" s="143" t="s">
        <v>445</v>
      </c>
      <c r="O406" s="143" t="s">
        <v>339</v>
      </c>
      <c r="P406" s="143" t="s">
        <v>1356</v>
      </c>
      <c r="Q406" s="143" t="s">
        <v>413</v>
      </c>
      <c r="R406" s="143" t="s">
        <v>407</v>
      </c>
      <c r="S406" s="143" t="s">
        <v>1210</v>
      </c>
      <c r="T406" s="144">
        <v>6.79</v>
      </c>
      <c r="U406" s="143" t="s">
        <v>1501</v>
      </c>
      <c r="V406" s="146">
        <v>2.5000000000000001E-2</v>
      </c>
      <c r="W406" s="146">
        <v>6.0318999999999998E-2</v>
      </c>
      <c r="X406" s="143" t="s">
        <v>412</v>
      </c>
      <c r="Y406" s="145" t="s">
        <v>3930</v>
      </c>
      <c r="Z406" s="144">
        <v>23841790</v>
      </c>
      <c r="AA406" s="145" t="s">
        <v>3930</v>
      </c>
      <c r="AB406" s="143" t="s">
        <v>1502</v>
      </c>
      <c r="AC406" s="145" t="s">
        <v>3930</v>
      </c>
      <c r="AD406" s="144">
        <v>18899.386899999998</v>
      </c>
      <c r="AE406" s="145" t="s">
        <v>3930</v>
      </c>
      <c r="AF406" s="145" t="s">
        <v>3930</v>
      </c>
      <c r="AG406" s="145" t="s">
        <v>3930</v>
      </c>
      <c r="AH406" s="146">
        <v>1.7877133042990899E-2</v>
      </c>
      <c r="AI406" s="146">
        <v>2.0498285072674417E-2</v>
      </c>
      <c r="AJ406" s="147">
        <v>2.4123636287026445E-3</v>
      </c>
      <c r="AK406" s="177"/>
    </row>
    <row r="407" spans="1:37" ht="15" x14ac:dyDescent="0.2">
      <c r="A407" s="142" t="s">
        <v>1220</v>
      </c>
      <c r="B407" s="143" t="s">
        <v>1220</v>
      </c>
      <c r="C407" s="143" t="s">
        <v>1474</v>
      </c>
      <c r="D407" s="143" t="s">
        <v>1475</v>
      </c>
      <c r="E407" s="143" t="s">
        <v>313</v>
      </c>
      <c r="F407" s="143" t="s">
        <v>1547</v>
      </c>
      <c r="G407" s="143" t="s">
        <v>1548</v>
      </c>
      <c r="H407" s="143" t="s">
        <v>321</v>
      </c>
      <c r="I407" s="143" t="s">
        <v>754</v>
      </c>
      <c r="J407" s="143" t="s">
        <v>204</v>
      </c>
      <c r="K407" s="143" t="s">
        <v>204</v>
      </c>
      <c r="L407" s="143" t="s">
        <v>325</v>
      </c>
      <c r="M407" s="143" t="s">
        <v>340</v>
      </c>
      <c r="N407" s="143" t="s">
        <v>440</v>
      </c>
      <c r="O407" s="143" t="s">
        <v>339</v>
      </c>
      <c r="P407" s="143" t="s">
        <v>1478</v>
      </c>
      <c r="Q407" s="143" t="s">
        <v>415</v>
      </c>
      <c r="R407" s="143" t="s">
        <v>407</v>
      </c>
      <c r="S407" s="143" t="s">
        <v>1210</v>
      </c>
      <c r="T407" s="144">
        <v>0.9</v>
      </c>
      <c r="U407" s="143" t="s">
        <v>1549</v>
      </c>
      <c r="V407" s="146">
        <v>4.4999999999999998E-2</v>
      </c>
      <c r="W407" s="146">
        <v>2.6144000000000001E-2</v>
      </c>
      <c r="X407" s="143" t="s">
        <v>412</v>
      </c>
      <c r="Y407" s="145" t="s">
        <v>3930</v>
      </c>
      <c r="Z407" s="144">
        <v>13445749</v>
      </c>
      <c r="AA407" s="145" t="s">
        <v>3930</v>
      </c>
      <c r="AB407" s="143" t="s">
        <v>1550</v>
      </c>
      <c r="AC407" s="145" t="s">
        <v>3930</v>
      </c>
      <c r="AD407" s="144">
        <v>16054.2243</v>
      </c>
      <c r="AE407" s="145" t="s">
        <v>3930</v>
      </c>
      <c r="AF407" s="145" t="s">
        <v>3930</v>
      </c>
      <c r="AG407" s="145" t="s">
        <v>3930</v>
      </c>
      <c r="AH407" s="146">
        <v>4.5492386432448052E-3</v>
      </c>
      <c r="AI407" s="146">
        <v>1.741242018123015E-2</v>
      </c>
      <c r="AJ407" s="147">
        <v>2.049200164011921E-3</v>
      </c>
      <c r="AK407" s="177"/>
    </row>
    <row r="408" spans="1:37" ht="15" x14ac:dyDescent="0.2">
      <c r="A408" s="142" t="s">
        <v>1220</v>
      </c>
      <c r="B408" s="143" t="s">
        <v>1220</v>
      </c>
      <c r="C408" s="143" t="s">
        <v>1569</v>
      </c>
      <c r="D408" s="143" t="s">
        <v>1570</v>
      </c>
      <c r="E408" s="143" t="s">
        <v>309</v>
      </c>
      <c r="F408" s="143" t="s">
        <v>1602</v>
      </c>
      <c r="G408" s="143" t="s">
        <v>1603</v>
      </c>
      <c r="H408" s="143" t="s">
        <v>321</v>
      </c>
      <c r="I408" s="143" t="s">
        <v>754</v>
      </c>
      <c r="J408" s="143" t="s">
        <v>204</v>
      </c>
      <c r="K408" s="143" t="s">
        <v>204</v>
      </c>
      <c r="L408" s="143" t="s">
        <v>325</v>
      </c>
      <c r="M408" s="143" t="s">
        <v>340</v>
      </c>
      <c r="N408" s="143" t="s">
        <v>448</v>
      </c>
      <c r="O408" s="143" t="s">
        <v>339</v>
      </c>
      <c r="P408" s="143" t="s">
        <v>1303</v>
      </c>
      <c r="Q408" s="143" t="s">
        <v>413</v>
      </c>
      <c r="R408" s="143" t="s">
        <v>407</v>
      </c>
      <c r="S408" s="143" t="s">
        <v>1210</v>
      </c>
      <c r="T408" s="144">
        <v>3.01</v>
      </c>
      <c r="U408" s="143" t="s">
        <v>1604</v>
      </c>
      <c r="V408" s="146">
        <v>1.7500000000000002E-2</v>
      </c>
      <c r="W408" s="146">
        <v>2.3508000000000001E-2</v>
      </c>
      <c r="X408" s="143" t="s">
        <v>412</v>
      </c>
      <c r="Y408" s="145" t="s">
        <v>3930</v>
      </c>
      <c r="Z408" s="144">
        <v>13505707.869999999</v>
      </c>
      <c r="AA408" s="145" t="s">
        <v>3930</v>
      </c>
      <c r="AB408" s="143" t="s">
        <v>1605</v>
      </c>
      <c r="AC408" s="145" t="s">
        <v>3930</v>
      </c>
      <c r="AD408" s="144">
        <v>15434.323</v>
      </c>
      <c r="AE408" s="145" t="s">
        <v>3930</v>
      </c>
      <c r="AF408" s="145" t="s">
        <v>3930</v>
      </c>
      <c r="AG408" s="145" t="s">
        <v>3930</v>
      </c>
      <c r="AH408" s="146">
        <v>5.1937242479479593E-3</v>
      </c>
      <c r="AI408" s="146">
        <v>1.6740074846503625E-2</v>
      </c>
      <c r="AJ408" s="147">
        <v>1.970074450535317E-3</v>
      </c>
      <c r="AK408" s="177"/>
    </row>
    <row r="409" spans="1:37" ht="15" x14ac:dyDescent="0.2">
      <c r="A409" s="142" t="s">
        <v>1220</v>
      </c>
      <c r="B409" s="143" t="s">
        <v>1220</v>
      </c>
      <c r="C409" s="143" t="s">
        <v>1474</v>
      </c>
      <c r="D409" s="143" t="s">
        <v>1475</v>
      </c>
      <c r="E409" s="143" t="s">
        <v>313</v>
      </c>
      <c r="F409" s="143" t="s">
        <v>1551</v>
      </c>
      <c r="G409" s="143" t="s">
        <v>1552</v>
      </c>
      <c r="H409" s="143" t="s">
        <v>321</v>
      </c>
      <c r="I409" s="143" t="s">
        <v>754</v>
      </c>
      <c r="J409" s="143" t="s">
        <v>204</v>
      </c>
      <c r="K409" s="143" t="s">
        <v>204</v>
      </c>
      <c r="L409" s="143" t="s">
        <v>325</v>
      </c>
      <c r="M409" s="143" t="s">
        <v>340</v>
      </c>
      <c r="N409" s="143" t="s">
        <v>440</v>
      </c>
      <c r="O409" s="143" t="s">
        <v>339</v>
      </c>
      <c r="P409" s="143" t="s">
        <v>1478</v>
      </c>
      <c r="Q409" s="143" t="s">
        <v>415</v>
      </c>
      <c r="R409" s="143" t="s">
        <v>407</v>
      </c>
      <c r="S409" s="143" t="s">
        <v>1210</v>
      </c>
      <c r="T409" s="144">
        <v>5.8</v>
      </c>
      <c r="U409" s="143" t="s">
        <v>1553</v>
      </c>
      <c r="V409" s="146">
        <v>2.3900000000000001E-2</v>
      </c>
      <c r="W409" s="146">
        <v>2.9045000000000001E-2</v>
      </c>
      <c r="X409" s="143" t="s">
        <v>412</v>
      </c>
      <c r="Y409" s="145" t="s">
        <v>3930</v>
      </c>
      <c r="Z409" s="144">
        <v>13000000</v>
      </c>
      <c r="AA409" s="145" t="s">
        <v>3930</v>
      </c>
      <c r="AB409" s="143" t="s">
        <v>1554</v>
      </c>
      <c r="AC409" s="145" t="s">
        <v>3930</v>
      </c>
      <c r="AD409" s="144">
        <v>14526.2</v>
      </c>
      <c r="AE409" s="145" t="s">
        <v>3930</v>
      </c>
      <c r="AF409" s="145" t="s">
        <v>3930</v>
      </c>
      <c r="AG409" s="145" t="s">
        <v>3930</v>
      </c>
      <c r="AH409" s="146">
        <v>3.3426344279004041E-3</v>
      </c>
      <c r="AI409" s="146">
        <v>1.5755124210022071E-2</v>
      </c>
      <c r="AJ409" s="147">
        <v>1.8541594321280915E-3</v>
      </c>
      <c r="AK409" s="177"/>
    </row>
    <row r="410" spans="1:37" ht="15" x14ac:dyDescent="0.2">
      <c r="A410" s="142" t="s">
        <v>1220</v>
      </c>
      <c r="B410" s="143" t="s">
        <v>1220</v>
      </c>
      <c r="C410" s="143" t="s">
        <v>1706</v>
      </c>
      <c r="D410" s="143" t="s">
        <v>1707</v>
      </c>
      <c r="E410" s="143" t="s">
        <v>309</v>
      </c>
      <c r="F410" s="143" t="s">
        <v>1719</v>
      </c>
      <c r="G410" s="143" t="s">
        <v>1720</v>
      </c>
      <c r="H410" s="143" t="s">
        <v>321</v>
      </c>
      <c r="I410" s="143" t="s">
        <v>754</v>
      </c>
      <c r="J410" s="143" t="s">
        <v>204</v>
      </c>
      <c r="K410" s="143" t="s">
        <v>204</v>
      </c>
      <c r="L410" s="143" t="s">
        <v>325</v>
      </c>
      <c r="M410" s="143" t="s">
        <v>340</v>
      </c>
      <c r="N410" s="143" t="s">
        <v>464</v>
      </c>
      <c r="O410" s="143" t="s">
        <v>339</v>
      </c>
      <c r="P410" s="143" t="s">
        <v>1721</v>
      </c>
      <c r="Q410" s="143" t="s">
        <v>413</v>
      </c>
      <c r="R410" s="143" t="s">
        <v>407</v>
      </c>
      <c r="S410" s="143" t="s">
        <v>1210</v>
      </c>
      <c r="T410" s="144">
        <v>10.34</v>
      </c>
      <c r="U410" s="143" t="s">
        <v>1722</v>
      </c>
      <c r="V410" s="146">
        <v>1.6899999999999998E-2</v>
      </c>
      <c r="W410" s="146">
        <v>3.6212000000000001E-2</v>
      </c>
      <c r="X410" s="143" t="s">
        <v>412</v>
      </c>
      <c r="Y410" s="145" t="s">
        <v>3930</v>
      </c>
      <c r="Z410" s="144">
        <v>14626096</v>
      </c>
      <c r="AA410" s="145" t="s">
        <v>3930</v>
      </c>
      <c r="AB410" s="143" t="s">
        <v>1723</v>
      </c>
      <c r="AC410" s="145" t="s">
        <v>3930</v>
      </c>
      <c r="AD410" s="144">
        <v>13691.488499999999</v>
      </c>
      <c r="AE410" s="145" t="s">
        <v>3930</v>
      </c>
      <c r="AF410" s="145" t="s">
        <v>3930</v>
      </c>
      <c r="AG410" s="145" t="s">
        <v>3930</v>
      </c>
      <c r="AH410" s="146">
        <v>3.3523332783248071E-3</v>
      </c>
      <c r="AI410" s="146">
        <v>1.4849795637924063E-2</v>
      </c>
      <c r="AJ410" s="147">
        <v>1.7476148255128809E-3</v>
      </c>
      <c r="AK410" s="177"/>
    </row>
    <row r="411" spans="1:37" ht="15" x14ac:dyDescent="0.2">
      <c r="A411" s="142" t="s">
        <v>1220</v>
      </c>
      <c r="B411" s="143" t="s">
        <v>1220</v>
      </c>
      <c r="C411" s="143" t="s">
        <v>1455</v>
      </c>
      <c r="D411" s="143" t="s">
        <v>1456</v>
      </c>
      <c r="E411" s="143" t="s">
        <v>309</v>
      </c>
      <c r="F411" s="143" t="s">
        <v>1565</v>
      </c>
      <c r="G411" s="143" t="s">
        <v>1566</v>
      </c>
      <c r="H411" s="143" t="s">
        <v>321</v>
      </c>
      <c r="I411" s="143" t="s">
        <v>754</v>
      </c>
      <c r="J411" s="143" t="s">
        <v>204</v>
      </c>
      <c r="K411" s="143" t="s">
        <v>204</v>
      </c>
      <c r="L411" s="143" t="s">
        <v>325</v>
      </c>
      <c r="M411" s="143" t="s">
        <v>340</v>
      </c>
      <c r="N411" s="143" t="s">
        <v>464</v>
      </c>
      <c r="O411" s="143" t="s">
        <v>339</v>
      </c>
      <c r="P411" s="143" t="s">
        <v>1412</v>
      </c>
      <c r="Q411" s="143" t="s">
        <v>413</v>
      </c>
      <c r="R411" s="143" t="s">
        <v>407</v>
      </c>
      <c r="S411" s="143" t="s">
        <v>1210</v>
      </c>
      <c r="T411" s="144">
        <v>5.14</v>
      </c>
      <c r="U411" s="143" t="s">
        <v>1567</v>
      </c>
      <c r="V411" s="146">
        <v>5.8999999999999999E-3</v>
      </c>
      <c r="W411" s="146">
        <v>3.3244999999999997E-2</v>
      </c>
      <c r="X411" s="143" t="s">
        <v>412</v>
      </c>
      <c r="Y411" s="145" t="s">
        <v>3930</v>
      </c>
      <c r="Z411" s="144">
        <v>13000000</v>
      </c>
      <c r="AA411" s="145" t="s">
        <v>3930</v>
      </c>
      <c r="AB411" s="143" t="s">
        <v>1568</v>
      </c>
      <c r="AC411" s="145" t="s">
        <v>3930</v>
      </c>
      <c r="AD411" s="144">
        <v>12680.2</v>
      </c>
      <c r="AE411" s="145" t="s">
        <v>3930</v>
      </c>
      <c r="AF411" s="145" t="s">
        <v>3930</v>
      </c>
      <c r="AG411" s="145" t="s">
        <v>3930</v>
      </c>
      <c r="AH411" s="146">
        <v>9.2822599589724112E-3</v>
      </c>
      <c r="AI411" s="146">
        <v>1.3752951632768507E-2</v>
      </c>
      <c r="AJ411" s="147">
        <v>1.6185315107371939E-3</v>
      </c>
      <c r="AK411" s="177"/>
    </row>
    <row r="412" spans="1:37" ht="15" x14ac:dyDescent="0.2">
      <c r="A412" s="142" t="s">
        <v>1220</v>
      </c>
      <c r="B412" s="143" t="s">
        <v>1220</v>
      </c>
      <c r="C412" s="143" t="s">
        <v>1569</v>
      </c>
      <c r="D412" s="143" t="s">
        <v>1570</v>
      </c>
      <c r="E412" s="143" t="s">
        <v>309</v>
      </c>
      <c r="F412" s="143" t="s">
        <v>1571</v>
      </c>
      <c r="G412" s="143" t="s">
        <v>1572</v>
      </c>
      <c r="H412" s="143" t="s">
        <v>321</v>
      </c>
      <c r="I412" s="143" t="s">
        <v>754</v>
      </c>
      <c r="J412" s="143" t="s">
        <v>204</v>
      </c>
      <c r="K412" s="143" t="s">
        <v>204</v>
      </c>
      <c r="L412" s="143" t="s">
        <v>325</v>
      </c>
      <c r="M412" s="143" t="s">
        <v>340</v>
      </c>
      <c r="N412" s="143" t="s">
        <v>448</v>
      </c>
      <c r="O412" s="143" t="s">
        <v>339</v>
      </c>
      <c r="P412" s="143" t="s">
        <v>1303</v>
      </c>
      <c r="Q412" s="143" t="s">
        <v>413</v>
      </c>
      <c r="R412" s="143" t="s">
        <v>407</v>
      </c>
      <c r="S412" s="143" t="s">
        <v>1210</v>
      </c>
      <c r="T412" s="144">
        <v>3.92</v>
      </c>
      <c r="U412" s="143" t="s">
        <v>1573</v>
      </c>
      <c r="V412" s="146">
        <v>1.3899999999999999E-2</v>
      </c>
      <c r="W412" s="146">
        <v>2.4587000000000001E-2</v>
      </c>
      <c r="X412" s="143" t="s">
        <v>412</v>
      </c>
      <c r="Y412" s="145" t="s">
        <v>3930</v>
      </c>
      <c r="Z412" s="144">
        <v>11686500</v>
      </c>
      <c r="AA412" s="145" t="s">
        <v>3930</v>
      </c>
      <c r="AB412" s="143" t="s">
        <v>1574</v>
      </c>
      <c r="AC412" s="145" t="s">
        <v>3930</v>
      </c>
      <c r="AD412" s="144">
        <v>12135.2616</v>
      </c>
      <c r="AE412" s="145" t="s">
        <v>3930</v>
      </c>
      <c r="AF412" s="145" t="s">
        <v>3930</v>
      </c>
      <c r="AG412" s="145" t="s">
        <v>3930</v>
      </c>
      <c r="AH412" s="146">
        <v>6.4925E-3</v>
      </c>
      <c r="AI412" s="146">
        <v>1.3161911155643679E-2</v>
      </c>
      <c r="AJ412" s="147">
        <v>1.5489742504565429E-3</v>
      </c>
      <c r="AK412" s="177"/>
    </row>
    <row r="413" spans="1:37" ht="15" x14ac:dyDescent="0.2">
      <c r="A413" s="142" t="s">
        <v>1220</v>
      </c>
      <c r="B413" s="143" t="s">
        <v>1220</v>
      </c>
      <c r="C413" s="143" t="s">
        <v>1461</v>
      </c>
      <c r="D413" s="143" t="s">
        <v>1462</v>
      </c>
      <c r="E413" s="143" t="s">
        <v>309</v>
      </c>
      <c r="F413" s="143" t="s">
        <v>1893</v>
      </c>
      <c r="G413" s="143" t="s">
        <v>1894</v>
      </c>
      <c r="H413" s="143" t="s">
        <v>321</v>
      </c>
      <c r="I413" s="143" t="s">
        <v>754</v>
      </c>
      <c r="J413" s="143" t="s">
        <v>204</v>
      </c>
      <c r="K413" s="143" t="s">
        <v>204</v>
      </c>
      <c r="L413" s="143" t="s">
        <v>325</v>
      </c>
      <c r="M413" s="143" t="s">
        <v>340</v>
      </c>
      <c r="N413" s="143" t="s">
        <v>464</v>
      </c>
      <c r="O413" s="143" t="s">
        <v>339</v>
      </c>
      <c r="P413" s="143" t="s">
        <v>1356</v>
      </c>
      <c r="Q413" s="143" t="s">
        <v>413</v>
      </c>
      <c r="R413" s="143" t="s">
        <v>407</v>
      </c>
      <c r="S413" s="143" t="s">
        <v>1210</v>
      </c>
      <c r="T413" s="144">
        <v>6.91</v>
      </c>
      <c r="U413" s="143" t="s">
        <v>1790</v>
      </c>
      <c r="V413" s="146">
        <v>2.5600000000000001E-2</v>
      </c>
      <c r="W413" s="146">
        <v>4.2012000000000001E-2</v>
      </c>
      <c r="X413" s="143" t="s">
        <v>412</v>
      </c>
      <c r="Y413" s="145" t="s">
        <v>3930</v>
      </c>
      <c r="Z413" s="144">
        <v>12081123</v>
      </c>
      <c r="AA413" s="145" t="s">
        <v>3930</v>
      </c>
      <c r="AB413" s="143" t="s">
        <v>1895</v>
      </c>
      <c r="AC413" s="145" t="s">
        <v>3930</v>
      </c>
      <c r="AD413" s="144">
        <v>11777.8868</v>
      </c>
      <c r="AE413" s="145" t="s">
        <v>3930</v>
      </c>
      <c r="AF413" s="145" t="s">
        <v>3930</v>
      </c>
      <c r="AG413" s="145" t="s">
        <v>3930</v>
      </c>
      <c r="AH413" s="146">
        <v>1.1500574023303633E-2</v>
      </c>
      <c r="AI413" s="146">
        <v>1.2774302272147531E-2</v>
      </c>
      <c r="AJ413" s="147">
        <v>1.5033580650345424E-3</v>
      </c>
      <c r="AK413" s="177"/>
    </row>
    <row r="414" spans="1:37" ht="15" x14ac:dyDescent="0.2">
      <c r="A414" s="142" t="s">
        <v>1220</v>
      </c>
      <c r="B414" s="143" t="s">
        <v>1220</v>
      </c>
      <c r="C414" s="143" t="s">
        <v>1569</v>
      </c>
      <c r="D414" s="143" t="s">
        <v>1570</v>
      </c>
      <c r="E414" s="143" t="s">
        <v>309</v>
      </c>
      <c r="F414" s="143" t="s">
        <v>1730</v>
      </c>
      <c r="G414" s="143" t="s">
        <v>1731</v>
      </c>
      <c r="H414" s="143" t="s">
        <v>321</v>
      </c>
      <c r="I414" s="143" t="s">
        <v>754</v>
      </c>
      <c r="J414" s="143" t="s">
        <v>204</v>
      </c>
      <c r="K414" s="143" t="s">
        <v>204</v>
      </c>
      <c r="L414" s="143" t="s">
        <v>325</v>
      </c>
      <c r="M414" s="143" t="s">
        <v>340</v>
      </c>
      <c r="N414" s="143" t="s">
        <v>448</v>
      </c>
      <c r="O414" s="143" t="s">
        <v>339</v>
      </c>
      <c r="P414" s="143" t="s">
        <v>1303</v>
      </c>
      <c r="Q414" s="143" t="s">
        <v>413</v>
      </c>
      <c r="R414" s="143" t="s">
        <v>407</v>
      </c>
      <c r="S414" s="143" t="s">
        <v>1210</v>
      </c>
      <c r="T414" s="144">
        <v>2.04</v>
      </c>
      <c r="U414" s="143" t="s">
        <v>1732</v>
      </c>
      <c r="V414" s="146">
        <v>6.0000000000000001E-3</v>
      </c>
      <c r="W414" s="146">
        <v>2.0981E-2</v>
      </c>
      <c r="X414" s="143" t="s">
        <v>412</v>
      </c>
      <c r="Y414" s="145" t="s">
        <v>3930</v>
      </c>
      <c r="Z414" s="144">
        <v>10335200.23</v>
      </c>
      <c r="AA414" s="145" t="s">
        <v>3930</v>
      </c>
      <c r="AB414" s="143" t="s">
        <v>1733</v>
      </c>
      <c r="AC414" s="145" t="s">
        <v>3930</v>
      </c>
      <c r="AD414" s="144">
        <v>11703.580699999999</v>
      </c>
      <c r="AE414" s="145" t="s">
        <v>3930</v>
      </c>
      <c r="AF414" s="145" t="s">
        <v>3930</v>
      </c>
      <c r="AG414" s="145" t="s">
        <v>3930</v>
      </c>
      <c r="AH414" s="146">
        <v>1.161704860744241E-2</v>
      </c>
      <c r="AI414" s="146">
        <v>1.2693709866850474E-2</v>
      </c>
      <c r="AJ414" s="147">
        <v>1.4938734575857242E-3</v>
      </c>
      <c r="AK414" s="177"/>
    </row>
    <row r="415" spans="1:37" ht="15" x14ac:dyDescent="0.2">
      <c r="A415" s="142" t="s">
        <v>1220</v>
      </c>
      <c r="B415" s="143" t="s">
        <v>1220</v>
      </c>
      <c r="C415" s="143" t="s">
        <v>1569</v>
      </c>
      <c r="D415" s="143" t="s">
        <v>1570</v>
      </c>
      <c r="E415" s="143" t="s">
        <v>309</v>
      </c>
      <c r="F415" s="143" t="s">
        <v>1581</v>
      </c>
      <c r="G415" s="143" t="s">
        <v>1582</v>
      </c>
      <c r="H415" s="143" t="s">
        <v>321</v>
      </c>
      <c r="I415" s="143" t="s">
        <v>754</v>
      </c>
      <c r="J415" s="143" t="s">
        <v>204</v>
      </c>
      <c r="K415" s="143" t="s">
        <v>204</v>
      </c>
      <c r="L415" s="143" t="s">
        <v>325</v>
      </c>
      <c r="M415" s="143" t="s">
        <v>340</v>
      </c>
      <c r="N415" s="143" t="s">
        <v>448</v>
      </c>
      <c r="O415" s="143" t="s">
        <v>339</v>
      </c>
      <c r="P415" s="143" t="s">
        <v>1303</v>
      </c>
      <c r="Q415" s="143" t="s">
        <v>413</v>
      </c>
      <c r="R415" s="143" t="s">
        <v>407</v>
      </c>
      <c r="S415" s="143" t="s">
        <v>1210</v>
      </c>
      <c r="T415" s="144">
        <v>3.56</v>
      </c>
      <c r="U415" s="143" t="s">
        <v>1583</v>
      </c>
      <c r="V415" s="146">
        <v>1E-3</v>
      </c>
      <c r="W415" s="146">
        <v>2.3969000000000001E-2</v>
      </c>
      <c r="X415" s="143" t="s">
        <v>412</v>
      </c>
      <c r="Y415" s="145" t="s">
        <v>3930</v>
      </c>
      <c r="Z415" s="144">
        <v>10720000.130000001</v>
      </c>
      <c r="AA415" s="145" t="s">
        <v>3930</v>
      </c>
      <c r="AB415" s="143" t="s">
        <v>1584</v>
      </c>
      <c r="AC415" s="145" t="s">
        <v>3930</v>
      </c>
      <c r="AD415" s="144">
        <v>11119.856099999999</v>
      </c>
      <c r="AE415" s="145" t="s">
        <v>3930</v>
      </c>
      <c r="AF415" s="145" t="s">
        <v>3930</v>
      </c>
      <c r="AG415" s="145" t="s">
        <v>3930</v>
      </c>
      <c r="AH415" s="146">
        <v>9.5309237846610446E-3</v>
      </c>
      <c r="AI415" s="146">
        <v>1.206060185059561E-2</v>
      </c>
      <c r="AJ415" s="147">
        <v>1.4193654318636461E-3</v>
      </c>
      <c r="AK415" s="177"/>
    </row>
    <row r="416" spans="1:37" ht="15" x14ac:dyDescent="0.2">
      <c r="A416" s="142" t="s">
        <v>1220</v>
      </c>
      <c r="B416" s="143" t="s">
        <v>1220</v>
      </c>
      <c r="C416" s="143" t="s">
        <v>1358</v>
      </c>
      <c r="D416" s="143" t="s">
        <v>1359</v>
      </c>
      <c r="E416" s="143" t="s">
        <v>309</v>
      </c>
      <c r="F416" s="143" t="s">
        <v>1640</v>
      </c>
      <c r="G416" s="143" t="s">
        <v>1641</v>
      </c>
      <c r="H416" s="143" t="s">
        <v>321</v>
      </c>
      <c r="I416" s="143" t="s">
        <v>754</v>
      </c>
      <c r="J416" s="143" t="s">
        <v>204</v>
      </c>
      <c r="K416" s="143" t="s">
        <v>204</v>
      </c>
      <c r="L416" s="143" t="s">
        <v>325</v>
      </c>
      <c r="M416" s="143" t="s">
        <v>340</v>
      </c>
      <c r="N416" s="143" t="s">
        <v>448</v>
      </c>
      <c r="O416" s="143" t="s">
        <v>339</v>
      </c>
      <c r="P416" s="143" t="s">
        <v>1209</v>
      </c>
      <c r="Q416" s="143" t="s">
        <v>415</v>
      </c>
      <c r="R416" s="143" t="s">
        <v>407</v>
      </c>
      <c r="S416" s="143" t="s">
        <v>1210</v>
      </c>
      <c r="T416" s="144">
        <v>2.16</v>
      </c>
      <c r="U416" s="143" t="s">
        <v>1642</v>
      </c>
      <c r="V416" s="146">
        <v>5.0000000000000001E-3</v>
      </c>
      <c r="W416" s="146">
        <v>2.1333999999999999E-2</v>
      </c>
      <c r="X416" s="143" t="s">
        <v>412</v>
      </c>
      <c r="Y416" s="145" t="s">
        <v>3930</v>
      </c>
      <c r="Z416" s="144">
        <v>9377775</v>
      </c>
      <c r="AA416" s="145" t="s">
        <v>3930</v>
      </c>
      <c r="AB416" s="143" t="s">
        <v>1643</v>
      </c>
      <c r="AC416" s="145" t="s">
        <v>3930</v>
      </c>
      <c r="AD416" s="144">
        <v>10383.0725</v>
      </c>
      <c r="AE416" s="145" t="s">
        <v>3930</v>
      </c>
      <c r="AF416" s="145" t="s">
        <v>3930</v>
      </c>
      <c r="AG416" s="145" t="s">
        <v>3930</v>
      </c>
      <c r="AH416" s="146">
        <v>1.2286794322831836E-2</v>
      </c>
      <c r="AI416" s="146">
        <v>1.1261485908500636E-2</v>
      </c>
      <c r="AJ416" s="147">
        <v>1.3253205775262363E-3</v>
      </c>
      <c r="AK416" s="177"/>
    </row>
    <row r="417" spans="1:37" ht="15" x14ac:dyDescent="0.2">
      <c r="A417" s="142" t="s">
        <v>1220</v>
      </c>
      <c r="B417" s="143" t="s">
        <v>1220</v>
      </c>
      <c r="C417" s="143" t="s">
        <v>1522</v>
      </c>
      <c r="D417" s="143" t="s">
        <v>1523</v>
      </c>
      <c r="E417" s="143" t="s">
        <v>309</v>
      </c>
      <c r="F417" s="143" t="s">
        <v>1561</v>
      </c>
      <c r="G417" s="143" t="s">
        <v>1562</v>
      </c>
      <c r="H417" s="143" t="s">
        <v>321</v>
      </c>
      <c r="I417" s="143" t="s">
        <v>754</v>
      </c>
      <c r="J417" s="143" t="s">
        <v>204</v>
      </c>
      <c r="K417" s="143" t="s">
        <v>204</v>
      </c>
      <c r="L417" s="143" t="s">
        <v>325</v>
      </c>
      <c r="M417" s="143" t="s">
        <v>340</v>
      </c>
      <c r="N417" s="143" t="s">
        <v>448</v>
      </c>
      <c r="O417" s="143" t="s">
        <v>339</v>
      </c>
      <c r="P417" s="143" t="s">
        <v>1356</v>
      </c>
      <c r="Q417" s="143" t="s">
        <v>413</v>
      </c>
      <c r="R417" s="143" t="s">
        <v>407</v>
      </c>
      <c r="S417" s="143" t="s">
        <v>1210</v>
      </c>
      <c r="T417" s="144">
        <v>4.5</v>
      </c>
      <c r="U417" s="143" t="s">
        <v>1563</v>
      </c>
      <c r="V417" s="146">
        <v>2.5899999999999999E-2</v>
      </c>
      <c r="W417" s="146">
        <v>2.6100000000000002E-2</v>
      </c>
      <c r="X417" s="143" t="s">
        <v>412</v>
      </c>
      <c r="Y417" s="145" t="s">
        <v>3930</v>
      </c>
      <c r="Z417" s="144">
        <v>9673000</v>
      </c>
      <c r="AA417" s="145" t="s">
        <v>3930</v>
      </c>
      <c r="AB417" s="143" t="s">
        <v>1564</v>
      </c>
      <c r="AC417" s="145" t="s">
        <v>3930</v>
      </c>
      <c r="AD417" s="144">
        <v>10169.224900000001</v>
      </c>
      <c r="AE417" s="145" t="s">
        <v>3930</v>
      </c>
      <c r="AF417" s="145" t="s">
        <v>3930</v>
      </c>
      <c r="AG417" s="145" t="s">
        <v>3930</v>
      </c>
      <c r="AH417" s="146">
        <v>2.1495555555555556E-2</v>
      </c>
      <c r="AI417" s="146">
        <v>1.1029546710023907E-2</v>
      </c>
      <c r="AJ417" s="147">
        <v>1.2980245532738671E-3</v>
      </c>
      <c r="AK417" s="177"/>
    </row>
    <row r="418" spans="1:37" ht="15" x14ac:dyDescent="0.2">
      <c r="A418" s="142" t="s">
        <v>1220</v>
      </c>
      <c r="B418" s="143" t="s">
        <v>1220</v>
      </c>
      <c r="C418" s="143" t="s">
        <v>1734</v>
      </c>
      <c r="D418" s="143" t="s">
        <v>1735</v>
      </c>
      <c r="E418" s="143" t="s">
        <v>309</v>
      </c>
      <c r="F418" s="143" t="s">
        <v>1736</v>
      </c>
      <c r="G418" s="143" t="s">
        <v>1737</v>
      </c>
      <c r="H418" s="143" t="s">
        <v>321</v>
      </c>
      <c r="I418" s="143" t="s">
        <v>754</v>
      </c>
      <c r="J418" s="143" t="s">
        <v>204</v>
      </c>
      <c r="K418" s="143" t="s">
        <v>204</v>
      </c>
      <c r="L418" s="143" t="s">
        <v>325</v>
      </c>
      <c r="M418" s="143" t="s">
        <v>340</v>
      </c>
      <c r="N418" s="143" t="s">
        <v>440</v>
      </c>
      <c r="O418" s="143" t="s">
        <v>339</v>
      </c>
      <c r="P418" s="143" t="s">
        <v>1405</v>
      </c>
      <c r="Q418" s="143" t="s">
        <v>415</v>
      </c>
      <c r="R418" s="143" t="s">
        <v>407</v>
      </c>
      <c r="S418" s="143" t="s">
        <v>1210</v>
      </c>
      <c r="T418" s="144">
        <v>3.67</v>
      </c>
      <c r="U418" s="143" t="s">
        <v>1618</v>
      </c>
      <c r="V418" s="146">
        <v>1.7999999999999999E-2</v>
      </c>
      <c r="W418" s="146">
        <v>3.6724E-2</v>
      </c>
      <c r="X418" s="143" t="s">
        <v>412</v>
      </c>
      <c r="Y418" s="145" t="s">
        <v>3930</v>
      </c>
      <c r="Z418" s="144">
        <v>9149999.9199999999</v>
      </c>
      <c r="AA418" s="145" t="s">
        <v>3930</v>
      </c>
      <c r="AB418" s="143" t="s">
        <v>1738</v>
      </c>
      <c r="AC418" s="145" t="s">
        <v>3930</v>
      </c>
      <c r="AD418" s="144">
        <v>9871.9349000000002</v>
      </c>
      <c r="AE418" s="145" t="s">
        <v>3930</v>
      </c>
      <c r="AF418" s="145" t="s">
        <v>3930</v>
      </c>
      <c r="AG418" s="145" t="s">
        <v>3930</v>
      </c>
      <c r="AH418" s="146">
        <v>9.6868674955181804E-3</v>
      </c>
      <c r="AI418" s="146">
        <v>1.0707105833487628E-2</v>
      </c>
      <c r="AJ418" s="147">
        <v>1.2600777377131818E-3</v>
      </c>
      <c r="AK418" s="177"/>
    </row>
    <row r="419" spans="1:37" ht="15" x14ac:dyDescent="0.2">
      <c r="A419" s="142" t="s">
        <v>1220</v>
      </c>
      <c r="B419" s="143" t="s">
        <v>1220</v>
      </c>
      <c r="C419" s="143" t="s">
        <v>1575</v>
      </c>
      <c r="D419" s="143" t="s">
        <v>1576</v>
      </c>
      <c r="E419" s="143" t="s">
        <v>309</v>
      </c>
      <c r="F419" s="143" t="s">
        <v>1698</v>
      </c>
      <c r="G419" s="143" t="s">
        <v>1699</v>
      </c>
      <c r="H419" s="143" t="s">
        <v>321</v>
      </c>
      <c r="I419" s="143" t="s">
        <v>754</v>
      </c>
      <c r="J419" s="143" t="s">
        <v>204</v>
      </c>
      <c r="K419" s="143" t="s">
        <v>204</v>
      </c>
      <c r="L419" s="143" t="s">
        <v>325</v>
      </c>
      <c r="M419" s="143" t="s">
        <v>340</v>
      </c>
      <c r="N419" s="143" t="s">
        <v>464</v>
      </c>
      <c r="O419" s="143" t="s">
        <v>339</v>
      </c>
      <c r="P419" s="143" t="s">
        <v>1425</v>
      </c>
      <c r="Q419" s="143" t="s">
        <v>415</v>
      </c>
      <c r="R419" s="143" t="s">
        <v>407</v>
      </c>
      <c r="S419" s="143" t="s">
        <v>1210</v>
      </c>
      <c r="T419" s="144">
        <v>4.25</v>
      </c>
      <c r="U419" s="143" t="s">
        <v>1700</v>
      </c>
      <c r="V419" s="146">
        <v>1.3299999999999999E-2</v>
      </c>
      <c r="W419" s="146">
        <v>3.1257E-2</v>
      </c>
      <c r="X419" s="143" t="s">
        <v>412</v>
      </c>
      <c r="Y419" s="145" t="s">
        <v>3930</v>
      </c>
      <c r="Z419" s="144">
        <v>8930000</v>
      </c>
      <c r="AA419" s="145" t="s">
        <v>3930</v>
      </c>
      <c r="AB419" s="143" t="s">
        <v>1701</v>
      </c>
      <c r="AC419" s="145" t="s">
        <v>3930</v>
      </c>
      <c r="AD419" s="144">
        <v>9533.6679999999997</v>
      </c>
      <c r="AE419" s="145" t="s">
        <v>3930</v>
      </c>
      <c r="AF419" s="145" t="s">
        <v>3930</v>
      </c>
      <c r="AG419" s="145" t="s">
        <v>3930</v>
      </c>
      <c r="AH419" s="146">
        <v>7.5199999999999998E-3</v>
      </c>
      <c r="AI419" s="146">
        <v>1.034022135982657E-2</v>
      </c>
      <c r="AJ419" s="147">
        <v>1.2169005276657183E-3</v>
      </c>
      <c r="AK419" s="177"/>
    </row>
    <row r="420" spans="1:37" ht="15" x14ac:dyDescent="0.2">
      <c r="A420" s="142" t="s">
        <v>1220</v>
      </c>
      <c r="B420" s="143" t="s">
        <v>1220</v>
      </c>
      <c r="C420" s="143" t="s">
        <v>1734</v>
      </c>
      <c r="D420" s="143" t="s">
        <v>1735</v>
      </c>
      <c r="E420" s="143" t="s">
        <v>309</v>
      </c>
      <c r="F420" s="143" t="s">
        <v>1899</v>
      </c>
      <c r="G420" s="143" t="s">
        <v>1900</v>
      </c>
      <c r="H420" s="143" t="s">
        <v>321</v>
      </c>
      <c r="I420" s="143" t="s">
        <v>754</v>
      </c>
      <c r="J420" s="143" t="s">
        <v>204</v>
      </c>
      <c r="K420" s="143" t="s">
        <v>204</v>
      </c>
      <c r="L420" s="143" t="s">
        <v>325</v>
      </c>
      <c r="M420" s="143" t="s">
        <v>340</v>
      </c>
      <c r="N420" s="143" t="s">
        <v>440</v>
      </c>
      <c r="O420" s="143" t="s">
        <v>339</v>
      </c>
      <c r="P420" s="143" t="s">
        <v>1405</v>
      </c>
      <c r="Q420" s="143" t="s">
        <v>415</v>
      </c>
      <c r="R420" s="143" t="s">
        <v>407</v>
      </c>
      <c r="S420" s="143" t="s">
        <v>1210</v>
      </c>
      <c r="T420" s="144">
        <v>5.99</v>
      </c>
      <c r="U420" s="143" t="s">
        <v>1901</v>
      </c>
      <c r="V420" s="146">
        <v>3.3000000000000002E-2</v>
      </c>
      <c r="W420" s="146">
        <v>4.1750000000000002E-2</v>
      </c>
      <c r="X420" s="143" t="s">
        <v>412</v>
      </c>
      <c r="Y420" s="145" t="s">
        <v>3930</v>
      </c>
      <c r="Z420" s="144">
        <v>9317525.1400000006</v>
      </c>
      <c r="AA420" s="145" t="s">
        <v>3930</v>
      </c>
      <c r="AB420" s="143" t="s">
        <v>1902</v>
      </c>
      <c r="AC420" s="145" t="s">
        <v>3930</v>
      </c>
      <c r="AD420" s="144">
        <v>9418.1544000000013</v>
      </c>
      <c r="AE420" s="145" t="s">
        <v>3930</v>
      </c>
      <c r="AF420" s="145" t="s">
        <v>3930</v>
      </c>
      <c r="AG420" s="145" t="s">
        <v>3930</v>
      </c>
      <c r="AH420" s="146">
        <v>7.6429378586722425E-3</v>
      </c>
      <c r="AI420" s="146">
        <v>1.021493526060077E-2</v>
      </c>
      <c r="AJ420" s="147">
        <v>1.2021560928077383E-3</v>
      </c>
      <c r="AK420" s="177"/>
    </row>
    <row r="421" spans="1:37" ht="15" x14ac:dyDescent="0.2">
      <c r="A421" s="142" t="s">
        <v>1220</v>
      </c>
      <c r="B421" s="143" t="s">
        <v>1220</v>
      </c>
      <c r="C421" s="143" t="s">
        <v>1555</v>
      </c>
      <c r="D421" s="143" t="s">
        <v>1556</v>
      </c>
      <c r="E421" s="143" t="s">
        <v>309</v>
      </c>
      <c r="F421" s="143" t="s">
        <v>1896</v>
      </c>
      <c r="G421" s="143" t="s">
        <v>1897</v>
      </c>
      <c r="H421" s="143" t="s">
        <v>321</v>
      </c>
      <c r="I421" s="143" t="s">
        <v>754</v>
      </c>
      <c r="J421" s="143" t="s">
        <v>204</v>
      </c>
      <c r="K421" s="143" t="s">
        <v>204</v>
      </c>
      <c r="L421" s="143" t="s">
        <v>325</v>
      </c>
      <c r="M421" s="143" t="s">
        <v>340</v>
      </c>
      <c r="N421" s="143" t="s">
        <v>464</v>
      </c>
      <c r="O421" s="143" t="s">
        <v>339</v>
      </c>
      <c r="P421" s="143" t="s">
        <v>1412</v>
      </c>
      <c r="Q421" s="143" t="s">
        <v>413</v>
      </c>
      <c r="R421" s="143" t="s">
        <v>407</v>
      </c>
      <c r="S421" s="143" t="s">
        <v>1210</v>
      </c>
      <c r="T421" s="144">
        <v>5.56</v>
      </c>
      <c r="U421" s="143" t="s">
        <v>1761</v>
      </c>
      <c r="V421" s="146">
        <v>9.1999999999999998E-3</v>
      </c>
      <c r="W421" s="146">
        <v>3.2926999999999998E-2</v>
      </c>
      <c r="X421" s="143" t="s">
        <v>412</v>
      </c>
      <c r="Y421" s="145" t="s">
        <v>3930</v>
      </c>
      <c r="Z421" s="144">
        <v>9000000</v>
      </c>
      <c r="AA421" s="145" t="s">
        <v>3930</v>
      </c>
      <c r="AB421" s="143" t="s">
        <v>1898</v>
      </c>
      <c r="AC421" s="145" t="s">
        <v>3930</v>
      </c>
      <c r="AD421" s="144">
        <v>9190.7999999999993</v>
      </c>
      <c r="AE421" s="145" t="s">
        <v>3930</v>
      </c>
      <c r="AF421" s="145" t="s">
        <v>3930</v>
      </c>
      <c r="AG421" s="145" t="s">
        <v>3930</v>
      </c>
      <c r="AH421" s="146">
        <v>3.4793191204435898E-3</v>
      </c>
      <c r="AI421" s="146">
        <v>9.9683465455157483E-3</v>
      </c>
      <c r="AJ421" s="147">
        <v>1.173136023791691E-3</v>
      </c>
      <c r="AK421" s="177"/>
    </row>
    <row r="422" spans="1:37" ht="15" x14ac:dyDescent="0.2">
      <c r="A422" s="142" t="s">
        <v>1220</v>
      </c>
      <c r="B422" s="143" t="s">
        <v>1220</v>
      </c>
      <c r="C422" s="143" t="s">
        <v>1493</v>
      </c>
      <c r="D422" s="143" t="s">
        <v>1494</v>
      </c>
      <c r="E422" s="143" t="s">
        <v>309</v>
      </c>
      <c r="F422" s="143" t="s">
        <v>1591</v>
      </c>
      <c r="G422" s="143" t="s">
        <v>1592</v>
      </c>
      <c r="H422" s="143" t="s">
        <v>321</v>
      </c>
      <c r="I422" s="143" t="s">
        <v>754</v>
      </c>
      <c r="J422" s="143" t="s">
        <v>204</v>
      </c>
      <c r="K422" s="143" t="s">
        <v>204</v>
      </c>
      <c r="L422" s="143" t="s">
        <v>325</v>
      </c>
      <c r="M422" s="143" t="s">
        <v>340</v>
      </c>
      <c r="N422" s="143" t="s">
        <v>448</v>
      </c>
      <c r="O422" s="143" t="s">
        <v>339</v>
      </c>
      <c r="P422" s="143" t="s">
        <v>1303</v>
      </c>
      <c r="Q422" s="143" t="s">
        <v>413</v>
      </c>
      <c r="R422" s="143" t="s">
        <v>407</v>
      </c>
      <c r="S422" s="143" t="s">
        <v>1210</v>
      </c>
      <c r="T422" s="144">
        <v>1.74</v>
      </c>
      <c r="U422" s="143" t="s">
        <v>1419</v>
      </c>
      <c r="V422" s="146">
        <v>8.3000000000000001E-3</v>
      </c>
      <c r="W422" s="146">
        <v>2.0445000000000001E-2</v>
      </c>
      <c r="X422" s="143" t="s">
        <v>412</v>
      </c>
      <c r="Y422" s="145" t="s">
        <v>3930</v>
      </c>
      <c r="Z422" s="144">
        <v>7544387.5</v>
      </c>
      <c r="AA422" s="145" t="s">
        <v>3930</v>
      </c>
      <c r="AB422" s="143" t="s">
        <v>1593</v>
      </c>
      <c r="AC422" s="145" t="s">
        <v>3930</v>
      </c>
      <c r="AD422" s="144">
        <v>8540.2466999999997</v>
      </c>
      <c r="AE422" s="145" t="s">
        <v>3930</v>
      </c>
      <c r="AF422" s="145" t="s">
        <v>3930</v>
      </c>
      <c r="AG422" s="145" t="s">
        <v>3930</v>
      </c>
      <c r="AH422" s="146">
        <v>4.9603191562104685E-3</v>
      </c>
      <c r="AI422" s="146">
        <v>9.2627560377094419E-3</v>
      </c>
      <c r="AJ422" s="147">
        <v>1.0900978148998249E-3</v>
      </c>
      <c r="AK422" s="177"/>
    </row>
    <row r="423" spans="1:37" ht="15" x14ac:dyDescent="0.2">
      <c r="A423" s="142" t="s">
        <v>1220</v>
      </c>
      <c r="B423" s="143" t="s">
        <v>1220</v>
      </c>
      <c r="C423" s="143" t="s">
        <v>1739</v>
      </c>
      <c r="D423" s="143" t="s">
        <v>1740</v>
      </c>
      <c r="E423" s="143" t="s">
        <v>309</v>
      </c>
      <c r="F423" s="143" t="s">
        <v>1907</v>
      </c>
      <c r="G423" s="143" t="s">
        <v>1908</v>
      </c>
      <c r="H423" s="143" t="s">
        <v>321</v>
      </c>
      <c r="I423" s="143" t="s">
        <v>754</v>
      </c>
      <c r="J423" s="143" t="s">
        <v>204</v>
      </c>
      <c r="K423" s="143" t="s">
        <v>204</v>
      </c>
      <c r="L423" s="143" t="s">
        <v>325</v>
      </c>
      <c r="M423" s="143" t="s">
        <v>340</v>
      </c>
      <c r="N423" s="143" t="s">
        <v>464</v>
      </c>
      <c r="O423" s="143" t="s">
        <v>339</v>
      </c>
      <c r="P423" s="143" t="s">
        <v>1743</v>
      </c>
      <c r="Q423" s="143" t="s">
        <v>413</v>
      </c>
      <c r="R423" s="143" t="s">
        <v>407</v>
      </c>
      <c r="S423" s="143" t="s">
        <v>1210</v>
      </c>
      <c r="T423" s="144">
        <v>3.2</v>
      </c>
      <c r="U423" s="143" t="s">
        <v>1449</v>
      </c>
      <c r="V423" s="146">
        <v>2.7E-2</v>
      </c>
      <c r="W423" s="146">
        <v>3.32E-2</v>
      </c>
      <c r="X423" s="143" t="s">
        <v>412</v>
      </c>
      <c r="Y423" s="145" t="s">
        <v>3930</v>
      </c>
      <c r="Z423" s="144">
        <v>8041000</v>
      </c>
      <c r="AA423" s="145" t="s">
        <v>3930</v>
      </c>
      <c r="AB423" s="143" t="s">
        <v>1909</v>
      </c>
      <c r="AC423" s="145" t="s">
        <v>3930</v>
      </c>
      <c r="AD423" s="144">
        <v>8508.1821</v>
      </c>
      <c r="AE423" s="145" t="s">
        <v>3930</v>
      </c>
      <c r="AF423" s="145" t="s">
        <v>3930</v>
      </c>
      <c r="AG423" s="145" t="s">
        <v>3930</v>
      </c>
      <c r="AH423" s="146">
        <v>1.8374556688969326E-2</v>
      </c>
      <c r="AI423" s="146">
        <v>9.2279788098047974E-3</v>
      </c>
      <c r="AJ423" s="147">
        <v>1.086005017897206E-3</v>
      </c>
      <c r="AK423" s="177"/>
    </row>
    <row r="424" spans="1:37" ht="15" x14ac:dyDescent="0.2">
      <c r="A424" s="142" t="s">
        <v>1220</v>
      </c>
      <c r="B424" s="143" t="s">
        <v>1220</v>
      </c>
      <c r="C424" s="143" t="s">
        <v>1620</v>
      </c>
      <c r="D424" s="143" t="s">
        <v>1621</v>
      </c>
      <c r="E424" s="143" t="s">
        <v>309</v>
      </c>
      <c r="F424" s="143" t="s">
        <v>1622</v>
      </c>
      <c r="G424" s="143" t="s">
        <v>1623</v>
      </c>
      <c r="H424" s="143" t="s">
        <v>321</v>
      </c>
      <c r="I424" s="143" t="s">
        <v>754</v>
      </c>
      <c r="J424" s="143" t="s">
        <v>204</v>
      </c>
      <c r="K424" s="143" t="s">
        <v>204</v>
      </c>
      <c r="L424" s="143" t="s">
        <v>325</v>
      </c>
      <c r="M424" s="143" t="s">
        <v>340</v>
      </c>
      <c r="N424" s="143" t="s">
        <v>445</v>
      </c>
      <c r="O424" s="143" t="s">
        <v>339</v>
      </c>
      <c r="P424" s="143" t="s">
        <v>1624</v>
      </c>
      <c r="Q424" s="143" t="s">
        <v>415</v>
      </c>
      <c r="R424" s="143" t="s">
        <v>407</v>
      </c>
      <c r="S424" s="143" t="s">
        <v>1210</v>
      </c>
      <c r="T424" s="144">
        <v>4.51</v>
      </c>
      <c r="U424" s="143" t="s">
        <v>1406</v>
      </c>
      <c r="V424" s="146">
        <v>5.1700000000000003E-2</v>
      </c>
      <c r="W424" s="146">
        <v>5.7583000000000002E-2</v>
      </c>
      <c r="X424" s="143" t="s">
        <v>412</v>
      </c>
      <c r="Y424" s="145" t="s">
        <v>3930</v>
      </c>
      <c r="Z424" s="144">
        <v>8539772</v>
      </c>
      <c r="AA424" s="145" t="s">
        <v>3930</v>
      </c>
      <c r="AB424" s="143" t="s">
        <v>1625</v>
      </c>
      <c r="AC424" s="145" t="s">
        <v>3930</v>
      </c>
      <c r="AD424" s="144">
        <v>8500.4889999999996</v>
      </c>
      <c r="AE424" s="145" t="s">
        <v>3930</v>
      </c>
      <c r="AF424" s="145" t="s">
        <v>3930</v>
      </c>
      <c r="AG424" s="145" t="s">
        <v>3930</v>
      </c>
      <c r="AH424" s="146">
        <v>1.3994716607616345E-2</v>
      </c>
      <c r="AI424" s="146">
        <v>9.2196349224006532E-3</v>
      </c>
      <c r="AJ424" s="147">
        <v>1.0850230581662147E-3</v>
      </c>
      <c r="AK424" s="177"/>
    </row>
    <row r="425" spans="1:37" ht="15" x14ac:dyDescent="0.2">
      <c r="A425" s="142" t="s">
        <v>1220</v>
      </c>
      <c r="B425" s="143" t="s">
        <v>1220</v>
      </c>
      <c r="C425" s="143" t="s">
        <v>1358</v>
      </c>
      <c r="D425" s="143" t="s">
        <v>1359</v>
      </c>
      <c r="E425" s="143" t="s">
        <v>309</v>
      </c>
      <c r="F425" s="143" t="s">
        <v>1903</v>
      </c>
      <c r="G425" s="143" t="s">
        <v>1904</v>
      </c>
      <c r="H425" s="143" t="s">
        <v>321</v>
      </c>
      <c r="I425" s="143" t="s">
        <v>754</v>
      </c>
      <c r="J425" s="143" t="s">
        <v>204</v>
      </c>
      <c r="K425" s="143" t="s">
        <v>204</v>
      </c>
      <c r="L425" s="143" t="s">
        <v>325</v>
      </c>
      <c r="M425" s="143" t="s">
        <v>340</v>
      </c>
      <c r="N425" s="143" t="s">
        <v>448</v>
      </c>
      <c r="O425" s="143" t="s">
        <v>339</v>
      </c>
      <c r="P425" s="143" t="s">
        <v>1303</v>
      </c>
      <c r="Q425" s="143" t="s">
        <v>413</v>
      </c>
      <c r="R425" s="143" t="s">
        <v>407</v>
      </c>
      <c r="S425" s="143" t="s">
        <v>1210</v>
      </c>
      <c r="T425" s="144">
        <v>3.48</v>
      </c>
      <c r="U425" s="143" t="s">
        <v>1905</v>
      </c>
      <c r="V425" s="146">
        <v>1.6400000000000001E-2</v>
      </c>
      <c r="W425" s="146">
        <v>2.4614E-2</v>
      </c>
      <c r="X425" s="143" t="s">
        <v>412</v>
      </c>
      <c r="Y425" s="145" t="s">
        <v>3930</v>
      </c>
      <c r="Z425" s="144">
        <v>8000100</v>
      </c>
      <c r="AA425" s="145" t="s">
        <v>3930</v>
      </c>
      <c r="AB425" s="143" t="s">
        <v>1906</v>
      </c>
      <c r="AC425" s="145" t="s">
        <v>3930</v>
      </c>
      <c r="AD425" s="144">
        <v>8442.5054999999993</v>
      </c>
      <c r="AE425" s="145" t="s">
        <v>3930</v>
      </c>
      <c r="AF425" s="145" t="s">
        <v>3930</v>
      </c>
      <c r="AG425" s="145" t="s">
        <v>3930</v>
      </c>
      <c r="AH425" s="146">
        <v>7.4380165289256199E-3</v>
      </c>
      <c r="AI425" s="146">
        <v>9.1567459672142904E-3</v>
      </c>
      <c r="AJ425" s="147">
        <v>1.0776219010644953E-3</v>
      </c>
      <c r="AK425" s="177"/>
    </row>
    <row r="426" spans="1:37" ht="15" x14ac:dyDescent="0.2">
      <c r="A426" s="142" t="s">
        <v>1220</v>
      </c>
      <c r="B426" s="143" t="s">
        <v>1220</v>
      </c>
      <c r="C426" s="143" t="s">
        <v>1541</v>
      </c>
      <c r="D426" s="143" t="s">
        <v>1542</v>
      </c>
      <c r="E426" s="143" t="s">
        <v>309</v>
      </c>
      <c r="F426" s="143" t="s">
        <v>1910</v>
      </c>
      <c r="G426" s="143" t="s">
        <v>1911</v>
      </c>
      <c r="H426" s="143" t="s">
        <v>321</v>
      </c>
      <c r="I426" s="143" t="s">
        <v>754</v>
      </c>
      <c r="J426" s="143" t="s">
        <v>204</v>
      </c>
      <c r="K426" s="143" t="s">
        <v>204</v>
      </c>
      <c r="L426" s="143" t="s">
        <v>325</v>
      </c>
      <c r="M426" s="143" t="s">
        <v>340</v>
      </c>
      <c r="N426" s="143" t="s">
        <v>465</v>
      </c>
      <c r="O426" s="143" t="s">
        <v>339</v>
      </c>
      <c r="P426" s="143" t="s">
        <v>1398</v>
      </c>
      <c r="Q426" s="143" t="s">
        <v>413</v>
      </c>
      <c r="R426" s="143" t="s">
        <v>407</v>
      </c>
      <c r="S426" s="143" t="s">
        <v>1210</v>
      </c>
      <c r="T426" s="144">
        <v>7.16</v>
      </c>
      <c r="U426" s="143" t="s">
        <v>1901</v>
      </c>
      <c r="V426" s="146">
        <v>4.02E-2</v>
      </c>
      <c r="W426" s="146">
        <v>3.9666E-2</v>
      </c>
      <c r="X426" s="143" t="s">
        <v>412</v>
      </c>
      <c r="Y426" s="145" t="s">
        <v>3930</v>
      </c>
      <c r="Z426" s="144">
        <v>7665000</v>
      </c>
      <c r="AA426" s="145" t="s">
        <v>3930</v>
      </c>
      <c r="AB426" s="143" t="s">
        <v>1912</v>
      </c>
      <c r="AC426" s="145" t="s">
        <v>3930</v>
      </c>
      <c r="AD426" s="144">
        <v>7802.97</v>
      </c>
      <c r="AE426" s="145" t="s">
        <v>3930</v>
      </c>
      <c r="AF426" s="145" t="s">
        <v>3930</v>
      </c>
      <c r="AG426" s="145" t="s">
        <v>3930</v>
      </c>
      <c r="AH426" s="146">
        <v>2.1899999999999999E-2</v>
      </c>
      <c r="AI426" s="146">
        <v>8.4631053928127063E-3</v>
      </c>
      <c r="AJ426" s="147">
        <v>9.9599003346453538E-4</v>
      </c>
      <c r="AK426" s="177"/>
    </row>
    <row r="427" spans="1:37" ht="15" x14ac:dyDescent="0.2">
      <c r="A427" s="142" t="s">
        <v>1220</v>
      </c>
      <c r="B427" s="143" t="s">
        <v>1220</v>
      </c>
      <c r="C427" s="143" t="s">
        <v>1503</v>
      </c>
      <c r="D427" s="143" t="s">
        <v>1504</v>
      </c>
      <c r="E427" s="143" t="s">
        <v>309</v>
      </c>
      <c r="F427" s="143" t="s">
        <v>1913</v>
      </c>
      <c r="G427" s="143" t="s">
        <v>1914</v>
      </c>
      <c r="H427" s="143" t="s">
        <v>321</v>
      </c>
      <c r="I427" s="143" t="s">
        <v>754</v>
      </c>
      <c r="J427" s="143" t="s">
        <v>204</v>
      </c>
      <c r="K427" s="143" t="s">
        <v>204</v>
      </c>
      <c r="L427" s="143" t="s">
        <v>325</v>
      </c>
      <c r="M427" s="143" t="s">
        <v>340</v>
      </c>
      <c r="N427" s="143" t="s">
        <v>464</v>
      </c>
      <c r="O427" s="143" t="s">
        <v>339</v>
      </c>
      <c r="P427" s="143" t="s">
        <v>1412</v>
      </c>
      <c r="Q427" s="143" t="s">
        <v>413</v>
      </c>
      <c r="R427" s="143" t="s">
        <v>407</v>
      </c>
      <c r="S427" s="143" t="s">
        <v>1210</v>
      </c>
      <c r="T427" s="144">
        <v>6.07</v>
      </c>
      <c r="U427" s="143" t="s">
        <v>1915</v>
      </c>
      <c r="V427" s="146">
        <v>3.61E-2</v>
      </c>
      <c r="W427" s="146">
        <v>3.4570999999999998E-2</v>
      </c>
      <c r="X427" s="143" t="s">
        <v>412</v>
      </c>
      <c r="Y427" s="145" t="s">
        <v>3930</v>
      </c>
      <c r="Z427" s="144">
        <v>7028282.9000000004</v>
      </c>
      <c r="AA427" s="145" t="s">
        <v>3930</v>
      </c>
      <c r="AB427" s="143" t="s">
        <v>1916</v>
      </c>
      <c r="AC427" s="145" t="s">
        <v>3930</v>
      </c>
      <c r="AD427" s="144">
        <v>7587.0314000000008</v>
      </c>
      <c r="AE427" s="145" t="s">
        <v>3930</v>
      </c>
      <c r="AF427" s="145" t="s">
        <v>3930</v>
      </c>
      <c r="AG427" s="145" t="s">
        <v>3930</v>
      </c>
      <c r="AH427" s="146">
        <v>6.5780778199796292E-3</v>
      </c>
      <c r="AI427" s="146">
        <v>8.2288982626875402E-3</v>
      </c>
      <c r="AJ427" s="147">
        <v>9.6842710513693822E-4</v>
      </c>
      <c r="AK427" s="177"/>
    </row>
    <row r="428" spans="1:37" ht="15" x14ac:dyDescent="0.2">
      <c r="A428" s="142" t="s">
        <v>1220</v>
      </c>
      <c r="B428" s="143" t="s">
        <v>1220</v>
      </c>
      <c r="C428" s="143" t="s">
        <v>1933</v>
      </c>
      <c r="D428" s="143" t="s">
        <v>1934</v>
      </c>
      <c r="E428" s="143" t="s">
        <v>309</v>
      </c>
      <c r="F428" s="143" t="s">
        <v>1935</v>
      </c>
      <c r="G428" s="143" t="s">
        <v>1936</v>
      </c>
      <c r="H428" s="143" t="s">
        <v>321</v>
      </c>
      <c r="I428" s="143" t="s">
        <v>754</v>
      </c>
      <c r="J428" s="143" t="s">
        <v>204</v>
      </c>
      <c r="K428" s="143" t="s">
        <v>204</v>
      </c>
      <c r="L428" s="143" t="s">
        <v>325</v>
      </c>
      <c r="M428" s="143" t="s">
        <v>340</v>
      </c>
      <c r="N428" s="143" t="s">
        <v>448</v>
      </c>
      <c r="O428" s="143" t="s">
        <v>339</v>
      </c>
      <c r="P428" s="143" t="s">
        <v>1303</v>
      </c>
      <c r="Q428" s="143" t="s">
        <v>413</v>
      </c>
      <c r="R428" s="143" t="s">
        <v>407</v>
      </c>
      <c r="S428" s="143" t="s">
        <v>1210</v>
      </c>
      <c r="T428" s="144">
        <v>2.17</v>
      </c>
      <c r="U428" s="143" t="s">
        <v>1937</v>
      </c>
      <c r="V428" s="146">
        <v>1E-3</v>
      </c>
      <c r="W428" s="146">
        <v>2.0434999999999998E-2</v>
      </c>
      <c r="X428" s="143" t="s">
        <v>412</v>
      </c>
      <c r="Y428" s="145" t="s">
        <v>3930</v>
      </c>
      <c r="Z428" s="144">
        <v>6942000</v>
      </c>
      <c r="AA428" s="145" t="s">
        <v>3930</v>
      </c>
      <c r="AB428" s="143" t="s">
        <v>1938</v>
      </c>
      <c r="AC428" s="145" t="s">
        <v>3930</v>
      </c>
      <c r="AD428" s="144">
        <v>7491.1122000000005</v>
      </c>
      <c r="AE428" s="145" t="s">
        <v>3930</v>
      </c>
      <c r="AF428" s="145" t="s">
        <v>3930</v>
      </c>
      <c r="AG428" s="145" t="s">
        <v>3930</v>
      </c>
      <c r="AH428" s="146">
        <v>1.4869776996185094E-2</v>
      </c>
      <c r="AI428" s="146">
        <v>8.1248642578383694E-3</v>
      </c>
      <c r="AJ428" s="147">
        <v>9.5618374679956337E-4</v>
      </c>
      <c r="AK428" s="177"/>
    </row>
    <row r="429" spans="1:37" ht="15" x14ac:dyDescent="0.2">
      <c r="A429" s="142" t="s">
        <v>1220</v>
      </c>
      <c r="B429" s="143" t="s">
        <v>1220</v>
      </c>
      <c r="C429" s="143" t="s">
        <v>1739</v>
      </c>
      <c r="D429" s="143" t="s">
        <v>1740</v>
      </c>
      <c r="E429" s="143" t="s">
        <v>309</v>
      </c>
      <c r="F429" s="143" t="s">
        <v>1929</v>
      </c>
      <c r="G429" s="143" t="s">
        <v>1930</v>
      </c>
      <c r="H429" s="143" t="s">
        <v>321</v>
      </c>
      <c r="I429" s="143" t="s">
        <v>754</v>
      </c>
      <c r="J429" s="143" t="s">
        <v>204</v>
      </c>
      <c r="K429" s="143" t="s">
        <v>204</v>
      </c>
      <c r="L429" s="143" t="s">
        <v>325</v>
      </c>
      <c r="M429" s="143" t="s">
        <v>340</v>
      </c>
      <c r="N429" s="143" t="s">
        <v>464</v>
      </c>
      <c r="O429" s="143" t="s">
        <v>339</v>
      </c>
      <c r="P429" s="143" t="s">
        <v>1375</v>
      </c>
      <c r="Q429" s="143" t="s">
        <v>413</v>
      </c>
      <c r="R429" s="143" t="s">
        <v>407</v>
      </c>
      <c r="S429" s="143" t="s">
        <v>1210</v>
      </c>
      <c r="T429" s="144">
        <v>4.72</v>
      </c>
      <c r="U429" s="143" t="s">
        <v>1931</v>
      </c>
      <c r="V429" s="146">
        <v>4.4499999999999998E-2</v>
      </c>
      <c r="W429" s="146">
        <v>4.3503E-2</v>
      </c>
      <c r="X429" s="143" t="s">
        <v>412</v>
      </c>
      <c r="Y429" s="145" t="s">
        <v>3930</v>
      </c>
      <c r="Z429" s="144">
        <v>6910000</v>
      </c>
      <c r="AA429" s="145" t="s">
        <v>3930</v>
      </c>
      <c r="AB429" s="143" t="s">
        <v>1932</v>
      </c>
      <c r="AC429" s="145" t="s">
        <v>3930</v>
      </c>
      <c r="AD429" s="144">
        <v>7339.1109999999999</v>
      </c>
      <c r="AE429" s="145" t="s">
        <v>3930</v>
      </c>
      <c r="AF429" s="145" t="s">
        <v>3930</v>
      </c>
      <c r="AG429" s="145" t="s">
        <v>3930</v>
      </c>
      <c r="AH429" s="146">
        <v>1.5355555555555556E-2</v>
      </c>
      <c r="AI429" s="146">
        <v>7.9600036758504834E-3</v>
      </c>
      <c r="AJ429" s="147">
        <v>9.3678194463004977E-4</v>
      </c>
      <c r="AK429" s="177"/>
    </row>
    <row r="430" spans="1:37" ht="15" x14ac:dyDescent="0.2">
      <c r="A430" s="142" t="s">
        <v>1220</v>
      </c>
      <c r="B430" s="143" t="s">
        <v>1220</v>
      </c>
      <c r="C430" s="143" t="s">
        <v>1706</v>
      </c>
      <c r="D430" s="143" t="s">
        <v>1707</v>
      </c>
      <c r="E430" s="143" t="s">
        <v>309</v>
      </c>
      <c r="F430" s="143" t="s">
        <v>1920</v>
      </c>
      <c r="G430" s="143" t="s">
        <v>1921</v>
      </c>
      <c r="H430" s="143" t="s">
        <v>321</v>
      </c>
      <c r="I430" s="143" t="s">
        <v>754</v>
      </c>
      <c r="J430" s="143" t="s">
        <v>204</v>
      </c>
      <c r="K430" s="143" t="s">
        <v>204</v>
      </c>
      <c r="L430" s="143" t="s">
        <v>325</v>
      </c>
      <c r="M430" s="143" t="s">
        <v>340</v>
      </c>
      <c r="N430" s="143" t="s">
        <v>464</v>
      </c>
      <c r="O430" s="143" t="s">
        <v>339</v>
      </c>
      <c r="P430" s="143" t="s">
        <v>1721</v>
      </c>
      <c r="Q430" s="143" t="s">
        <v>413</v>
      </c>
      <c r="R430" s="143" t="s">
        <v>407</v>
      </c>
      <c r="S430" s="143" t="s">
        <v>1210</v>
      </c>
      <c r="T430" s="144">
        <v>6.92</v>
      </c>
      <c r="U430" s="143" t="s">
        <v>1922</v>
      </c>
      <c r="V430" s="146">
        <v>8.9999999999999993E-3</v>
      </c>
      <c r="W430" s="146">
        <v>3.3403000000000002E-2</v>
      </c>
      <c r="X430" s="143" t="s">
        <v>412</v>
      </c>
      <c r="Y430" s="145" t="s">
        <v>3930</v>
      </c>
      <c r="Z430" s="144">
        <v>7499000</v>
      </c>
      <c r="AA430" s="145" t="s">
        <v>3930</v>
      </c>
      <c r="AB430" s="143" t="s">
        <v>1841</v>
      </c>
      <c r="AC430" s="145" t="s">
        <v>3930</v>
      </c>
      <c r="AD430" s="144">
        <v>7223.7867000000006</v>
      </c>
      <c r="AE430" s="145" t="s">
        <v>3930</v>
      </c>
      <c r="AF430" s="145" t="s">
        <v>3930</v>
      </c>
      <c r="AG430" s="145" t="s">
        <v>3930</v>
      </c>
      <c r="AH430" s="146">
        <v>2.7251543293526385E-3</v>
      </c>
      <c r="AI430" s="146">
        <v>7.8349228790189768E-3</v>
      </c>
      <c r="AJ430" s="147">
        <v>9.2206167101419913E-4</v>
      </c>
      <c r="AK430" s="177"/>
    </row>
    <row r="431" spans="1:37" ht="15" x14ac:dyDescent="0.2">
      <c r="A431" s="142" t="s">
        <v>1220</v>
      </c>
      <c r="B431" s="143" t="s">
        <v>1220</v>
      </c>
      <c r="C431" s="143" t="s">
        <v>1358</v>
      </c>
      <c r="D431" s="143" t="s">
        <v>1359</v>
      </c>
      <c r="E431" s="143" t="s">
        <v>309</v>
      </c>
      <c r="F431" s="143" t="s">
        <v>1594</v>
      </c>
      <c r="G431" s="143" t="s">
        <v>1595</v>
      </c>
      <c r="H431" s="143" t="s">
        <v>321</v>
      </c>
      <c r="I431" s="143" t="s">
        <v>754</v>
      </c>
      <c r="J431" s="143" t="s">
        <v>204</v>
      </c>
      <c r="K431" s="143" t="s">
        <v>204</v>
      </c>
      <c r="L431" s="143" t="s">
        <v>325</v>
      </c>
      <c r="M431" s="143" t="s">
        <v>340</v>
      </c>
      <c r="N431" s="143" t="s">
        <v>448</v>
      </c>
      <c r="O431" s="143" t="s">
        <v>339</v>
      </c>
      <c r="P431" s="143" t="s">
        <v>1303</v>
      </c>
      <c r="Q431" s="143" t="s">
        <v>413</v>
      </c>
      <c r="R431" s="143" t="s">
        <v>407</v>
      </c>
      <c r="S431" s="143" t="s">
        <v>1210</v>
      </c>
      <c r="T431" s="144">
        <v>4.38</v>
      </c>
      <c r="U431" s="143" t="s">
        <v>1596</v>
      </c>
      <c r="V431" s="146">
        <v>1.9900000000000001E-2</v>
      </c>
      <c r="W431" s="146">
        <v>2.5611999999999999E-2</v>
      </c>
      <c r="X431" s="143" t="s">
        <v>412</v>
      </c>
      <c r="Y431" s="145" t="s">
        <v>3930</v>
      </c>
      <c r="Z431" s="144">
        <v>7000000</v>
      </c>
      <c r="AA431" s="145" t="s">
        <v>3930</v>
      </c>
      <c r="AB431" s="143" t="s">
        <v>1597</v>
      </c>
      <c r="AC431" s="145" t="s">
        <v>3930</v>
      </c>
      <c r="AD431" s="144">
        <v>7175</v>
      </c>
      <c r="AE431" s="145" t="s">
        <v>3930</v>
      </c>
      <c r="AF431" s="145" t="s">
        <v>3930</v>
      </c>
      <c r="AG431" s="145" t="s">
        <v>3930</v>
      </c>
      <c r="AH431" s="146">
        <v>2.5925925925925925E-3</v>
      </c>
      <c r="AI431" s="146">
        <v>7.7820087983717949E-3</v>
      </c>
      <c r="AJ431" s="147">
        <v>9.158344181905148E-4</v>
      </c>
      <c r="AK431" s="177"/>
    </row>
    <row r="432" spans="1:37" ht="15" x14ac:dyDescent="0.2">
      <c r="A432" s="142" t="s">
        <v>1220</v>
      </c>
      <c r="B432" s="143" t="s">
        <v>1220</v>
      </c>
      <c r="C432" s="143" t="s">
        <v>1575</v>
      </c>
      <c r="D432" s="143" t="s">
        <v>1576</v>
      </c>
      <c r="E432" s="143" t="s">
        <v>309</v>
      </c>
      <c r="F432" s="143" t="s">
        <v>1917</v>
      </c>
      <c r="G432" s="143" t="s">
        <v>1918</v>
      </c>
      <c r="H432" s="143" t="s">
        <v>321</v>
      </c>
      <c r="I432" s="143" t="s">
        <v>754</v>
      </c>
      <c r="J432" s="143" t="s">
        <v>204</v>
      </c>
      <c r="K432" s="143" t="s">
        <v>204</v>
      </c>
      <c r="L432" s="143" t="s">
        <v>325</v>
      </c>
      <c r="M432" s="143" t="s">
        <v>340</v>
      </c>
      <c r="N432" s="143" t="s">
        <v>464</v>
      </c>
      <c r="O432" s="143" t="s">
        <v>339</v>
      </c>
      <c r="P432" s="143" t="s">
        <v>1412</v>
      </c>
      <c r="Q432" s="143" t="s">
        <v>413</v>
      </c>
      <c r="R432" s="143" t="s">
        <v>407</v>
      </c>
      <c r="S432" s="143" t="s">
        <v>1210</v>
      </c>
      <c r="T432" s="144">
        <v>5.35</v>
      </c>
      <c r="U432" s="143" t="s">
        <v>1919</v>
      </c>
      <c r="V432" s="146">
        <v>2.5999999999999999E-2</v>
      </c>
      <c r="W432" s="146">
        <v>2.9978999999999999E-2</v>
      </c>
      <c r="X432" s="143" t="s">
        <v>412</v>
      </c>
      <c r="Y432" s="145" t="s">
        <v>3930</v>
      </c>
      <c r="Z432" s="144">
        <v>6992000</v>
      </c>
      <c r="AA432" s="145" t="s">
        <v>3930</v>
      </c>
      <c r="AB432" s="143" t="s">
        <v>1898</v>
      </c>
      <c r="AC432" s="145" t="s">
        <v>3930</v>
      </c>
      <c r="AD432" s="144">
        <v>7140.2304000000004</v>
      </c>
      <c r="AE432" s="145" t="s">
        <v>3930</v>
      </c>
      <c r="AF432" s="145" t="s">
        <v>3930</v>
      </c>
      <c r="AG432" s="145" t="s">
        <v>3930</v>
      </c>
      <c r="AH432" s="146">
        <v>1.3044776119402985E-2</v>
      </c>
      <c r="AI432" s="146">
        <v>7.7442976718051235E-3</v>
      </c>
      <c r="AJ432" s="147">
        <v>9.1139634203905601E-4</v>
      </c>
      <c r="AK432" s="177"/>
    </row>
    <row r="433" spans="1:37" ht="15" x14ac:dyDescent="0.2">
      <c r="A433" s="142" t="s">
        <v>1220</v>
      </c>
      <c r="B433" s="143" t="s">
        <v>1220</v>
      </c>
      <c r="C433" s="143" t="s">
        <v>1706</v>
      </c>
      <c r="D433" s="143" t="s">
        <v>1707</v>
      </c>
      <c r="E433" s="143" t="s">
        <v>309</v>
      </c>
      <c r="F433" s="143" t="s">
        <v>1724</v>
      </c>
      <c r="G433" s="143" t="s">
        <v>1725</v>
      </c>
      <c r="H433" s="143" t="s">
        <v>321</v>
      </c>
      <c r="I433" s="143" t="s">
        <v>754</v>
      </c>
      <c r="J433" s="143" t="s">
        <v>204</v>
      </c>
      <c r="K433" s="143" t="s">
        <v>204</v>
      </c>
      <c r="L433" s="143" t="s">
        <v>325</v>
      </c>
      <c r="M433" s="143" t="s">
        <v>340</v>
      </c>
      <c r="N433" s="143" t="s">
        <v>464</v>
      </c>
      <c r="O433" s="143" t="s">
        <v>339</v>
      </c>
      <c r="P433" s="143" t="s">
        <v>1478</v>
      </c>
      <c r="Q433" s="143" t="s">
        <v>415</v>
      </c>
      <c r="R433" s="143" t="s">
        <v>407</v>
      </c>
      <c r="S433" s="143" t="s">
        <v>1210</v>
      </c>
      <c r="T433" s="144">
        <v>2.89</v>
      </c>
      <c r="U433" s="143" t="s">
        <v>1690</v>
      </c>
      <c r="V433" s="146">
        <v>1.34E-2</v>
      </c>
      <c r="W433" s="146">
        <v>2.8036999999999999E-2</v>
      </c>
      <c r="X433" s="143" t="s">
        <v>412</v>
      </c>
      <c r="Y433" s="145" t="s">
        <v>3930</v>
      </c>
      <c r="Z433" s="144">
        <v>6338049.7800000003</v>
      </c>
      <c r="AA433" s="145" t="s">
        <v>3930</v>
      </c>
      <c r="AB433" s="143" t="s">
        <v>1726</v>
      </c>
      <c r="AC433" s="145" t="s">
        <v>3930</v>
      </c>
      <c r="AD433" s="144">
        <v>7122.7002999999995</v>
      </c>
      <c r="AE433" s="145" t="s">
        <v>3930</v>
      </c>
      <c r="AF433" s="145" t="s">
        <v>3930</v>
      </c>
      <c r="AG433" s="145" t="s">
        <v>3930</v>
      </c>
      <c r="AH433" s="146">
        <v>2.3911172041137991E-3</v>
      </c>
      <c r="AI433" s="146">
        <v>7.7252845624467244E-3</v>
      </c>
      <c r="AJ433" s="147">
        <v>9.091587629770938E-4</v>
      </c>
      <c r="AK433" s="177"/>
    </row>
    <row r="434" spans="1:37" ht="15" x14ac:dyDescent="0.2">
      <c r="A434" s="142" t="s">
        <v>1220</v>
      </c>
      <c r="B434" s="143" t="s">
        <v>1220</v>
      </c>
      <c r="C434" s="143" t="s">
        <v>1923</v>
      </c>
      <c r="D434" s="143" t="s">
        <v>1924</v>
      </c>
      <c r="E434" s="143" t="s">
        <v>309</v>
      </c>
      <c r="F434" s="143" t="s">
        <v>1925</v>
      </c>
      <c r="G434" s="143" t="s">
        <v>1926</v>
      </c>
      <c r="H434" s="143" t="s">
        <v>321</v>
      </c>
      <c r="I434" s="143" t="s">
        <v>754</v>
      </c>
      <c r="J434" s="143" t="s">
        <v>204</v>
      </c>
      <c r="K434" s="143" t="s">
        <v>204</v>
      </c>
      <c r="L434" s="143" t="s">
        <v>325</v>
      </c>
      <c r="M434" s="143" t="s">
        <v>340</v>
      </c>
      <c r="N434" s="143" t="s">
        <v>477</v>
      </c>
      <c r="O434" s="143" t="s">
        <v>339</v>
      </c>
      <c r="P434" s="143" t="s">
        <v>1303</v>
      </c>
      <c r="Q434" s="143" t="s">
        <v>413</v>
      </c>
      <c r="R434" s="143" t="s">
        <v>407</v>
      </c>
      <c r="S434" s="143" t="s">
        <v>1210</v>
      </c>
      <c r="T434" s="144">
        <v>11.44</v>
      </c>
      <c r="U434" s="143" t="s">
        <v>1927</v>
      </c>
      <c r="V434" s="146">
        <v>2.07E-2</v>
      </c>
      <c r="W434" s="146">
        <v>3.2856000000000003E-2</v>
      </c>
      <c r="X434" s="143" t="s">
        <v>412</v>
      </c>
      <c r="Y434" s="145" t="s">
        <v>3930</v>
      </c>
      <c r="Z434" s="144">
        <v>7100000</v>
      </c>
      <c r="AA434" s="145" t="s">
        <v>3930</v>
      </c>
      <c r="AB434" s="143" t="s">
        <v>1928</v>
      </c>
      <c r="AC434" s="145" t="s">
        <v>3930</v>
      </c>
      <c r="AD434" s="144">
        <v>7055.27</v>
      </c>
      <c r="AE434" s="145" t="s">
        <v>3930</v>
      </c>
      <c r="AF434" s="145" t="s">
        <v>3930</v>
      </c>
      <c r="AG434" s="145" t="s">
        <v>3930</v>
      </c>
      <c r="AH434" s="146">
        <v>1.5592476009788653E-3</v>
      </c>
      <c r="AI434" s="146">
        <v>7.6521495769879544E-3</v>
      </c>
      <c r="AJ434" s="147">
        <v>9.0055179033128824E-4</v>
      </c>
      <c r="AK434" s="177"/>
    </row>
    <row r="435" spans="1:37" ht="15" x14ac:dyDescent="0.2">
      <c r="A435" s="142" t="s">
        <v>1220</v>
      </c>
      <c r="B435" s="143" t="s">
        <v>1220</v>
      </c>
      <c r="C435" s="143" t="s">
        <v>1541</v>
      </c>
      <c r="D435" s="143" t="s">
        <v>1542</v>
      </c>
      <c r="E435" s="143" t="s">
        <v>309</v>
      </c>
      <c r="F435" s="143" t="s">
        <v>1712</v>
      </c>
      <c r="G435" s="143" t="s">
        <v>1713</v>
      </c>
      <c r="H435" s="143" t="s">
        <v>321</v>
      </c>
      <c r="I435" s="143" t="s">
        <v>754</v>
      </c>
      <c r="J435" s="143" t="s">
        <v>204</v>
      </c>
      <c r="K435" s="143" t="s">
        <v>293</v>
      </c>
      <c r="L435" s="143" t="s">
        <v>325</v>
      </c>
      <c r="M435" s="143" t="s">
        <v>340</v>
      </c>
      <c r="N435" s="143" t="s">
        <v>465</v>
      </c>
      <c r="O435" s="143" t="s">
        <v>339</v>
      </c>
      <c r="P435" s="143" t="s">
        <v>1444</v>
      </c>
      <c r="Q435" s="143" t="s">
        <v>415</v>
      </c>
      <c r="R435" s="143" t="s">
        <v>407</v>
      </c>
      <c r="S435" s="143" t="s">
        <v>1210</v>
      </c>
      <c r="T435" s="144">
        <v>5.16</v>
      </c>
      <c r="U435" s="143" t="s">
        <v>1700</v>
      </c>
      <c r="V435" s="146">
        <v>1.54E-2</v>
      </c>
      <c r="W435" s="146">
        <v>3.6589000000000003E-2</v>
      </c>
      <c r="X435" s="143" t="s">
        <v>412</v>
      </c>
      <c r="Y435" s="145" t="s">
        <v>3930</v>
      </c>
      <c r="Z435" s="144">
        <v>6943000</v>
      </c>
      <c r="AA435" s="145" t="s">
        <v>3930</v>
      </c>
      <c r="AB435" s="143" t="s">
        <v>1714</v>
      </c>
      <c r="AC435" s="145" t="s">
        <v>3930</v>
      </c>
      <c r="AD435" s="144">
        <v>6994.3782000000001</v>
      </c>
      <c r="AE435" s="145" t="s">
        <v>3930</v>
      </c>
      <c r="AF435" s="145" t="s">
        <v>3930</v>
      </c>
      <c r="AG435" s="145" t="s">
        <v>3930</v>
      </c>
      <c r="AH435" s="146">
        <v>1.1640715510838456E-2</v>
      </c>
      <c r="AI435" s="146">
        <v>7.5861062984724573E-3</v>
      </c>
      <c r="AJ435" s="147">
        <v>8.9277941315699235E-4</v>
      </c>
      <c r="AK435" s="177"/>
    </row>
    <row r="436" spans="1:37" ht="15" x14ac:dyDescent="0.2">
      <c r="A436" s="142" t="s">
        <v>1220</v>
      </c>
      <c r="B436" s="143" t="s">
        <v>1220</v>
      </c>
      <c r="C436" s="143" t="s">
        <v>1364</v>
      </c>
      <c r="D436" s="143" t="s">
        <v>1365</v>
      </c>
      <c r="E436" s="143" t="s">
        <v>309</v>
      </c>
      <c r="F436" s="143" t="s">
        <v>1598</v>
      </c>
      <c r="G436" s="143" t="s">
        <v>1599</v>
      </c>
      <c r="H436" s="143" t="s">
        <v>321</v>
      </c>
      <c r="I436" s="143" t="s">
        <v>754</v>
      </c>
      <c r="J436" s="143" t="s">
        <v>204</v>
      </c>
      <c r="K436" s="143" t="s">
        <v>204</v>
      </c>
      <c r="L436" s="143" t="s">
        <v>325</v>
      </c>
      <c r="M436" s="143" t="s">
        <v>340</v>
      </c>
      <c r="N436" s="143" t="s">
        <v>445</v>
      </c>
      <c r="O436" s="143" t="s">
        <v>339</v>
      </c>
      <c r="P436" s="143" t="s">
        <v>1368</v>
      </c>
      <c r="Q436" s="143" t="s">
        <v>415</v>
      </c>
      <c r="R436" s="143" t="s">
        <v>407</v>
      </c>
      <c r="S436" s="143" t="s">
        <v>1210</v>
      </c>
      <c r="T436" s="144">
        <v>5.05</v>
      </c>
      <c r="U436" s="143" t="s">
        <v>1600</v>
      </c>
      <c r="V436" s="146">
        <v>4.6899999999999997E-2</v>
      </c>
      <c r="W436" s="146">
        <v>5.6607999999999999E-2</v>
      </c>
      <c r="X436" s="143" t="s">
        <v>412</v>
      </c>
      <c r="Y436" s="145" t="s">
        <v>3930</v>
      </c>
      <c r="Z436" s="144">
        <v>6998000</v>
      </c>
      <c r="AA436" s="145" t="s">
        <v>3930</v>
      </c>
      <c r="AB436" s="143" t="s">
        <v>1601</v>
      </c>
      <c r="AC436" s="145" t="s">
        <v>3930</v>
      </c>
      <c r="AD436" s="144">
        <v>6708.2828</v>
      </c>
      <c r="AE436" s="145" t="s">
        <v>3930</v>
      </c>
      <c r="AF436" s="145" t="s">
        <v>3930</v>
      </c>
      <c r="AG436" s="145" t="s">
        <v>3930</v>
      </c>
      <c r="AH436" s="146">
        <v>1.3996E-2</v>
      </c>
      <c r="AI436" s="146">
        <v>7.275807076176471E-3</v>
      </c>
      <c r="AJ436" s="147">
        <v>8.5626150176939901E-4</v>
      </c>
      <c r="AK436" s="177"/>
    </row>
    <row r="437" spans="1:37" ht="15" x14ac:dyDescent="0.2">
      <c r="A437" s="142" t="s">
        <v>1220</v>
      </c>
      <c r="B437" s="143" t="s">
        <v>1220</v>
      </c>
      <c r="C437" s="143" t="s">
        <v>1842</v>
      </c>
      <c r="D437" s="143" t="s">
        <v>1843</v>
      </c>
      <c r="E437" s="143" t="s">
        <v>309</v>
      </c>
      <c r="F437" s="143" t="s">
        <v>1939</v>
      </c>
      <c r="G437" s="143" t="s">
        <v>1940</v>
      </c>
      <c r="H437" s="143" t="s">
        <v>321</v>
      </c>
      <c r="I437" s="143" t="s">
        <v>754</v>
      </c>
      <c r="J437" s="143" t="s">
        <v>204</v>
      </c>
      <c r="K437" s="143" t="s">
        <v>204</v>
      </c>
      <c r="L437" s="143" t="s">
        <v>325</v>
      </c>
      <c r="M437" s="143" t="s">
        <v>340</v>
      </c>
      <c r="N437" s="143" t="s">
        <v>464</v>
      </c>
      <c r="O437" s="143" t="s">
        <v>339</v>
      </c>
      <c r="P437" s="143" t="s">
        <v>1412</v>
      </c>
      <c r="Q437" s="143" t="s">
        <v>413</v>
      </c>
      <c r="R437" s="143" t="s">
        <v>407</v>
      </c>
      <c r="S437" s="143" t="s">
        <v>1210</v>
      </c>
      <c r="T437" s="144">
        <v>5.83</v>
      </c>
      <c r="U437" s="143" t="s">
        <v>1941</v>
      </c>
      <c r="V437" s="146">
        <v>3.5000000000000001E-3</v>
      </c>
      <c r="W437" s="146">
        <v>3.3998E-2</v>
      </c>
      <c r="X437" s="143" t="s">
        <v>412</v>
      </c>
      <c r="Y437" s="145" t="s">
        <v>3930</v>
      </c>
      <c r="Z437" s="144">
        <v>7100000</v>
      </c>
      <c r="AA437" s="145" t="s">
        <v>3930</v>
      </c>
      <c r="AB437" s="143" t="s">
        <v>1942</v>
      </c>
      <c r="AC437" s="145" t="s">
        <v>3930</v>
      </c>
      <c r="AD437" s="144">
        <v>6695.3</v>
      </c>
      <c r="AE437" s="145" t="s">
        <v>3930</v>
      </c>
      <c r="AF437" s="145" t="s">
        <v>3930</v>
      </c>
      <c r="AG437" s="145" t="s">
        <v>3930</v>
      </c>
      <c r="AH437" s="146">
        <v>2.0377472296826413E-3</v>
      </c>
      <c r="AI437" s="146">
        <v>7.2617259244235092E-3</v>
      </c>
      <c r="AJ437" s="147">
        <v>8.546043456600632E-4</v>
      </c>
      <c r="AK437" s="177"/>
    </row>
    <row r="438" spans="1:37" ht="15" x14ac:dyDescent="0.2">
      <c r="A438" s="142" t="s">
        <v>1220</v>
      </c>
      <c r="B438" s="143" t="s">
        <v>1220</v>
      </c>
      <c r="C438" s="143" t="s">
        <v>1792</v>
      </c>
      <c r="D438" s="143" t="s">
        <v>1793</v>
      </c>
      <c r="E438" s="143" t="s">
        <v>309</v>
      </c>
      <c r="F438" s="143" t="s">
        <v>1951</v>
      </c>
      <c r="G438" s="143" t="s">
        <v>1952</v>
      </c>
      <c r="H438" s="143" t="s">
        <v>321</v>
      </c>
      <c r="I438" s="143" t="s">
        <v>754</v>
      </c>
      <c r="J438" s="143" t="s">
        <v>204</v>
      </c>
      <c r="K438" s="143" t="s">
        <v>204</v>
      </c>
      <c r="L438" s="143" t="s">
        <v>325</v>
      </c>
      <c r="M438" s="143" t="s">
        <v>340</v>
      </c>
      <c r="N438" s="143" t="s">
        <v>464</v>
      </c>
      <c r="O438" s="143" t="s">
        <v>339</v>
      </c>
      <c r="P438" s="143" t="s">
        <v>1743</v>
      </c>
      <c r="Q438" s="143" t="s">
        <v>413</v>
      </c>
      <c r="R438" s="143" t="s">
        <v>407</v>
      </c>
      <c r="S438" s="143" t="s">
        <v>1210</v>
      </c>
      <c r="T438" s="144">
        <v>6.07</v>
      </c>
      <c r="U438" s="143" t="s">
        <v>1775</v>
      </c>
      <c r="V438" s="146">
        <v>3.6799999999999999E-2</v>
      </c>
      <c r="W438" s="146">
        <v>4.0441999999999999E-2</v>
      </c>
      <c r="X438" s="143" t="s">
        <v>412</v>
      </c>
      <c r="Y438" s="145" t="s">
        <v>3930</v>
      </c>
      <c r="Z438" s="144">
        <v>6211000</v>
      </c>
      <c r="AA438" s="145" t="s">
        <v>3930</v>
      </c>
      <c r="AB438" s="143" t="s">
        <v>1953</v>
      </c>
      <c r="AC438" s="145" t="s">
        <v>3930</v>
      </c>
      <c r="AD438" s="144">
        <v>6351.3685999999998</v>
      </c>
      <c r="AE438" s="145" t="s">
        <v>3930</v>
      </c>
      <c r="AF438" s="145" t="s">
        <v>3930</v>
      </c>
      <c r="AG438" s="145" t="s">
        <v>3930</v>
      </c>
      <c r="AH438" s="146">
        <v>2.5489705212441569E-2</v>
      </c>
      <c r="AI438" s="146">
        <v>6.8886977459097351E-3</v>
      </c>
      <c r="AJ438" s="147">
        <v>8.1070410682850241E-4</v>
      </c>
      <c r="AK438" s="177"/>
    </row>
    <row r="439" spans="1:37" ht="15" x14ac:dyDescent="0.2">
      <c r="A439" s="142" t="s">
        <v>1220</v>
      </c>
      <c r="B439" s="143" t="s">
        <v>1220</v>
      </c>
      <c r="C439" s="143" t="s">
        <v>1792</v>
      </c>
      <c r="D439" s="143" t="s">
        <v>1793</v>
      </c>
      <c r="E439" s="143" t="s">
        <v>309</v>
      </c>
      <c r="F439" s="143" t="s">
        <v>1947</v>
      </c>
      <c r="G439" s="143" t="s">
        <v>1948</v>
      </c>
      <c r="H439" s="143" t="s">
        <v>321</v>
      </c>
      <c r="I439" s="143" t="s">
        <v>754</v>
      </c>
      <c r="J439" s="143" t="s">
        <v>204</v>
      </c>
      <c r="K439" s="143" t="s">
        <v>204</v>
      </c>
      <c r="L439" s="143" t="s">
        <v>325</v>
      </c>
      <c r="M439" s="143" t="s">
        <v>340</v>
      </c>
      <c r="N439" s="143" t="s">
        <v>464</v>
      </c>
      <c r="O439" s="143" t="s">
        <v>339</v>
      </c>
      <c r="P439" s="143" t="s">
        <v>1743</v>
      </c>
      <c r="Q439" s="143" t="s">
        <v>413</v>
      </c>
      <c r="R439" s="143" t="s">
        <v>407</v>
      </c>
      <c r="S439" s="143" t="s">
        <v>1210</v>
      </c>
      <c r="T439" s="144">
        <v>1.44</v>
      </c>
      <c r="U439" s="143" t="s">
        <v>1949</v>
      </c>
      <c r="V439" s="146">
        <v>3.3402000000000001E-2</v>
      </c>
      <c r="W439" s="146">
        <v>2.8573999999999999E-2</v>
      </c>
      <c r="X439" s="143" t="s">
        <v>412</v>
      </c>
      <c r="Y439" s="145" t="s">
        <v>3930</v>
      </c>
      <c r="Z439" s="144">
        <v>5254545.6399999997</v>
      </c>
      <c r="AA439" s="145" t="s">
        <v>3930</v>
      </c>
      <c r="AB439" s="143" t="s">
        <v>1950</v>
      </c>
      <c r="AC439" s="145" t="s">
        <v>3930</v>
      </c>
      <c r="AD439" s="144">
        <v>6227.6875</v>
      </c>
      <c r="AE439" s="145" t="s">
        <v>3930</v>
      </c>
      <c r="AF439" s="145" t="s">
        <v>3930</v>
      </c>
      <c r="AG439" s="145" t="s">
        <v>3930</v>
      </c>
      <c r="AH439" s="146">
        <v>1.5048609838137475E-2</v>
      </c>
      <c r="AI439" s="146">
        <v>6.7545531512700875E-3</v>
      </c>
      <c r="AJ439" s="147">
        <v>7.9491715001975282E-4</v>
      </c>
      <c r="AK439" s="177"/>
    </row>
    <row r="440" spans="1:37" ht="15" x14ac:dyDescent="0.2">
      <c r="A440" s="142" t="s">
        <v>1220</v>
      </c>
      <c r="B440" s="143" t="s">
        <v>1220</v>
      </c>
      <c r="C440" s="143" t="s">
        <v>1575</v>
      </c>
      <c r="D440" s="143" t="s">
        <v>1576</v>
      </c>
      <c r="E440" s="143" t="s">
        <v>309</v>
      </c>
      <c r="F440" s="143" t="s">
        <v>1943</v>
      </c>
      <c r="G440" s="143" t="s">
        <v>1944</v>
      </c>
      <c r="H440" s="143" t="s">
        <v>321</v>
      </c>
      <c r="I440" s="143" t="s">
        <v>754</v>
      </c>
      <c r="J440" s="143" t="s">
        <v>204</v>
      </c>
      <c r="K440" s="143" t="s">
        <v>204</v>
      </c>
      <c r="L440" s="143" t="s">
        <v>325</v>
      </c>
      <c r="M440" s="143" t="s">
        <v>340</v>
      </c>
      <c r="N440" s="143" t="s">
        <v>464</v>
      </c>
      <c r="O440" s="143" t="s">
        <v>339</v>
      </c>
      <c r="P440" s="143" t="s">
        <v>1356</v>
      </c>
      <c r="Q440" s="143" t="s">
        <v>413</v>
      </c>
      <c r="R440" s="143" t="s">
        <v>407</v>
      </c>
      <c r="S440" s="143" t="s">
        <v>1210</v>
      </c>
      <c r="T440" s="144">
        <v>5.31</v>
      </c>
      <c r="U440" s="143" t="s">
        <v>1945</v>
      </c>
      <c r="V440" s="146">
        <v>1.8700000000000001E-2</v>
      </c>
      <c r="W440" s="146">
        <v>3.3842999999999998E-2</v>
      </c>
      <c r="X440" s="143" t="s">
        <v>412</v>
      </c>
      <c r="Y440" s="145" t="s">
        <v>3930</v>
      </c>
      <c r="Z440" s="144">
        <v>5983999.9199999999</v>
      </c>
      <c r="AA440" s="145" t="s">
        <v>3930</v>
      </c>
      <c r="AB440" s="143" t="s">
        <v>1946</v>
      </c>
      <c r="AC440" s="145" t="s">
        <v>3930</v>
      </c>
      <c r="AD440" s="144">
        <v>6173.0942999999997</v>
      </c>
      <c r="AE440" s="145" t="s">
        <v>3930</v>
      </c>
      <c r="AF440" s="145" t="s">
        <v>3930</v>
      </c>
      <c r="AG440" s="145" t="s">
        <v>3930</v>
      </c>
      <c r="AH440" s="146">
        <v>1.1431741422564088E-2</v>
      </c>
      <c r="AI440" s="146">
        <v>6.6953413647032802E-3</v>
      </c>
      <c r="AJ440" s="147">
        <v>7.8794874462399193E-4</v>
      </c>
      <c r="AK440" s="177"/>
    </row>
    <row r="441" spans="1:37" ht="15" x14ac:dyDescent="0.2">
      <c r="A441" s="142" t="s">
        <v>1220</v>
      </c>
      <c r="B441" s="143" t="s">
        <v>1220</v>
      </c>
      <c r="C441" s="143" t="s">
        <v>1513</v>
      </c>
      <c r="D441" s="143" t="s">
        <v>1514</v>
      </c>
      <c r="E441" s="143" t="s">
        <v>309</v>
      </c>
      <c r="F441" s="143" t="s">
        <v>1616</v>
      </c>
      <c r="G441" s="143" t="s">
        <v>1617</v>
      </c>
      <c r="H441" s="143" t="s">
        <v>321</v>
      </c>
      <c r="I441" s="143" t="s">
        <v>754</v>
      </c>
      <c r="J441" s="143" t="s">
        <v>204</v>
      </c>
      <c r="K441" s="143" t="s">
        <v>204</v>
      </c>
      <c r="L441" s="143" t="s">
        <v>325</v>
      </c>
      <c r="M441" s="143" t="s">
        <v>340</v>
      </c>
      <c r="N441" s="143" t="s">
        <v>465</v>
      </c>
      <c r="O441" s="143" t="s">
        <v>339</v>
      </c>
      <c r="P441" s="143" t="s">
        <v>1405</v>
      </c>
      <c r="Q441" s="143" t="s">
        <v>415</v>
      </c>
      <c r="R441" s="143" t="s">
        <v>407</v>
      </c>
      <c r="S441" s="143" t="s">
        <v>1210</v>
      </c>
      <c r="T441" s="144">
        <v>5.6</v>
      </c>
      <c r="U441" s="143" t="s">
        <v>1618</v>
      </c>
      <c r="V441" s="146">
        <v>1.7899999999999999E-2</v>
      </c>
      <c r="W441" s="146">
        <v>5.3422999999999998E-2</v>
      </c>
      <c r="X441" s="143" t="s">
        <v>412</v>
      </c>
      <c r="Y441" s="145" t="s">
        <v>3930</v>
      </c>
      <c r="Z441" s="144">
        <v>6492255.04</v>
      </c>
      <c r="AA441" s="145" t="s">
        <v>3930</v>
      </c>
      <c r="AB441" s="143" t="s">
        <v>1619</v>
      </c>
      <c r="AC441" s="145" t="s">
        <v>3930</v>
      </c>
      <c r="AD441" s="144">
        <v>6131.2857000000004</v>
      </c>
      <c r="AE441" s="145" t="s">
        <v>3930</v>
      </c>
      <c r="AF441" s="145" t="s">
        <v>3930</v>
      </c>
      <c r="AG441" s="145" t="s">
        <v>3930</v>
      </c>
      <c r="AH441" s="146">
        <v>9.5871372772426931E-3</v>
      </c>
      <c r="AI441" s="146">
        <v>6.6499956724331219E-3</v>
      </c>
      <c r="AJ441" s="147">
        <v>7.8261218606004174E-4</v>
      </c>
      <c r="AK441" s="177"/>
    </row>
    <row r="442" spans="1:37" ht="15" x14ac:dyDescent="0.2">
      <c r="A442" s="142" t="s">
        <v>1220</v>
      </c>
      <c r="B442" s="143" t="s">
        <v>1220</v>
      </c>
      <c r="C442" s="143" t="s">
        <v>1532</v>
      </c>
      <c r="D442" s="143" t="s">
        <v>1533</v>
      </c>
      <c r="E442" s="143" t="s">
        <v>309</v>
      </c>
      <c r="F442" s="143" t="s">
        <v>1534</v>
      </c>
      <c r="G442" s="143" t="s">
        <v>1535</v>
      </c>
      <c r="H442" s="143" t="s">
        <v>321</v>
      </c>
      <c r="I442" s="143" t="s">
        <v>754</v>
      </c>
      <c r="J442" s="143" t="s">
        <v>204</v>
      </c>
      <c r="K442" s="143" t="s">
        <v>204</v>
      </c>
      <c r="L442" s="143" t="s">
        <v>325</v>
      </c>
      <c r="M442" s="143" t="s">
        <v>340</v>
      </c>
      <c r="N442" s="143" t="s">
        <v>464</v>
      </c>
      <c r="O442" s="143" t="s">
        <v>339</v>
      </c>
      <c r="P442" s="143" t="s">
        <v>1412</v>
      </c>
      <c r="Q442" s="143" t="s">
        <v>413</v>
      </c>
      <c r="R442" s="143" t="s">
        <v>407</v>
      </c>
      <c r="S442" s="143" t="s">
        <v>1210</v>
      </c>
      <c r="T442" s="144">
        <v>2.1800000000000002</v>
      </c>
      <c r="U442" s="143" t="s">
        <v>1304</v>
      </c>
      <c r="V442" s="146">
        <v>2.3400000000000001E-2</v>
      </c>
      <c r="W442" s="146">
        <v>2.7172000000000002E-2</v>
      </c>
      <c r="X442" s="143" t="s">
        <v>412</v>
      </c>
      <c r="Y442" s="145" t="s">
        <v>3930</v>
      </c>
      <c r="Z442" s="144">
        <v>5244845.67</v>
      </c>
      <c r="AA442" s="145" t="s">
        <v>3930</v>
      </c>
      <c r="AB442" s="143" t="s">
        <v>1536</v>
      </c>
      <c r="AC442" s="145" t="s">
        <v>3930</v>
      </c>
      <c r="AD442" s="144">
        <v>6077.2026999999998</v>
      </c>
      <c r="AE442" s="145" t="s">
        <v>3930</v>
      </c>
      <c r="AF442" s="145" t="s">
        <v>3930</v>
      </c>
      <c r="AG442" s="145" t="s">
        <v>3930</v>
      </c>
      <c r="AH442" s="146">
        <v>2.486230685774317E-3</v>
      </c>
      <c r="AI442" s="146">
        <v>6.5913372415824269E-3</v>
      </c>
      <c r="AJ442" s="147">
        <v>7.7570890295126981E-4</v>
      </c>
      <c r="AK442" s="177"/>
    </row>
    <row r="443" spans="1:37" ht="15" x14ac:dyDescent="0.2">
      <c r="A443" s="142" t="s">
        <v>1220</v>
      </c>
      <c r="B443" s="143" t="s">
        <v>1220</v>
      </c>
      <c r="C443" s="143" t="s">
        <v>1513</v>
      </c>
      <c r="D443" s="143" t="s">
        <v>1514</v>
      </c>
      <c r="E443" s="143" t="s">
        <v>309</v>
      </c>
      <c r="F443" s="143" t="s">
        <v>1537</v>
      </c>
      <c r="G443" s="143" t="s">
        <v>1538</v>
      </c>
      <c r="H443" s="143" t="s">
        <v>321</v>
      </c>
      <c r="I443" s="143" t="s">
        <v>754</v>
      </c>
      <c r="J443" s="143" t="s">
        <v>204</v>
      </c>
      <c r="K443" s="143" t="s">
        <v>204</v>
      </c>
      <c r="L443" s="143" t="s">
        <v>325</v>
      </c>
      <c r="M443" s="143" t="s">
        <v>340</v>
      </c>
      <c r="N443" s="143" t="s">
        <v>465</v>
      </c>
      <c r="O443" s="143" t="s">
        <v>339</v>
      </c>
      <c r="P443" s="143" t="s">
        <v>1405</v>
      </c>
      <c r="Q443" s="143" t="s">
        <v>415</v>
      </c>
      <c r="R443" s="143" t="s">
        <v>407</v>
      </c>
      <c r="S443" s="143" t="s">
        <v>1210</v>
      </c>
      <c r="T443" s="144">
        <v>2.23</v>
      </c>
      <c r="U443" s="143" t="s">
        <v>1539</v>
      </c>
      <c r="V443" s="146">
        <v>3.2800000000000003E-2</v>
      </c>
      <c r="W443" s="146">
        <v>4.3984000000000002E-2</v>
      </c>
      <c r="X443" s="143" t="s">
        <v>412</v>
      </c>
      <c r="Y443" s="145" t="s">
        <v>3930</v>
      </c>
      <c r="Z443" s="144">
        <v>5119878.09</v>
      </c>
      <c r="AA443" s="145" t="s">
        <v>3930</v>
      </c>
      <c r="AB443" s="143" t="s">
        <v>1540</v>
      </c>
      <c r="AC443" s="145" t="s">
        <v>3930</v>
      </c>
      <c r="AD443" s="144">
        <v>5890.9317000000001</v>
      </c>
      <c r="AE443" s="145" t="s">
        <v>3930</v>
      </c>
      <c r="AF443" s="145" t="s">
        <v>3930</v>
      </c>
      <c r="AG443" s="145" t="s">
        <v>3930</v>
      </c>
      <c r="AH443" s="146">
        <v>3.1979398343574507E-3</v>
      </c>
      <c r="AI443" s="146">
        <v>6.3893076733411028E-3</v>
      </c>
      <c r="AJ443" s="147">
        <v>7.5193282702004161E-4</v>
      </c>
      <c r="AK443" s="177"/>
    </row>
    <row r="444" spans="1:37" ht="15" x14ac:dyDescent="0.2">
      <c r="A444" s="142" t="s">
        <v>1220</v>
      </c>
      <c r="B444" s="143" t="s">
        <v>1220</v>
      </c>
      <c r="C444" s="143" t="s">
        <v>1575</v>
      </c>
      <c r="D444" s="143" t="s">
        <v>1576</v>
      </c>
      <c r="E444" s="143" t="s">
        <v>309</v>
      </c>
      <c r="F444" s="143" t="s">
        <v>1702</v>
      </c>
      <c r="G444" s="143" t="s">
        <v>1703</v>
      </c>
      <c r="H444" s="143" t="s">
        <v>321</v>
      </c>
      <c r="I444" s="143" t="s">
        <v>754</v>
      </c>
      <c r="J444" s="143" t="s">
        <v>204</v>
      </c>
      <c r="K444" s="143" t="s">
        <v>204</v>
      </c>
      <c r="L444" s="143" t="s">
        <v>325</v>
      </c>
      <c r="M444" s="143" t="s">
        <v>340</v>
      </c>
      <c r="N444" s="143" t="s">
        <v>464</v>
      </c>
      <c r="O444" s="143" t="s">
        <v>339</v>
      </c>
      <c r="P444" s="143" t="s">
        <v>1425</v>
      </c>
      <c r="Q444" s="143" t="s">
        <v>415</v>
      </c>
      <c r="R444" s="143" t="s">
        <v>407</v>
      </c>
      <c r="S444" s="143" t="s">
        <v>1210</v>
      </c>
      <c r="T444" s="144">
        <v>4.47</v>
      </c>
      <c r="U444" s="143" t="s">
        <v>1704</v>
      </c>
      <c r="V444" s="146">
        <v>1.17E-2</v>
      </c>
      <c r="W444" s="146">
        <v>3.1536000000000002E-2</v>
      </c>
      <c r="X444" s="143" t="s">
        <v>412</v>
      </c>
      <c r="Y444" s="145" t="s">
        <v>3930</v>
      </c>
      <c r="Z444" s="144">
        <v>5535825.0199999996</v>
      </c>
      <c r="AA444" s="145" t="s">
        <v>3930</v>
      </c>
      <c r="AB444" s="143" t="s">
        <v>1705</v>
      </c>
      <c r="AC444" s="145" t="s">
        <v>3930</v>
      </c>
      <c r="AD444" s="144">
        <v>5828.6702000000005</v>
      </c>
      <c r="AE444" s="145" t="s">
        <v>3930</v>
      </c>
      <c r="AF444" s="145" t="s">
        <v>3930</v>
      </c>
      <c r="AG444" s="145" t="s">
        <v>3930</v>
      </c>
      <c r="AH444" s="146">
        <v>8.0395788370683698E-3</v>
      </c>
      <c r="AI444" s="146">
        <v>6.3217787450335228E-3</v>
      </c>
      <c r="AJ444" s="147">
        <v>7.4398560948662768E-4</v>
      </c>
      <c r="AK444" s="177"/>
    </row>
    <row r="445" spans="1:37" ht="15" x14ac:dyDescent="0.2">
      <c r="A445" s="142" t="s">
        <v>1220</v>
      </c>
      <c r="B445" s="143" t="s">
        <v>1220</v>
      </c>
      <c r="C445" s="143" t="s">
        <v>1887</v>
      </c>
      <c r="D445" s="143" t="s">
        <v>1888</v>
      </c>
      <c r="E445" s="143" t="s">
        <v>309</v>
      </c>
      <c r="F445" s="143" t="s">
        <v>1954</v>
      </c>
      <c r="G445" s="143" t="s">
        <v>1955</v>
      </c>
      <c r="H445" s="143" t="s">
        <v>321</v>
      </c>
      <c r="I445" s="143" t="s">
        <v>754</v>
      </c>
      <c r="J445" s="143" t="s">
        <v>204</v>
      </c>
      <c r="K445" s="143" t="s">
        <v>204</v>
      </c>
      <c r="L445" s="143" t="s">
        <v>325</v>
      </c>
      <c r="M445" s="143" t="s">
        <v>340</v>
      </c>
      <c r="N445" s="143" t="s">
        <v>448</v>
      </c>
      <c r="O445" s="143" t="s">
        <v>339</v>
      </c>
      <c r="P445" s="143" t="s">
        <v>1303</v>
      </c>
      <c r="Q445" s="143" t="s">
        <v>413</v>
      </c>
      <c r="R445" s="143" t="s">
        <v>407</v>
      </c>
      <c r="S445" s="143" t="s">
        <v>1210</v>
      </c>
      <c r="T445" s="144">
        <v>3.98</v>
      </c>
      <c r="U445" s="143" t="s">
        <v>1956</v>
      </c>
      <c r="V445" s="146">
        <v>2E-3</v>
      </c>
      <c r="W445" s="146">
        <v>2.4972000000000001E-2</v>
      </c>
      <c r="X445" s="143" t="s">
        <v>412</v>
      </c>
      <c r="Y445" s="145" t="s">
        <v>3930</v>
      </c>
      <c r="Z445" s="144">
        <v>5473684.29</v>
      </c>
      <c r="AA445" s="145" t="s">
        <v>3930</v>
      </c>
      <c r="AB445" s="143" t="s">
        <v>1254</v>
      </c>
      <c r="AC445" s="145" t="s">
        <v>3930</v>
      </c>
      <c r="AD445" s="144">
        <v>5616.0000999999993</v>
      </c>
      <c r="AE445" s="145" t="s">
        <v>3930</v>
      </c>
      <c r="AF445" s="145" t="s">
        <v>3930</v>
      </c>
      <c r="AG445" s="145" t="s">
        <v>3930</v>
      </c>
      <c r="AH445" s="146">
        <v>1.505424648699877E-3</v>
      </c>
      <c r="AI445" s="146">
        <v>6.0911166614914282E-3</v>
      </c>
      <c r="AJ445" s="147">
        <v>7.1683988393520133E-4</v>
      </c>
      <c r="AK445" s="177"/>
    </row>
    <row r="446" spans="1:37" ht="15" x14ac:dyDescent="0.2">
      <c r="A446" s="142" t="s">
        <v>1220</v>
      </c>
      <c r="B446" s="143" t="s">
        <v>1220</v>
      </c>
      <c r="C446" s="143" t="s">
        <v>1358</v>
      </c>
      <c r="D446" s="143" t="s">
        <v>1359</v>
      </c>
      <c r="E446" s="143" t="s">
        <v>309</v>
      </c>
      <c r="F446" s="143" t="s">
        <v>1485</v>
      </c>
      <c r="G446" s="143" t="s">
        <v>1486</v>
      </c>
      <c r="H446" s="143" t="s">
        <v>321</v>
      </c>
      <c r="I446" s="143" t="s">
        <v>754</v>
      </c>
      <c r="J446" s="143" t="s">
        <v>204</v>
      </c>
      <c r="K446" s="143" t="s">
        <v>204</v>
      </c>
      <c r="L446" s="143" t="s">
        <v>325</v>
      </c>
      <c r="M446" s="143" t="s">
        <v>340</v>
      </c>
      <c r="N446" s="143" t="s">
        <v>448</v>
      </c>
      <c r="O446" s="143" t="s">
        <v>339</v>
      </c>
      <c r="P446" s="143" t="s">
        <v>1303</v>
      </c>
      <c r="Q446" s="143" t="s">
        <v>413</v>
      </c>
      <c r="R446" s="143" t="s">
        <v>407</v>
      </c>
      <c r="S446" s="143" t="s">
        <v>1210</v>
      </c>
      <c r="T446" s="144">
        <v>1.72</v>
      </c>
      <c r="U446" s="143" t="s">
        <v>1487</v>
      </c>
      <c r="V446" s="146">
        <v>3.8E-3</v>
      </c>
      <c r="W446" s="146">
        <v>2.1166000000000001E-2</v>
      </c>
      <c r="X446" s="143" t="s">
        <v>412</v>
      </c>
      <c r="Y446" s="145" t="s">
        <v>3930</v>
      </c>
      <c r="Z446" s="144">
        <v>5076626</v>
      </c>
      <c r="AA446" s="145" t="s">
        <v>3930</v>
      </c>
      <c r="AB446" s="143" t="s">
        <v>1488</v>
      </c>
      <c r="AC446" s="145" t="s">
        <v>3930</v>
      </c>
      <c r="AD446" s="144">
        <v>5604.0874000000003</v>
      </c>
      <c r="AE446" s="145" t="s">
        <v>3930</v>
      </c>
      <c r="AF446" s="145" t="s">
        <v>3930</v>
      </c>
      <c r="AG446" s="145" t="s">
        <v>3930</v>
      </c>
      <c r="AH446" s="146">
        <v>1.6922086666666667E-3</v>
      </c>
      <c r="AI446" s="146">
        <v>6.0781962056891542E-3</v>
      </c>
      <c r="AJ446" s="147">
        <v>7.1531932562834001E-4</v>
      </c>
      <c r="AK446" s="177"/>
    </row>
    <row r="447" spans="1:37" ht="15" x14ac:dyDescent="0.2">
      <c r="A447" s="142" t="s">
        <v>1220</v>
      </c>
      <c r="B447" s="143" t="s">
        <v>1220</v>
      </c>
      <c r="C447" s="143" t="s">
        <v>1474</v>
      </c>
      <c r="D447" s="143" t="s">
        <v>1475</v>
      </c>
      <c r="E447" s="143" t="s">
        <v>313</v>
      </c>
      <c r="F447" s="143" t="s">
        <v>1957</v>
      </c>
      <c r="G447" s="143" t="s">
        <v>1958</v>
      </c>
      <c r="H447" s="143" t="s">
        <v>321</v>
      </c>
      <c r="I447" s="143" t="s">
        <v>754</v>
      </c>
      <c r="J447" s="143" t="s">
        <v>204</v>
      </c>
      <c r="K447" s="143" t="s">
        <v>204</v>
      </c>
      <c r="L447" s="143" t="s">
        <v>325</v>
      </c>
      <c r="M447" s="143" t="s">
        <v>340</v>
      </c>
      <c r="N447" s="143" t="s">
        <v>440</v>
      </c>
      <c r="O447" s="143" t="s">
        <v>339</v>
      </c>
      <c r="P447" s="143" t="s">
        <v>1478</v>
      </c>
      <c r="Q447" s="143" t="s">
        <v>415</v>
      </c>
      <c r="R447" s="143" t="s">
        <v>407</v>
      </c>
      <c r="S447" s="143" t="s">
        <v>1210</v>
      </c>
      <c r="T447" s="144">
        <v>2.78</v>
      </c>
      <c r="U447" s="143" t="s">
        <v>1959</v>
      </c>
      <c r="V447" s="146">
        <v>0.01</v>
      </c>
      <c r="W447" s="146">
        <v>2.2491000000000001E-2</v>
      </c>
      <c r="X447" s="143" t="s">
        <v>412</v>
      </c>
      <c r="Y447" s="145" t="s">
        <v>3930</v>
      </c>
      <c r="Z447" s="144">
        <v>4851938</v>
      </c>
      <c r="AA447" s="145" t="s">
        <v>3930</v>
      </c>
      <c r="AB447" s="143" t="s">
        <v>1960</v>
      </c>
      <c r="AC447" s="145" t="s">
        <v>3930</v>
      </c>
      <c r="AD447" s="144">
        <v>5340.0429999999997</v>
      </c>
      <c r="AE447" s="145" t="s">
        <v>3930</v>
      </c>
      <c r="AF447" s="145" t="s">
        <v>3930</v>
      </c>
      <c r="AG447" s="145" t="s">
        <v>3930</v>
      </c>
      <c r="AH447" s="146">
        <v>4.0374240372925618E-3</v>
      </c>
      <c r="AI447" s="146">
        <v>5.791813424417141E-3</v>
      </c>
      <c r="AJ447" s="147">
        <v>6.8161604737955277E-4</v>
      </c>
      <c r="AK447" s="177"/>
    </row>
    <row r="448" spans="1:37" ht="15" x14ac:dyDescent="0.2">
      <c r="A448" s="142" t="s">
        <v>1220</v>
      </c>
      <c r="B448" s="143" t="s">
        <v>1220</v>
      </c>
      <c r="C448" s="143" t="s">
        <v>1585</v>
      </c>
      <c r="D448" s="143" t="s">
        <v>1586</v>
      </c>
      <c r="E448" s="143" t="s">
        <v>309</v>
      </c>
      <c r="F448" s="143" t="s">
        <v>1587</v>
      </c>
      <c r="G448" s="143" t="s">
        <v>1588</v>
      </c>
      <c r="H448" s="143" t="s">
        <v>321</v>
      </c>
      <c r="I448" s="143" t="s">
        <v>754</v>
      </c>
      <c r="J448" s="143" t="s">
        <v>204</v>
      </c>
      <c r="K448" s="143" t="s">
        <v>204</v>
      </c>
      <c r="L448" s="143" t="s">
        <v>325</v>
      </c>
      <c r="M448" s="143" t="s">
        <v>340</v>
      </c>
      <c r="N448" s="143" t="s">
        <v>448</v>
      </c>
      <c r="O448" s="143" t="s">
        <v>339</v>
      </c>
      <c r="P448" s="143" t="s">
        <v>1303</v>
      </c>
      <c r="Q448" s="143" t="s">
        <v>413</v>
      </c>
      <c r="R448" s="143" t="s">
        <v>407</v>
      </c>
      <c r="S448" s="143" t="s">
        <v>1210</v>
      </c>
      <c r="T448" s="144">
        <v>2.73</v>
      </c>
      <c r="U448" s="143" t="s">
        <v>1589</v>
      </c>
      <c r="V448" s="146">
        <v>1.4999999999999999E-2</v>
      </c>
      <c r="W448" s="146">
        <v>2.2589000000000001E-2</v>
      </c>
      <c r="X448" s="143" t="s">
        <v>412</v>
      </c>
      <c r="Y448" s="145" t="s">
        <v>3930</v>
      </c>
      <c r="Z448" s="144">
        <v>4282207.71</v>
      </c>
      <c r="AA448" s="145" t="s">
        <v>3930</v>
      </c>
      <c r="AB448" s="143" t="s">
        <v>1590</v>
      </c>
      <c r="AC448" s="145" t="s">
        <v>3930</v>
      </c>
      <c r="AD448" s="144">
        <v>4889.8530000000001</v>
      </c>
      <c r="AE448" s="145" t="s">
        <v>3930</v>
      </c>
      <c r="AF448" s="145" t="s">
        <v>3930</v>
      </c>
      <c r="AG448" s="145" t="s">
        <v>3930</v>
      </c>
      <c r="AH448" s="146">
        <v>1.5340712318982867E-2</v>
      </c>
      <c r="AI448" s="146">
        <v>5.3035371351378251E-3</v>
      </c>
      <c r="AJ448" s="147">
        <v>6.2415270560051128E-4</v>
      </c>
      <c r="AK448" s="177"/>
    </row>
    <row r="449" spans="1:37" ht="15" x14ac:dyDescent="0.2">
      <c r="A449" s="142" t="s">
        <v>1220</v>
      </c>
      <c r="B449" s="143" t="s">
        <v>1220</v>
      </c>
      <c r="C449" s="143" t="s">
        <v>1706</v>
      </c>
      <c r="D449" s="143" t="s">
        <v>1707</v>
      </c>
      <c r="E449" s="143" t="s">
        <v>309</v>
      </c>
      <c r="F449" s="143" t="s">
        <v>1745</v>
      </c>
      <c r="G449" s="143" t="s">
        <v>1746</v>
      </c>
      <c r="H449" s="143" t="s">
        <v>321</v>
      </c>
      <c r="I449" s="143" t="s">
        <v>754</v>
      </c>
      <c r="J449" s="143" t="s">
        <v>204</v>
      </c>
      <c r="K449" s="143" t="s">
        <v>204</v>
      </c>
      <c r="L449" s="143" t="s">
        <v>325</v>
      </c>
      <c r="M449" s="143" t="s">
        <v>340</v>
      </c>
      <c r="N449" s="143" t="s">
        <v>464</v>
      </c>
      <c r="O449" s="143" t="s">
        <v>339</v>
      </c>
      <c r="P449" s="143" t="s">
        <v>1478</v>
      </c>
      <c r="Q449" s="143" t="s">
        <v>415</v>
      </c>
      <c r="R449" s="143" t="s">
        <v>407</v>
      </c>
      <c r="S449" s="143" t="s">
        <v>1210</v>
      </c>
      <c r="T449" s="144">
        <v>2.5499999999999998</v>
      </c>
      <c r="U449" s="143" t="s">
        <v>1539</v>
      </c>
      <c r="V449" s="146">
        <v>1.77E-2</v>
      </c>
      <c r="W449" s="146">
        <v>2.7564999999999999E-2</v>
      </c>
      <c r="X449" s="143" t="s">
        <v>412</v>
      </c>
      <c r="Y449" s="145" t="s">
        <v>3930</v>
      </c>
      <c r="Z449" s="144">
        <v>4115200.04</v>
      </c>
      <c r="AA449" s="145" t="s">
        <v>3930</v>
      </c>
      <c r="AB449" s="143" t="s">
        <v>1747</v>
      </c>
      <c r="AC449" s="145" t="s">
        <v>3930</v>
      </c>
      <c r="AD449" s="144">
        <v>4657.9949000000006</v>
      </c>
      <c r="AE449" s="145" t="s">
        <v>3930</v>
      </c>
      <c r="AF449" s="145" t="s">
        <v>3930</v>
      </c>
      <c r="AG449" s="145" t="s">
        <v>3930</v>
      </c>
      <c r="AH449" s="146">
        <v>1.5859944262093305E-3</v>
      </c>
      <c r="AI449" s="146">
        <v>5.0520637618493387E-3</v>
      </c>
      <c r="AJ449" s="147">
        <v>5.9455778011491516E-4</v>
      </c>
      <c r="AK449" s="177"/>
    </row>
    <row r="450" spans="1:37" ht="15" x14ac:dyDescent="0.2">
      <c r="A450" s="142" t="s">
        <v>1220</v>
      </c>
      <c r="B450" s="143" t="s">
        <v>1220</v>
      </c>
      <c r="C450" s="143" t="s">
        <v>1522</v>
      </c>
      <c r="D450" s="143" t="s">
        <v>1523</v>
      </c>
      <c r="E450" s="143" t="s">
        <v>309</v>
      </c>
      <c r="F450" s="143" t="s">
        <v>1524</v>
      </c>
      <c r="G450" s="143" t="s">
        <v>1525</v>
      </c>
      <c r="H450" s="143" t="s">
        <v>321</v>
      </c>
      <c r="I450" s="143" t="s">
        <v>754</v>
      </c>
      <c r="J450" s="143" t="s">
        <v>204</v>
      </c>
      <c r="K450" s="143" t="s">
        <v>204</v>
      </c>
      <c r="L450" s="143" t="s">
        <v>325</v>
      </c>
      <c r="M450" s="143" t="s">
        <v>340</v>
      </c>
      <c r="N450" s="143" t="s">
        <v>448</v>
      </c>
      <c r="O450" s="143" t="s">
        <v>339</v>
      </c>
      <c r="P450" s="143" t="s">
        <v>1356</v>
      </c>
      <c r="Q450" s="143" t="s">
        <v>413</v>
      </c>
      <c r="R450" s="143" t="s">
        <v>407</v>
      </c>
      <c r="S450" s="143" t="s">
        <v>1210</v>
      </c>
      <c r="T450" s="144">
        <v>1.23</v>
      </c>
      <c r="U450" s="143" t="s">
        <v>1526</v>
      </c>
      <c r="V450" s="146">
        <v>2E-3</v>
      </c>
      <c r="W450" s="146">
        <v>2.0126999999999999E-2</v>
      </c>
      <c r="X450" s="143" t="s">
        <v>412</v>
      </c>
      <c r="Y450" s="145" t="s">
        <v>3930</v>
      </c>
      <c r="Z450" s="144">
        <v>4127250</v>
      </c>
      <c r="AA450" s="145" t="s">
        <v>3930</v>
      </c>
      <c r="AB450" s="143" t="s">
        <v>1527</v>
      </c>
      <c r="AC450" s="145" t="s">
        <v>3930</v>
      </c>
      <c r="AD450" s="144">
        <v>4616.3290999999999</v>
      </c>
      <c r="AE450" s="145" t="s">
        <v>3930</v>
      </c>
      <c r="AF450" s="145" t="s">
        <v>3930</v>
      </c>
      <c r="AG450" s="145" t="s">
        <v>3930</v>
      </c>
      <c r="AH450" s="146">
        <v>9.8685983546009277E-3</v>
      </c>
      <c r="AI450" s="146">
        <v>5.0068730128125395E-3</v>
      </c>
      <c r="AJ450" s="147">
        <v>5.8923945621885759E-4</v>
      </c>
      <c r="AK450" s="177"/>
    </row>
    <row r="451" spans="1:37" ht="15" x14ac:dyDescent="0.2">
      <c r="A451" s="142" t="s">
        <v>1220</v>
      </c>
      <c r="B451" s="143" t="s">
        <v>1220</v>
      </c>
      <c r="C451" s="143" t="s">
        <v>1630</v>
      </c>
      <c r="D451" s="143" t="s">
        <v>1631</v>
      </c>
      <c r="E451" s="143" t="s">
        <v>309</v>
      </c>
      <c r="F451" s="143" t="s">
        <v>1632</v>
      </c>
      <c r="G451" s="143" t="s">
        <v>1633</v>
      </c>
      <c r="H451" s="143" t="s">
        <v>321</v>
      </c>
      <c r="I451" s="143" t="s">
        <v>754</v>
      </c>
      <c r="J451" s="143" t="s">
        <v>204</v>
      </c>
      <c r="K451" s="143" t="s">
        <v>204</v>
      </c>
      <c r="L451" s="143" t="s">
        <v>325</v>
      </c>
      <c r="M451" s="143" t="s">
        <v>340</v>
      </c>
      <c r="N451" s="143" t="s">
        <v>445</v>
      </c>
      <c r="O451" s="143" t="s">
        <v>339</v>
      </c>
      <c r="P451" s="143" t="s">
        <v>1412</v>
      </c>
      <c r="Q451" s="143" t="s">
        <v>413</v>
      </c>
      <c r="R451" s="143" t="s">
        <v>407</v>
      </c>
      <c r="S451" s="143" t="s">
        <v>1210</v>
      </c>
      <c r="T451" s="144">
        <v>4.54</v>
      </c>
      <c r="U451" s="143" t="s">
        <v>1634</v>
      </c>
      <c r="V451" s="146">
        <v>4.4000000000000003E-3</v>
      </c>
      <c r="W451" s="146">
        <v>2.6984000000000001E-2</v>
      </c>
      <c r="X451" s="143" t="s">
        <v>412</v>
      </c>
      <c r="Y451" s="145" t="s">
        <v>3930</v>
      </c>
      <c r="Z451" s="144">
        <v>4350185.82</v>
      </c>
      <c r="AA451" s="145" t="s">
        <v>3930</v>
      </c>
      <c r="AB451" s="143" t="s">
        <v>1635</v>
      </c>
      <c r="AC451" s="145" t="s">
        <v>3930</v>
      </c>
      <c r="AD451" s="144">
        <v>4532.8935999999994</v>
      </c>
      <c r="AE451" s="145" t="s">
        <v>3930</v>
      </c>
      <c r="AF451" s="145" t="s">
        <v>3930</v>
      </c>
      <c r="AG451" s="145" t="s">
        <v>3930</v>
      </c>
      <c r="AH451" s="146">
        <v>5.0998890596421634E-3</v>
      </c>
      <c r="AI451" s="146">
        <v>4.9163788247352609E-3</v>
      </c>
      <c r="AJ451" s="147">
        <v>5.7858954637749144E-4</v>
      </c>
      <c r="AK451" s="177"/>
    </row>
    <row r="452" spans="1:37" ht="15" x14ac:dyDescent="0.2">
      <c r="A452" s="142" t="s">
        <v>1220</v>
      </c>
      <c r="B452" s="143" t="s">
        <v>1220</v>
      </c>
      <c r="C452" s="143" t="s">
        <v>1961</v>
      </c>
      <c r="D452" s="143" t="s">
        <v>1962</v>
      </c>
      <c r="E452" s="143" t="s">
        <v>309</v>
      </c>
      <c r="F452" s="143" t="s">
        <v>1963</v>
      </c>
      <c r="G452" s="143" t="s">
        <v>1964</v>
      </c>
      <c r="H452" s="143" t="s">
        <v>321</v>
      </c>
      <c r="I452" s="143" t="s">
        <v>754</v>
      </c>
      <c r="J452" s="143" t="s">
        <v>204</v>
      </c>
      <c r="K452" s="143" t="s">
        <v>204</v>
      </c>
      <c r="L452" s="143" t="s">
        <v>325</v>
      </c>
      <c r="M452" s="143" t="s">
        <v>340</v>
      </c>
      <c r="N452" s="143" t="s">
        <v>464</v>
      </c>
      <c r="O452" s="143" t="s">
        <v>339</v>
      </c>
      <c r="P452" s="143" t="s">
        <v>1209</v>
      </c>
      <c r="Q452" s="143" t="s">
        <v>415</v>
      </c>
      <c r="R452" s="143" t="s">
        <v>407</v>
      </c>
      <c r="S452" s="143" t="s">
        <v>1210</v>
      </c>
      <c r="T452" s="144">
        <v>1.46</v>
      </c>
      <c r="U452" s="143" t="s">
        <v>1526</v>
      </c>
      <c r="V452" s="146">
        <v>8.3000000000000001E-3</v>
      </c>
      <c r="W452" s="146">
        <v>2.2186000000000001E-2</v>
      </c>
      <c r="X452" s="143" t="s">
        <v>412</v>
      </c>
      <c r="Y452" s="145" t="s">
        <v>3930</v>
      </c>
      <c r="Z452" s="144">
        <v>3776932.66</v>
      </c>
      <c r="AA452" s="145" t="s">
        <v>3930</v>
      </c>
      <c r="AB452" s="143" t="s">
        <v>1965</v>
      </c>
      <c r="AC452" s="145" t="s">
        <v>3930</v>
      </c>
      <c r="AD452" s="144">
        <v>4319.3002000000006</v>
      </c>
      <c r="AE452" s="145" t="s">
        <v>3930</v>
      </c>
      <c r="AF452" s="145" t="s">
        <v>3930</v>
      </c>
      <c r="AG452" s="145" t="s">
        <v>3930</v>
      </c>
      <c r="AH452" s="146">
        <v>3.1823112719211199E-3</v>
      </c>
      <c r="AI452" s="146">
        <v>4.6847152726414215E-3</v>
      </c>
      <c r="AJ452" s="147">
        <v>5.5132596187830658E-4</v>
      </c>
      <c r="AK452" s="177"/>
    </row>
    <row r="453" spans="1:37" ht="15" x14ac:dyDescent="0.2">
      <c r="A453" s="142" t="s">
        <v>1220</v>
      </c>
      <c r="B453" s="143" t="s">
        <v>1220</v>
      </c>
      <c r="C453" s="143" t="s">
        <v>1610</v>
      </c>
      <c r="D453" s="143" t="s">
        <v>1611</v>
      </c>
      <c r="E453" s="143" t="s">
        <v>309</v>
      </c>
      <c r="F453" s="143" t="s">
        <v>1626</v>
      </c>
      <c r="G453" s="143" t="s">
        <v>1627</v>
      </c>
      <c r="H453" s="143" t="s">
        <v>321</v>
      </c>
      <c r="I453" s="143" t="s">
        <v>754</v>
      </c>
      <c r="J453" s="143" t="s">
        <v>204</v>
      </c>
      <c r="K453" s="143" t="s">
        <v>204</v>
      </c>
      <c r="L453" s="143" t="s">
        <v>325</v>
      </c>
      <c r="M453" s="143" t="s">
        <v>340</v>
      </c>
      <c r="N453" s="143" t="s">
        <v>440</v>
      </c>
      <c r="O453" s="143" t="s">
        <v>339</v>
      </c>
      <c r="P453" s="143" t="s">
        <v>1356</v>
      </c>
      <c r="Q453" s="143" t="s">
        <v>413</v>
      </c>
      <c r="R453" s="143" t="s">
        <v>407</v>
      </c>
      <c r="S453" s="143" t="s">
        <v>1210</v>
      </c>
      <c r="T453" s="144">
        <v>2.09</v>
      </c>
      <c r="U453" s="143" t="s">
        <v>1628</v>
      </c>
      <c r="V453" s="146">
        <v>1.9400000000000001E-2</v>
      </c>
      <c r="W453" s="146">
        <v>2.4282000000000001E-2</v>
      </c>
      <c r="X453" s="143" t="s">
        <v>412</v>
      </c>
      <c r="Y453" s="145" t="s">
        <v>3930</v>
      </c>
      <c r="Z453" s="144">
        <v>3645447.19</v>
      </c>
      <c r="AA453" s="145" t="s">
        <v>3930</v>
      </c>
      <c r="AB453" s="143" t="s">
        <v>1629</v>
      </c>
      <c r="AC453" s="145" t="s">
        <v>3930</v>
      </c>
      <c r="AD453" s="144">
        <v>4224.3442000000005</v>
      </c>
      <c r="AE453" s="145" t="s">
        <v>3930</v>
      </c>
      <c r="AF453" s="145" t="s">
        <v>3930</v>
      </c>
      <c r="AG453" s="145" t="s">
        <v>3930</v>
      </c>
      <c r="AH453" s="146">
        <v>1.2100924540293226E-2</v>
      </c>
      <c r="AI453" s="146">
        <v>4.5817259597358325E-3</v>
      </c>
      <c r="AJ453" s="147">
        <v>5.3920554928195169E-4</v>
      </c>
      <c r="AK453" s="177"/>
    </row>
    <row r="454" spans="1:37" ht="15" x14ac:dyDescent="0.2">
      <c r="A454" s="142" t="s">
        <v>1220</v>
      </c>
      <c r="B454" s="143" t="s">
        <v>1220</v>
      </c>
      <c r="C454" s="143" t="s">
        <v>1748</v>
      </c>
      <c r="D454" s="143" t="s">
        <v>1749</v>
      </c>
      <c r="E454" s="143" t="s">
        <v>309</v>
      </c>
      <c r="F454" s="143" t="s">
        <v>1750</v>
      </c>
      <c r="G454" s="143" t="s">
        <v>1751</v>
      </c>
      <c r="H454" s="143" t="s">
        <v>321</v>
      </c>
      <c r="I454" s="143" t="s">
        <v>754</v>
      </c>
      <c r="J454" s="143" t="s">
        <v>204</v>
      </c>
      <c r="K454" s="143" t="s">
        <v>204</v>
      </c>
      <c r="L454" s="143" t="s">
        <v>325</v>
      </c>
      <c r="M454" s="143" t="s">
        <v>340</v>
      </c>
      <c r="N454" s="143" t="s">
        <v>451</v>
      </c>
      <c r="O454" s="143" t="s">
        <v>339</v>
      </c>
      <c r="P454" s="145" t="s">
        <v>3930</v>
      </c>
      <c r="Q454" s="143" t="s">
        <v>410</v>
      </c>
      <c r="R454" s="143" t="s">
        <v>410</v>
      </c>
      <c r="S454" s="143" t="s">
        <v>1210</v>
      </c>
      <c r="T454" s="144">
        <v>2.78</v>
      </c>
      <c r="U454" s="143" t="s">
        <v>1539</v>
      </c>
      <c r="V454" s="146">
        <v>3.6999999999999998E-2</v>
      </c>
      <c r="W454" s="146">
        <v>4.0440999999999998E-2</v>
      </c>
      <c r="X454" s="143" t="s">
        <v>412</v>
      </c>
      <c r="Y454" s="145" t="s">
        <v>3930</v>
      </c>
      <c r="Z454" s="144">
        <v>3445617.68</v>
      </c>
      <c r="AA454" s="145" t="s">
        <v>3930</v>
      </c>
      <c r="AB454" s="143" t="s">
        <v>1752</v>
      </c>
      <c r="AC454" s="145" t="s">
        <v>3930</v>
      </c>
      <c r="AD454" s="144">
        <v>3978.6547</v>
      </c>
      <c r="AE454" s="145" t="s">
        <v>3930</v>
      </c>
      <c r="AF454" s="145" t="s">
        <v>3930</v>
      </c>
      <c r="AG454" s="145" t="s">
        <v>3930</v>
      </c>
      <c r="AH454" s="146">
        <v>4.3632164832193392E-3</v>
      </c>
      <c r="AI454" s="146">
        <v>4.3152510319443447E-3</v>
      </c>
      <c r="AJ454" s="147">
        <v>5.0784514905889645E-4</v>
      </c>
      <c r="AK454" s="177"/>
    </row>
    <row r="455" spans="1:37" ht="15" x14ac:dyDescent="0.2">
      <c r="A455" s="142" t="s">
        <v>1220</v>
      </c>
      <c r="B455" s="143" t="s">
        <v>1220</v>
      </c>
      <c r="C455" s="143" t="s">
        <v>1352</v>
      </c>
      <c r="D455" s="143" t="s">
        <v>1353</v>
      </c>
      <c r="E455" s="143" t="s">
        <v>309</v>
      </c>
      <c r="F455" s="143" t="s">
        <v>1519</v>
      </c>
      <c r="G455" s="143" t="s">
        <v>1520</v>
      </c>
      <c r="H455" s="143" t="s">
        <v>321</v>
      </c>
      <c r="I455" s="143" t="s">
        <v>754</v>
      </c>
      <c r="J455" s="143" t="s">
        <v>204</v>
      </c>
      <c r="K455" s="143" t="s">
        <v>204</v>
      </c>
      <c r="L455" s="143" t="s">
        <v>325</v>
      </c>
      <c r="M455" s="143" t="s">
        <v>340</v>
      </c>
      <c r="N455" s="143" t="s">
        <v>445</v>
      </c>
      <c r="O455" s="143" t="s">
        <v>339</v>
      </c>
      <c r="P455" s="143" t="s">
        <v>1356</v>
      </c>
      <c r="Q455" s="143" t="s">
        <v>413</v>
      </c>
      <c r="R455" s="143" t="s">
        <v>407</v>
      </c>
      <c r="S455" s="143" t="s">
        <v>1210</v>
      </c>
      <c r="T455" s="144">
        <v>0.82</v>
      </c>
      <c r="U455" s="143" t="s">
        <v>1369</v>
      </c>
      <c r="V455" s="146">
        <v>2.4799999999999999E-2</v>
      </c>
      <c r="W455" s="146">
        <v>2.6313E-2</v>
      </c>
      <c r="X455" s="143" t="s">
        <v>412</v>
      </c>
      <c r="Y455" s="145" t="s">
        <v>3930</v>
      </c>
      <c r="Z455" s="144">
        <v>3419995.13</v>
      </c>
      <c r="AA455" s="145" t="s">
        <v>3930</v>
      </c>
      <c r="AB455" s="143" t="s">
        <v>1521</v>
      </c>
      <c r="AC455" s="145" t="s">
        <v>3930</v>
      </c>
      <c r="AD455" s="144">
        <v>3965.1423999999997</v>
      </c>
      <c r="AE455" s="145" t="s">
        <v>3930</v>
      </c>
      <c r="AF455" s="145" t="s">
        <v>3930</v>
      </c>
      <c r="AG455" s="145" t="s">
        <v>3930</v>
      </c>
      <c r="AH455" s="146">
        <v>8.0758122488195968E-3</v>
      </c>
      <c r="AI455" s="146">
        <v>4.3005954959527875E-3</v>
      </c>
      <c r="AJ455" s="147">
        <v>5.061203958973598E-4</v>
      </c>
      <c r="AK455" s="177"/>
    </row>
    <row r="456" spans="1:37" ht="15" x14ac:dyDescent="0.2">
      <c r="A456" s="142" t="s">
        <v>1220</v>
      </c>
      <c r="B456" s="143" t="s">
        <v>1220</v>
      </c>
      <c r="C456" s="143" t="s">
        <v>1455</v>
      </c>
      <c r="D456" s="143" t="s">
        <v>1456</v>
      </c>
      <c r="E456" s="143" t="s">
        <v>309</v>
      </c>
      <c r="F456" s="143" t="s">
        <v>1966</v>
      </c>
      <c r="G456" s="143" t="s">
        <v>1967</v>
      </c>
      <c r="H456" s="143" t="s">
        <v>321</v>
      </c>
      <c r="I456" s="143" t="s">
        <v>754</v>
      </c>
      <c r="J456" s="143" t="s">
        <v>204</v>
      </c>
      <c r="K456" s="143" t="s">
        <v>204</v>
      </c>
      <c r="L456" s="143" t="s">
        <v>325</v>
      </c>
      <c r="M456" s="143" t="s">
        <v>340</v>
      </c>
      <c r="N456" s="143" t="s">
        <v>464</v>
      </c>
      <c r="O456" s="143" t="s">
        <v>339</v>
      </c>
      <c r="P456" s="143" t="s">
        <v>1412</v>
      </c>
      <c r="Q456" s="143" t="s">
        <v>413</v>
      </c>
      <c r="R456" s="143" t="s">
        <v>407</v>
      </c>
      <c r="S456" s="143" t="s">
        <v>1210</v>
      </c>
      <c r="T456" s="144">
        <v>3.97</v>
      </c>
      <c r="U456" s="143" t="s">
        <v>1968</v>
      </c>
      <c r="V456" s="146">
        <v>5.0000000000000001E-3</v>
      </c>
      <c r="W456" s="146">
        <v>3.2016000000000003E-2</v>
      </c>
      <c r="X456" s="143" t="s">
        <v>412</v>
      </c>
      <c r="Y456" s="145" t="s">
        <v>3930</v>
      </c>
      <c r="Z456" s="144">
        <v>3712650.24</v>
      </c>
      <c r="AA456" s="145" t="s">
        <v>3930</v>
      </c>
      <c r="AB456" s="143" t="s">
        <v>1969</v>
      </c>
      <c r="AC456" s="145" t="s">
        <v>3930</v>
      </c>
      <c r="AD456" s="144">
        <v>3843.7067999999999</v>
      </c>
      <c r="AE456" s="145" t="s">
        <v>3930</v>
      </c>
      <c r="AF456" s="145" t="s">
        <v>3930</v>
      </c>
      <c r="AG456" s="145" t="s">
        <v>3930</v>
      </c>
      <c r="AH456" s="146">
        <v>2.3068284925571096E-3</v>
      </c>
      <c r="AI456" s="146">
        <v>4.1688864230188909E-3</v>
      </c>
      <c r="AJ456" s="147">
        <v>4.9062006618736699E-4</v>
      </c>
      <c r="AK456" s="177"/>
    </row>
    <row r="457" spans="1:37" ht="15" x14ac:dyDescent="0.2">
      <c r="A457" s="142" t="s">
        <v>1220</v>
      </c>
      <c r="B457" s="143" t="s">
        <v>1220</v>
      </c>
      <c r="C457" s="143" t="s">
        <v>1739</v>
      </c>
      <c r="D457" s="143" t="s">
        <v>1740</v>
      </c>
      <c r="E457" s="143" t="s">
        <v>309</v>
      </c>
      <c r="F457" s="143" t="s">
        <v>1741</v>
      </c>
      <c r="G457" s="143" t="s">
        <v>1742</v>
      </c>
      <c r="H457" s="143" t="s">
        <v>321</v>
      </c>
      <c r="I457" s="143" t="s">
        <v>754</v>
      </c>
      <c r="J457" s="143" t="s">
        <v>204</v>
      </c>
      <c r="K457" s="143" t="s">
        <v>204</v>
      </c>
      <c r="L457" s="143" t="s">
        <v>325</v>
      </c>
      <c r="M457" s="143" t="s">
        <v>340</v>
      </c>
      <c r="N457" s="143" t="s">
        <v>464</v>
      </c>
      <c r="O457" s="143" t="s">
        <v>339</v>
      </c>
      <c r="P457" s="143" t="s">
        <v>1743</v>
      </c>
      <c r="Q457" s="143" t="s">
        <v>413</v>
      </c>
      <c r="R457" s="143" t="s">
        <v>407</v>
      </c>
      <c r="S457" s="143" t="s">
        <v>1210</v>
      </c>
      <c r="T457" s="144">
        <v>2.79</v>
      </c>
      <c r="U457" s="143" t="s">
        <v>1426</v>
      </c>
      <c r="V457" s="146">
        <v>1.7999999999999999E-2</v>
      </c>
      <c r="W457" s="146">
        <v>2.7909E-2</v>
      </c>
      <c r="X457" s="143" t="s">
        <v>412</v>
      </c>
      <c r="Y457" s="145" t="s">
        <v>3930</v>
      </c>
      <c r="Z457" s="144">
        <v>3251399.55</v>
      </c>
      <c r="AA457" s="145" t="s">
        <v>3930</v>
      </c>
      <c r="AB457" s="143" t="s">
        <v>1744</v>
      </c>
      <c r="AC457" s="145" t="s">
        <v>3930</v>
      </c>
      <c r="AD457" s="144">
        <v>3688.7127999999998</v>
      </c>
      <c r="AE457" s="145" t="s">
        <v>3930</v>
      </c>
      <c r="AF457" s="145" t="s">
        <v>3930</v>
      </c>
      <c r="AG457" s="145" t="s">
        <v>3930</v>
      </c>
      <c r="AH457" s="146">
        <v>4.12236000708051E-3</v>
      </c>
      <c r="AI457" s="146">
        <v>4.000779844231501E-3</v>
      </c>
      <c r="AJ457" s="147">
        <v>4.7083625525027841E-4</v>
      </c>
      <c r="AK457" s="177"/>
    </row>
    <row r="458" spans="1:37" ht="15" x14ac:dyDescent="0.2">
      <c r="A458" s="142" t="s">
        <v>1220</v>
      </c>
      <c r="B458" s="143" t="s">
        <v>1220</v>
      </c>
      <c r="C458" s="143" t="s">
        <v>1513</v>
      </c>
      <c r="D458" s="143" t="s">
        <v>1514</v>
      </c>
      <c r="E458" s="143" t="s">
        <v>309</v>
      </c>
      <c r="F458" s="143" t="s">
        <v>1515</v>
      </c>
      <c r="G458" s="143" t="s">
        <v>1516</v>
      </c>
      <c r="H458" s="143" t="s">
        <v>321</v>
      </c>
      <c r="I458" s="143" t="s">
        <v>754</v>
      </c>
      <c r="J458" s="143" t="s">
        <v>204</v>
      </c>
      <c r="K458" s="143" t="s">
        <v>204</v>
      </c>
      <c r="L458" s="143" t="s">
        <v>325</v>
      </c>
      <c r="M458" s="143" t="s">
        <v>340</v>
      </c>
      <c r="N458" s="143" t="s">
        <v>465</v>
      </c>
      <c r="O458" s="143" t="s">
        <v>339</v>
      </c>
      <c r="P458" s="143" t="s">
        <v>1405</v>
      </c>
      <c r="Q458" s="143" t="s">
        <v>415</v>
      </c>
      <c r="R458" s="143" t="s">
        <v>407</v>
      </c>
      <c r="S458" s="143" t="s">
        <v>1210</v>
      </c>
      <c r="T458" s="144">
        <v>1.86</v>
      </c>
      <c r="U458" s="143" t="s">
        <v>1517</v>
      </c>
      <c r="V458" s="146">
        <v>0.04</v>
      </c>
      <c r="W458" s="146">
        <v>4.0134000000000003E-2</v>
      </c>
      <c r="X458" s="143" t="s">
        <v>412</v>
      </c>
      <c r="Y458" s="145" t="s">
        <v>3930</v>
      </c>
      <c r="Z458" s="144">
        <v>2694322.72</v>
      </c>
      <c r="AA458" s="145" t="s">
        <v>3930</v>
      </c>
      <c r="AB458" s="143" t="s">
        <v>1518</v>
      </c>
      <c r="AC458" s="145" t="s">
        <v>3930</v>
      </c>
      <c r="AD458" s="144">
        <v>3130.8029999999999</v>
      </c>
      <c r="AE458" s="145" t="s">
        <v>3930</v>
      </c>
      <c r="AF458" s="145" t="s">
        <v>3930</v>
      </c>
      <c r="AG458" s="145" t="s">
        <v>3930</v>
      </c>
      <c r="AH458" s="146">
        <v>1.2996557672961154E-3</v>
      </c>
      <c r="AI458" s="146">
        <v>3.3956705919093097E-3</v>
      </c>
      <c r="AJ458" s="147">
        <v>3.9962329540909442E-4</v>
      </c>
      <c r="AK458" s="177"/>
    </row>
    <row r="459" spans="1:37" ht="15" x14ac:dyDescent="0.2">
      <c r="A459" s="142" t="s">
        <v>1220</v>
      </c>
      <c r="B459" s="143" t="s">
        <v>1220</v>
      </c>
      <c r="C459" s="143" t="s">
        <v>1358</v>
      </c>
      <c r="D459" s="143" t="s">
        <v>1359</v>
      </c>
      <c r="E459" s="143" t="s">
        <v>309</v>
      </c>
      <c r="F459" s="143" t="s">
        <v>1606</v>
      </c>
      <c r="G459" s="143" t="s">
        <v>1607</v>
      </c>
      <c r="H459" s="143" t="s">
        <v>321</v>
      </c>
      <c r="I459" s="143" t="s">
        <v>754</v>
      </c>
      <c r="J459" s="143" t="s">
        <v>204</v>
      </c>
      <c r="K459" s="143" t="s">
        <v>204</v>
      </c>
      <c r="L459" s="143" t="s">
        <v>325</v>
      </c>
      <c r="M459" s="143" t="s">
        <v>340</v>
      </c>
      <c r="N459" s="143" t="s">
        <v>448</v>
      </c>
      <c r="O459" s="143" t="s">
        <v>339</v>
      </c>
      <c r="P459" s="143" t="s">
        <v>1209</v>
      </c>
      <c r="Q459" s="143" t="s">
        <v>415</v>
      </c>
      <c r="R459" s="143" t="s">
        <v>407</v>
      </c>
      <c r="S459" s="143" t="s">
        <v>1210</v>
      </c>
      <c r="T459" s="144">
        <v>0.42</v>
      </c>
      <c r="U459" s="143" t="s">
        <v>1608</v>
      </c>
      <c r="V459" s="146">
        <v>9.4999999999999998E-3</v>
      </c>
      <c r="W459" s="146">
        <v>3.0602000000000001E-2</v>
      </c>
      <c r="X459" s="143" t="s">
        <v>412</v>
      </c>
      <c r="Y459" s="145" t="s">
        <v>3930</v>
      </c>
      <c r="Z459" s="144">
        <v>2449445.0499999998</v>
      </c>
      <c r="AA459" s="145" t="s">
        <v>3930</v>
      </c>
      <c r="AB459" s="143" t="s">
        <v>1609</v>
      </c>
      <c r="AC459" s="145" t="s">
        <v>3930</v>
      </c>
      <c r="AD459" s="144">
        <v>2843.3157999999999</v>
      </c>
      <c r="AE459" s="145" t="s">
        <v>3930</v>
      </c>
      <c r="AF459" s="145" t="s">
        <v>3930</v>
      </c>
      <c r="AG459" s="145" t="s">
        <v>3930</v>
      </c>
      <c r="AH459" s="146">
        <v>1.5240603633529769E-2</v>
      </c>
      <c r="AI459" s="146">
        <v>3.0838618371301662E-3</v>
      </c>
      <c r="AJ459" s="147">
        <v>3.6292773300114473E-4</v>
      </c>
      <c r="AK459" s="177"/>
    </row>
    <row r="460" spans="1:37" ht="15" x14ac:dyDescent="0.2">
      <c r="A460" s="142" t="s">
        <v>1220</v>
      </c>
      <c r="B460" s="143" t="s">
        <v>1220</v>
      </c>
      <c r="C460" s="143" t="s">
        <v>1610</v>
      </c>
      <c r="D460" s="143" t="s">
        <v>1611</v>
      </c>
      <c r="E460" s="143" t="s">
        <v>309</v>
      </c>
      <c r="F460" s="143" t="s">
        <v>1612</v>
      </c>
      <c r="G460" s="143" t="s">
        <v>1613</v>
      </c>
      <c r="H460" s="143" t="s">
        <v>321</v>
      </c>
      <c r="I460" s="143" t="s">
        <v>754</v>
      </c>
      <c r="J460" s="143" t="s">
        <v>204</v>
      </c>
      <c r="K460" s="143" t="s">
        <v>204</v>
      </c>
      <c r="L460" s="143" t="s">
        <v>325</v>
      </c>
      <c r="M460" s="143" t="s">
        <v>340</v>
      </c>
      <c r="N460" s="143" t="s">
        <v>440</v>
      </c>
      <c r="O460" s="143" t="s">
        <v>339</v>
      </c>
      <c r="P460" s="143" t="s">
        <v>1356</v>
      </c>
      <c r="Q460" s="143" t="s">
        <v>413</v>
      </c>
      <c r="R460" s="143" t="s">
        <v>407</v>
      </c>
      <c r="S460" s="143" t="s">
        <v>1210</v>
      </c>
      <c r="T460" s="144">
        <v>3.07</v>
      </c>
      <c r="U460" s="143" t="s">
        <v>1614</v>
      </c>
      <c r="V460" s="146">
        <v>1.23E-2</v>
      </c>
      <c r="W460" s="146">
        <v>2.589E-2</v>
      </c>
      <c r="X460" s="143" t="s">
        <v>412</v>
      </c>
      <c r="Y460" s="145" t="s">
        <v>3930</v>
      </c>
      <c r="Z460" s="144">
        <v>2434051.09</v>
      </c>
      <c r="AA460" s="145" t="s">
        <v>3930</v>
      </c>
      <c r="AB460" s="143" t="s">
        <v>1615</v>
      </c>
      <c r="AC460" s="145" t="s">
        <v>3930</v>
      </c>
      <c r="AD460" s="144">
        <v>2720.0520999999999</v>
      </c>
      <c r="AE460" s="145" t="s">
        <v>3930</v>
      </c>
      <c r="AF460" s="145" t="s">
        <v>3930</v>
      </c>
      <c r="AG460" s="145" t="s">
        <v>3930</v>
      </c>
      <c r="AH460" s="146">
        <v>2.183219119734446E-3</v>
      </c>
      <c r="AI460" s="146">
        <v>2.9501699401169711E-3</v>
      </c>
      <c r="AJ460" s="147">
        <v>3.4719405241940551E-4</v>
      </c>
      <c r="AK460" s="177"/>
    </row>
    <row r="461" spans="1:37" ht="15" x14ac:dyDescent="0.2">
      <c r="A461" s="142" t="s">
        <v>1220</v>
      </c>
      <c r="B461" s="143" t="s">
        <v>1220</v>
      </c>
      <c r="C461" s="143" t="s">
        <v>1970</v>
      </c>
      <c r="D461" s="143" t="s">
        <v>1971</v>
      </c>
      <c r="E461" s="143" t="s">
        <v>309</v>
      </c>
      <c r="F461" s="143" t="s">
        <v>1972</v>
      </c>
      <c r="G461" s="143" t="s">
        <v>1973</v>
      </c>
      <c r="H461" s="143" t="s">
        <v>321</v>
      </c>
      <c r="I461" s="143" t="s">
        <v>754</v>
      </c>
      <c r="J461" s="143" t="s">
        <v>204</v>
      </c>
      <c r="K461" s="143" t="s">
        <v>204</v>
      </c>
      <c r="L461" s="143" t="s">
        <v>325</v>
      </c>
      <c r="M461" s="143" t="s">
        <v>340</v>
      </c>
      <c r="N461" s="143" t="s">
        <v>464</v>
      </c>
      <c r="O461" s="143" t="s">
        <v>339</v>
      </c>
      <c r="P461" s="143" t="s">
        <v>1412</v>
      </c>
      <c r="Q461" s="143" t="s">
        <v>413</v>
      </c>
      <c r="R461" s="143" t="s">
        <v>407</v>
      </c>
      <c r="S461" s="143" t="s">
        <v>1210</v>
      </c>
      <c r="T461" s="144">
        <v>1.1599999999999999</v>
      </c>
      <c r="U461" s="143" t="s">
        <v>1974</v>
      </c>
      <c r="V461" s="146">
        <v>1.6E-2</v>
      </c>
      <c r="W461" s="146">
        <v>2.4622999999999999E-2</v>
      </c>
      <c r="X461" s="143" t="s">
        <v>412</v>
      </c>
      <c r="Y461" s="145" t="s">
        <v>3930</v>
      </c>
      <c r="Z461" s="144">
        <v>1946305.18</v>
      </c>
      <c r="AA461" s="145" t="s">
        <v>3930</v>
      </c>
      <c r="AB461" s="143" t="s">
        <v>1975</v>
      </c>
      <c r="AC461" s="145" t="s">
        <v>3930</v>
      </c>
      <c r="AD461" s="144">
        <v>2266.6669999999999</v>
      </c>
      <c r="AE461" s="145" t="s">
        <v>3930</v>
      </c>
      <c r="AF461" s="145" t="s">
        <v>3930</v>
      </c>
      <c r="AG461" s="145" t="s">
        <v>3930</v>
      </c>
      <c r="AH461" s="146">
        <v>4.610605440244572E-3</v>
      </c>
      <c r="AI461" s="146">
        <v>2.4584282418467192E-3</v>
      </c>
      <c r="AJ461" s="147">
        <v>2.8932288010338628E-4</v>
      </c>
      <c r="AK461" s="177"/>
    </row>
    <row r="462" spans="1:37" ht="15" x14ac:dyDescent="0.2">
      <c r="A462" s="142" t="s">
        <v>1220</v>
      </c>
      <c r="B462" s="143" t="s">
        <v>1220</v>
      </c>
      <c r="C462" s="143" t="s">
        <v>1503</v>
      </c>
      <c r="D462" s="143" t="s">
        <v>1504</v>
      </c>
      <c r="E462" s="143" t="s">
        <v>309</v>
      </c>
      <c r="F462" s="143" t="s">
        <v>1976</v>
      </c>
      <c r="G462" s="143" t="s">
        <v>1977</v>
      </c>
      <c r="H462" s="143" t="s">
        <v>321</v>
      </c>
      <c r="I462" s="143" t="s">
        <v>754</v>
      </c>
      <c r="J462" s="143" t="s">
        <v>204</v>
      </c>
      <c r="K462" s="143" t="s">
        <v>204</v>
      </c>
      <c r="L462" s="143" t="s">
        <v>325</v>
      </c>
      <c r="M462" s="143" t="s">
        <v>340</v>
      </c>
      <c r="N462" s="143" t="s">
        <v>464</v>
      </c>
      <c r="O462" s="143" t="s">
        <v>339</v>
      </c>
      <c r="P462" s="143" t="s">
        <v>1412</v>
      </c>
      <c r="Q462" s="143" t="s">
        <v>413</v>
      </c>
      <c r="R462" s="143" t="s">
        <v>407</v>
      </c>
      <c r="S462" s="143" t="s">
        <v>1210</v>
      </c>
      <c r="T462" s="144">
        <v>0.76</v>
      </c>
      <c r="U462" s="143" t="s">
        <v>1511</v>
      </c>
      <c r="V462" s="146">
        <v>2.3E-2</v>
      </c>
      <c r="W462" s="146">
        <v>2.6856000000000001E-2</v>
      </c>
      <c r="X462" s="143" t="s">
        <v>412</v>
      </c>
      <c r="Y462" s="145" t="s">
        <v>3930</v>
      </c>
      <c r="Z462" s="144">
        <v>1618499.15</v>
      </c>
      <c r="AA462" s="145" t="s">
        <v>3930</v>
      </c>
      <c r="AB462" s="143" t="s">
        <v>1978</v>
      </c>
      <c r="AC462" s="145" t="s">
        <v>3930</v>
      </c>
      <c r="AD462" s="144">
        <v>1901.5746999999999</v>
      </c>
      <c r="AE462" s="145" t="s">
        <v>3930</v>
      </c>
      <c r="AF462" s="145" t="s">
        <v>3930</v>
      </c>
      <c r="AG462" s="145" t="s">
        <v>3930</v>
      </c>
      <c r="AH462" s="146">
        <v>2.0092986641811719E-3</v>
      </c>
      <c r="AI462" s="146">
        <v>2.0624488735121599E-3</v>
      </c>
      <c r="AJ462" s="147">
        <v>2.4272160480156386E-4</v>
      </c>
      <c r="AK462" s="177"/>
    </row>
    <row r="463" spans="1:37" ht="15" x14ac:dyDescent="0.2">
      <c r="A463" s="142" t="s">
        <v>1220</v>
      </c>
      <c r="B463" s="143" t="s">
        <v>1220</v>
      </c>
      <c r="C463" s="143" t="s">
        <v>1503</v>
      </c>
      <c r="D463" s="143" t="s">
        <v>1504</v>
      </c>
      <c r="E463" s="143" t="s">
        <v>309</v>
      </c>
      <c r="F463" s="143" t="s">
        <v>1509</v>
      </c>
      <c r="G463" s="143" t="s">
        <v>1510</v>
      </c>
      <c r="H463" s="143" t="s">
        <v>321</v>
      </c>
      <c r="I463" s="143" t="s">
        <v>754</v>
      </c>
      <c r="J463" s="143" t="s">
        <v>204</v>
      </c>
      <c r="K463" s="143" t="s">
        <v>204</v>
      </c>
      <c r="L463" s="143" t="s">
        <v>325</v>
      </c>
      <c r="M463" s="143" t="s">
        <v>340</v>
      </c>
      <c r="N463" s="143" t="s">
        <v>464</v>
      </c>
      <c r="O463" s="143" t="s">
        <v>339</v>
      </c>
      <c r="P463" s="143" t="s">
        <v>1412</v>
      </c>
      <c r="Q463" s="143" t="s">
        <v>413</v>
      </c>
      <c r="R463" s="143" t="s">
        <v>407</v>
      </c>
      <c r="S463" s="143" t="s">
        <v>1210</v>
      </c>
      <c r="T463" s="144">
        <v>0.76</v>
      </c>
      <c r="U463" s="143" t="s">
        <v>1511</v>
      </c>
      <c r="V463" s="146">
        <v>3.2533699999999999E-2</v>
      </c>
      <c r="W463" s="146">
        <v>2.5586000000000001E-2</v>
      </c>
      <c r="X463" s="143" t="s">
        <v>412</v>
      </c>
      <c r="Y463" s="145" t="s">
        <v>3930</v>
      </c>
      <c r="Z463" s="144">
        <v>1601829.78</v>
      </c>
      <c r="AA463" s="145" t="s">
        <v>3930</v>
      </c>
      <c r="AB463" s="143" t="s">
        <v>1512</v>
      </c>
      <c r="AC463" s="145" t="s">
        <v>3930</v>
      </c>
      <c r="AD463" s="144">
        <v>1874.1408000000001</v>
      </c>
      <c r="AE463" s="145" t="s">
        <v>3930</v>
      </c>
      <c r="AF463" s="145" t="s">
        <v>3930</v>
      </c>
      <c r="AG463" s="145" t="s">
        <v>3930</v>
      </c>
      <c r="AH463" s="146">
        <v>2.0830849474974622E-3</v>
      </c>
      <c r="AI463" s="146">
        <v>2.0326941500350007E-3</v>
      </c>
      <c r="AJ463" s="147">
        <v>2.3921988685570065E-4</v>
      </c>
      <c r="AK463" s="177"/>
    </row>
    <row r="464" spans="1:37" ht="15" x14ac:dyDescent="0.2">
      <c r="A464" s="142" t="s">
        <v>1220</v>
      </c>
      <c r="B464" s="143" t="s">
        <v>1220</v>
      </c>
      <c r="C464" s="143" t="s">
        <v>2046</v>
      </c>
      <c r="D464" s="143" t="s">
        <v>2047</v>
      </c>
      <c r="E464" s="143" t="s">
        <v>309</v>
      </c>
      <c r="F464" s="143" t="s">
        <v>2048</v>
      </c>
      <c r="G464" s="143" t="s">
        <v>2049</v>
      </c>
      <c r="H464" s="143" t="s">
        <v>321</v>
      </c>
      <c r="I464" s="143" t="s">
        <v>754</v>
      </c>
      <c r="J464" s="143" t="s">
        <v>204</v>
      </c>
      <c r="K464" s="143" t="s">
        <v>204</v>
      </c>
      <c r="L464" s="143" t="s">
        <v>325</v>
      </c>
      <c r="M464" s="143" t="s">
        <v>340</v>
      </c>
      <c r="N464" s="143" t="s">
        <v>464</v>
      </c>
      <c r="O464" s="143" t="s">
        <v>339</v>
      </c>
      <c r="P464" s="145" t="s">
        <v>3930</v>
      </c>
      <c r="Q464" s="143" t="s">
        <v>410</v>
      </c>
      <c r="R464" s="143" t="s">
        <v>410</v>
      </c>
      <c r="S464" s="143" t="s">
        <v>1210</v>
      </c>
      <c r="T464" s="144">
        <v>3</v>
      </c>
      <c r="U464" s="143" t="s">
        <v>1426</v>
      </c>
      <c r="V464" s="146">
        <v>4.4999999999999998E-2</v>
      </c>
      <c r="W464" s="146">
        <v>3.8209E-2</v>
      </c>
      <c r="X464" s="143" t="s">
        <v>412</v>
      </c>
      <c r="Y464" s="145" t="s">
        <v>3930</v>
      </c>
      <c r="Z464" s="144">
        <v>1659043</v>
      </c>
      <c r="AA464" s="145" t="s">
        <v>3930</v>
      </c>
      <c r="AB464" s="143" t="s">
        <v>2050</v>
      </c>
      <c r="AC464" s="145" t="s">
        <v>3930</v>
      </c>
      <c r="AD464" s="144">
        <v>1784.7985000000001</v>
      </c>
      <c r="AE464" s="145" t="s">
        <v>3930</v>
      </c>
      <c r="AF464" s="145" t="s">
        <v>3930</v>
      </c>
      <c r="AG464" s="145" t="s">
        <v>3930</v>
      </c>
      <c r="AH464" s="146">
        <v>1.693490285905606E-3</v>
      </c>
      <c r="AI464" s="146">
        <v>1.9357933539193345E-3</v>
      </c>
      <c r="AJ464" s="147">
        <v>2.2781600817448449E-4</v>
      </c>
      <c r="AK464" s="177"/>
    </row>
    <row r="465" spans="1:37" ht="15" x14ac:dyDescent="0.2">
      <c r="A465" s="142" t="s">
        <v>1220</v>
      </c>
      <c r="B465" s="143" t="s">
        <v>1220</v>
      </c>
      <c r="C465" s="143" t="s">
        <v>1455</v>
      </c>
      <c r="D465" s="143" t="s">
        <v>1456</v>
      </c>
      <c r="E465" s="143" t="s">
        <v>309</v>
      </c>
      <c r="F465" s="143" t="s">
        <v>1979</v>
      </c>
      <c r="G465" s="143" t="s">
        <v>1980</v>
      </c>
      <c r="H465" s="143" t="s">
        <v>321</v>
      </c>
      <c r="I465" s="143" t="s">
        <v>754</v>
      </c>
      <c r="J465" s="143" t="s">
        <v>204</v>
      </c>
      <c r="K465" s="143" t="s">
        <v>204</v>
      </c>
      <c r="L465" s="143" t="s">
        <v>325</v>
      </c>
      <c r="M465" s="143" t="s">
        <v>340</v>
      </c>
      <c r="N465" s="143" t="s">
        <v>464</v>
      </c>
      <c r="O465" s="143" t="s">
        <v>339</v>
      </c>
      <c r="P465" s="143" t="s">
        <v>1412</v>
      </c>
      <c r="Q465" s="143" t="s">
        <v>413</v>
      </c>
      <c r="R465" s="143" t="s">
        <v>407</v>
      </c>
      <c r="S465" s="143" t="s">
        <v>1210</v>
      </c>
      <c r="T465" s="144">
        <v>0.98</v>
      </c>
      <c r="U465" s="143" t="s">
        <v>1981</v>
      </c>
      <c r="V465" s="146">
        <v>4.7500000000000001E-2</v>
      </c>
      <c r="W465" s="146">
        <v>2.6190000000000001E-2</v>
      </c>
      <c r="X465" s="143" t="s">
        <v>412</v>
      </c>
      <c r="Y465" s="145" t="s">
        <v>3930</v>
      </c>
      <c r="Z465" s="144">
        <v>1212985.08</v>
      </c>
      <c r="AA465" s="145" t="s">
        <v>3930</v>
      </c>
      <c r="AB465" s="143" t="s">
        <v>1982</v>
      </c>
      <c r="AC465" s="145" t="s">
        <v>3930</v>
      </c>
      <c r="AD465" s="144">
        <v>1734.4474</v>
      </c>
      <c r="AE465" s="145" t="s">
        <v>3930</v>
      </c>
      <c r="AF465" s="145" t="s">
        <v>3930</v>
      </c>
      <c r="AG465" s="145" t="s">
        <v>3930</v>
      </c>
      <c r="AH465" s="146">
        <v>1.2693889286728086E-3</v>
      </c>
      <c r="AI465" s="146">
        <v>1.8811825312452025E-3</v>
      </c>
      <c r="AJ465" s="147">
        <v>2.2138907236568233E-4</v>
      </c>
      <c r="AK465" s="177"/>
    </row>
    <row r="466" spans="1:37" ht="15" x14ac:dyDescent="0.2">
      <c r="A466" s="142" t="s">
        <v>1220</v>
      </c>
      <c r="B466" s="143" t="s">
        <v>1220</v>
      </c>
      <c r="C466" s="143" t="s">
        <v>1983</v>
      </c>
      <c r="D466" s="143" t="s">
        <v>1984</v>
      </c>
      <c r="E466" s="143" t="s">
        <v>309</v>
      </c>
      <c r="F466" s="143" t="s">
        <v>1985</v>
      </c>
      <c r="G466" s="143" t="s">
        <v>1986</v>
      </c>
      <c r="H466" s="143" t="s">
        <v>321</v>
      </c>
      <c r="I466" s="143" t="s">
        <v>754</v>
      </c>
      <c r="J466" s="143" t="s">
        <v>204</v>
      </c>
      <c r="K466" s="143" t="s">
        <v>204</v>
      </c>
      <c r="L466" s="143" t="s">
        <v>325</v>
      </c>
      <c r="M466" s="143" t="s">
        <v>340</v>
      </c>
      <c r="N466" s="143" t="s">
        <v>464</v>
      </c>
      <c r="O466" s="143" t="s">
        <v>339</v>
      </c>
      <c r="P466" s="143" t="s">
        <v>1412</v>
      </c>
      <c r="Q466" s="143" t="s">
        <v>413</v>
      </c>
      <c r="R466" s="143" t="s">
        <v>407</v>
      </c>
      <c r="S466" s="143" t="s">
        <v>1210</v>
      </c>
      <c r="T466" s="144">
        <v>2.3199999999999998</v>
      </c>
      <c r="U466" s="143" t="s">
        <v>1987</v>
      </c>
      <c r="V466" s="146">
        <v>1.5800000000000002E-2</v>
      </c>
      <c r="W466" s="146">
        <v>2.401E-2</v>
      </c>
      <c r="X466" s="143" t="s">
        <v>412</v>
      </c>
      <c r="Y466" s="145" t="s">
        <v>3930</v>
      </c>
      <c r="Z466" s="144">
        <v>1295557.51</v>
      </c>
      <c r="AA466" s="145" t="s">
        <v>3930</v>
      </c>
      <c r="AB466" s="143" t="s">
        <v>1988</v>
      </c>
      <c r="AC466" s="145" t="s">
        <v>3930</v>
      </c>
      <c r="AD466" s="144">
        <v>1490.4094</v>
      </c>
      <c r="AE466" s="145" t="s">
        <v>3930</v>
      </c>
      <c r="AF466" s="145" t="s">
        <v>3930</v>
      </c>
      <c r="AG466" s="145" t="s">
        <v>3930</v>
      </c>
      <c r="AH466" s="146">
        <v>3.0173381901308573E-3</v>
      </c>
      <c r="AI466" s="146">
        <v>1.6164987803255471E-3</v>
      </c>
      <c r="AJ466" s="147">
        <v>1.9023946879819423E-4</v>
      </c>
      <c r="AK466" s="177"/>
    </row>
    <row r="467" spans="1:37" ht="15" x14ac:dyDescent="0.2">
      <c r="A467" s="142" t="s">
        <v>1220</v>
      </c>
      <c r="B467" s="143" t="s">
        <v>1220</v>
      </c>
      <c r="C467" s="143" t="s">
        <v>1842</v>
      </c>
      <c r="D467" s="143" t="s">
        <v>1843</v>
      </c>
      <c r="E467" s="143" t="s">
        <v>309</v>
      </c>
      <c r="F467" s="143" t="s">
        <v>1989</v>
      </c>
      <c r="G467" s="143" t="s">
        <v>1990</v>
      </c>
      <c r="H467" s="143" t="s">
        <v>321</v>
      </c>
      <c r="I467" s="143" t="s">
        <v>754</v>
      </c>
      <c r="J467" s="143" t="s">
        <v>204</v>
      </c>
      <c r="K467" s="143" t="s">
        <v>204</v>
      </c>
      <c r="L467" s="143" t="s">
        <v>325</v>
      </c>
      <c r="M467" s="143" t="s">
        <v>340</v>
      </c>
      <c r="N467" s="143" t="s">
        <v>464</v>
      </c>
      <c r="O467" s="143" t="s">
        <v>339</v>
      </c>
      <c r="P467" s="143" t="s">
        <v>1412</v>
      </c>
      <c r="Q467" s="143" t="s">
        <v>413</v>
      </c>
      <c r="R467" s="143" t="s">
        <v>407</v>
      </c>
      <c r="S467" s="143" t="s">
        <v>1210</v>
      </c>
      <c r="T467" s="144">
        <v>2.25</v>
      </c>
      <c r="U467" s="143" t="s">
        <v>1342</v>
      </c>
      <c r="V467" s="146">
        <v>2.5999999999999999E-2</v>
      </c>
      <c r="W467" s="146">
        <v>2.4525999999999999E-2</v>
      </c>
      <c r="X467" s="143" t="s">
        <v>412</v>
      </c>
      <c r="Y467" s="145" t="s">
        <v>3930</v>
      </c>
      <c r="Z467" s="144">
        <v>1250301.29</v>
      </c>
      <c r="AA467" s="145" t="s">
        <v>3930</v>
      </c>
      <c r="AB467" s="143" t="s">
        <v>1991</v>
      </c>
      <c r="AC467" s="145" t="s">
        <v>3930</v>
      </c>
      <c r="AD467" s="144">
        <v>1459.7268000000001</v>
      </c>
      <c r="AE467" s="145" t="s">
        <v>3930</v>
      </c>
      <c r="AF467" s="145" t="s">
        <v>3930</v>
      </c>
      <c r="AG467" s="145" t="s">
        <v>3930</v>
      </c>
      <c r="AH467" s="146">
        <v>3.4662086877205551E-3</v>
      </c>
      <c r="AI467" s="146">
        <v>1.5832204124033964E-3</v>
      </c>
      <c r="AJ467" s="147">
        <v>1.8632306681074217E-4</v>
      </c>
      <c r="AK467" s="177"/>
    </row>
    <row r="468" spans="1:37" ht="15" x14ac:dyDescent="0.2">
      <c r="A468" s="142" t="s">
        <v>1220</v>
      </c>
      <c r="B468" s="143" t="s">
        <v>1220</v>
      </c>
      <c r="C468" s="143" t="s">
        <v>1541</v>
      </c>
      <c r="D468" s="143" t="s">
        <v>1542</v>
      </c>
      <c r="E468" s="143" t="s">
        <v>309</v>
      </c>
      <c r="F468" s="143" t="s">
        <v>1543</v>
      </c>
      <c r="G468" s="143" t="s">
        <v>1544</v>
      </c>
      <c r="H468" s="143" t="s">
        <v>321</v>
      </c>
      <c r="I468" s="143" t="s">
        <v>754</v>
      </c>
      <c r="J468" s="143" t="s">
        <v>204</v>
      </c>
      <c r="K468" s="143" t="s">
        <v>204</v>
      </c>
      <c r="L468" s="143" t="s">
        <v>325</v>
      </c>
      <c r="M468" s="143" t="s">
        <v>340</v>
      </c>
      <c r="N468" s="143" t="s">
        <v>465</v>
      </c>
      <c r="O468" s="143" t="s">
        <v>339</v>
      </c>
      <c r="P468" s="143" t="s">
        <v>1444</v>
      </c>
      <c r="Q468" s="143" t="s">
        <v>415</v>
      </c>
      <c r="R468" s="143" t="s">
        <v>407</v>
      </c>
      <c r="S468" s="143" t="s">
        <v>1210</v>
      </c>
      <c r="T468" s="144">
        <v>1.46</v>
      </c>
      <c r="U468" s="143" t="s">
        <v>1545</v>
      </c>
      <c r="V468" s="146">
        <v>2.5700000000000001E-2</v>
      </c>
      <c r="W468" s="146">
        <v>3.1085000000000002E-2</v>
      </c>
      <c r="X468" s="143" t="s">
        <v>412</v>
      </c>
      <c r="Y468" s="145" t="s">
        <v>3930</v>
      </c>
      <c r="Z468" s="144">
        <v>1130237</v>
      </c>
      <c r="AA468" s="145" t="s">
        <v>3930</v>
      </c>
      <c r="AB468" s="143" t="s">
        <v>1546</v>
      </c>
      <c r="AC468" s="145" t="s">
        <v>3930</v>
      </c>
      <c r="AD468" s="144">
        <v>1321.021</v>
      </c>
      <c r="AE468" s="145" t="s">
        <v>3930</v>
      </c>
      <c r="AF468" s="145" t="s">
        <v>3930</v>
      </c>
      <c r="AG468" s="145" t="s">
        <v>3930</v>
      </c>
      <c r="AH468" s="146">
        <v>8.8133558128151914E-4</v>
      </c>
      <c r="AI468" s="146">
        <v>1.4327800820088023E-3</v>
      </c>
      <c r="AJ468" s="147">
        <v>1.6861832809493028E-4</v>
      </c>
      <c r="AK468" s="177"/>
    </row>
    <row r="469" spans="1:37" ht="15" x14ac:dyDescent="0.2">
      <c r="A469" s="142" t="s">
        <v>1220</v>
      </c>
      <c r="B469" s="143" t="s">
        <v>1220</v>
      </c>
      <c r="C469" s="143" t="s">
        <v>1620</v>
      </c>
      <c r="D469" s="143" t="s">
        <v>1621</v>
      </c>
      <c r="E469" s="143" t="s">
        <v>309</v>
      </c>
      <c r="F469" s="143" t="s">
        <v>1636</v>
      </c>
      <c r="G469" s="143" t="s">
        <v>1637</v>
      </c>
      <c r="H469" s="143" t="s">
        <v>321</v>
      </c>
      <c r="I469" s="143" t="s">
        <v>754</v>
      </c>
      <c r="J469" s="143" t="s">
        <v>204</v>
      </c>
      <c r="K469" s="143" t="s">
        <v>204</v>
      </c>
      <c r="L469" s="143" t="s">
        <v>325</v>
      </c>
      <c r="M469" s="143" t="s">
        <v>340</v>
      </c>
      <c r="N469" s="143" t="s">
        <v>445</v>
      </c>
      <c r="O469" s="143" t="s">
        <v>339</v>
      </c>
      <c r="P469" s="143" t="s">
        <v>1624</v>
      </c>
      <c r="Q469" s="143" t="s">
        <v>415</v>
      </c>
      <c r="R469" s="143" t="s">
        <v>407</v>
      </c>
      <c r="S469" s="143" t="s">
        <v>1210</v>
      </c>
      <c r="T469" s="144">
        <v>5.3</v>
      </c>
      <c r="U469" s="143" t="s">
        <v>1638</v>
      </c>
      <c r="V469" s="146">
        <v>5.3999999999999999E-2</v>
      </c>
      <c r="W469" s="146">
        <v>5.9711E-2</v>
      </c>
      <c r="X469" s="143" t="s">
        <v>412</v>
      </c>
      <c r="Y469" s="145" t="s">
        <v>3930</v>
      </c>
      <c r="Z469" s="144">
        <v>1105566</v>
      </c>
      <c r="AA469" s="145" t="s">
        <v>3930</v>
      </c>
      <c r="AB469" s="143" t="s">
        <v>1639</v>
      </c>
      <c r="AC469" s="145" t="s">
        <v>3930</v>
      </c>
      <c r="AD469" s="144">
        <v>1094.5103000000001</v>
      </c>
      <c r="AE469" s="145" t="s">
        <v>3930</v>
      </c>
      <c r="AF469" s="145" t="s">
        <v>3930</v>
      </c>
      <c r="AG469" s="145" t="s">
        <v>3930</v>
      </c>
      <c r="AH469" s="146">
        <v>1.9344763269455543E-3</v>
      </c>
      <c r="AI469" s="146">
        <v>1.1871064941866071E-3</v>
      </c>
      <c r="AJ469" s="147">
        <v>1.3970595685538711E-4</v>
      </c>
      <c r="AK469" s="177"/>
    </row>
    <row r="470" spans="1:37" ht="15" x14ac:dyDescent="0.2">
      <c r="A470" s="142" t="s">
        <v>1220</v>
      </c>
      <c r="B470" s="143" t="s">
        <v>1220</v>
      </c>
      <c r="C470" s="143" t="s">
        <v>1644</v>
      </c>
      <c r="D470" s="143" t="s">
        <v>1645</v>
      </c>
      <c r="E470" s="143" t="s">
        <v>309</v>
      </c>
      <c r="F470" s="143" t="s">
        <v>1650</v>
      </c>
      <c r="G470" s="143" t="s">
        <v>1651</v>
      </c>
      <c r="H470" s="143" t="s">
        <v>321</v>
      </c>
      <c r="I470" s="143" t="s">
        <v>754</v>
      </c>
      <c r="J470" s="143" t="s">
        <v>204</v>
      </c>
      <c r="K470" s="143" t="s">
        <v>204</v>
      </c>
      <c r="L470" s="143" t="s">
        <v>325</v>
      </c>
      <c r="M470" s="143" t="s">
        <v>340</v>
      </c>
      <c r="N470" s="143" t="s">
        <v>464</v>
      </c>
      <c r="O470" s="143" t="s">
        <v>339</v>
      </c>
      <c r="P470" s="143" t="s">
        <v>1425</v>
      </c>
      <c r="Q470" s="143" t="s">
        <v>415</v>
      </c>
      <c r="R470" s="143" t="s">
        <v>407</v>
      </c>
      <c r="S470" s="143" t="s">
        <v>1210</v>
      </c>
      <c r="T470" s="144">
        <v>0.28000000000000003</v>
      </c>
      <c r="U470" s="143" t="s">
        <v>1652</v>
      </c>
      <c r="V470" s="146">
        <v>2.75E-2</v>
      </c>
      <c r="W470" s="146">
        <v>4.6851999999999998E-2</v>
      </c>
      <c r="X470" s="143" t="s">
        <v>412</v>
      </c>
      <c r="Y470" s="145" t="s">
        <v>3930</v>
      </c>
      <c r="Z470" s="144">
        <v>652965.1</v>
      </c>
      <c r="AA470" s="145" t="s">
        <v>3930</v>
      </c>
      <c r="AB470" s="143" t="s">
        <v>1653</v>
      </c>
      <c r="AC470" s="145" t="s">
        <v>3930</v>
      </c>
      <c r="AD470" s="144">
        <v>762.27149999999995</v>
      </c>
      <c r="AE470" s="145" t="s">
        <v>3930</v>
      </c>
      <c r="AF470" s="145" t="s">
        <v>3930</v>
      </c>
      <c r="AG470" s="145" t="s">
        <v>3930</v>
      </c>
      <c r="AH470" s="146">
        <v>4.7233742220971721E-3</v>
      </c>
      <c r="AI470" s="146">
        <v>8.2676002660353649E-4</v>
      </c>
      <c r="AJ470" s="147">
        <v>9.7298179373177487E-5</v>
      </c>
      <c r="AK470" s="177"/>
    </row>
    <row r="471" spans="1:37" ht="15" x14ac:dyDescent="0.2">
      <c r="A471" s="142" t="s">
        <v>1220</v>
      </c>
      <c r="B471" s="143" t="s">
        <v>1220</v>
      </c>
      <c r="C471" s="143" t="s">
        <v>1644</v>
      </c>
      <c r="D471" s="143" t="s">
        <v>1645</v>
      </c>
      <c r="E471" s="143" t="s">
        <v>309</v>
      </c>
      <c r="F471" s="143" t="s">
        <v>1646</v>
      </c>
      <c r="G471" s="143" t="s">
        <v>1647</v>
      </c>
      <c r="H471" s="143" t="s">
        <v>321</v>
      </c>
      <c r="I471" s="143" t="s">
        <v>754</v>
      </c>
      <c r="J471" s="143" t="s">
        <v>204</v>
      </c>
      <c r="K471" s="143" t="s">
        <v>204</v>
      </c>
      <c r="L471" s="143" t="s">
        <v>325</v>
      </c>
      <c r="M471" s="143" t="s">
        <v>340</v>
      </c>
      <c r="N471" s="143" t="s">
        <v>464</v>
      </c>
      <c r="O471" s="143" t="s">
        <v>339</v>
      </c>
      <c r="P471" s="143" t="s">
        <v>1425</v>
      </c>
      <c r="Q471" s="143" t="s">
        <v>415</v>
      </c>
      <c r="R471" s="143" t="s">
        <v>407</v>
      </c>
      <c r="S471" s="143" t="s">
        <v>1210</v>
      </c>
      <c r="T471" s="144">
        <v>2.91</v>
      </c>
      <c r="U471" s="143" t="s">
        <v>1648</v>
      </c>
      <c r="V471" s="146">
        <v>1.9599999999999999E-2</v>
      </c>
      <c r="W471" s="146">
        <v>2.8162E-2</v>
      </c>
      <c r="X471" s="143" t="s">
        <v>412</v>
      </c>
      <c r="Y471" s="145" t="s">
        <v>3930</v>
      </c>
      <c r="Z471" s="144">
        <v>603070</v>
      </c>
      <c r="AA471" s="145" t="s">
        <v>3930</v>
      </c>
      <c r="AB471" s="143" t="s">
        <v>1649</v>
      </c>
      <c r="AC471" s="145" t="s">
        <v>3930</v>
      </c>
      <c r="AD471" s="144">
        <v>690.27390000000003</v>
      </c>
      <c r="AE471" s="145" t="s">
        <v>3930</v>
      </c>
      <c r="AF471" s="145" t="s">
        <v>3930</v>
      </c>
      <c r="AG471" s="145" t="s">
        <v>3930</v>
      </c>
      <c r="AH471" s="146">
        <v>5.2665611912332472E-4</v>
      </c>
      <c r="AI471" s="146">
        <v>7.4867146122517157E-4</v>
      </c>
      <c r="AJ471" s="147">
        <v>8.8108239128495438E-5</v>
      </c>
      <c r="AK471" s="177"/>
    </row>
    <row r="472" spans="1:37" ht="15" x14ac:dyDescent="0.2">
      <c r="A472" s="142" t="s">
        <v>1220</v>
      </c>
      <c r="B472" s="143" t="s">
        <v>1220</v>
      </c>
      <c r="C472" s="143" t="s">
        <v>1842</v>
      </c>
      <c r="D472" s="143" t="s">
        <v>1843</v>
      </c>
      <c r="E472" s="143" t="s">
        <v>309</v>
      </c>
      <c r="F472" s="143" t="s">
        <v>1992</v>
      </c>
      <c r="G472" s="143" t="s">
        <v>1993</v>
      </c>
      <c r="H472" s="143" t="s">
        <v>321</v>
      </c>
      <c r="I472" s="143" t="s">
        <v>754</v>
      </c>
      <c r="J472" s="143" t="s">
        <v>204</v>
      </c>
      <c r="K472" s="143" t="s">
        <v>204</v>
      </c>
      <c r="L472" s="143" t="s">
        <v>325</v>
      </c>
      <c r="M472" s="143" t="s">
        <v>340</v>
      </c>
      <c r="N472" s="143" t="s">
        <v>464</v>
      </c>
      <c r="O472" s="143" t="s">
        <v>339</v>
      </c>
      <c r="P472" s="143" t="s">
        <v>1412</v>
      </c>
      <c r="Q472" s="143" t="s">
        <v>413</v>
      </c>
      <c r="R472" s="143" t="s">
        <v>407</v>
      </c>
      <c r="S472" s="143" t="s">
        <v>1210</v>
      </c>
      <c r="T472" s="144">
        <v>1.89</v>
      </c>
      <c r="U472" s="143" t="s">
        <v>1432</v>
      </c>
      <c r="V472" s="146">
        <v>2.4E-2</v>
      </c>
      <c r="W472" s="146">
        <v>2.5285999999999999E-2</v>
      </c>
      <c r="X472" s="143" t="s">
        <v>412</v>
      </c>
      <c r="Y472" s="145" t="s">
        <v>3930</v>
      </c>
      <c r="Z472" s="144">
        <v>450802.72</v>
      </c>
      <c r="AA472" s="145" t="s">
        <v>3930</v>
      </c>
      <c r="AB472" s="143" t="s">
        <v>1536</v>
      </c>
      <c r="AC472" s="145" t="s">
        <v>3930</v>
      </c>
      <c r="AD472" s="144">
        <v>522.3451</v>
      </c>
      <c r="AE472" s="145" t="s">
        <v>3930</v>
      </c>
      <c r="AF472" s="145" t="s">
        <v>3930</v>
      </c>
      <c r="AG472" s="145" t="s">
        <v>3930</v>
      </c>
      <c r="AH472" s="146">
        <v>8.3872898124923644E-4</v>
      </c>
      <c r="AI472" s="146">
        <v>5.6653578463494714E-4</v>
      </c>
      <c r="AJ472" s="147">
        <v>6.6673398109471621E-5</v>
      </c>
      <c r="AK472" s="177"/>
    </row>
    <row r="473" spans="1:37" ht="15" x14ac:dyDescent="0.2">
      <c r="A473" s="142" t="s">
        <v>1220</v>
      </c>
      <c r="B473" s="143" t="s">
        <v>1220</v>
      </c>
      <c r="C473" s="143" t="s">
        <v>1503</v>
      </c>
      <c r="D473" s="143" t="s">
        <v>1504</v>
      </c>
      <c r="E473" s="143" t="s">
        <v>309</v>
      </c>
      <c r="F473" s="143" t="s">
        <v>1994</v>
      </c>
      <c r="G473" s="143" t="s">
        <v>1995</v>
      </c>
      <c r="H473" s="143" t="s">
        <v>321</v>
      </c>
      <c r="I473" s="143" t="s">
        <v>754</v>
      </c>
      <c r="J473" s="143" t="s">
        <v>204</v>
      </c>
      <c r="K473" s="143" t="s">
        <v>204</v>
      </c>
      <c r="L473" s="143" t="s">
        <v>325</v>
      </c>
      <c r="M473" s="143" t="s">
        <v>340</v>
      </c>
      <c r="N473" s="143" t="s">
        <v>464</v>
      </c>
      <c r="O473" s="143" t="s">
        <v>339</v>
      </c>
      <c r="P473" s="143" t="s">
        <v>1412</v>
      </c>
      <c r="Q473" s="143" t="s">
        <v>413</v>
      </c>
      <c r="R473" s="143" t="s">
        <v>407</v>
      </c>
      <c r="S473" s="143" t="s">
        <v>1210</v>
      </c>
      <c r="T473" s="144">
        <v>3.89</v>
      </c>
      <c r="U473" s="143" t="s">
        <v>1996</v>
      </c>
      <c r="V473" s="146">
        <v>2.2499999999999999E-2</v>
      </c>
      <c r="W473" s="146">
        <v>2.9537999999999998E-2</v>
      </c>
      <c r="X473" s="143" t="s">
        <v>412</v>
      </c>
      <c r="Y473" s="145" t="s">
        <v>3930</v>
      </c>
      <c r="Z473" s="144">
        <v>295733.09999999998</v>
      </c>
      <c r="AA473" s="145" t="s">
        <v>3930</v>
      </c>
      <c r="AB473" s="143" t="s">
        <v>1997</v>
      </c>
      <c r="AC473" s="145" t="s">
        <v>3930</v>
      </c>
      <c r="AD473" s="144">
        <v>338.37779999999998</v>
      </c>
      <c r="AE473" s="145" t="s">
        <v>3930</v>
      </c>
      <c r="AF473" s="145" t="s">
        <v>3930</v>
      </c>
      <c r="AG473" s="145" t="s">
        <v>3930</v>
      </c>
      <c r="AH473" s="146">
        <v>2.5138020635034268E-4</v>
      </c>
      <c r="AI473" s="146">
        <v>3.6700475513525385E-4</v>
      </c>
      <c r="AJ473" s="147">
        <v>4.3191365507421672E-5</v>
      </c>
      <c r="AK473" s="177"/>
    </row>
    <row r="474" spans="1:37" ht="15" x14ac:dyDescent="0.2">
      <c r="A474" s="142" t="s">
        <v>1220</v>
      </c>
      <c r="B474" s="143" t="s">
        <v>1220</v>
      </c>
      <c r="C474" s="143" t="s">
        <v>1555</v>
      </c>
      <c r="D474" s="143" t="s">
        <v>1556</v>
      </c>
      <c r="E474" s="143" t="s">
        <v>309</v>
      </c>
      <c r="F474" s="143" t="s">
        <v>1557</v>
      </c>
      <c r="G474" s="143" t="s">
        <v>1558</v>
      </c>
      <c r="H474" s="143" t="s">
        <v>321</v>
      </c>
      <c r="I474" s="143" t="s">
        <v>754</v>
      </c>
      <c r="J474" s="143" t="s">
        <v>204</v>
      </c>
      <c r="K474" s="143" t="s">
        <v>204</v>
      </c>
      <c r="L474" s="143" t="s">
        <v>325</v>
      </c>
      <c r="M474" s="143" t="s">
        <v>340</v>
      </c>
      <c r="N474" s="143" t="s">
        <v>464</v>
      </c>
      <c r="O474" s="143" t="s">
        <v>339</v>
      </c>
      <c r="P474" s="143" t="s">
        <v>1412</v>
      </c>
      <c r="Q474" s="143" t="s">
        <v>413</v>
      </c>
      <c r="R474" s="143" t="s">
        <v>407</v>
      </c>
      <c r="S474" s="143" t="s">
        <v>1210</v>
      </c>
      <c r="T474" s="144">
        <v>2.1800000000000002</v>
      </c>
      <c r="U474" s="143" t="s">
        <v>1559</v>
      </c>
      <c r="V474" s="146">
        <v>3.2000000000000001E-2</v>
      </c>
      <c r="W474" s="146">
        <v>2.6786000000000001E-2</v>
      </c>
      <c r="X474" s="143" t="s">
        <v>412</v>
      </c>
      <c r="Y474" s="145" t="s">
        <v>3930</v>
      </c>
      <c r="Z474" s="144">
        <v>210899.4</v>
      </c>
      <c r="AA474" s="145" t="s">
        <v>3930</v>
      </c>
      <c r="AB474" s="143" t="s">
        <v>1560</v>
      </c>
      <c r="AC474" s="145" t="s">
        <v>3930</v>
      </c>
      <c r="AD474" s="144">
        <v>247.5326</v>
      </c>
      <c r="AE474" s="145" t="s">
        <v>3930</v>
      </c>
      <c r="AF474" s="145" t="s">
        <v>3930</v>
      </c>
      <c r="AG474" s="145" t="s">
        <v>3930</v>
      </c>
      <c r="AH474" s="146">
        <v>2.0044914422513783E-4</v>
      </c>
      <c r="AI474" s="146">
        <v>2.6847401696223456E-4</v>
      </c>
      <c r="AJ474" s="147">
        <v>3.1595665270299195E-5</v>
      </c>
      <c r="AK474" s="177"/>
    </row>
    <row r="475" spans="1:37" ht="15" x14ac:dyDescent="0.2">
      <c r="A475" s="142" t="s">
        <v>1220</v>
      </c>
      <c r="B475" s="143" t="s">
        <v>1220</v>
      </c>
      <c r="C475" s="143" t="s">
        <v>1575</v>
      </c>
      <c r="D475" s="143" t="s">
        <v>1576</v>
      </c>
      <c r="E475" s="143" t="s">
        <v>309</v>
      </c>
      <c r="F475" s="143" t="s">
        <v>1998</v>
      </c>
      <c r="G475" s="143" t="s">
        <v>1999</v>
      </c>
      <c r="H475" s="143" t="s">
        <v>321</v>
      </c>
      <c r="I475" s="143" t="s">
        <v>754</v>
      </c>
      <c r="J475" s="143" t="s">
        <v>204</v>
      </c>
      <c r="K475" s="143" t="s">
        <v>204</v>
      </c>
      <c r="L475" s="143" t="s">
        <v>325</v>
      </c>
      <c r="M475" s="143" t="s">
        <v>340</v>
      </c>
      <c r="N475" s="143" t="s">
        <v>464</v>
      </c>
      <c r="O475" s="143" t="s">
        <v>339</v>
      </c>
      <c r="P475" s="143" t="s">
        <v>1356</v>
      </c>
      <c r="Q475" s="143" t="s">
        <v>413</v>
      </c>
      <c r="R475" s="143" t="s">
        <v>407</v>
      </c>
      <c r="S475" s="143" t="s">
        <v>1210</v>
      </c>
      <c r="T475" s="144">
        <v>0.6</v>
      </c>
      <c r="U475" s="143" t="s">
        <v>2000</v>
      </c>
      <c r="V475" s="146">
        <v>2.5000000000000001E-2</v>
      </c>
      <c r="W475" s="146">
        <v>2.7820999999999999E-2</v>
      </c>
      <c r="X475" s="143" t="s">
        <v>412</v>
      </c>
      <c r="Y475" s="145" t="s">
        <v>3930</v>
      </c>
      <c r="Z475" s="144">
        <v>148658.5</v>
      </c>
      <c r="AA475" s="145" t="s">
        <v>3930</v>
      </c>
      <c r="AB475" s="143" t="s">
        <v>2001</v>
      </c>
      <c r="AC475" s="145" t="s">
        <v>3930</v>
      </c>
      <c r="AD475" s="144">
        <v>173.1574</v>
      </c>
      <c r="AE475" s="145" t="s">
        <v>3930</v>
      </c>
      <c r="AF475" s="145" t="s">
        <v>3930</v>
      </c>
      <c r="AG475" s="145" t="s">
        <v>3930</v>
      </c>
      <c r="AH475" s="146">
        <v>6.3124102013858367E-4</v>
      </c>
      <c r="AI475" s="146">
        <v>1.8780663026745189E-4</v>
      </c>
      <c r="AJ475" s="147">
        <v>2.2102233551740508E-5</v>
      </c>
      <c r="AK475" s="177"/>
    </row>
    <row r="476" spans="1:37" ht="15" x14ac:dyDescent="0.2">
      <c r="A476" s="142" t="s">
        <v>1220</v>
      </c>
      <c r="B476" s="143" t="s">
        <v>1220</v>
      </c>
      <c r="C476" s="143" t="s">
        <v>2051</v>
      </c>
      <c r="D476" s="143" t="s">
        <v>2052</v>
      </c>
      <c r="E476" s="143" t="s">
        <v>309</v>
      </c>
      <c r="F476" s="143" t="s">
        <v>2053</v>
      </c>
      <c r="G476" s="143" t="s">
        <v>2054</v>
      </c>
      <c r="H476" s="143" t="s">
        <v>321</v>
      </c>
      <c r="I476" s="143" t="s">
        <v>754</v>
      </c>
      <c r="J476" s="143" t="s">
        <v>204</v>
      </c>
      <c r="K476" s="143" t="s">
        <v>204</v>
      </c>
      <c r="L476" s="143" t="s">
        <v>325</v>
      </c>
      <c r="M476" s="143" t="s">
        <v>340</v>
      </c>
      <c r="N476" s="143" t="s">
        <v>464</v>
      </c>
      <c r="O476" s="143" t="s">
        <v>339</v>
      </c>
      <c r="P476" s="143" t="s">
        <v>1398</v>
      </c>
      <c r="Q476" s="143" t="s">
        <v>413</v>
      </c>
      <c r="R476" s="143" t="s">
        <v>407</v>
      </c>
      <c r="S476" s="143" t="s">
        <v>1210</v>
      </c>
      <c r="T476" s="144">
        <v>1.7</v>
      </c>
      <c r="U476" s="143" t="s">
        <v>1426</v>
      </c>
      <c r="V476" s="146">
        <v>2.3E-2</v>
      </c>
      <c r="W476" s="146">
        <v>2.8464E-2</v>
      </c>
      <c r="X476" s="143" t="s">
        <v>412</v>
      </c>
      <c r="Y476" s="145" t="s">
        <v>3930</v>
      </c>
      <c r="Z476" s="144">
        <v>0.19</v>
      </c>
      <c r="AA476" s="145" t="s">
        <v>3930</v>
      </c>
      <c r="AB476" s="143" t="s">
        <v>2055</v>
      </c>
      <c r="AC476" s="145" t="s">
        <v>3930</v>
      </c>
      <c r="AD476" s="144">
        <v>2.0000000000000001E-4</v>
      </c>
      <c r="AE476" s="145" t="s">
        <v>3930</v>
      </c>
      <c r="AF476" s="145" t="s">
        <v>3930</v>
      </c>
      <c r="AG476" s="145" t="s">
        <v>3930</v>
      </c>
      <c r="AH476" s="146">
        <v>2.5248632587214091E-9</v>
      </c>
      <c r="AI476" s="146">
        <v>2.3978782343961392E-10</v>
      </c>
      <c r="AJ476" s="147">
        <v>2.821969846846436E-11</v>
      </c>
      <c r="AK476" s="177"/>
    </row>
    <row r="477" spans="1:37" ht="15" x14ac:dyDescent="0.2">
      <c r="A477" s="142" t="s">
        <v>1220</v>
      </c>
      <c r="B477" s="143" t="s">
        <v>1220</v>
      </c>
      <c r="C477" s="143" t="s">
        <v>2008</v>
      </c>
      <c r="D477" s="143" t="s">
        <v>2009</v>
      </c>
      <c r="E477" s="143" t="s">
        <v>309</v>
      </c>
      <c r="F477" s="143" t="s">
        <v>2010</v>
      </c>
      <c r="G477" s="143" t="s">
        <v>2011</v>
      </c>
      <c r="H477" s="143" t="s">
        <v>321</v>
      </c>
      <c r="I477" s="143" t="s">
        <v>755</v>
      </c>
      <c r="J477" s="143" t="s">
        <v>204</v>
      </c>
      <c r="K477" s="143" t="s">
        <v>204</v>
      </c>
      <c r="L477" s="143" t="s">
        <v>325</v>
      </c>
      <c r="M477" s="143" t="s">
        <v>340</v>
      </c>
      <c r="N477" s="143" t="s">
        <v>480</v>
      </c>
      <c r="O477" s="143" t="s">
        <v>339</v>
      </c>
      <c r="P477" s="143" t="s">
        <v>1356</v>
      </c>
      <c r="Q477" s="143" t="s">
        <v>413</v>
      </c>
      <c r="R477" s="143" t="s">
        <v>407</v>
      </c>
      <c r="S477" s="143" t="s">
        <v>1210</v>
      </c>
      <c r="T477" s="144">
        <v>0.73</v>
      </c>
      <c r="U477" s="143" t="s">
        <v>2012</v>
      </c>
      <c r="V477" s="146">
        <v>3.3700000000000001E-2</v>
      </c>
      <c r="W477" s="146">
        <v>6.7890000000000006E-2</v>
      </c>
      <c r="X477" s="143" t="s">
        <v>412</v>
      </c>
      <c r="Y477" s="145" t="s">
        <v>3930</v>
      </c>
      <c r="Z477" s="144">
        <v>0.12</v>
      </c>
      <c r="AA477" s="145" t="s">
        <v>3930</v>
      </c>
      <c r="AB477" s="143" t="s">
        <v>2013</v>
      </c>
      <c r="AC477" s="145" t="s">
        <v>3930</v>
      </c>
      <c r="AD477" s="144">
        <v>1E-4</v>
      </c>
      <c r="AE477" s="145" t="s">
        <v>3930</v>
      </c>
      <c r="AF477" s="145" t="s">
        <v>3930</v>
      </c>
      <c r="AG477" s="145" t="s">
        <v>3930</v>
      </c>
      <c r="AH477" s="146">
        <v>8.5714285714285718E-10</v>
      </c>
      <c r="AI477" s="146">
        <v>1.3457723368668604E-10</v>
      </c>
      <c r="AJ477" s="147">
        <v>1.5837872419383844E-11</v>
      </c>
      <c r="AK477" s="177"/>
    </row>
    <row r="478" spans="1:37" ht="15" x14ac:dyDescent="0.2">
      <c r="A478" s="142" t="s">
        <v>1220</v>
      </c>
      <c r="B478" s="143" t="s">
        <v>1220</v>
      </c>
      <c r="C478" s="143" t="s">
        <v>2014</v>
      </c>
      <c r="D478" s="143" t="s">
        <v>2015</v>
      </c>
      <c r="E478" s="143" t="s">
        <v>313</v>
      </c>
      <c r="F478" s="143" t="s">
        <v>2016</v>
      </c>
      <c r="G478" s="143" t="s">
        <v>2017</v>
      </c>
      <c r="H478" s="143" t="s">
        <v>321</v>
      </c>
      <c r="I478" s="143" t="s">
        <v>755</v>
      </c>
      <c r="J478" s="143" t="s">
        <v>205</v>
      </c>
      <c r="K478" s="143" t="s">
        <v>268</v>
      </c>
      <c r="L478" s="143" t="s">
        <v>325</v>
      </c>
      <c r="M478" s="143" t="s">
        <v>364</v>
      </c>
      <c r="N478" s="143" t="s">
        <v>539</v>
      </c>
      <c r="O478" s="143" t="s">
        <v>339</v>
      </c>
      <c r="P478" s="143" t="s">
        <v>2018</v>
      </c>
      <c r="Q478" s="143" t="s">
        <v>423</v>
      </c>
      <c r="R478" s="143" t="s">
        <v>407</v>
      </c>
      <c r="S478" s="143" t="s">
        <v>1211</v>
      </c>
      <c r="T478" s="144">
        <v>2.6429999999999998</v>
      </c>
      <c r="U478" s="143" t="s">
        <v>2019</v>
      </c>
      <c r="V478" s="146">
        <v>5.6250000000000001E-2</v>
      </c>
      <c r="W478" s="146">
        <v>8.7620000000000003E-2</v>
      </c>
      <c r="X478" s="143" t="s">
        <v>412</v>
      </c>
      <c r="Y478" s="145" t="s">
        <v>3930</v>
      </c>
      <c r="Z478" s="144">
        <v>2500000</v>
      </c>
      <c r="AA478" s="143" t="s">
        <v>1212</v>
      </c>
      <c r="AB478" s="143" t="s">
        <v>2020</v>
      </c>
      <c r="AC478" s="145" t="s">
        <v>3930</v>
      </c>
      <c r="AD478" s="144">
        <v>9433.4140000000007</v>
      </c>
      <c r="AE478" s="145" t="s">
        <v>3930</v>
      </c>
      <c r="AF478" s="145" t="s">
        <v>3930</v>
      </c>
      <c r="AG478" s="145" t="s">
        <v>3930</v>
      </c>
      <c r="AH478" s="146">
        <v>3.1250000000000002E-3</v>
      </c>
      <c r="AI478" s="146">
        <v>1.0231485773790143E-2</v>
      </c>
      <c r="AJ478" s="147">
        <v>1.2041038584824208E-3</v>
      </c>
      <c r="AK478" s="177"/>
    </row>
    <row r="479" spans="1:37" ht="15" x14ac:dyDescent="0.2">
      <c r="A479" s="142" t="s">
        <v>1220</v>
      </c>
      <c r="B479" s="143" t="s">
        <v>1220</v>
      </c>
      <c r="C479" s="143" t="s">
        <v>2021</v>
      </c>
      <c r="D479" s="143" t="s">
        <v>2022</v>
      </c>
      <c r="E479" s="143" t="s">
        <v>313</v>
      </c>
      <c r="F479" s="143" t="s">
        <v>2023</v>
      </c>
      <c r="G479" s="143" t="s">
        <v>2024</v>
      </c>
      <c r="H479" s="143" t="s">
        <v>321</v>
      </c>
      <c r="I479" s="143" t="s">
        <v>755</v>
      </c>
      <c r="J479" s="143" t="s">
        <v>205</v>
      </c>
      <c r="K479" s="143" t="s">
        <v>224</v>
      </c>
      <c r="L479" s="143" t="s">
        <v>325</v>
      </c>
      <c r="M479" s="143" t="s">
        <v>344</v>
      </c>
      <c r="N479" s="143" t="s">
        <v>539</v>
      </c>
      <c r="O479" s="143" t="s">
        <v>339</v>
      </c>
      <c r="P479" s="143" t="s">
        <v>2025</v>
      </c>
      <c r="Q479" s="143" t="s">
        <v>433</v>
      </c>
      <c r="R479" s="143" t="s">
        <v>407</v>
      </c>
      <c r="S479" s="143" t="s">
        <v>1211</v>
      </c>
      <c r="T479" s="144">
        <v>1.8120000000000001</v>
      </c>
      <c r="U479" s="143" t="s">
        <v>2026</v>
      </c>
      <c r="V479" s="146">
        <v>3.4500000000000003E-2</v>
      </c>
      <c r="W479" s="146">
        <v>4.9639999999999997E-2</v>
      </c>
      <c r="X479" s="143" t="s">
        <v>412</v>
      </c>
      <c r="Y479" s="145" t="s">
        <v>3930</v>
      </c>
      <c r="Z479" s="144">
        <v>2500000</v>
      </c>
      <c r="AA479" s="143" t="s">
        <v>1212</v>
      </c>
      <c r="AB479" s="143" t="s">
        <v>2027</v>
      </c>
      <c r="AC479" s="145" t="s">
        <v>3930</v>
      </c>
      <c r="AD479" s="144">
        <v>9142.3006000000005</v>
      </c>
      <c r="AE479" s="145" t="s">
        <v>3930</v>
      </c>
      <c r="AF479" s="145" t="s">
        <v>3930</v>
      </c>
      <c r="AG479" s="145" t="s">
        <v>3930</v>
      </c>
      <c r="AH479" s="146">
        <v>2.5000000000000001E-3</v>
      </c>
      <c r="AI479" s="146">
        <v>9.915744068769855E-3</v>
      </c>
      <c r="AJ479" s="147">
        <v>1.1669454424220022E-3</v>
      </c>
      <c r="AK479" s="177"/>
    </row>
    <row r="480" spans="1:37" ht="15" x14ac:dyDescent="0.2">
      <c r="A480" s="142" t="s">
        <v>1220</v>
      </c>
      <c r="B480" s="143" t="s">
        <v>1220</v>
      </c>
      <c r="C480" s="143" t="s">
        <v>2028</v>
      </c>
      <c r="D480" s="143" t="s">
        <v>2029</v>
      </c>
      <c r="E480" s="143" t="s">
        <v>313</v>
      </c>
      <c r="F480" s="143" t="s">
        <v>2030</v>
      </c>
      <c r="G480" s="143" t="s">
        <v>2031</v>
      </c>
      <c r="H480" s="143" t="s">
        <v>321</v>
      </c>
      <c r="I480" s="143" t="s">
        <v>755</v>
      </c>
      <c r="J480" s="143" t="s">
        <v>205</v>
      </c>
      <c r="K480" s="143" t="s">
        <v>233</v>
      </c>
      <c r="L480" s="143" t="s">
        <v>325</v>
      </c>
      <c r="M480" s="143" t="s">
        <v>388</v>
      </c>
      <c r="N480" s="143" t="s">
        <v>549</v>
      </c>
      <c r="O480" s="143" t="s">
        <v>339</v>
      </c>
      <c r="P480" s="143" t="s">
        <v>2032</v>
      </c>
      <c r="Q480" s="143" t="s">
        <v>433</v>
      </c>
      <c r="R480" s="143" t="s">
        <v>407</v>
      </c>
      <c r="S480" s="143" t="s">
        <v>1211</v>
      </c>
      <c r="T480" s="144">
        <v>8.3000000000000004E-2</v>
      </c>
      <c r="U480" s="143" t="s">
        <v>2033</v>
      </c>
      <c r="V480" s="146">
        <v>6.25E-2</v>
      </c>
      <c r="W480" s="146">
        <v>6.4659999999999995E-2</v>
      </c>
      <c r="X480" s="143" t="s">
        <v>412</v>
      </c>
      <c r="Y480" s="145" t="s">
        <v>3930</v>
      </c>
      <c r="Z480" s="144">
        <v>1516000</v>
      </c>
      <c r="AA480" s="143" t="s">
        <v>1212</v>
      </c>
      <c r="AB480" s="143" t="s">
        <v>2034</v>
      </c>
      <c r="AC480" s="145" t="s">
        <v>3930</v>
      </c>
      <c r="AD480" s="144">
        <v>5979.5972999999994</v>
      </c>
      <c r="AE480" s="145" t="s">
        <v>3930</v>
      </c>
      <c r="AF480" s="145" t="s">
        <v>3930</v>
      </c>
      <c r="AG480" s="145" t="s">
        <v>3930</v>
      </c>
      <c r="AH480" s="146">
        <v>1.1661538461538461E-3</v>
      </c>
      <c r="AI480" s="146">
        <v>6.4854744317208975E-3</v>
      </c>
      <c r="AJ480" s="147">
        <v>7.6325031964848144E-4</v>
      </c>
      <c r="AK480" s="177"/>
    </row>
    <row r="481" spans="1:37" ht="15" x14ac:dyDescent="0.2">
      <c r="A481" s="148" t="s">
        <v>1220</v>
      </c>
      <c r="B481" s="149" t="s">
        <v>1220</v>
      </c>
      <c r="C481" s="149" t="s">
        <v>1831</v>
      </c>
      <c r="D481" s="149" t="s">
        <v>1832</v>
      </c>
      <c r="E481" s="149" t="s">
        <v>309</v>
      </c>
      <c r="F481" s="149" t="s">
        <v>2035</v>
      </c>
      <c r="G481" s="149" t="s">
        <v>2036</v>
      </c>
      <c r="H481" s="149" t="s">
        <v>321</v>
      </c>
      <c r="I481" s="149" t="s">
        <v>952</v>
      </c>
      <c r="J481" s="149" t="s">
        <v>204</v>
      </c>
      <c r="K481" s="149" t="s">
        <v>204</v>
      </c>
      <c r="L481" s="149" t="s">
        <v>325</v>
      </c>
      <c r="M481" s="149" t="s">
        <v>340</v>
      </c>
      <c r="N481" s="149" t="s">
        <v>441</v>
      </c>
      <c r="O481" s="149" t="s">
        <v>339</v>
      </c>
      <c r="P481" s="149" t="s">
        <v>1405</v>
      </c>
      <c r="Q481" s="149" t="s">
        <v>415</v>
      </c>
      <c r="R481" s="149" t="s">
        <v>407</v>
      </c>
      <c r="S481" s="149" t="s">
        <v>1210</v>
      </c>
      <c r="T481" s="150">
        <v>3.85</v>
      </c>
      <c r="U481" s="149" t="s">
        <v>1675</v>
      </c>
      <c r="V481" s="152">
        <v>0.05</v>
      </c>
      <c r="W481" s="152">
        <v>3.3352E-2</v>
      </c>
      <c r="X481" s="149" t="s">
        <v>412</v>
      </c>
      <c r="Y481" s="151" t="s">
        <v>3930</v>
      </c>
      <c r="Z481" s="150">
        <v>5913000</v>
      </c>
      <c r="AA481" s="151" t="s">
        <v>3930</v>
      </c>
      <c r="AB481" s="149" t="s">
        <v>2037</v>
      </c>
      <c r="AC481" s="151" t="s">
        <v>3930</v>
      </c>
      <c r="AD481" s="150">
        <v>6344.6490000000003</v>
      </c>
      <c r="AE481" s="151" t="s">
        <v>3930</v>
      </c>
      <c r="AF481" s="151" t="s">
        <v>3930</v>
      </c>
      <c r="AG481" s="151" t="s">
        <v>3930</v>
      </c>
      <c r="AH481" s="152">
        <v>1.4508649245491351E-2</v>
      </c>
      <c r="AI481" s="152">
        <v>6.8814096641924474E-3</v>
      </c>
      <c r="AJ481" s="153">
        <v>8.0984640077185106E-4</v>
      </c>
      <c r="AK481" s="177"/>
    </row>
    <row r="482" spans="1:37" x14ac:dyDescent="0.2">
      <c r="A482" s="177" t="s">
        <v>3946</v>
      </c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  <c r="AE482" s="177"/>
      <c r="AF482" s="177"/>
      <c r="AG482" s="177"/>
      <c r="AH482" s="177"/>
      <c r="AI482" s="177"/>
      <c r="AJ482" s="177"/>
    </row>
    <row r="483" spans="1:37" x14ac:dyDescent="0.2">
      <c r="A483" s="2" t="s">
        <v>3945</v>
      </c>
    </row>
    <row r="484" spans="1:37" x14ac:dyDescent="0.2">
      <c r="A484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82:AJ482"/>
    <mergeCell ref="AK2:AK481"/>
  </mergeCells>
  <dataValidations count="12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5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4.37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1" style="2" bestFit="1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3954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83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75</v>
      </c>
      <c r="U2" s="140" t="s">
        <v>63</v>
      </c>
      <c r="V2" s="140" t="s">
        <v>79</v>
      </c>
      <c r="W2" s="140" t="s">
        <v>64</v>
      </c>
      <c r="X2" s="141" t="s">
        <v>65</v>
      </c>
      <c r="Y2" s="180" t="s">
        <v>3947</v>
      </c>
    </row>
    <row r="3" spans="1:25" ht="15" x14ac:dyDescent="0.2">
      <c r="A3" s="142" t="s">
        <v>1205</v>
      </c>
      <c r="B3" s="143" t="s">
        <v>1205</v>
      </c>
      <c r="C3" s="143" t="s">
        <v>2056</v>
      </c>
      <c r="D3" s="143" t="s">
        <v>2057</v>
      </c>
      <c r="E3" s="143" t="s">
        <v>309</v>
      </c>
      <c r="F3" s="143" t="s">
        <v>2058</v>
      </c>
      <c r="G3" s="143" t="s">
        <v>2059</v>
      </c>
      <c r="H3" s="143" t="s">
        <v>321</v>
      </c>
      <c r="I3" s="143" t="s">
        <v>917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467</v>
      </c>
      <c r="O3" s="143" t="s">
        <v>339</v>
      </c>
      <c r="P3" s="143" t="s">
        <v>1210</v>
      </c>
      <c r="Q3" s="144">
        <v>86846</v>
      </c>
      <c r="R3" s="145" t="s">
        <v>3930</v>
      </c>
      <c r="S3" s="143" t="s">
        <v>2060</v>
      </c>
      <c r="T3" s="145" t="s">
        <v>3930</v>
      </c>
      <c r="U3" s="144">
        <v>5757.0212999999994</v>
      </c>
      <c r="V3" s="146">
        <v>7.0105252874892542E-5</v>
      </c>
      <c r="W3" s="146">
        <v>3.6765522259212237E-2</v>
      </c>
      <c r="X3" s="147">
        <v>8.3516419415215048E-3</v>
      </c>
      <c r="Y3" s="180"/>
    </row>
    <row r="4" spans="1:25" ht="15" x14ac:dyDescent="0.2">
      <c r="A4" s="142" t="s">
        <v>1205</v>
      </c>
      <c r="B4" s="143" t="s">
        <v>1205</v>
      </c>
      <c r="C4" s="143" t="s">
        <v>1569</v>
      </c>
      <c r="D4" s="143" t="s">
        <v>1570</v>
      </c>
      <c r="E4" s="143" t="s">
        <v>309</v>
      </c>
      <c r="F4" s="143" t="s">
        <v>2061</v>
      </c>
      <c r="G4" s="143" t="s">
        <v>2062</v>
      </c>
      <c r="H4" s="143" t="s">
        <v>321</v>
      </c>
      <c r="I4" s="143" t="s">
        <v>917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448</v>
      </c>
      <c r="O4" s="143" t="s">
        <v>339</v>
      </c>
      <c r="P4" s="143" t="s">
        <v>1210</v>
      </c>
      <c r="Q4" s="144">
        <v>131690</v>
      </c>
      <c r="R4" s="145" t="s">
        <v>3930</v>
      </c>
      <c r="S4" s="143" t="s">
        <v>2063</v>
      </c>
      <c r="T4" s="145" t="s">
        <v>3930</v>
      </c>
      <c r="U4" s="144">
        <v>4910.7200999999995</v>
      </c>
      <c r="V4" s="146">
        <v>9.8446394196541334E-5</v>
      </c>
      <c r="W4" s="146">
        <v>3.136086849129361E-2</v>
      </c>
      <c r="X4" s="147">
        <v>7.1239228635954091E-3</v>
      </c>
      <c r="Y4" s="180"/>
    </row>
    <row r="5" spans="1:25" ht="15" x14ac:dyDescent="0.2">
      <c r="A5" s="142" t="s">
        <v>1205</v>
      </c>
      <c r="B5" s="143" t="s">
        <v>1205</v>
      </c>
      <c r="C5" s="143" t="s">
        <v>1493</v>
      </c>
      <c r="D5" s="143" t="s">
        <v>1494</v>
      </c>
      <c r="E5" s="143" t="s">
        <v>309</v>
      </c>
      <c r="F5" s="143" t="s">
        <v>2064</v>
      </c>
      <c r="G5" s="143" t="s">
        <v>2065</v>
      </c>
      <c r="H5" s="143" t="s">
        <v>321</v>
      </c>
      <c r="I5" s="143" t="s">
        <v>917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448</v>
      </c>
      <c r="O5" s="143" t="s">
        <v>339</v>
      </c>
      <c r="P5" s="143" t="s">
        <v>1210</v>
      </c>
      <c r="Q5" s="144">
        <v>109328</v>
      </c>
      <c r="R5" s="145" t="s">
        <v>3930</v>
      </c>
      <c r="S5" s="143" t="s">
        <v>2066</v>
      </c>
      <c r="T5" s="145" t="s">
        <v>3930</v>
      </c>
      <c r="U5" s="144">
        <v>3983.9123</v>
      </c>
      <c r="V5" s="146">
        <v>6.7668856829017015E-5</v>
      </c>
      <c r="W5" s="146">
        <v>2.5442083402058373E-2</v>
      </c>
      <c r="X5" s="147">
        <v>5.7794139118227143E-3</v>
      </c>
      <c r="Y5" s="180"/>
    </row>
    <row r="6" spans="1:25" ht="15" x14ac:dyDescent="0.2">
      <c r="A6" s="142" t="s">
        <v>1205</v>
      </c>
      <c r="B6" s="143" t="s">
        <v>1205</v>
      </c>
      <c r="C6" s="143" t="s">
        <v>2067</v>
      </c>
      <c r="D6" s="143" t="s">
        <v>2068</v>
      </c>
      <c r="E6" s="143" t="s">
        <v>309</v>
      </c>
      <c r="F6" s="143" t="s">
        <v>2069</v>
      </c>
      <c r="G6" s="143" t="s">
        <v>2070</v>
      </c>
      <c r="H6" s="143" t="s">
        <v>321</v>
      </c>
      <c r="I6" s="143" t="s">
        <v>917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480</v>
      </c>
      <c r="O6" s="143" t="s">
        <v>339</v>
      </c>
      <c r="P6" s="143" t="s">
        <v>1210</v>
      </c>
      <c r="Q6" s="144">
        <v>5109</v>
      </c>
      <c r="R6" s="145" t="s">
        <v>3930</v>
      </c>
      <c r="S6" s="143" t="s">
        <v>2071</v>
      </c>
      <c r="T6" s="145" t="s">
        <v>3930</v>
      </c>
      <c r="U6" s="144">
        <v>3314.7192</v>
      </c>
      <c r="V6" s="146">
        <v>6.8325133002313733E-5</v>
      </c>
      <c r="W6" s="146">
        <v>2.1168478512299239E-2</v>
      </c>
      <c r="X6" s="147">
        <v>4.808623463446569E-3</v>
      </c>
      <c r="Y6" s="180"/>
    </row>
    <row r="7" spans="1:25" ht="15" x14ac:dyDescent="0.2">
      <c r="A7" s="142" t="s">
        <v>1205</v>
      </c>
      <c r="B7" s="143" t="s">
        <v>1205</v>
      </c>
      <c r="C7" s="143" t="s">
        <v>2072</v>
      </c>
      <c r="D7" s="143" t="s">
        <v>2073</v>
      </c>
      <c r="E7" s="143" t="s">
        <v>309</v>
      </c>
      <c r="F7" s="143" t="s">
        <v>2074</v>
      </c>
      <c r="G7" s="143" t="s">
        <v>2075</v>
      </c>
      <c r="H7" s="143" t="s">
        <v>321</v>
      </c>
      <c r="I7" s="143" t="s">
        <v>917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448</v>
      </c>
      <c r="O7" s="143" t="s">
        <v>339</v>
      </c>
      <c r="P7" s="143" t="s">
        <v>1210</v>
      </c>
      <c r="Q7" s="144">
        <v>21654</v>
      </c>
      <c r="R7" s="145" t="s">
        <v>3930</v>
      </c>
      <c r="S7" s="143" t="s">
        <v>2076</v>
      </c>
      <c r="T7" s="145" t="s">
        <v>3930</v>
      </c>
      <c r="U7" s="144">
        <v>3150.6570000000002</v>
      </c>
      <c r="V7" s="146">
        <v>8.3807402415183511E-5</v>
      </c>
      <c r="W7" s="146">
        <v>2.0120743562267712E-2</v>
      </c>
      <c r="X7" s="147">
        <v>4.5706203938699176E-3</v>
      </c>
      <c r="Y7" s="180"/>
    </row>
    <row r="8" spans="1:25" ht="15" x14ac:dyDescent="0.2">
      <c r="A8" s="142" t="s">
        <v>1205</v>
      </c>
      <c r="B8" s="143" t="s">
        <v>1205</v>
      </c>
      <c r="C8" s="143" t="s">
        <v>2077</v>
      </c>
      <c r="D8" s="143" t="s">
        <v>2078</v>
      </c>
      <c r="E8" s="143" t="s">
        <v>309</v>
      </c>
      <c r="F8" s="143" t="s">
        <v>2079</v>
      </c>
      <c r="G8" s="143" t="s">
        <v>2080</v>
      </c>
      <c r="H8" s="143" t="s">
        <v>321</v>
      </c>
      <c r="I8" s="143" t="s">
        <v>917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448</v>
      </c>
      <c r="O8" s="143" t="s">
        <v>339</v>
      </c>
      <c r="P8" s="143" t="s">
        <v>1210</v>
      </c>
      <c r="Q8" s="144">
        <v>145814</v>
      </c>
      <c r="R8" s="145" t="s">
        <v>3930</v>
      </c>
      <c r="S8" s="143" t="s">
        <v>2081</v>
      </c>
      <c r="T8" s="145" t="s">
        <v>3930</v>
      </c>
      <c r="U8" s="144">
        <v>3040.2219</v>
      </c>
      <c r="V8" s="146">
        <v>1.1787604593841004E-4</v>
      </c>
      <c r="W8" s="146">
        <v>1.9415482301720029E-2</v>
      </c>
      <c r="X8" s="147">
        <v>4.4104135163015043E-3</v>
      </c>
      <c r="Y8" s="180"/>
    </row>
    <row r="9" spans="1:25" ht="15" x14ac:dyDescent="0.2">
      <c r="A9" s="142" t="s">
        <v>1205</v>
      </c>
      <c r="B9" s="143" t="s">
        <v>1205</v>
      </c>
      <c r="C9" s="143" t="s">
        <v>2082</v>
      </c>
      <c r="D9" s="143" t="s">
        <v>2083</v>
      </c>
      <c r="E9" s="143" t="s">
        <v>309</v>
      </c>
      <c r="F9" s="143" t="s">
        <v>2084</v>
      </c>
      <c r="G9" s="143" t="s">
        <v>2085</v>
      </c>
      <c r="H9" s="143" t="s">
        <v>321</v>
      </c>
      <c r="I9" s="143" t="s">
        <v>917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448</v>
      </c>
      <c r="O9" s="143" t="s">
        <v>339</v>
      </c>
      <c r="P9" s="143" t="s">
        <v>1210</v>
      </c>
      <c r="Q9" s="144">
        <v>17830</v>
      </c>
      <c r="R9" s="145" t="s">
        <v>3930</v>
      </c>
      <c r="S9" s="143" t="s">
        <v>2086</v>
      </c>
      <c r="T9" s="145" t="s">
        <v>3930</v>
      </c>
      <c r="U9" s="144">
        <v>2747.6030000000001</v>
      </c>
      <c r="V9" s="146">
        <v>1.7771347444892876E-4</v>
      </c>
      <c r="W9" s="146">
        <v>1.7546757826674707E-2</v>
      </c>
      <c r="X9" s="147">
        <v>3.9859147809673239E-3</v>
      </c>
      <c r="Y9" s="180"/>
    </row>
    <row r="10" spans="1:25" ht="15" x14ac:dyDescent="0.2">
      <c r="A10" s="142" t="s">
        <v>1205</v>
      </c>
      <c r="B10" s="143" t="s">
        <v>1205</v>
      </c>
      <c r="C10" s="143" t="s">
        <v>2087</v>
      </c>
      <c r="D10" s="143" t="s">
        <v>2088</v>
      </c>
      <c r="E10" s="143" t="s">
        <v>309</v>
      </c>
      <c r="F10" s="143" t="s">
        <v>2089</v>
      </c>
      <c r="G10" s="143" t="s">
        <v>2090</v>
      </c>
      <c r="H10" s="143" t="s">
        <v>321</v>
      </c>
      <c r="I10" s="143" t="s">
        <v>917</v>
      </c>
      <c r="J10" s="143" t="s">
        <v>204</v>
      </c>
      <c r="K10" s="143" t="s">
        <v>204</v>
      </c>
      <c r="L10" s="143" t="s">
        <v>327</v>
      </c>
      <c r="M10" s="143" t="s">
        <v>340</v>
      </c>
      <c r="N10" s="143" t="s">
        <v>441</v>
      </c>
      <c r="O10" s="143" t="s">
        <v>339</v>
      </c>
      <c r="P10" s="143" t="s">
        <v>1210</v>
      </c>
      <c r="Q10" s="144">
        <v>212800</v>
      </c>
      <c r="R10" s="145" t="s">
        <v>3930</v>
      </c>
      <c r="S10" s="143" t="s">
        <v>2091</v>
      </c>
      <c r="T10" s="145" t="s">
        <v>3930</v>
      </c>
      <c r="U10" s="144">
        <v>2734.48</v>
      </c>
      <c r="V10" s="146">
        <v>3.2733022820823619E-3</v>
      </c>
      <c r="W10" s="146">
        <v>1.7462951649814568E-2</v>
      </c>
      <c r="X10" s="147">
        <v>3.9668774019607379E-3</v>
      </c>
      <c r="Y10" s="180"/>
    </row>
    <row r="11" spans="1:25" ht="15" x14ac:dyDescent="0.2">
      <c r="A11" s="142" t="s">
        <v>1205</v>
      </c>
      <c r="B11" s="143" t="s">
        <v>1205</v>
      </c>
      <c r="C11" s="143" t="s">
        <v>1810</v>
      </c>
      <c r="D11" s="143" t="s">
        <v>1811</v>
      </c>
      <c r="E11" s="143" t="s">
        <v>309</v>
      </c>
      <c r="F11" s="143" t="s">
        <v>2092</v>
      </c>
      <c r="G11" s="143" t="s">
        <v>2093</v>
      </c>
      <c r="H11" s="143" t="s">
        <v>321</v>
      </c>
      <c r="I11" s="143" t="s">
        <v>917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454</v>
      </c>
      <c r="O11" s="143" t="s">
        <v>339</v>
      </c>
      <c r="P11" s="143" t="s">
        <v>1210</v>
      </c>
      <c r="Q11" s="144">
        <v>48986</v>
      </c>
      <c r="R11" s="145" t="s">
        <v>3930</v>
      </c>
      <c r="S11" s="143" t="s">
        <v>2094</v>
      </c>
      <c r="T11" s="145" t="s">
        <v>3930</v>
      </c>
      <c r="U11" s="144">
        <v>2549.7212999999997</v>
      </c>
      <c r="V11" s="146">
        <v>4.8811510078118045E-4</v>
      </c>
      <c r="W11" s="146">
        <v>1.6283044594366147E-2</v>
      </c>
      <c r="X11" s="147">
        <v>3.6988501675887021E-3</v>
      </c>
      <c r="Y11" s="180"/>
    </row>
    <row r="12" spans="1:25" ht="15" x14ac:dyDescent="0.2">
      <c r="A12" s="142" t="s">
        <v>1205</v>
      </c>
      <c r="B12" s="143" t="s">
        <v>1205</v>
      </c>
      <c r="C12" s="143" t="s">
        <v>2095</v>
      </c>
      <c r="D12" s="143" t="s">
        <v>2096</v>
      </c>
      <c r="E12" s="143" t="s">
        <v>309</v>
      </c>
      <c r="F12" s="143" t="s">
        <v>2097</v>
      </c>
      <c r="G12" s="143" t="s">
        <v>2098</v>
      </c>
      <c r="H12" s="143" t="s">
        <v>321</v>
      </c>
      <c r="I12" s="143" t="s">
        <v>917</v>
      </c>
      <c r="J12" s="143" t="s">
        <v>204</v>
      </c>
      <c r="K12" s="143" t="s">
        <v>204</v>
      </c>
      <c r="L12" s="143" t="s">
        <v>325</v>
      </c>
      <c r="M12" s="143" t="s">
        <v>340</v>
      </c>
      <c r="N12" s="143" t="s">
        <v>446</v>
      </c>
      <c r="O12" s="143" t="s">
        <v>339</v>
      </c>
      <c r="P12" s="143" t="s">
        <v>1210</v>
      </c>
      <c r="Q12" s="144">
        <v>2659</v>
      </c>
      <c r="R12" s="145" t="s">
        <v>3930</v>
      </c>
      <c r="S12" s="143" t="s">
        <v>2099</v>
      </c>
      <c r="T12" s="145" t="s">
        <v>3930</v>
      </c>
      <c r="U12" s="144">
        <v>1969.7872</v>
      </c>
      <c r="V12" s="146">
        <v>5.9781729911944819E-5</v>
      </c>
      <c r="W12" s="146">
        <v>1.257946616322797E-2</v>
      </c>
      <c r="X12" s="147">
        <v>2.8575467110205656E-3</v>
      </c>
      <c r="Y12" s="180"/>
    </row>
    <row r="13" spans="1:25" ht="15" x14ac:dyDescent="0.2">
      <c r="A13" s="142" t="s">
        <v>1205</v>
      </c>
      <c r="B13" s="143" t="s">
        <v>1205</v>
      </c>
      <c r="C13" s="143" t="s">
        <v>2100</v>
      </c>
      <c r="D13" s="143" t="s">
        <v>2101</v>
      </c>
      <c r="E13" s="143" t="s">
        <v>309</v>
      </c>
      <c r="F13" s="143" t="s">
        <v>2102</v>
      </c>
      <c r="G13" s="143" t="s">
        <v>2103</v>
      </c>
      <c r="H13" s="143" t="s">
        <v>321</v>
      </c>
      <c r="I13" s="143" t="s">
        <v>917</v>
      </c>
      <c r="J13" s="143" t="s">
        <v>204</v>
      </c>
      <c r="K13" s="143" t="s">
        <v>204</v>
      </c>
      <c r="L13" s="143" t="s">
        <v>325</v>
      </c>
      <c r="M13" s="143" t="s">
        <v>340</v>
      </c>
      <c r="N13" s="143" t="s">
        <v>441</v>
      </c>
      <c r="O13" s="143" t="s">
        <v>339</v>
      </c>
      <c r="P13" s="143" t="s">
        <v>1210</v>
      </c>
      <c r="Q13" s="144">
        <v>30539.7</v>
      </c>
      <c r="R13" s="145" t="s">
        <v>3930</v>
      </c>
      <c r="S13" s="143" t="s">
        <v>2104</v>
      </c>
      <c r="T13" s="145" t="s">
        <v>3930</v>
      </c>
      <c r="U13" s="144">
        <v>1910.6333999999999</v>
      </c>
      <c r="V13" s="146">
        <v>2.6422311239542148E-4</v>
      </c>
      <c r="W13" s="146">
        <v>1.2201697562709125E-2</v>
      </c>
      <c r="X13" s="147">
        <v>2.7717329405527046E-3</v>
      </c>
      <c r="Y13" s="180"/>
    </row>
    <row r="14" spans="1:25" ht="15" x14ac:dyDescent="0.2">
      <c r="A14" s="142" t="s">
        <v>1205</v>
      </c>
      <c r="B14" s="143" t="s">
        <v>1205</v>
      </c>
      <c r="C14" s="143" t="s">
        <v>2105</v>
      </c>
      <c r="D14" s="143" t="s">
        <v>2106</v>
      </c>
      <c r="E14" s="143" t="s">
        <v>313</v>
      </c>
      <c r="F14" s="143" t="s">
        <v>2107</v>
      </c>
      <c r="G14" s="143" t="s">
        <v>2108</v>
      </c>
      <c r="H14" s="143" t="s">
        <v>321</v>
      </c>
      <c r="I14" s="143" t="s">
        <v>917</v>
      </c>
      <c r="J14" s="143" t="s">
        <v>204</v>
      </c>
      <c r="K14" s="143" t="s">
        <v>204</v>
      </c>
      <c r="L14" s="143" t="s">
        <v>325</v>
      </c>
      <c r="M14" s="143" t="s">
        <v>340</v>
      </c>
      <c r="N14" s="143" t="s">
        <v>454</v>
      </c>
      <c r="O14" s="143" t="s">
        <v>339</v>
      </c>
      <c r="P14" s="143" t="s">
        <v>1210</v>
      </c>
      <c r="Q14" s="144">
        <v>35360</v>
      </c>
      <c r="R14" s="145" t="s">
        <v>3930</v>
      </c>
      <c r="S14" s="143" t="s">
        <v>2109</v>
      </c>
      <c r="T14" s="144">
        <v>39.355699999999999</v>
      </c>
      <c r="U14" s="144">
        <v>1643.8423</v>
      </c>
      <c r="V14" s="146">
        <v>1.9860593908144753E-4</v>
      </c>
      <c r="W14" s="146">
        <v>1.0749248626826713E-2</v>
      </c>
      <c r="X14" s="147">
        <v>2.4417951971062789E-3</v>
      </c>
      <c r="Y14" s="180"/>
    </row>
    <row r="15" spans="1:25" ht="15" x14ac:dyDescent="0.2">
      <c r="A15" s="142" t="s">
        <v>1205</v>
      </c>
      <c r="B15" s="143" t="s">
        <v>1205</v>
      </c>
      <c r="C15" s="143" t="s">
        <v>1503</v>
      </c>
      <c r="D15" s="143" t="s">
        <v>1504</v>
      </c>
      <c r="E15" s="143" t="s">
        <v>309</v>
      </c>
      <c r="F15" s="143" t="s">
        <v>2110</v>
      </c>
      <c r="G15" s="143" t="s">
        <v>2111</v>
      </c>
      <c r="H15" s="143" t="s">
        <v>321</v>
      </c>
      <c r="I15" s="143" t="s">
        <v>917</v>
      </c>
      <c r="J15" s="143" t="s">
        <v>204</v>
      </c>
      <c r="K15" s="143" t="s">
        <v>204</v>
      </c>
      <c r="L15" s="143" t="s">
        <v>325</v>
      </c>
      <c r="M15" s="143" t="s">
        <v>340</v>
      </c>
      <c r="N15" s="143" t="s">
        <v>464</v>
      </c>
      <c r="O15" s="143" t="s">
        <v>339</v>
      </c>
      <c r="P15" s="143" t="s">
        <v>1210</v>
      </c>
      <c r="Q15" s="144">
        <v>5727</v>
      </c>
      <c r="R15" s="145" t="s">
        <v>3930</v>
      </c>
      <c r="S15" s="143" t="s">
        <v>2112</v>
      </c>
      <c r="T15" s="145" t="s">
        <v>3930</v>
      </c>
      <c r="U15" s="144">
        <v>1615.5867000000001</v>
      </c>
      <c r="V15" s="146">
        <v>1.2050774096529668E-4</v>
      </c>
      <c r="W15" s="146">
        <v>1.0317468925786062E-2</v>
      </c>
      <c r="X15" s="147">
        <v>2.343712285750242E-3</v>
      </c>
      <c r="Y15" s="180"/>
    </row>
    <row r="16" spans="1:25" ht="15" x14ac:dyDescent="0.2">
      <c r="A16" s="142" t="s">
        <v>1205</v>
      </c>
      <c r="B16" s="143" t="s">
        <v>1205</v>
      </c>
      <c r="C16" s="143" t="s">
        <v>2113</v>
      </c>
      <c r="D16" s="143" t="s">
        <v>2114</v>
      </c>
      <c r="E16" s="143" t="s">
        <v>309</v>
      </c>
      <c r="F16" s="143" t="s">
        <v>2115</v>
      </c>
      <c r="G16" s="143" t="s">
        <v>2116</v>
      </c>
      <c r="H16" s="143" t="s">
        <v>321</v>
      </c>
      <c r="I16" s="143" t="s">
        <v>917</v>
      </c>
      <c r="J16" s="143" t="s">
        <v>204</v>
      </c>
      <c r="K16" s="143" t="s">
        <v>204</v>
      </c>
      <c r="L16" s="143" t="s">
        <v>325</v>
      </c>
      <c r="M16" s="143" t="s">
        <v>340</v>
      </c>
      <c r="N16" s="143" t="s">
        <v>441</v>
      </c>
      <c r="O16" s="143" t="s">
        <v>339</v>
      </c>
      <c r="P16" s="143" t="s">
        <v>1210</v>
      </c>
      <c r="Q16" s="144">
        <v>5627</v>
      </c>
      <c r="R16" s="145" t="s">
        <v>3930</v>
      </c>
      <c r="S16" s="143" t="s">
        <v>2117</v>
      </c>
      <c r="T16" s="145" t="s">
        <v>3930</v>
      </c>
      <c r="U16" s="144">
        <v>1607.0711999999999</v>
      </c>
      <c r="V16" s="146">
        <v>9.9849905735265379E-5</v>
      </c>
      <c r="W16" s="146">
        <v>1.0263087191498741E-2</v>
      </c>
      <c r="X16" s="147">
        <v>2.3313589518379821E-3</v>
      </c>
      <c r="Y16" s="180"/>
    </row>
    <row r="17" spans="1:25" ht="15" x14ac:dyDescent="0.2">
      <c r="A17" s="142" t="s">
        <v>1205</v>
      </c>
      <c r="B17" s="143" t="s">
        <v>1205</v>
      </c>
      <c r="C17" s="143" t="s">
        <v>1575</v>
      </c>
      <c r="D17" s="143" t="s">
        <v>1576</v>
      </c>
      <c r="E17" s="143" t="s">
        <v>309</v>
      </c>
      <c r="F17" s="143" t="s">
        <v>2118</v>
      </c>
      <c r="G17" s="143" t="s">
        <v>2119</v>
      </c>
      <c r="H17" s="143" t="s">
        <v>321</v>
      </c>
      <c r="I17" s="143" t="s">
        <v>917</v>
      </c>
      <c r="J17" s="143" t="s">
        <v>204</v>
      </c>
      <c r="K17" s="143" t="s">
        <v>204</v>
      </c>
      <c r="L17" s="143" t="s">
        <v>325</v>
      </c>
      <c r="M17" s="143" t="s">
        <v>340</v>
      </c>
      <c r="N17" s="143" t="s">
        <v>464</v>
      </c>
      <c r="O17" s="143" t="s">
        <v>339</v>
      </c>
      <c r="P17" s="143" t="s">
        <v>1210</v>
      </c>
      <c r="Q17" s="144">
        <v>3784.92</v>
      </c>
      <c r="R17" s="145" t="s">
        <v>3930</v>
      </c>
      <c r="S17" s="143" t="s">
        <v>2120</v>
      </c>
      <c r="T17" s="145" t="s">
        <v>3930</v>
      </c>
      <c r="U17" s="144">
        <v>1570.3633</v>
      </c>
      <c r="V17" s="146">
        <v>1.5345186419372985E-4</v>
      </c>
      <c r="W17" s="146">
        <v>1.0028663043886539E-2</v>
      </c>
      <c r="X17" s="147">
        <v>2.278107252338108E-3</v>
      </c>
      <c r="Y17" s="180"/>
    </row>
    <row r="18" spans="1:25" ht="15" x14ac:dyDescent="0.2">
      <c r="A18" s="142" t="s">
        <v>1205</v>
      </c>
      <c r="B18" s="143" t="s">
        <v>1205</v>
      </c>
      <c r="C18" s="143" t="s">
        <v>1382</v>
      </c>
      <c r="D18" s="143" t="s">
        <v>1383</v>
      </c>
      <c r="E18" s="143" t="s">
        <v>309</v>
      </c>
      <c r="F18" s="143" t="s">
        <v>2121</v>
      </c>
      <c r="G18" s="143" t="s">
        <v>2122</v>
      </c>
      <c r="H18" s="143" t="s">
        <v>321</v>
      </c>
      <c r="I18" s="143" t="s">
        <v>917</v>
      </c>
      <c r="J18" s="143" t="s">
        <v>204</v>
      </c>
      <c r="K18" s="143" t="s">
        <v>204</v>
      </c>
      <c r="L18" s="143" t="s">
        <v>325</v>
      </c>
      <c r="M18" s="143" t="s">
        <v>340</v>
      </c>
      <c r="N18" s="143" t="s">
        <v>484</v>
      </c>
      <c r="O18" s="143" t="s">
        <v>339</v>
      </c>
      <c r="P18" s="143" t="s">
        <v>1210</v>
      </c>
      <c r="Q18" s="144">
        <v>349094</v>
      </c>
      <c r="R18" s="145" t="s">
        <v>3930</v>
      </c>
      <c r="S18" s="143" t="s">
        <v>2123</v>
      </c>
      <c r="T18" s="144">
        <v>51.330300000000001</v>
      </c>
      <c r="U18" s="144">
        <v>1547.5472</v>
      </c>
      <c r="V18" s="146">
        <v>1.2611865967524671E-4</v>
      </c>
      <c r="W18" s="146">
        <v>1.021076030828901E-2</v>
      </c>
      <c r="X18" s="147">
        <v>2.3194723971087347E-3</v>
      </c>
      <c r="Y18" s="180"/>
    </row>
    <row r="19" spans="1:25" ht="15" x14ac:dyDescent="0.2">
      <c r="A19" s="142" t="s">
        <v>1205</v>
      </c>
      <c r="B19" s="143" t="s">
        <v>1205</v>
      </c>
      <c r="C19" s="143" t="s">
        <v>1388</v>
      </c>
      <c r="D19" s="143" t="s">
        <v>1389</v>
      </c>
      <c r="E19" s="143" t="s">
        <v>309</v>
      </c>
      <c r="F19" s="143" t="s">
        <v>2124</v>
      </c>
      <c r="G19" s="143" t="s">
        <v>2125</v>
      </c>
      <c r="H19" s="143" t="s">
        <v>321</v>
      </c>
      <c r="I19" s="143" t="s">
        <v>917</v>
      </c>
      <c r="J19" s="143" t="s">
        <v>204</v>
      </c>
      <c r="K19" s="143" t="s">
        <v>204</v>
      </c>
      <c r="L19" s="143" t="s">
        <v>325</v>
      </c>
      <c r="M19" s="143" t="s">
        <v>340</v>
      </c>
      <c r="N19" s="143" t="s">
        <v>445</v>
      </c>
      <c r="O19" s="143" t="s">
        <v>339</v>
      </c>
      <c r="P19" s="143" t="s">
        <v>1210</v>
      </c>
      <c r="Q19" s="144">
        <v>24134</v>
      </c>
      <c r="R19" s="145" t="s">
        <v>3930</v>
      </c>
      <c r="S19" s="143" t="s">
        <v>2126</v>
      </c>
      <c r="T19" s="145" t="s">
        <v>3930</v>
      </c>
      <c r="U19" s="144">
        <v>1527.4408999999998</v>
      </c>
      <c r="V19" s="146">
        <v>3.0519749024320269E-4</v>
      </c>
      <c r="W19" s="146">
        <v>9.7545514635803444E-3</v>
      </c>
      <c r="X19" s="147">
        <v>2.2158401708425274E-3</v>
      </c>
      <c r="Y19" s="180"/>
    </row>
    <row r="20" spans="1:25" ht="15" x14ac:dyDescent="0.2">
      <c r="A20" s="142" t="s">
        <v>1205</v>
      </c>
      <c r="B20" s="143" t="s">
        <v>1205</v>
      </c>
      <c r="C20" s="143" t="s">
        <v>1706</v>
      </c>
      <c r="D20" s="143" t="s">
        <v>1707</v>
      </c>
      <c r="E20" s="143" t="s">
        <v>309</v>
      </c>
      <c r="F20" s="143" t="s">
        <v>2127</v>
      </c>
      <c r="G20" s="143" t="s">
        <v>2128</v>
      </c>
      <c r="H20" s="143" t="s">
        <v>321</v>
      </c>
      <c r="I20" s="143" t="s">
        <v>917</v>
      </c>
      <c r="J20" s="143" t="s">
        <v>204</v>
      </c>
      <c r="K20" s="143" t="s">
        <v>204</v>
      </c>
      <c r="L20" s="143" t="s">
        <v>325</v>
      </c>
      <c r="M20" s="143" t="s">
        <v>340</v>
      </c>
      <c r="N20" s="143" t="s">
        <v>464</v>
      </c>
      <c r="O20" s="143" t="s">
        <v>339</v>
      </c>
      <c r="P20" s="143" t="s">
        <v>1210</v>
      </c>
      <c r="Q20" s="144">
        <v>5665</v>
      </c>
      <c r="R20" s="145" t="s">
        <v>3930</v>
      </c>
      <c r="S20" s="143" t="s">
        <v>2129</v>
      </c>
      <c r="T20" s="145" t="s">
        <v>3930</v>
      </c>
      <c r="U20" s="144">
        <v>1469.501</v>
      </c>
      <c r="V20" s="146">
        <v>4.6712880947048622E-5</v>
      </c>
      <c r="W20" s="146">
        <v>9.3845356017795544E-3</v>
      </c>
      <c r="X20" s="147">
        <v>2.131787509529675E-3</v>
      </c>
      <c r="Y20" s="180"/>
    </row>
    <row r="21" spans="1:25" ht="15" x14ac:dyDescent="0.2">
      <c r="A21" s="142" t="s">
        <v>1205</v>
      </c>
      <c r="B21" s="143" t="s">
        <v>1205</v>
      </c>
      <c r="C21" s="143" t="s">
        <v>2130</v>
      </c>
      <c r="D21" s="143" t="s">
        <v>2131</v>
      </c>
      <c r="E21" s="143" t="s">
        <v>309</v>
      </c>
      <c r="F21" s="143" t="s">
        <v>2132</v>
      </c>
      <c r="G21" s="143" t="s">
        <v>2133</v>
      </c>
      <c r="H21" s="143" t="s">
        <v>321</v>
      </c>
      <c r="I21" s="143" t="s">
        <v>917</v>
      </c>
      <c r="J21" s="143" t="s">
        <v>204</v>
      </c>
      <c r="K21" s="143" t="s">
        <v>204</v>
      </c>
      <c r="L21" s="143" t="s">
        <v>325</v>
      </c>
      <c r="M21" s="143" t="s">
        <v>340</v>
      </c>
      <c r="N21" s="143" t="s">
        <v>463</v>
      </c>
      <c r="O21" s="143" t="s">
        <v>339</v>
      </c>
      <c r="P21" s="143" t="s">
        <v>1210</v>
      </c>
      <c r="Q21" s="144">
        <v>251598</v>
      </c>
      <c r="R21" s="145" t="s">
        <v>3930</v>
      </c>
      <c r="S21" s="143" t="s">
        <v>2134</v>
      </c>
      <c r="T21" s="145" t="s">
        <v>3930</v>
      </c>
      <c r="U21" s="144">
        <v>1388.3178</v>
      </c>
      <c r="V21" s="146">
        <v>8.7509304024207851E-4</v>
      </c>
      <c r="W21" s="146">
        <v>8.8660827606384662E-3</v>
      </c>
      <c r="X21" s="147">
        <v>2.0140159608964996E-3</v>
      </c>
      <c r="Y21" s="180"/>
    </row>
    <row r="22" spans="1:25" ht="15" x14ac:dyDescent="0.2">
      <c r="A22" s="142" t="s">
        <v>1205</v>
      </c>
      <c r="B22" s="143" t="s">
        <v>1205</v>
      </c>
      <c r="C22" s="143" t="s">
        <v>1415</v>
      </c>
      <c r="D22" s="143" t="s">
        <v>1416</v>
      </c>
      <c r="E22" s="143" t="s">
        <v>309</v>
      </c>
      <c r="F22" s="143" t="s">
        <v>2135</v>
      </c>
      <c r="G22" s="143" t="s">
        <v>2136</v>
      </c>
      <c r="H22" s="143" t="s">
        <v>321</v>
      </c>
      <c r="I22" s="143" t="s">
        <v>917</v>
      </c>
      <c r="J22" s="143" t="s">
        <v>204</v>
      </c>
      <c r="K22" s="143" t="s">
        <v>204</v>
      </c>
      <c r="L22" s="143" t="s">
        <v>325</v>
      </c>
      <c r="M22" s="143" t="s">
        <v>340</v>
      </c>
      <c r="N22" s="143" t="s">
        <v>451</v>
      </c>
      <c r="O22" s="143" t="s">
        <v>339</v>
      </c>
      <c r="P22" s="143" t="s">
        <v>1210</v>
      </c>
      <c r="Q22" s="144">
        <v>914</v>
      </c>
      <c r="R22" s="145" t="s">
        <v>3930</v>
      </c>
      <c r="S22" s="143" t="s">
        <v>2137</v>
      </c>
      <c r="T22" s="144">
        <v>10.238899999999999</v>
      </c>
      <c r="U22" s="144">
        <v>1367.5288999999998</v>
      </c>
      <c r="V22" s="146">
        <v>2.2523987800574484E-4</v>
      </c>
      <c r="W22" s="146">
        <v>8.7987090317382163E-3</v>
      </c>
      <c r="X22" s="147">
        <v>1.9987113704687375E-3</v>
      </c>
      <c r="Y22" s="180"/>
    </row>
    <row r="23" spans="1:25" ht="15" x14ac:dyDescent="0.2">
      <c r="A23" s="142" t="s">
        <v>1205</v>
      </c>
      <c r="B23" s="143" t="s">
        <v>1205</v>
      </c>
      <c r="C23" s="143" t="s">
        <v>1630</v>
      </c>
      <c r="D23" s="143" t="s">
        <v>1631</v>
      </c>
      <c r="E23" s="143" t="s">
        <v>309</v>
      </c>
      <c r="F23" s="143" t="s">
        <v>2138</v>
      </c>
      <c r="G23" s="143" t="s">
        <v>2139</v>
      </c>
      <c r="H23" s="143" t="s">
        <v>321</v>
      </c>
      <c r="I23" s="143" t="s">
        <v>917</v>
      </c>
      <c r="J23" s="143" t="s">
        <v>204</v>
      </c>
      <c r="K23" s="143" t="s">
        <v>204</v>
      </c>
      <c r="L23" s="143" t="s">
        <v>325</v>
      </c>
      <c r="M23" s="143" t="s">
        <v>340</v>
      </c>
      <c r="N23" s="143" t="s">
        <v>445</v>
      </c>
      <c r="O23" s="143" t="s">
        <v>339</v>
      </c>
      <c r="P23" s="143" t="s">
        <v>1210</v>
      </c>
      <c r="Q23" s="144">
        <v>32521</v>
      </c>
      <c r="R23" s="145" t="s">
        <v>3930</v>
      </c>
      <c r="S23" s="143" t="s">
        <v>2140</v>
      </c>
      <c r="T23" s="145" t="s">
        <v>3930</v>
      </c>
      <c r="U23" s="144">
        <v>1365.8820000000001</v>
      </c>
      <c r="V23" s="146">
        <v>1.2444303933746605E-4</v>
      </c>
      <c r="W23" s="146">
        <v>8.7228033576226636E-3</v>
      </c>
      <c r="X23" s="147">
        <v>1.981468666636778E-3</v>
      </c>
      <c r="Y23" s="180"/>
    </row>
    <row r="24" spans="1:25" ht="15" x14ac:dyDescent="0.2">
      <c r="A24" s="142" t="s">
        <v>1205</v>
      </c>
      <c r="B24" s="143" t="s">
        <v>1205</v>
      </c>
      <c r="C24" s="143" t="s">
        <v>1394</v>
      </c>
      <c r="D24" s="143" t="s">
        <v>1395</v>
      </c>
      <c r="E24" s="143" t="s">
        <v>309</v>
      </c>
      <c r="F24" s="143" t="s">
        <v>2141</v>
      </c>
      <c r="G24" s="143" t="s">
        <v>2142</v>
      </c>
      <c r="H24" s="143" t="s">
        <v>321</v>
      </c>
      <c r="I24" s="143" t="s">
        <v>917</v>
      </c>
      <c r="J24" s="143" t="s">
        <v>204</v>
      </c>
      <c r="K24" s="143" t="s">
        <v>204</v>
      </c>
      <c r="L24" s="143" t="s">
        <v>325</v>
      </c>
      <c r="M24" s="143" t="s">
        <v>340</v>
      </c>
      <c r="N24" s="143" t="s">
        <v>463</v>
      </c>
      <c r="O24" s="143" t="s">
        <v>339</v>
      </c>
      <c r="P24" s="143" t="s">
        <v>1210</v>
      </c>
      <c r="Q24" s="144">
        <v>61761</v>
      </c>
      <c r="R24" s="145" t="s">
        <v>3930</v>
      </c>
      <c r="S24" s="143" t="s">
        <v>2143</v>
      </c>
      <c r="T24" s="145" t="s">
        <v>3930</v>
      </c>
      <c r="U24" s="144">
        <v>1321.6853999999998</v>
      </c>
      <c r="V24" s="146">
        <v>1.7281538137648317E-4</v>
      </c>
      <c r="W24" s="146">
        <v>8.4405547806039264E-3</v>
      </c>
      <c r="X24" s="147">
        <v>1.917353188087475E-3</v>
      </c>
      <c r="Y24" s="180"/>
    </row>
    <row r="25" spans="1:25" ht="15" x14ac:dyDescent="0.2">
      <c r="A25" s="142" t="s">
        <v>1205</v>
      </c>
      <c r="B25" s="143" t="s">
        <v>1205</v>
      </c>
      <c r="C25" s="143" t="s">
        <v>2144</v>
      </c>
      <c r="D25" s="143" t="s">
        <v>2145</v>
      </c>
      <c r="E25" s="143" t="s">
        <v>309</v>
      </c>
      <c r="F25" s="143" t="s">
        <v>2146</v>
      </c>
      <c r="G25" s="143" t="s">
        <v>2147</v>
      </c>
      <c r="H25" s="143" t="s">
        <v>321</v>
      </c>
      <c r="I25" s="143" t="s">
        <v>917</v>
      </c>
      <c r="J25" s="143" t="s">
        <v>204</v>
      </c>
      <c r="K25" s="143" t="s">
        <v>204</v>
      </c>
      <c r="L25" s="143" t="s">
        <v>325</v>
      </c>
      <c r="M25" s="143" t="s">
        <v>340</v>
      </c>
      <c r="N25" s="143" t="s">
        <v>451</v>
      </c>
      <c r="O25" s="143" t="s">
        <v>339</v>
      </c>
      <c r="P25" s="143" t="s">
        <v>1210</v>
      </c>
      <c r="Q25" s="144">
        <v>257629</v>
      </c>
      <c r="R25" s="145" t="s">
        <v>3930</v>
      </c>
      <c r="S25" s="143" t="s">
        <v>2148</v>
      </c>
      <c r="T25" s="145" t="s">
        <v>3930</v>
      </c>
      <c r="U25" s="144">
        <v>1319.0605</v>
      </c>
      <c r="V25" s="146">
        <v>1.3772983263865203E-3</v>
      </c>
      <c r="W25" s="146">
        <v>8.4237915016460892E-3</v>
      </c>
      <c r="X25" s="147">
        <v>1.9135452480659883E-3</v>
      </c>
      <c r="Y25" s="180"/>
    </row>
    <row r="26" spans="1:25" ht="15" x14ac:dyDescent="0.2">
      <c r="A26" s="142" t="s">
        <v>1205</v>
      </c>
      <c r="B26" s="143" t="s">
        <v>1205</v>
      </c>
      <c r="C26" s="143" t="s">
        <v>2149</v>
      </c>
      <c r="D26" s="143" t="s">
        <v>2150</v>
      </c>
      <c r="E26" s="143" t="s">
        <v>309</v>
      </c>
      <c r="F26" s="143" t="s">
        <v>2151</v>
      </c>
      <c r="G26" s="143" t="s">
        <v>2152</v>
      </c>
      <c r="H26" s="143" t="s">
        <v>321</v>
      </c>
      <c r="I26" s="143" t="s">
        <v>917</v>
      </c>
      <c r="J26" s="143" t="s">
        <v>204</v>
      </c>
      <c r="K26" s="143" t="s">
        <v>204</v>
      </c>
      <c r="L26" s="143" t="s">
        <v>325</v>
      </c>
      <c r="M26" s="143" t="s">
        <v>340</v>
      </c>
      <c r="N26" s="143" t="s">
        <v>456</v>
      </c>
      <c r="O26" s="143" t="s">
        <v>339</v>
      </c>
      <c r="P26" s="143" t="s">
        <v>1210</v>
      </c>
      <c r="Q26" s="144">
        <v>75893</v>
      </c>
      <c r="R26" s="145" t="s">
        <v>3930</v>
      </c>
      <c r="S26" s="143" t="s">
        <v>2153</v>
      </c>
      <c r="T26" s="145" t="s">
        <v>3930</v>
      </c>
      <c r="U26" s="144">
        <v>1205.1808000000001</v>
      </c>
      <c r="V26" s="146">
        <v>5.7722111945664422E-5</v>
      </c>
      <c r="W26" s="146">
        <v>7.696532700258516E-3</v>
      </c>
      <c r="X26" s="147">
        <v>1.7483414175536334E-3</v>
      </c>
      <c r="Y26" s="180"/>
    </row>
    <row r="27" spans="1:25" ht="15" x14ac:dyDescent="0.2">
      <c r="A27" s="142" t="s">
        <v>1205</v>
      </c>
      <c r="B27" s="143" t="s">
        <v>1205</v>
      </c>
      <c r="C27" s="143" t="s">
        <v>1739</v>
      </c>
      <c r="D27" s="143" t="s">
        <v>1740</v>
      </c>
      <c r="E27" s="143" t="s">
        <v>309</v>
      </c>
      <c r="F27" s="143" t="s">
        <v>2154</v>
      </c>
      <c r="G27" s="143" t="s">
        <v>2155</v>
      </c>
      <c r="H27" s="143" t="s">
        <v>321</v>
      </c>
      <c r="I27" s="143" t="s">
        <v>917</v>
      </c>
      <c r="J27" s="143" t="s">
        <v>204</v>
      </c>
      <c r="K27" s="143" t="s">
        <v>204</v>
      </c>
      <c r="L27" s="143" t="s">
        <v>325</v>
      </c>
      <c r="M27" s="143" t="s">
        <v>340</v>
      </c>
      <c r="N27" s="143" t="s">
        <v>464</v>
      </c>
      <c r="O27" s="143" t="s">
        <v>339</v>
      </c>
      <c r="P27" s="143" t="s">
        <v>1210</v>
      </c>
      <c r="Q27" s="144">
        <v>35510</v>
      </c>
      <c r="R27" s="145" t="s">
        <v>3930</v>
      </c>
      <c r="S27" s="143" t="s">
        <v>2156</v>
      </c>
      <c r="T27" s="145" t="s">
        <v>3930</v>
      </c>
      <c r="U27" s="144">
        <v>1148.7484999999999</v>
      </c>
      <c r="V27" s="146">
        <v>8.7377585565134278E-4</v>
      </c>
      <c r="W27" s="146">
        <v>7.3361441712124463E-3</v>
      </c>
      <c r="X27" s="147">
        <v>1.6664756974584911E-3</v>
      </c>
      <c r="Y27" s="180"/>
    </row>
    <row r="28" spans="1:25" ht="15" x14ac:dyDescent="0.2">
      <c r="A28" s="142" t="s">
        <v>1205</v>
      </c>
      <c r="B28" s="143" t="s">
        <v>1205</v>
      </c>
      <c r="C28" s="143" t="s">
        <v>2157</v>
      </c>
      <c r="D28" s="143" t="s">
        <v>2158</v>
      </c>
      <c r="E28" s="143" t="s">
        <v>309</v>
      </c>
      <c r="F28" s="143" t="s">
        <v>2159</v>
      </c>
      <c r="G28" s="143" t="s">
        <v>2160</v>
      </c>
      <c r="H28" s="143" t="s">
        <v>321</v>
      </c>
      <c r="I28" s="143" t="s">
        <v>917</v>
      </c>
      <c r="J28" s="143" t="s">
        <v>204</v>
      </c>
      <c r="K28" s="143" t="s">
        <v>204</v>
      </c>
      <c r="L28" s="143" t="s">
        <v>325</v>
      </c>
      <c r="M28" s="143" t="s">
        <v>340</v>
      </c>
      <c r="N28" s="143" t="s">
        <v>439</v>
      </c>
      <c r="O28" s="143" t="s">
        <v>339</v>
      </c>
      <c r="P28" s="143" t="s">
        <v>1210</v>
      </c>
      <c r="Q28" s="144">
        <v>28126</v>
      </c>
      <c r="R28" s="145" t="s">
        <v>3930</v>
      </c>
      <c r="S28" s="143" t="s">
        <v>2161</v>
      </c>
      <c r="T28" s="145" t="s">
        <v>3930</v>
      </c>
      <c r="U28" s="144">
        <v>1110.9770000000001</v>
      </c>
      <c r="V28" s="146">
        <v>3.5121027252211422E-4</v>
      </c>
      <c r="W28" s="146">
        <v>7.0949276041719226E-3</v>
      </c>
      <c r="X28" s="147">
        <v>1.6116810345653046E-3</v>
      </c>
      <c r="Y28" s="180"/>
    </row>
    <row r="29" spans="1:25" ht="15" x14ac:dyDescent="0.2">
      <c r="A29" s="142" t="s">
        <v>1205</v>
      </c>
      <c r="B29" s="143" t="s">
        <v>1205</v>
      </c>
      <c r="C29" s="143" t="s">
        <v>1428</v>
      </c>
      <c r="D29" s="143" t="s">
        <v>1429</v>
      </c>
      <c r="E29" s="143" t="s">
        <v>309</v>
      </c>
      <c r="F29" s="143" t="s">
        <v>2162</v>
      </c>
      <c r="G29" s="143" t="s">
        <v>2163</v>
      </c>
      <c r="H29" s="143" t="s">
        <v>321</v>
      </c>
      <c r="I29" s="143" t="s">
        <v>917</v>
      </c>
      <c r="J29" s="143" t="s">
        <v>204</v>
      </c>
      <c r="K29" s="143" t="s">
        <v>204</v>
      </c>
      <c r="L29" s="143" t="s">
        <v>325</v>
      </c>
      <c r="M29" s="143" t="s">
        <v>340</v>
      </c>
      <c r="N29" s="143" t="s">
        <v>445</v>
      </c>
      <c r="O29" s="143" t="s">
        <v>339</v>
      </c>
      <c r="P29" s="143" t="s">
        <v>1210</v>
      </c>
      <c r="Q29" s="144">
        <v>8977</v>
      </c>
      <c r="R29" s="145" t="s">
        <v>3930</v>
      </c>
      <c r="S29" s="143" t="s">
        <v>2164</v>
      </c>
      <c r="T29" s="145" t="s">
        <v>3930</v>
      </c>
      <c r="U29" s="144">
        <v>976.69759999999997</v>
      </c>
      <c r="V29" s="146">
        <v>1.4187965908611197E-4</v>
      </c>
      <c r="W29" s="146">
        <v>6.2373917400346422E-3</v>
      </c>
      <c r="X29" s="147">
        <v>1.4168835164233373E-3</v>
      </c>
      <c r="Y29" s="180"/>
    </row>
    <row r="30" spans="1:25" ht="15" x14ac:dyDescent="0.2">
      <c r="A30" s="142" t="s">
        <v>1205</v>
      </c>
      <c r="B30" s="143" t="s">
        <v>1205</v>
      </c>
      <c r="C30" s="143" t="s">
        <v>2165</v>
      </c>
      <c r="D30" s="143" t="s">
        <v>2166</v>
      </c>
      <c r="E30" s="143" t="s">
        <v>309</v>
      </c>
      <c r="F30" s="143" t="s">
        <v>2167</v>
      </c>
      <c r="G30" s="143" t="s">
        <v>2168</v>
      </c>
      <c r="H30" s="143" t="s">
        <v>321</v>
      </c>
      <c r="I30" s="143" t="s">
        <v>917</v>
      </c>
      <c r="J30" s="143" t="s">
        <v>204</v>
      </c>
      <c r="K30" s="143" t="s">
        <v>204</v>
      </c>
      <c r="L30" s="143" t="s">
        <v>325</v>
      </c>
      <c r="M30" s="143" t="s">
        <v>340</v>
      </c>
      <c r="N30" s="143" t="s">
        <v>454</v>
      </c>
      <c r="O30" s="143" t="s">
        <v>339</v>
      </c>
      <c r="P30" s="143" t="s">
        <v>1210</v>
      </c>
      <c r="Q30" s="144">
        <v>58443</v>
      </c>
      <c r="R30" s="145" t="s">
        <v>3930</v>
      </c>
      <c r="S30" s="143" t="s">
        <v>2169</v>
      </c>
      <c r="T30" s="145" t="s">
        <v>3930</v>
      </c>
      <c r="U30" s="144">
        <v>917.55509999999992</v>
      </c>
      <c r="V30" s="146">
        <v>2.9220038998050099E-3</v>
      </c>
      <c r="W30" s="146">
        <v>5.8596955718603792E-3</v>
      </c>
      <c r="X30" s="147">
        <v>1.3310861996591033E-3</v>
      </c>
      <c r="Y30" s="180"/>
    </row>
    <row r="31" spans="1:25" ht="15" x14ac:dyDescent="0.2">
      <c r="A31" s="142" t="s">
        <v>1205</v>
      </c>
      <c r="B31" s="143" t="s">
        <v>1205</v>
      </c>
      <c r="C31" s="143" t="s">
        <v>1434</v>
      </c>
      <c r="D31" s="143" t="s">
        <v>1435</v>
      </c>
      <c r="E31" s="143" t="s">
        <v>309</v>
      </c>
      <c r="F31" s="143" t="s">
        <v>2170</v>
      </c>
      <c r="G31" s="143" t="s">
        <v>2171</v>
      </c>
      <c r="H31" s="143" t="s">
        <v>321</v>
      </c>
      <c r="I31" s="143" t="s">
        <v>917</v>
      </c>
      <c r="J31" s="143" t="s">
        <v>204</v>
      </c>
      <c r="K31" s="143" t="s">
        <v>204</v>
      </c>
      <c r="L31" s="143" t="s">
        <v>325</v>
      </c>
      <c r="M31" s="143" t="s">
        <v>340</v>
      </c>
      <c r="N31" s="143" t="s">
        <v>484</v>
      </c>
      <c r="O31" s="143" t="s">
        <v>339</v>
      </c>
      <c r="P31" s="143" t="s">
        <v>1210</v>
      </c>
      <c r="Q31" s="144">
        <v>53111</v>
      </c>
      <c r="R31" s="145" t="s">
        <v>3930</v>
      </c>
      <c r="S31" s="143" t="s">
        <v>2172</v>
      </c>
      <c r="T31" s="145" t="s">
        <v>3930</v>
      </c>
      <c r="U31" s="144">
        <v>886.95369999999991</v>
      </c>
      <c r="V31" s="146">
        <v>3.2045242227301629E-4</v>
      </c>
      <c r="W31" s="146">
        <v>5.6642687380138584E-3</v>
      </c>
      <c r="X31" s="147">
        <v>1.2866931150037533E-3</v>
      </c>
      <c r="Y31" s="180"/>
    </row>
    <row r="32" spans="1:25" ht="15" x14ac:dyDescent="0.2">
      <c r="A32" s="142" t="s">
        <v>1205</v>
      </c>
      <c r="B32" s="143" t="s">
        <v>1205</v>
      </c>
      <c r="C32" s="143" t="s">
        <v>2173</v>
      </c>
      <c r="D32" s="143" t="s">
        <v>2174</v>
      </c>
      <c r="E32" s="143" t="s">
        <v>309</v>
      </c>
      <c r="F32" s="143" t="s">
        <v>2175</v>
      </c>
      <c r="G32" s="143" t="s">
        <v>2176</v>
      </c>
      <c r="H32" s="143" t="s">
        <v>321</v>
      </c>
      <c r="I32" s="143" t="s">
        <v>917</v>
      </c>
      <c r="J32" s="143" t="s">
        <v>204</v>
      </c>
      <c r="K32" s="143" t="s">
        <v>204</v>
      </c>
      <c r="L32" s="143" t="s">
        <v>325</v>
      </c>
      <c r="M32" s="143" t="s">
        <v>340</v>
      </c>
      <c r="N32" s="143" t="s">
        <v>463</v>
      </c>
      <c r="O32" s="143" t="s">
        <v>339</v>
      </c>
      <c r="P32" s="143" t="s">
        <v>1210</v>
      </c>
      <c r="Q32" s="144">
        <v>3284</v>
      </c>
      <c r="R32" s="145" t="s">
        <v>3930</v>
      </c>
      <c r="S32" s="143" t="s">
        <v>2177</v>
      </c>
      <c r="T32" s="145" t="s">
        <v>3930</v>
      </c>
      <c r="U32" s="144">
        <v>819.35799999999995</v>
      </c>
      <c r="V32" s="146">
        <v>3.6453290225800603E-4</v>
      </c>
      <c r="W32" s="146">
        <v>5.2325886961648157E-3</v>
      </c>
      <c r="X32" s="147">
        <v>1.1886328421914756E-3</v>
      </c>
      <c r="Y32" s="180"/>
    </row>
    <row r="33" spans="1:25" ht="15" x14ac:dyDescent="0.2">
      <c r="A33" s="142" t="s">
        <v>1205</v>
      </c>
      <c r="B33" s="143" t="s">
        <v>1205</v>
      </c>
      <c r="C33" s="143" t="s">
        <v>1644</v>
      </c>
      <c r="D33" s="143" t="s">
        <v>1645</v>
      </c>
      <c r="E33" s="143" t="s">
        <v>309</v>
      </c>
      <c r="F33" s="143" t="s">
        <v>2178</v>
      </c>
      <c r="G33" s="143" t="s">
        <v>2179</v>
      </c>
      <c r="H33" s="143" t="s">
        <v>321</v>
      </c>
      <c r="I33" s="143" t="s">
        <v>917</v>
      </c>
      <c r="J33" s="143" t="s">
        <v>204</v>
      </c>
      <c r="K33" s="143" t="s">
        <v>204</v>
      </c>
      <c r="L33" s="143" t="s">
        <v>325</v>
      </c>
      <c r="M33" s="143" t="s">
        <v>340</v>
      </c>
      <c r="N33" s="143" t="s">
        <v>464</v>
      </c>
      <c r="O33" s="143" t="s">
        <v>339</v>
      </c>
      <c r="P33" s="143" t="s">
        <v>1210</v>
      </c>
      <c r="Q33" s="144">
        <v>105654</v>
      </c>
      <c r="R33" s="145" t="s">
        <v>3930</v>
      </c>
      <c r="S33" s="143" t="s">
        <v>2180</v>
      </c>
      <c r="T33" s="145" t="s">
        <v>3930</v>
      </c>
      <c r="U33" s="144">
        <v>772.2251</v>
      </c>
      <c r="V33" s="146">
        <v>4.7519980461999058E-4</v>
      </c>
      <c r="W33" s="146">
        <v>4.9315882140633311E-3</v>
      </c>
      <c r="X33" s="147">
        <v>1.1202576880725355E-3</v>
      </c>
      <c r="Y33" s="180"/>
    </row>
    <row r="34" spans="1:25" ht="15" x14ac:dyDescent="0.2">
      <c r="A34" s="142" t="s">
        <v>1205</v>
      </c>
      <c r="B34" s="143" t="s">
        <v>1205</v>
      </c>
      <c r="C34" s="143" t="s">
        <v>1763</v>
      </c>
      <c r="D34" s="143" t="s">
        <v>1764</v>
      </c>
      <c r="E34" s="143" t="s">
        <v>309</v>
      </c>
      <c r="F34" s="143" t="s">
        <v>2181</v>
      </c>
      <c r="G34" s="143" t="s">
        <v>2182</v>
      </c>
      <c r="H34" s="143" t="s">
        <v>321</v>
      </c>
      <c r="I34" s="143" t="s">
        <v>917</v>
      </c>
      <c r="J34" s="143" t="s">
        <v>204</v>
      </c>
      <c r="K34" s="143" t="s">
        <v>204</v>
      </c>
      <c r="L34" s="143" t="s">
        <v>325</v>
      </c>
      <c r="M34" s="143" t="s">
        <v>340</v>
      </c>
      <c r="N34" s="143" t="s">
        <v>445</v>
      </c>
      <c r="O34" s="143" t="s">
        <v>339</v>
      </c>
      <c r="P34" s="143" t="s">
        <v>1210</v>
      </c>
      <c r="Q34" s="144">
        <v>21109</v>
      </c>
      <c r="R34" s="145" t="s">
        <v>3930</v>
      </c>
      <c r="S34" s="143" t="s">
        <v>2183</v>
      </c>
      <c r="T34" s="145" t="s">
        <v>3930</v>
      </c>
      <c r="U34" s="144">
        <v>763.93469999999991</v>
      </c>
      <c r="V34" s="146">
        <v>9.4707193233636082E-5</v>
      </c>
      <c r="W34" s="146">
        <v>4.8786441679387355E-3</v>
      </c>
      <c r="X34" s="147">
        <v>1.1082309388521509E-3</v>
      </c>
      <c r="Y34" s="180"/>
    </row>
    <row r="35" spans="1:25" ht="15" x14ac:dyDescent="0.2">
      <c r="A35" s="142" t="s">
        <v>1205</v>
      </c>
      <c r="B35" s="143" t="s">
        <v>1205</v>
      </c>
      <c r="C35" s="143" t="s">
        <v>2184</v>
      </c>
      <c r="D35" s="143" t="s">
        <v>2185</v>
      </c>
      <c r="E35" s="143" t="s">
        <v>309</v>
      </c>
      <c r="F35" s="143" t="s">
        <v>2186</v>
      </c>
      <c r="G35" s="143" t="s">
        <v>2187</v>
      </c>
      <c r="H35" s="143" t="s">
        <v>321</v>
      </c>
      <c r="I35" s="143" t="s">
        <v>917</v>
      </c>
      <c r="J35" s="143" t="s">
        <v>204</v>
      </c>
      <c r="K35" s="143" t="s">
        <v>204</v>
      </c>
      <c r="L35" s="143" t="s">
        <v>325</v>
      </c>
      <c r="M35" s="143" t="s">
        <v>340</v>
      </c>
      <c r="N35" s="143" t="s">
        <v>475</v>
      </c>
      <c r="O35" s="143" t="s">
        <v>339</v>
      </c>
      <c r="P35" s="143" t="s">
        <v>1210</v>
      </c>
      <c r="Q35" s="144">
        <v>3395</v>
      </c>
      <c r="R35" s="145" t="s">
        <v>3930</v>
      </c>
      <c r="S35" s="143" t="s">
        <v>2188</v>
      </c>
      <c r="T35" s="145" t="s">
        <v>3930</v>
      </c>
      <c r="U35" s="144">
        <v>760.14049999999997</v>
      </c>
      <c r="V35" s="146">
        <v>2.3414179033709589E-4</v>
      </c>
      <c r="W35" s="146">
        <v>4.854413562566144E-3</v>
      </c>
      <c r="X35" s="147">
        <v>1.1027267238250549E-3</v>
      </c>
      <c r="Y35" s="180"/>
    </row>
    <row r="36" spans="1:25" ht="15" x14ac:dyDescent="0.2">
      <c r="A36" s="142" t="s">
        <v>1205</v>
      </c>
      <c r="B36" s="143" t="s">
        <v>1205</v>
      </c>
      <c r="C36" s="143" t="s">
        <v>2189</v>
      </c>
      <c r="D36" s="143" t="s">
        <v>2190</v>
      </c>
      <c r="E36" s="143" t="s">
        <v>309</v>
      </c>
      <c r="F36" s="143" t="s">
        <v>2191</v>
      </c>
      <c r="G36" s="143" t="s">
        <v>2192</v>
      </c>
      <c r="H36" s="143" t="s">
        <v>321</v>
      </c>
      <c r="I36" s="143" t="s">
        <v>917</v>
      </c>
      <c r="J36" s="143" t="s">
        <v>204</v>
      </c>
      <c r="K36" s="143" t="s">
        <v>204</v>
      </c>
      <c r="L36" s="143" t="s">
        <v>325</v>
      </c>
      <c r="M36" s="143" t="s">
        <v>340</v>
      </c>
      <c r="N36" s="143" t="s">
        <v>455</v>
      </c>
      <c r="O36" s="143" t="s">
        <v>339</v>
      </c>
      <c r="P36" s="143" t="s">
        <v>1210</v>
      </c>
      <c r="Q36" s="144">
        <v>10888</v>
      </c>
      <c r="R36" s="145" t="s">
        <v>3930</v>
      </c>
      <c r="S36" s="143" t="s">
        <v>2193</v>
      </c>
      <c r="T36" s="145" t="s">
        <v>3930</v>
      </c>
      <c r="U36" s="144">
        <v>740.38400000000001</v>
      </c>
      <c r="V36" s="146">
        <v>1.0442927645224361E-3</v>
      </c>
      <c r="W36" s="146">
        <v>4.7282444904685021E-3</v>
      </c>
      <c r="X36" s="147">
        <v>1.074066205777076E-3</v>
      </c>
      <c r="Y36" s="180"/>
    </row>
    <row r="37" spans="1:25" ht="15" x14ac:dyDescent="0.2">
      <c r="A37" s="142" t="s">
        <v>1205</v>
      </c>
      <c r="B37" s="143" t="s">
        <v>1205</v>
      </c>
      <c r="C37" s="143" t="s">
        <v>1408</v>
      </c>
      <c r="D37" s="143" t="s">
        <v>1409</v>
      </c>
      <c r="E37" s="143" t="s">
        <v>309</v>
      </c>
      <c r="F37" s="143" t="s">
        <v>2194</v>
      </c>
      <c r="G37" s="143" t="s">
        <v>2195</v>
      </c>
      <c r="H37" s="143" t="s">
        <v>321</v>
      </c>
      <c r="I37" s="143" t="s">
        <v>917</v>
      </c>
      <c r="J37" s="143" t="s">
        <v>204</v>
      </c>
      <c r="K37" s="143" t="s">
        <v>204</v>
      </c>
      <c r="L37" s="143" t="s">
        <v>325</v>
      </c>
      <c r="M37" s="143" t="s">
        <v>340</v>
      </c>
      <c r="N37" s="143" t="s">
        <v>475</v>
      </c>
      <c r="O37" s="143" t="s">
        <v>339</v>
      </c>
      <c r="P37" s="143" t="s">
        <v>1210</v>
      </c>
      <c r="Q37" s="144">
        <v>21616</v>
      </c>
      <c r="R37" s="145" t="s">
        <v>3930</v>
      </c>
      <c r="S37" s="143" t="s">
        <v>2196</v>
      </c>
      <c r="T37" s="145" t="s">
        <v>3930</v>
      </c>
      <c r="U37" s="144">
        <v>715.4896</v>
      </c>
      <c r="V37" s="146">
        <v>7.8583520696887506E-5</v>
      </c>
      <c r="W37" s="146">
        <v>4.5692637323166254E-3</v>
      </c>
      <c r="X37" s="147">
        <v>1.0379521977041074E-3</v>
      </c>
      <c r="Y37" s="180"/>
    </row>
    <row r="38" spans="1:25" ht="15" x14ac:dyDescent="0.2">
      <c r="A38" s="142" t="s">
        <v>1205</v>
      </c>
      <c r="B38" s="143" t="s">
        <v>1205</v>
      </c>
      <c r="C38" s="143" t="s">
        <v>2197</v>
      </c>
      <c r="D38" s="143" t="s">
        <v>2198</v>
      </c>
      <c r="E38" s="143" t="s">
        <v>309</v>
      </c>
      <c r="F38" s="143" t="s">
        <v>2199</v>
      </c>
      <c r="G38" s="143" t="s">
        <v>2200</v>
      </c>
      <c r="H38" s="143" t="s">
        <v>321</v>
      </c>
      <c r="I38" s="143" t="s">
        <v>917</v>
      </c>
      <c r="J38" s="143" t="s">
        <v>204</v>
      </c>
      <c r="K38" s="143" t="s">
        <v>204</v>
      </c>
      <c r="L38" s="143" t="s">
        <v>325</v>
      </c>
      <c r="M38" s="143" t="s">
        <v>340</v>
      </c>
      <c r="N38" s="143" t="s">
        <v>459</v>
      </c>
      <c r="O38" s="143" t="s">
        <v>339</v>
      </c>
      <c r="P38" s="143" t="s">
        <v>1210</v>
      </c>
      <c r="Q38" s="144">
        <v>11839</v>
      </c>
      <c r="R38" s="145" t="s">
        <v>3930</v>
      </c>
      <c r="S38" s="143" t="s">
        <v>2201</v>
      </c>
      <c r="T38" s="145" t="s">
        <v>3930</v>
      </c>
      <c r="U38" s="144">
        <v>702.05269999999996</v>
      </c>
      <c r="V38" s="146">
        <v>1.0081501518518182E-4</v>
      </c>
      <c r="W38" s="146">
        <v>4.4834529255001945E-3</v>
      </c>
      <c r="X38" s="147">
        <v>1.0184594477251694E-3</v>
      </c>
      <c r="Y38" s="180"/>
    </row>
    <row r="39" spans="1:25" ht="15" x14ac:dyDescent="0.2">
      <c r="A39" s="142" t="s">
        <v>1205</v>
      </c>
      <c r="B39" s="143" t="s">
        <v>1205</v>
      </c>
      <c r="C39" s="143" t="s">
        <v>2202</v>
      </c>
      <c r="D39" s="143" t="s">
        <v>2203</v>
      </c>
      <c r="E39" s="143" t="s">
        <v>309</v>
      </c>
      <c r="F39" s="143" t="s">
        <v>2204</v>
      </c>
      <c r="G39" s="143" t="s">
        <v>2205</v>
      </c>
      <c r="H39" s="143" t="s">
        <v>321</v>
      </c>
      <c r="I39" s="143" t="s">
        <v>917</v>
      </c>
      <c r="J39" s="143" t="s">
        <v>204</v>
      </c>
      <c r="K39" s="143" t="s">
        <v>204</v>
      </c>
      <c r="L39" s="143" t="s">
        <v>325</v>
      </c>
      <c r="M39" s="143" t="s">
        <v>340</v>
      </c>
      <c r="N39" s="143" t="s">
        <v>476</v>
      </c>
      <c r="O39" s="143" t="s">
        <v>339</v>
      </c>
      <c r="P39" s="143" t="s">
        <v>1210</v>
      </c>
      <c r="Q39" s="144">
        <v>9602</v>
      </c>
      <c r="R39" s="145" t="s">
        <v>3930</v>
      </c>
      <c r="S39" s="143" t="s">
        <v>2206</v>
      </c>
      <c r="T39" s="144">
        <v>5.3021000000000003</v>
      </c>
      <c r="U39" s="144">
        <v>689.44459999999992</v>
      </c>
      <c r="V39" s="146">
        <v>1.4961994477182225E-4</v>
      </c>
      <c r="W39" s="146">
        <v>4.4367955624053908E-3</v>
      </c>
      <c r="X39" s="147">
        <v>1.0078607790116921E-3</v>
      </c>
      <c r="Y39" s="180"/>
    </row>
    <row r="40" spans="1:25" ht="15" x14ac:dyDescent="0.2">
      <c r="A40" s="142" t="s">
        <v>1205</v>
      </c>
      <c r="B40" s="143" t="s">
        <v>1205</v>
      </c>
      <c r="C40" s="143" t="s">
        <v>1371</v>
      </c>
      <c r="D40" s="143" t="s">
        <v>1372</v>
      </c>
      <c r="E40" s="143" t="s">
        <v>309</v>
      </c>
      <c r="F40" s="143" t="s">
        <v>2207</v>
      </c>
      <c r="G40" s="143" t="s">
        <v>2208</v>
      </c>
      <c r="H40" s="143" t="s">
        <v>321</v>
      </c>
      <c r="I40" s="143" t="s">
        <v>917</v>
      </c>
      <c r="J40" s="143" t="s">
        <v>204</v>
      </c>
      <c r="K40" s="143" t="s">
        <v>204</v>
      </c>
      <c r="L40" s="143" t="s">
        <v>325</v>
      </c>
      <c r="M40" s="143" t="s">
        <v>340</v>
      </c>
      <c r="N40" s="143" t="s">
        <v>440</v>
      </c>
      <c r="O40" s="143" t="s">
        <v>339</v>
      </c>
      <c r="P40" s="143" t="s">
        <v>1210</v>
      </c>
      <c r="Q40" s="144">
        <v>22703</v>
      </c>
      <c r="R40" s="145" t="s">
        <v>3930</v>
      </c>
      <c r="S40" s="143" t="s">
        <v>2209</v>
      </c>
      <c r="T40" s="145" t="s">
        <v>3930</v>
      </c>
      <c r="U40" s="144">
        <v>684.72249999999997</v>
      </c>
      <c r="V40" s="146">
        <v>8.8782788748383506E-5</v>
      </c>
      <c r="W40" s="146">
        <v>4.3727785764683313E-3</v>
      </c>
      <c r="X40" s="147">
        <v>9.9331870502856589E-4</v>
      </c>
      <c r="Y40" s="180"/>
    </row>
    <row r="41" spans="1:25" ht="15" x14ac:dyDescent="0.2">
      <c r="A41" s="142" t="s">
        <v>1205</v>
      </c>
      <c r="B41" s="143" t="s">
        <v>1205</v>
      </c>
      <c r="C41" s="143" t="s">
        <v>2210</v>
      </c>
      <c r="D41" s="143" t="s">
        <v>2211</v>
      </c>
      <c r="E41" s="143" t="s">
        <v>309</v>
      </c>
      <c r="F41" s="143" t="s">
        <v>2212</v>
      </c>
      <c r="G41" s="143" t="s">
        <v>2213</v>
      </c>
      <c r="H41" s="143" t="s">
        <v>321</v>
      </c>
      <c r="I41" s="143" t="s">
        <v>917</v>
      </c>
      <c r="J41" s="143" t="s">
        <v>204</v>
      </c>
      <c r="K41" s="143" t="s">
        <v>204</v>
      </c>
      <c r="L41" s="143" t="s">
        <v>325</v>
      </c>
      <c r="M41" s="143" t="s">
        <v>340</v>
      </c>
      <c r="N41" s="143" t="s">
        <v>464</v>
      </c>
      <c r="O41" s="143" t="s">
        <v>339</v>
      </c>
      <c r="P41" s="143" t="s">
        <v>1210</v>
      </c>
      <c r="Q41" s="144">
        <v>6775</v>
      </c>
      <c r="R41" s="145" t="s">
        <v>3930</v>
      </c>
      <c r="S41" s="143" t="s">
        <v>2214</v>
      </c>
      <c r="T41" s="145" t="s">
        <v>3930</v>
      </c>
      <c r="U41" s="144">
        <v>647.01250000000005</v>
      </c>
      <c r="V41" s="146">
        <v>1.850950484246895E-4</v>
      </c>
      <c r="W41" s="146">
        <v>4.1319548887999357E-3</v>
      </c>
      <c r="X41" s="147">
        <v>9.3861328846293326E-4</v>
      </c>
      <c r="Y41" s="180"/>
    </row>
    <row r="42" spans="1:25" ht="15" x14ac:dyDescent="0.2">
      <c r="A42" s="142" t="s">
        <v>1205</v>
      </c>
      <c r="B42" s="143" t="s">
        <v>1205</v>
      </c>
      <c r="C42" s="143" t="s">
        <v>1842</v>
      </c>
      <c r="D42" s="143" t="s">
        <v>1843</v>
      </c>
      <c r="E42" s="143" t="s">
        <v>309</v>
      </c>
      <c r="F42" s="143" t="s">
        <v>2215</v>
      </c>
      <c r="G42" s="143" t="s">
        <v>2216</v>
      </c>
      <c r="H42" s="143" t="s">
        <v>321</v>
      </c>
      <c r="I42" s="143" t="s">
        <v>917</v>
      </c>
      <c r="J42" s="143" t="s">
        <v>204</v>
      </c>
      <c r="K42" s="143" t="s">
        <v>204</v>
      </c>
      <c r="L42" s="143" t="s">
        <v>325</v>
      </c>
      <c r="M42" s="143" t="s">
        <v>340</v>
      </c>
      <c r="N42" s="143" t="s">
        <v>464</v>
      </c>
      <c r="O42" s="143" t="s">
        <v>339</v>
      </c>
      <c r="P42" s="143" t="s">
        <v>1210</v>
      </c>
      <c r="Q42" s="144">
        <v>66637.210000000006</v>
      </c>
      <c r="R42" s="145" t="s">
        <v>3930</v>
      </c>
      <c r="S42" s="143" t="s">
        <v>2217</v>
      </c>
      <c r="T42" s="145" t="s">
        <v>3930</v>
      </c>
      <c r="U42" s="144">
        <v>635.71900000000005</v>
      </c>
      <c r="V42" s="146">
        <v>8.9351787175395036E-5</v>
      </c>
      <c r="W42" s="146">
        <v>4.0598321691815153E-3</v>
      </c>
      <c r="X42" s="147">
        <v>9.2222991912426248E-4</v>
      </c>
      <c r="Y42" s="180"/>
    </row>
    <row r="43" spans="1:25" ht="15" x14ac:dyDescent="0.2">
      <c r="A43" s="142" t="s">
        <v>1205</v>
      </c>
      <c r="B43" s="143" t="s">
        <v>1205</v>
      </c>
      <c r="C43" s="143" t="s">
        <v>2218</v>
      </c>
      <c r="D43" s="143" t="s">
        <v>2219</v>
      </c>
      <c r="E43" s="143" t="s">
        <v>309</v>
      </c>
      <c r="F43" s="143" t="s">
        <v>2220</v>
      </c>
      <c r="G43" s="143" t="s">
        <v>2221</v>
      </c>
      <c r="H43" s="143" t="s">
        <v>321</v>
      </c>
      <c r="I43" s="143" t="s">
        <v>917</v>
      </c>
      <c r="J43" s="143" t="s">
        <v>204</v>
      </c>
      <c r="K43" s="143" t="s">
        <v>204</v>
      </c>
      <c r="L43" s="143" t="s">
        <v>325</v>
      </c>
      <c r="M43" s="143" t="s">
        <v>340</v>
      </c>
      <c r="N43" s="143" t="s">
        <v>456</v>
      </c>
      <c r="O43" s="143" t="s">
        <v>339</v>
      </c>
      <c r="P43" s="143" t="s">
        <v>1210</v>
      </c>
      <c r="Q43" s="144">
        <v>58000</v>
      </c>
      <c r="R43" s="145" t="s">
        <v>3930</v>
      </c>
      <c r="S43" s="143" t="s">
        <v>2222</v>
      </c>
      <c r="T43" s="145" t="s">
        <v>3930</v>
      </c>
      <c r="U43" s="144">
        <v>622.91999999999996</v>
      </c>
      <c r="V43" s="146">
        <v>5.4274755036273835E-4</v>
      </c>
      <c r="W43" s="146">
        <v>3.9780952289658325E-3</v>
      </c>
      <c r="X43" s="147">
        <v>9.0366258712054311E-4</v>
      </c>
      <c r="Y43" s="180"/>
    </row>
    <row r="44" spans="1:25" ht="15" x14ac:dyDescent="0.2">
      <c r="A44" s="142" t="s">
        <v>1205</v>
      </c>
      <c r="B44" s="143" t="s">
        <v>1205</v>
      </c>
      <c r="C44" s="143" t="s">
        <v>1853</v>
      </c>
      <c r="D44" s="143" t="s">
        <v>1854</v>
      </c>
      <c r="E44" s="143" t="s">
        <v>309</v>
      </c>
      <c r="F44" s="143" t="s">
        <v>2223</v>
      </c>
      <c r="G44" s="143" t="s">
        <v>2224</v>
      </c>
      <c r="H44" s="143" t="s">
        <v>321</v>
      </c>
      <c r="I44" s="143" t="s">
        <v>917</v>
      </c>
      <c r="J44" s="143" t="s">
        <v>204</v>
      </c>
      <c r="K44" s="143" t="s">
        <v>204</v>
      </c>
      <c r="L44" s="143" t="s">
        <v>325</v>
      </c>
      <c r="M44" s="143" t="s">
        <v>340</v>
      </c>
      <c r="N44" s="143" t="s">
        <v>484</v>
      </c>
      <c r="O44" s="143" t="s">
        <v>339</v>
      </c>
      <c r="P44" s="143" t="s">
        <v>1210</v>
      </c>
      <c r="Q44" s="144">
        <v>37498</v>
      </c>
      <c r="R44" s="145" t="s">
        <v>3930</v>
      </c>
      <c r="S44" s="143" t="s">
        <v>2225</v>
      </c>
      <c r="T44" s="145" t="s">
        <v>3930</v>
      </c>
      <c r="U44" s="144">
        <v>602.21789999999999</v>
      </c>
      <c r="V44" s="146">
        <v>1.9620113312877898E-4</v>
      </c>
      <c r="W44" s="146">
        <v>3.8458872330731368E-3</v>
      </c>
      <c r="X44" s="147">
        <v>8.7363026945843573E-4</v>
      </c>
      <c r="Y44" s="180"/>
    </row>
    <row r="45" spans="1:25" ht="15" x14ac:dyDescent="0.2">
      <c r="A45" s="142" t="s">
        <v>1205</v>
      </c>
      <c r="B45" s="143" t="s">
        <v>1205</v>
      </c>
      <c r="C45" s="143" t="s">
        <v>2226</v>
      </c>
      <c r="D45" s="143" t="s">
        <v>2227</v>
      </c>
      <c r="E45" s="143" t="s">
        <v>309</v>
      </c>
      <c r="F45" s="143" t="s">
        <v>2228</v>
      </c>
      <c r="G45" s="143" t="s">
        <v>2229</v>
      </c>
      <c r="H45" s="143" t="s">
        <v>321</v>
      </c>
      <c r="I45" s="143" t="s">
        <v>917</v>
      </c>
      <c r="J45" s="143" t="s">
        <v>204</v>
      </c>
      <c r="K45" s="143" t="s">
        <v>204</v>
      </c>
      <c r="L45" s="143" t="s">
        <v>325</v>
      </c>
      <c r="M45" s="143" t="s">
        <v>340</v>
      </c>
      <c r="N45" s="143" t="s">
        <v>476</v>
      </c>
      <c r="O45" s="143" t="s">
        <v>339</v>
      </c>
      <c r="P45" s="143" t="s">
        <v>1210</v>
      </c>
      <c r="Q45" s="144">
        <v>1972</v>
      </c>
      <c r="R45" s="145" t="s">
        <v>3930</v>
      </c>
      <c r="S45" s="143" t="s">
        <v>2230</v>
      </c>
      <c r="T45" s="145" t="s">
        <v>3930</v>
      </c>
      <c r="U45" s="144">
        <v>588.24759999999992</v>
      </c>
      <c r="V45" s="146">
        <v>1.2401511902778686E-4</v>
      </c>
      <c r="W45" s="146">
        <v>3.7566701518824274E-3</v>
      </c>
      <c r="X45" s="147">
        <v>8.5336375149850762E-4</v>
      </c>
      <c r="Y45" s="180"/>
    </row>
    <row r="46" spans="1:25" ht="15" x14ac:dyDescent="0.2">
      <c r="A46" s="142" t="s">
        <v>1205</v>
      </c>
      <c r="B46" s="143" t="s">
        <v>1205</v>
      </c>
      <c r="C46" s="143" t="s">
        <v>1532</v>
      </c>
      <c r="D46" s="143" t="s">
        <v>1533</v>
      </c>
      <c r="E46" s="143" t="s">
        <v>309</v>
      </c>
      <c r="F46" s="143" t="s">
        <v>2231</v>
      </c>
      <c r="G46" s="143" t="s">
        <v>2232</v>
      </c>
      <c r="H46" s="143" t="s">
        <v>321</v>
      </c>
      <c r="I46" s="143" t="s">
        <v>917</v>
      </c>
      <c r="J46" s="143" t="s">
        <v>204</v>
      </c>
      <c r="K46" s="143" t="s">
        <v>204</v>
      </c>
      <c r="L46" s="143" t="s">
        <v>325</v>
      </c>
      <c r="M46" s="143" t="s">
        <v>340</v>
      </c>
      <c r="N46" s="143" t="s">
        <v>464</v>
      </c>
      <c r="O46" s="143" t="s">
        <v>339</v>
      </c>
      <c r="P46" s="143" t="s">
        <v>1210</v>
      </c>
      <c r="Q46" s="144">
        <v>10443.07</v>
      </c>
      <c r="R46" s="145" t="s">
        <v>3930</v>
      </c>
      <c r="S46" s="143" t="s">
        <v>2233</v>
      </c>
      <c r="T46" s="145" t="s">
        <v>3930</v>
      </c>
      <c r="U46" s="144">
        <v>584.1853000000001</v>
      </c>
      <c r="V46" s="146">
        <v>7.9409092638309389E-5</v>
      </c>
      <c r="W46" s="146">
        <v>3.730727697260937E-3</v>
      </c>
      <c r="X46" s="147">
        <v>8.4747067345230728E-4</v>
      </c>
      <c r="Y46" s="180"/>
    </row>
    <row r="47" spans="1:25" ht="15" x14ac:dyDescent="0.2">
      <c r="A47" s="142" t="s">
        <v>1205</v>
      </c>
      <c r="B47" s="143" t="s">
        <v>1205</v>
      </c>
      <c r="C47" s="143" t="s">
        <v>2234</v>
      </c>
      <c r="D47" s="143" t="s">
        <v>2235</v>
      </c>
      <c r="E47" s="143" t="s">
        <v>309</v>
      </c>
      <c r="F47" s="143" t="s">
        <v>2236</v>
      </c>
      <c r="G47" s="143" t="s">
        <v>2237</v>
      </c>
      <c r="H47" s="143" t="s">
        <v>321</v>
      </c>
      <c r="I47" s="143" t="s">
        <v>917</v>
      </c>
      <c r="J47" s="143" t="s">
        <v>204</v>
      </c>
      <c r="K47" s="143" t="s">
        <v>204</v>
      </c>
      <c r="L47" s="143" t="s">
        <v>325</v>
      </c>
      <c r="M47" s="143" t="s">
        <v>340</v>
      </c>
      <c r="N47" s="143" t="s">
        <v>451</v>
      </c>
      <c r="O47" s="143" t="s">
        <v>339</v>
      </c>
      <c r="P47" s="143" t="s">
        <v>1210</v>
      </c>
      <c r="Q47" s="144">
        <v>887168</v>
      </c>
      <c r="R47" s="145" t="s">
        <v>3930</v>
      </c>
      <c r="S47" s="143" t="s">
        <v>2238</v>
      </c>
      <c r="T47" s="145" t="s">
        <v>3930</v>
      </c>
      <c r="U47" s="144">
        <v>574.88490000000002</v>
      </c>
      <c r="V47" s="146">
        <v>7.0134318784514503E-4</v>
      </c>
      <c r="W47" s="146">
        <v>3.6713329716224741E-3</v>
      </c>
      <c r="X47" s="147">
        <v>8.3397859034656393E-4</v>
      </c>
      <c r="Y47" s="180"/>
    </row>
    <row r="48" spans="1:25" ht="15" x14ac:dyDescent="0.2">
      <c r="A48" s="142" t="s">
        <v>1205</v>
      </c>
      <c r="B48" s="143" t="s">
        <v>1205</v>
      </c>
      <c r="C48" s="143" t="s">
        <v>1671</v>
      </c>
      <c r="D48" s="143" t="s">
        <v>1672</v>
      </c>
      <c r="E48" s="143" t="s">
        <v>309</v>
      </c>
      <c r="F48" s="143" t="s">
        <v>2239</v>
      </c>
      <c r="G48" s="143" t="s">
        <v>2240</v>
      </c>
      <c r="H48" s="143" t="s">
        <v>321</v>
      </c>
      <c r="I48" s="143" t="s">
        <v>917</v>
      </c>
      <c r="J48" s="143" t="s">
        <v>204</v>
      </c>
      <c r="K48" s="143" t="s">
        <v>204</v>
      </c>
      <c r="L48" s="143" t="s">
        <v>325</v>
      </c>
      <c r="M48" s="143" t="s">
        <v>340</v>
      </c>
      <c r="N48" s="143" t="s">
        <v>464</v>
      </c>
      <c r="O48" s="143" t="s">
        <v>339</v>
      </c>
      <c r="P48" s="143" t="s">
        <v>1210</v>
      </c>
      <c r="Q48" s="144">
        <v>74730</v>
      </c>
      <c r="R48" s="145" t="s">
        <v>3930</v>
      </c>
      <c r="S48" s="143" t="s">
        <v>2241</v>
      </c>
      <c r="T48" s="145" t="s">
        <v>3930</v>
      </c>
      <c r="U48" s="144">
        <v>574.22530000000006</v>
      </c>
      <c r="V48" s="146">
        <v>4.9638580255036157E-4</v>
      </c>
      <c r="W48" s="146">
        <v>3.6671209879974615E-3</v>
      </c>
      <c r="X48" s="147">
        <v>8.3302179776106357E-4</v>
      </c>
      <c r="Y48" s="180"/>
    </row>
    <row r="49" spans="1:25" ht="15" x14ac:dyDescent="0.2">
      <c r="A49" s="142" t="s">
        <v>1205</v>
      </c>
      <c r="B49" s="143" t="s">
        <v>1205</v>
      </c>
      <c r="C49" s="143" t="s">
        <v>1831</v>
      </c>
      <c r="D49" s="143" t="s">
        <v>1832</v>
      </c>
      <c r="E49" s="143" t="s">
        <v>309</v>
      </c>
      <c r="F49" s="143" t="s">
        <v>1831</v>
      </c>
      <c r="G49" s="143" t="s">
        <v>2242</v>
      </c>
      <c r="H49" s="143" t="s">
        <v>321</v>
      </c>
      <c r="I49" s="143" t="s">
        <v>917</v>
      </c>
      <c r="J49" s="143" t="s">
        <v>204</v>
      </c>
      <c r="K49" s="143" t="s">
        <v>204</v>
      </c>
      <c r="L49" s="143" t="s">
        <v>325</v>
      </c>
      <c r="M49" s="143" t="s">
        <v>340</v>
      </c>
      <c r="N49" s="143" t="s">
        <v>441</v>
      </c>
      <c r="O49" s="143" t="s">
        <v>339</v>
      </c>
      <c r="P49" s="143" t="s">
        <v>1210</v>
      </c>
      <c r="Q49" s="144">
        <v>6279</v>
      </c>
      <c r="R49" s="145" t="s">
        <v>3930</v>
      </c>
      <c r="S49" s="143" t="s">
        <v>2243</v>
      </c>
      <c r="T49" s="145" t="s">
        <v>3930</v>
      </c>
      <c r="U49" s="144">
        <v>547.65440000000001</v>
      </c>
      <c r="V49" s="146">
        <v>1.7667162476443785E-4</v>
      </c>
      <c r="W49" s="146">
        <v>3.4974335006104176E-3</v>
      </c>
      <c r="X49" s="147">
        <v>7.9447565317969729E-4</v>
      </c>
      <c r="Y49" s="180"/>
    </row>
    <row r="50" spans="1:25" ht="15" x14ac:dyDescent="0.2">
      <c r="A50" s="142" t="s">
        <v>1205</v>
      </c>
      <c r="B50" s="143" t="s">
        <v>1205</v>
      </c>
      <c r="C50" s="143" t="s">
        <v>1666</v>
      </c>
      <c r="D50" s="143" t="s">
        <v>1667</v>
      </c>
      <c r="E50" s="143" t="s">
        <v>309</v>
      </c>
      <c r="F50" s="143" t="s">
        <v>2244</v>
      </c>
      <c r="G50" s="143" t="s">
        <v>2245</v>
      </c>
      <c r="H50" s="143" t="s">
        <v>321</v>
      </c>
      <c r="I50" s="143" t="s">
        <v>917</v>
      </c>
      <c r="J50" s="143" t="s">
        <v>204</v>
      </c>
      <c r="K50" s="143" t="s">
        <v>204</v>
      </c>
      <c r="L50" s="143" t="s">
        <v>325</v>
      </c>
      <c r="M50" s="143" t="s">
        <v>340</v>
      </c>
      <c r="N50" s="143" t="s">
        <v>451</v>
      </c>
      <c r="O50" s="143" t="s">
        <v>339</v>
      </c>
      <c r="P50" s="143" t="s">
        <v>1210</v>
      </c>
      <c r="Q50" s="144">
        <v>639</v>
      </c>
      <c r="R50" s="145" t="s">
        <v>3930</v>
      </c>
      <c r="S50" s="143" t="s">
        <v>2246</v>
      </c>
      <c r="T50" s="145" t="s">
        <v>3930</v>
      </c>
      <c r="U50" s="144">
        <v>518.22900000000004</v>
      </c>
      <c r="V50" s="146">
        <v>8.2961262673014478E-5</v>
      </c>
      <c r="W50" s="146">
        <v>3.3095169723427321E-3</v>
      </c>
      <c r="X50" s="147">
        <v>7.5178860666039291E-4</v>
      </c>
      <c r="Y50" s="180"/>
    </row>
    <row r="51" spans="1:25" ht="15" x14ac:dyDescent="0.2">
      <c r="A51" s="142" t="s">
        <v>1205</v>
      </c>
      <c r="B51" s="143" t="s">
        <v>1205</v>
      </c>
      <c r="C51" s="143" t="s">
        <v>2247</v>
      </c>
      <c r="D51" s="143" t="s">
        <v>2248</v>
      </c>
      <c r="E51" s="143" t="s">
        <v>309</v>
      </c>
      <c r="F51" s="143" t="s">
        <v>2249</v>
      </c>
      <c r="G51" s="143" t="s">
        <v>2250</v>
      </c>
      <c r="H51" s="143" t="s">
        <v>321</v>
      </c>
      <c r="I51" s="143" t="s">
        <v>917</v>
      </c>
      <c r="J51" s="143" t="s">
        <v>204</v>
      </c>
      <c r="K51" s="143" t="s">
        <v>204</v>
      </c>
      <c r="L51" s="143" t="s">
        <v>325</v>
      </c>
      <c r="M51" s="143" t="s">
        <v>340</v>
      </c>
      <c r="N51" s="143" t="s">
        <v>475</v>
      </c>
      <c r="O51" s="143" t="s">
        <v>339</v>
      </c>
      <c r="P51" s="143" t="s">
        <v>1210</v>
      </c>
      <c r="Q51" s="144">
        <v>86618</v>
      </c>
      <c r="R51" s="145" t="s">
        <v>3930</v>
      </c>
      <c r="S51" s="143" t="s">
        <v>2251</v>
      </c>
      <c r="T51" s="145" t="s">
        <v>3930</v>
      </c>
      <c r="U51" s="144">
        <v>517.97559999999999</v>
      </c>
      <c r="V51" s="146">
        <v>7.9635941157113585E-4</v>
      </c>
      <c r="W51" s="146">
        <v>3.3078989632770242E-3</v>
      </c>
      <c r="X51" s="147">
        <v>7.5142106034132639E-4</v>
      </c>
      <c r="Y51" s="180"/>
    </row>
    <row r="52" spans="1:25" ht="15" x14ac:dyDescent="0.2">
      <c r="A52" s="142" t="s">
        <v>1205</v>
      </c>
      <c r="B52" s="143" t="s">
        <v>1205</v>
      </c>
      <c r="C52" s="143" t="s">
        <v>2252</v>
      </c>
      <c r="D52" s="143" t="s">
        <v>2253</v>
      </c>
      <c r="E52" s="143" t="s">
        <v>309</v>
      </c>
      <c r="F52" s="143" t="s">
        <v>2254</v>
      </c>
      <c r="G52" s="143" t="s">
        <v>2255</v>
      </c>
      <c r="H52" s="143" t="s">
        <v>321</v>
      </c>
      <c r="I52" s="143" t="s">
        <v>917</v>
      </c>
      <c r="J52" s="143" t="s">
        <v>204</v>
      </c>
      <c r="K52" s="143" t="s">
        <v>204</v>
      </c>
      <c r="L52" s="143" t="s">
        <v>325</v>
      </c>
      <c r="M52" s="143" t="s">
        <v>340</v>
      </c>
      <c r="N52" s="143" t="s">
        <v>445</v>
      </c>
      <c r="O52" s="143" t="s">
        <v>339</v>
      </c>
      <c r="P52" s="143" t="s">
        <v>1210</v>
      </c>
      <c r="Q52" s="144">
        <v>4295</v>
      </c>
      <c r="R52" s="145" t="s">
        <v>3930</v>
      </c>
      <c r="S52" s="143" t="s">
        <v>2256</v>
      </c>
      <c r="T52" s="145" t="s">
        <v>3930</v>
      </c>
      <c r="U52" s="144">
        <v>515.82950000000005</v>
      </c>
      <c r="V52" s="146">
        <v>2.919224017920705E-4</v>
      </c>
      <c r="W52" s="146">
        <v>3.2941932718644948E-3</v>
      </c>
      <c r="X52" s="147">
        <v>7.4830768073443814E-4</v>
      </c>
      <c r="Y52" s="180"/>
    </row>
    <row r="53" spans="1:25" ht="15" x14ac:dyDescent="0.2">
      <c r="A53" s="142" t="s">
        <v>1205</v>
      </c>
      <c r="B53" s="143" t="s">
        <v>1205</v>
      </c>
      <c r="C53" s="143" t="s">
        <v>2257</v>
      </c>
      <c r="D53" s="143" t="s">
        <v>2258</v>
      </c>
      <c r="E53" s="143" t="s">
        <v>309</v>
      </c>
      <c r="F53" s="143" t="s">
        <v>2259</v>
      </c>
      <c r="G53" s="143" t="s">
        <v>2260</v>
      </c>
      <c r="H53" s="143" t="s">
        <v>321</v>
      </c>
      <c r="I53" s="143" t="s">
        <v>917</v>
      </c>
      <c r="J53" s="143" t="s">
        <v>204</v>
      </c>
      <c r="K53" s="143" t="s">
        <v>204</v>
      </c>
      <c r="L53" s="143" t="s">
        <v>325</v>
      </c>
      <c r="M53" s="143" t="s">
        <v>340</v>
      </c>
      <c r="N53" s="143" t="s">
        <v>447</v>
      </c>
      <c r="O53" s="143" t="s">
        <v>339</v>
      </c>
      <c r="P53" s="143" t="s">
        <v>1210</v>
      </c>
      <c r="Q53" s="144">
        <v>28861</v>
      </c>
      <c r="R53" s="145" t="s">
        <v>3930</v>
      </c>
      <c r="S53" s="143" t="s">
        <v>2261</v>
      </c>
      <c r="T53" s="145" t="s">
        <v>3930</v>
      </c>
      <c r="U53" s="144">
        <v>502.1814</v>
      </c>
      <c r="V53" s="146">
        <v>1.0271115746310495E-4</v>
      </c>
      <c r="W53" s="146">
        <v>3.2070336984129301E-3</v>
      </c>
      <c r="X53" s="147">
        <v>7.285085454437429E-4</v>
      </c>
      <c r="Y53" s="180"/>
    </row>
    <row r="54" spans="1:25" ht="15" x14ac:dyDescent="0.2">
      <c r="A54" s="142" t="s">
        <v>1205</v>
      </c>
      <c r="B54" s="143" t="s">
        <v>1205</v>
      </c>
      <c r="C54" s="143" t="s">
        <v>2262</v>
      </c>
      <c r="D54" s="143" t="s">
        <v>2263</v>
      </c>
      <c r="E54" s="143" t="s">
        <v>309</v>
      </c>
      <c r="F54" s="143" t="s">
        <v>2264</v>
      </c>
      <c r="G54" s="143" t="s">
        <v>2265</v>
      </c>
      <c r="H54" s="143" t="s">
        <v>321</v>
      </c>
      <c r="I54" s="143" t="s">
        <v>917</v>
      </c>
      <c r="J54" s="143" t="s">
        <v>204</v>
      </c>
      <c r="K54" s="143" t="s">
        <v>204</v>
      </c>
      <c r="L54" s="143" t="s">
        <v>325</v>
      </c>
      <c r="M54" s="143" t="s">
        <v>340</v>
      </c>
      <c r="N54" s="143" t="s">
        <v>475</v>
      </c>
      <c r="O54" s="143" t="s">
        <v>339</v>
      </c>
      <c r="P54" s="143" t="s">
        <v>1210</v>
      </c>
      <c r="Q54" s="144">
        <v>46000</v>
      </c>
      <c r="R54" s="145" t="s">
        <v>3930</v>
      </c>
      <c r="S54" s="143" t="s">
        <v>2266</v>
      </c>
      <c r="T54" s="145" t="s">
        <v>3930</v>
      </c>
      <c r="U54" s="144">
        <v>482.54</v>
      </c>
      <c r="V54" s="146">
        <v>3.2140496563125872E-4</v>
      </c>
      <c r="W54" s="146">
        <v>3.0815996785866131E-3</v>
      </c>
      <c r="X54" s="147">
        <v>7.0001500158791959E-4</v>
      </c>
      <c r="Y54" s="180"/>
    </row>
    <row r="55" spans="1:25" ht="15" x14ac:dyDescent="0.2">
      <c r="A55" s="142" t="s">
        <v>1205</v>
      </c>
      <c r="B55" s="143" t="s">
        <v>1205</v>
      </c>
      <c r="C55" s="143" t="s">
        <v>2267</v>
      </c>
      <c r="D55" s="143" t="s">
        <v>2268</v>
      </c>
      <c r="E55" s="143" t="s">
        <v>309</v>
      </c>
      <c r="F55" s="143" t="s">
        <v>2267</v>
      </c>
      <c r="G55" s="143" t="s">
        <v>2269</v>
      </c>
      <c r="H55" s="143" t="s">
        <v>321</v>
      </c>
      <c r="I55" s="143" t="s">
        <v>917</v>
      </c>
      <c r="J55" s="143" t="s">
        <v>204</v>
      </c>
      <c r="K55" s="143" t="s">
        <v>204</v>
      </c>
      <c r="L55" s="143" t="s">
        <v>325</v>
      </c>
      <c r="M55" s="143" t="s">
        <v>340</v>
      </c>
      <c r="N55" s="143" t="s">
        <v>471</v>
      </c>
      <c r="O55" s="143" t="s">
        <v>339</v>
      </c>
      <c r="P55" s="143" t="s">
        <v>1210</v>
      </c>
      <c r="Q55" s="144">
        <v>21360</v>
      </c>
      <c r="R55" s="145" t="s">
        <v>3930</v>
      </c>
      <c r="S55" s="143" t="s">
        <v>2270</v>
      </c>
      <c r="T55" s="145" t="s">
        <v>3930</v>
      </c>
      <c r="U55" s="144">
        <v>481.45440000000002</v>
      </c>
      <c r="V55" s="146">
        <v>1.4714259212479896E-4</v>
      </c>
      <c r="W55" s="146">
        <v>3.0746668137234439E-3</v>
      </c>
      <c r="X55" s="147">
        <v>6.9844013466347009E-4</v>
      </c>
      <c r="Y55" s="180"/>
    </row>
    <row r="56" spans="1:25" ht="15" x14ac:dyDescent="0.2">
      <c r="A56" s="142" t="s">
        <v>1205</v>
      </c>
      <c r="B56" s="143" t="s">
        <v>1205</v>
      </c>
      <c r="C56" s="143" t="s">
        <v>2271</v>
      </c>
      <c r="D56" s="143" t="s">
        <v>2272</v>
      </c>
      <c r="E56" s="143" t="s">
        <v>309</v>
      </c>
      <c r="F56" s="143" t="s">
        <v>2273</v>
      </c>
      <c r="G56" s="143" t="s">
        <v>2274</v>
      </c>
      <c r="H56" s="143" t="s">
        <v>321</v>
      </c>
      <c r="I56" s="143" t="s">
        <v>917</v>
      </c>
      <c r="J56" s="143" t="s">
        <v>204</v>
      </c>
      <c r="K56" s="143" t="s">
        <v>204</v>
      </c>
      <c r="L56" s="143" t="s">
        <v>325</v>
      </c>
      <c r="M56" s="143" t="s">
        <v>340</v>
      </c>
      <c r="N56" s="143" t="s">
        <v>476</v>
      </c>
      <c r="O56" s="143" t="s">
        <v>339</v>
      </c>
      <c r="P56" s="143" t="s">
        <v>1210</v>
      </c>
      <c r="Q56" s="144">
        <v>2359</v>
      </c>
      <c r="R56" s="145" t="s">
        <v>3930</v>
      </c>
      <c r="S56" s="143" t="s">
        <v>2275</v>
      </c>
      <c r="T56" s="145" t="s">
        <v>3930</v>
      </c>
      <c r="U56" s="144">
        <v>461.42040000000003</v>
      </c>
      <c r="V56" s="146">
        <v>1.0286631604326002E-4</v>
      </c>
      <c r="W56" s="146">
        <v>2.9467255695554907E-3</v>
      </c>
      <c r="X56" s="147">
        <v>6.6937705068740097E-4</v>
      </c>
      <c r="Y56" s="180"/>
    </row>
    <row r="57" spans="1:25" ht="15" x14ac:dyDescent="0.2">
      <c r="A57" s="142" t="s">
        <v>1205</v>
      </c>
      <c r="B57" s="143" t="s">
        <v>1205</v>
      </c>
      <c r="C57" s="143" t="s">
        <v>1875</v>
      </c>
      <c r="D57" s="143" t="s">
        <v>1876</v>
      </c>
      <c r="E57" s="143" t="s">
        <v>309</v>
      </c>
      <c r="F57" s="143" t="s">
        <v>2276</v>
      </c>
      <c r="G57" s="143" t="s">
        <v>2277</v>
      </c>
      <c r="H57" s="143" t="s">
        <v>321</v>
      </c>
      <c r="I57" s="143" t="s">
        <v>917</v>
      </c>
      <c r="J57" s="143" t="s">
        <v>204</v>
      </c>
      <c r="K57" s="143" t="s">
        <v>204</v>
      </c>
      <c r="L57" s="143" t="s">
        <v>325</v>
      </c>
      <c r="M57" s="143" t="s">
        <v>340</v>
      </c>
      <c r="N57" s="143" t="s">
        <v>437</v>
      </c>
      <c r="O57" s="143" t="s">
        <v>339</v>
      </c>
      <c r="P57" s="143" t="s">
        <v>1210</v>
      </c>
      <c r="Q57" s="144">
        <v>2724</v>
      </c>
      <c r="R57" s="145" t="s">
        <v>3930</v>
      </c>
      <c r="S57" s="143" t="s">
        <v>2278</v>
      </c>
      <c r="T57" s="145" t="s">
        <v>3930</v>
      </c>
      <c r="U57" s="144">
        <v>458.99400000000003</v>
      </c>
      <c r="V57" s="146">
        <v>1.0117566945032232E-4</v>
      </c>
      <c r="W57" s="146">
        <v>2.9312300801450321E-3</v>
      </c>
      <c r="X57" s="147">
        <v>6.6585710125346205E-4</v>
      </c>
      <c r="Y57" s="180"/>
    </row>
    <row r="58" spans="1:25" ht="15" x14ac:dyDescent="0.2">
      <c r="A58" s="142" t="s">
        <v>1205</v>
      </c>
      <c r="B58" s="143" t="s">
        <v>1205</v>
      </c>
      <c r="C58" s="143" t="s">
        <v>2279</v>
      </c>
      <c r="D58" s="143" t="s">
        <v>2280</v>
      </c>
      <c r="E58" s="143" t="s">
        <v>309</v>
      </c>
      <c r="F58" s="143" t="s">
        <v>2281</v>
      </c>
      <c r="G58" s="143" t="s">
        <v>2282</v>
      </c>
      <c r="H58" s="143" t="s">
        <v>321</v>
      </c>
      <c r="I58" s="143" t="s">
        <v>917</v>
      </c>
      <c r="J58" s="143" t="s">
        <v>204</v>
      </c>
      <c r="K58" s="143" t="s">
        <v>204</v>
      </c>
      <c r="L58" s="143" t="s">
        <v>325</v>
      </c>
      <c r="M58" s="143" t="s">
        <v>340</v>
      </c>
      <c r="N58" s="143" t="s">
        <v>476</v>
      </c>
      <c r="O58" s="143" t="s">
        <v>339</v>
      </c>
      <c r="P58" s="143" t="s">
        <v>1210</v>
      </c>
      <c r="Q58" s="144">
        <v>8871</v>
      </c>
      <c r="R58" s="145" t="s">
        <v>3930</v>
      </c>
      <c r="S58" s="143" t="s">
        <v>2283</v>
      </c>
      <c r="T58" s="145" t="s">
        <v>3930</v>
      </c>
      <c r="U58" s="144">
        <v>446.12259999999998</v>
      </c>
      <c r="V58" s="146">
        <v>1.2351007015012775E-4</v>
      </c>
      <c r="W58" s="146">
        <v>2.8490306087665838E-3</v>
      </c>
      <c r="X58" s="147">
        <v>6.4718470084813027E-4</v>
      </c>
      <c r="Y58" s="180"/>
    </row>
    <row r="59" spans="1:25" ht="15" x14ac:dyDescent="0.2">
      <c r="A59" s="142" t="s">
        <v>1205</v>
      </c>
      <c r="B59" s="143" t="s">
        <v>1205</v>
      </c>
      <c r="C59" s="143" t="s">
        <v>1610</v>
      </c>
      <c r="D59" s="143" t="s">
        <v>1611</v>
      </c>
      <c r="E59" s="143" t="s">
        <v>309</v>
      </c>
      <c r="F59" s="143" t="s">
        <v>2284</v>
      </c>
      <c r="G59" s="143" t="s">
        <v>2285</v>
      </c>
      <c r="H59" s="143" t="s">
        <v>321</v>
      </c>
      <c r="I59" s="143" t="s">
        <v>917</v>
      </c>
      <c r="J59" s="143" t="s">
        <v>204</v>
      </c>
      <c r="K59" s="143" t="s">
        <v>204</v>
      </c>
      <c r="L59" s="143" t="s">
        <v>325</v>
      </c>
      <c r="M59" s="143" t="s">
        <v>340</v>
      </c>
      <c r="N59" s="143" t="s">
        <v>440</v>
      </c>
      <c r="O59" s="143" t="s">
        <v>339</v>
      </c>
      <c r="P59" s="143" t="s">
        <v>1210</v>
      </c>
      <c r="Q59" s="144">
        <v>1076</v>
      </c>
      <c r="R59" s="145" t="s">
        <v>3930</v>
      </c>
      <c r="S59" s="143" t="s">
        <v>2286</v>
      </c>
      <c r="T59" s="144">
        <v>23.677900000000001</v>
      </c>
      <c r="U59" s="144">
        <v>445.3623</v>
      </c>
      <c r="V59" s="146">
        <v>7.8096019055428655E-5</v>
      </c>
      <c r="W59" s="146">
        <v>2.9953875626065845E-3</v>
      </c>
      <c r="X59" s="147">
        <v>6.8043109037322963E-4</v>
      </c>
      <c r="Y59" s="180"/>
    </row>
    <row r="60" spans="1:25" ht="15" x14ac:dyDescent="0.2">
      <c r="A60" s="142" t="s">
        <v>1205</v>
      </c>
      <c r="B60" s="143" t="s">
        <v>1205</v>
      </c>
      <c r="C60" s="143" t="s">
        <v>2287</v>
      </c>
      <c r="D60" s="143" t="s">
        <v>2288</v>
      </c>
      <c r="E60" s="143" t="s">
        <v>309</v>
      </c>
      <c r="F60" s="143" t="s">
        <v>2289</v>
      </c>
      <c r="G60" s="143" t="s">
        <v>2290</v>
      </c>
      <c r="H60" s="143" t="s">
        <v>321</v>
      </c>
      <c r="I60" s="143" t="s">
        <v>917</v>
      </c>
      <c r="J60" s="143" t="s">
        <v>204</v>
      </c>
      <c r="K60" s="143" t="s">
        <v>204</v>
      </c>
      <c r="L60" s="143" t="s">
        <v>325</v>
      </c>
      <c r="M60" s="143" t="s">
        <v>340</v>
      </c>
      <c r="N60" s="143" t="s">
        <v>441</v>
      </c>
      <c r="O60" s="143" t="s">
        <v>339</v>
      </c>
      <c r="P60" s="143" t="s">
        <v>1210</v>
      </c>
      <c r="Q60" s="144">
        <v>28771</v>
      </c>
      <c r="R60" s="145" t="s">
        <v>3930</v>
      </c>
      <c r="S60" s="143" t="s">
        <v>2291</v>
      </c>
      <c r="T60" s="145" t="s">
        <v>3930</v>
      </c>
      <c r="U60" s="144">
        <v>387.8331</v>
      </c>
      <c r="V60" s="146">
        <v>5.2360606255926429E-5</v>
      </c>
      <c r="W60" s="146">
        <v>2.4767818101572017E-3</v>
      </c>
      <c r="X60" s="147">
        <v>5.6262480646588416E-4</v>
      </c>
      <c r="Y60" s="180"/>
    </row>
    <row r="61" spans="1:25" ht="15" x14ac:dyDescent="0.2">
      <c r="A61" s="142" t="s">
        <v>1205</v>
      </c>
      <c r="B61" s="143" t="s">
        <v>1205</v>
      </c>
      <c r="C61" s="143" t="s">
        <v>1820</v>
      </c>
      <c r="D61" s="143" t="s">
        <v>1821</v>
      </c>
      <c r="E61" s="143" t="s">
        <v>309</v>
      </c>
      <c r="F61" s="143" t="s">
        <v>2292</v>
      </c>
      <c r="G61" s="143" t="s">
        <v>2293</v>
      </c>
      <c r="H61" s="143" t="s">
        <v>321</v>
      </c>
      <c r="I61" s="143" t="s">
        <v>917</v>
      </c>
      <c r="J61" s="143" t="s">
        <v>204</v>
      </c>
      <c r="K61" s="143" t="s">
        <v>204</v>
      </c>
      <c r="L61" s="143" t="s">
        <v>325</v>
      </c>
      <c r="M61" s="143" t="s">
        <v>340</v>
      </c>
      <c r="N61" s="143" t="s">
        <v>454</v>
      </c>
      <c r="O61" s="143" t="s">
        <v>339</v>
      </c>
      <c r="P61" s="143" t="s">
        <v>1210</v>
      </c>
      <c r="Q61" s="144">
        <v>236093.9</v>
      </c>
      <c r="R61" s="145" t="s">
        <v>3930</v>
      </c>
      <c r="S61" s="143" t="s">
        <v>2294</v>
      </c>
      <c r="T61" s="145" t="s">
        <v>3930</v>
      </c>
      <c r="U61" s="144">
        <v>382.23599999999999</v>
      </c>
      <c r="V61" s="146">
        <v>9.0953777751661313E-5</v>
      </c>
      <c r="W61" s="146">
        <v>2.4410378600961263E-3</v>
      </c>
      <c r="X61" s="147">
        <v>5.5450522447324897E-4</v>
      </c>
      <c r="Y61" s="180"/>
    </row>
    <row r="62" spans="1:25" ht="15" x14ac:dyDescent="0.2">
      <c r="A62" s="142" t="s">
        <v>1205</v>
      </c>
      <c r="B62" s="143" t="s">
        <v>1205</v>
      </c>
      <c r="C62" s="143" t="s">
        <v>2295</v>
      </c>
      <c r="D62" s="143" t="s">
        <v>2296</v>
      </c>
      <c r="E62" s="143" t="s">
        <v>309</v>
      </c>
      <c r="F62" s="143" t="s">
        <v>2297</v>
      </c>
      <c r="G62" s="143" t="s">
        <v>2298</v>
      </c>
      <c r="H62" s="143" t="s">
        <v>321</v>
      </c>
      <c r="I62" s="143" t="s">
        <v>917</v>
      </c>
      <c r="J62" s="143" t="s">
        <v>204</v>
      </c>
      <c r="K62" s="143" t="s">
        <v>204</v>
      </c>
      <c r="L62" s="143" t="s">
        <v>325</v>
      </c>
      <c r="M62" s="143" t="s">
        <v>340</v>
      </c>
      <c r="N62" s="143" t="s">
        <v>447</v>
      </c>
      <c r="O62" s="143" t="s">
        <v>339</v>
      </c>
      <c r="P62" s="143" t="s">
        <v>1210</v>
      </c>
      <c r="Q62" s="144">
        <v>21799</v>
      </c>
      <c r="R62" s="145" t="s">
        <v>3930</v>
      </c>
      <c r="S62" s="143" t="s">
        <v>2299</v>
      </c>
      <c r="T62" s="145" t="s">
        <v>3930</v>
      </c>
      <c r="U62" s="144">
        <v>381.48250000000002</v>
      </c>
      <c r="V62" s="146">
        <v>1.0324431586853673E-4</v>
      </c>
      <c r="W62" s="146">
        <v>2.436225700224681E-3</v>
      </c>
      <c r="X62" s="147">
        <v>5.5341209608169998E-4</v>
      </c>
      <c r="Y62" s="180"/>
    </row>
    <row r="63" spans="1:25" ht="15" x14ac:dyDescent="0.2">
      <c r="A63" s="142" t="s">
        <v>1205</v>
      </c>
      <c r="B63" s="143" t="s">
        <v>1205</v>
      </c>
      <c r="C63" s="143" t="s">
        <v>2300</v>
      </c>
      <c r="D63" s="143" t="s">
        <v>2301</v>
      </c>
      <c r="E63" s="143" t="s">
        <v>309</v>
      </c>
      <c r="F63" s="143" t="s">
        <v>2302</v>
      </c>
      <c r="G63" s="143" t="s">
        <v>2303</v>
      </c>
      <c r="H63" s="143" t="s">
        <v>321</v>
      </c>
      <c r="I63" s="143" t="s">
        <v>917</v>
      </c>
      <c r="J63" s="143" t="s">
        <v>204</v>
      </c>
      <c r="K63" s="143" t="s">
        <v>204</v>
      </c>
      <c r="L63" s="143" t="s">
        <v>325</v>
      </c>
      <c r="M63" s="143" t="s">
        <v>340</v>
      </c>
      <c r="N63" s="143" t="s">
        <v>465</v>
      </c>
      <c r="O63" s="143" t="s">
        <v>339</v>
      </c>
      <c r="P63" s="143" t="s">
        <v>1210</v>
      </c>
      <c r="Q63" s="144">
        <v>6775</v>
      </c>
      <c r="R63" s="145" t="s">
        <v>3930</v>
      </c>
      <c r="S63" s="143" t="s">
        <v>2304</v>
      </c>
      <c r="T63" s="145" t="s">
        <v>3930</v>
      </c>
      <c r="U63" s="144">
        <v>377.36750000000001</v>
      </c>
      <c r="V63" s="146">
        <v>9.1628773604248312E-5</v>
      </c>
      <c r="W63" s="146">
        <v>2.4099464639388106E-3</v>
      </c>
      <c r="X63" s="147">
        <v>5.4744251484173173E-4</v>
      </c>
      <c r="Y63" s="180"/>
    </row>
    <row r="64" spans="1:25" ht="15" x14ac:dyDescent="0.2">
      <c r="A64" s="142" t="s">
        <v>1205</v>
      </c>
      <c r="B64" s="143" t="s">
        <v>1205</v>
      </c>
      <c r="C64" s="143" t="s">
        <v>2305</v>
      </c>
      <c r="D64" s="143" t="s">
        <v>2306</v>
      </c>
      <c r="E64" s="143" t="s">
        <v>309</v>
      </c>
      <c r="F64" s="143" t="s">
        <v>2307</v>
      </c>
      <c r="G64" s="143" t="s">
        <v>2308</v>
      </c>
      <c r="H64" s="143" t="s">
        <v>321</v>
      </c>
      <c r="I64" s="143" t="s">
        <v>917</v>
      </c>
      <c r="J64" s="143" t="s">
        <v>204</v>
      </c>
      <c r="K64" s="143" t="s">
        <v>204</v>
      </c>
      <c r="L64" s="143" t="s">
        <v>325</v>
      </c>
      <c r="M64" s="143" t="s">
        <v>340</v>
      </c>
      <c r="N64" s="143" t="s">
        <v>465</v>
      </c>
      <c r="O64" s="143" t="s">
        <v>339</v>
      </c>
      <c r="P64" s="143" t="s">
        <v>1210</v>
      </c>
      <c r="Q64" s="144">
        <v>63085</v>
      </c>
      <c r="R64" s="145" t="s">
        <v>3930</v>
      </c>
      <c r="S64" s="143" t="s">
        <v>2309</v>
      </c>
      <c r="T64" s="145" t="s">
        <v>3930</v>
      </c>
      <c r="U64" s="144">
        <v>350.75259999999997</v>
      </c>
      <c r="V64" s="146">
        <v>9.2709001705325398E-4</v>
      </c>
      <c r="W64" s="146">
        <v>2.2399782389510067E-3</v>
      </c>
      <c r="X64" s="147">
        <v>5.0883259801460384E-4</v>
      </c>
      <c r="Y64" s="180"/>
    </row>
    <row r="65" spans="1:25" ht="15" x14ac:dyDescent="0.2">
      <c r="A65" s="142" t="s">
        <v>1205</v>
      </c>
      <c r="B65" s="143" t="s">
        <v>1205</v>
      </c>
      <c r="C65" s="143" t="s">
        <v>2310</v>
      </c>
      <c r="D65" s="143" t="s">
        <v>2311</v>
      </c>
      <c r="E65" s="143" t="s">
        <v>309</v>
      </c>
      <c r="F65" s="143" t="s">
        <v>2312</v>
      </c>
      <c r="G65" s="143" t="s">
        <v>2313</v>
      </c>
      <c r="H65" s="143" t="s">
        <v>321</v>
      </c>
      <c r="I65" s="143" t="s">
        <v>917</v>
      </c>
      <c r="J65" s="143" t="s">
        <v>204</v>
      </c>
      <c r="K65" s="143" t="s">
        <v>204</v>
      </c>
      <c r="L65" s="143" t="s">
        <v>325</v>
      </c>
      <c r="M65" s="143" t="s">
        <v>340</v>
      </c>
      <c r="N65" s="143" t="s">
        <v>465</v>
      </c>
      <c r="O65" s="143" t="s">
        <v>339</v>
      </c>
      <c r="P65" s="143" t="s">
        <v>1210</v>
      </c>
      <c r="Q65" s="144">
        <v>3805</v>
      </c>
      <c r="R65" s="145" t="s">
        <v>3930</v>
      </c>
      <c r="S65" s="143" t="s">
        <v>2314</v>
      </c>
      <c r="T65" s="145" t="s">
        <v>3930</v>
      </c>
      <c r="U65" s="144">
        <v>345.49400000000003</v>
      </c>
      <c r="V65" s="146">
        <v>1.8507138794396827E-4</v>
      </c>
      <c r="W65" s="146">
        <v>2.2063957378737581E-3</v>
      </c>
      <c r="X65" s="147">
        <v>5.012040099444952E-4</v>
      </c>
      <c r="Y65" s="180"/>
    </row>
    <row r="66" spans="1:25" ht="15" x14ac:dyDescent="0.2">
      <c r="A66" s="142" t="s">
        <v>1205</v>
      </c>
      <c r="B66" s="143" t="s">
        <v>1205</v>
      </c>
      <c r="C66" s="143" t="s">
        <v>2315</v>
      </c>
      <c r="D66" s="143" t="s">
        <v>2316</v>
      </c>
      <c r="E66" s="143" t="s">
        <v>309</v>
      </c>
      <c r="F66" s="143" t="s">
        <v>2317</v>
      </c>
      <c r="G66" s="143" t="s">
        <v>2318</v>
      </c>
      <c r="H66" s="143" t="s">
        <v>321</v>
      </c>
      <c r="I66" s="143" t="s">
        <v>917</v>
      </c>
      <c r="J66" s="143" t="s">
        <v>204</v>
      </c>
      <c r="K66" s="143" t="s">
        <v>204</v>
      </c>
      <c r="L66" s="143" t="s">
        <v>325</v>
      </c>
      <c r="M66" s="143" t="s">
        <v>340</v>
      </c>
      <c r="N66" s="143" t="s">
        <v>475</v>
      </c>
      <c r="O66" s="143" t="s">
        <v>339</v>
      </c>
      <c r="P66" s="143" t="s">
        <v>1210</v>
      </c>
      <c r="Q66" s="144">
        <v>5544</v>
      </c>
      <c r="R66" s="145" t="s">
        <v>3930</v>
      </c>
      <c r="S66" s="143" t="s">
        <v>2319</v>
      </c>
      <c r="T66" s="145" t="s">
        <v>3930</v>
      </c>
      <c r="U66" s="144">
        <v>344.78140000000002</v>
      </c>
      <c r="V66" s="146">
        <v>2.2167170372697147E-4</v>
      </c>
      <c r="W66" s="146">
        <v>2.2018446722730867E-3</v>
      </c>
      <c r="X66" s="147">
        <v>5.0017019162739893E-4</v>
      </c>
      <c r="Y66" s="180"/>
    </row>
    <row r="67" spans="1:25" ht="15" x14ac:dyDescent="0.2">
      <c r="A67" s="142" t="s">
        <v>1205</v>
      </c>
      <c r="B67" s="143" t="s">
        <v>1205</v>
      </c>
      <c r="C67" s="143" t="s">
        <v>1753</v>
      </c>
      <c r="D67" s="143" t="s">
        <v>1754</v>
      </c>
      <c r="E67" s="143" t="s">
        <v>309</v>
      </c>
      <c r="F67" s="143" t="s">
        <v>2320</v>
      </c>
      <c r="G67" s="143" t="s">
        <v>2321</v>
      </c>
      <c r="H67" s="143" t="s">
        <v>321</v>
      </c>
      <c r="I67" s="143" t="s">
        <v>917</v>
      </c>
      <c r="J67" s="143" t="s">
        <v>204</v>
      </c>
      <c r="K67" s="143" t="s">
        <v>204</v>
      </c>
      <c r="L67" s="143" t="s">
        <v>325</v>
      </c>
      <c r="M67" s="143" t="s">
        <v>340</v>
      </c>
      <c r="N67" s="143" t="s">
        <v>440</v>
      </c>
      <c r="O67" s="143" t="s">
        <v>339</v>
      </c>
      <c r="P67" s="143" t="s">
        <v>1210</v>
      </c>
      <c r="Q67" s="144">
        <v>328196</v>
      </c>
      <c r="R67" s="145" t="s">
        <v>3930</v>
      </c>
      <c r="S67" s="143" t="s">
        <v>2322</v>
      </c>
      <c r="T67" s="145" t="s">
        <v>3930</v>
      </c>
      <c r="U67" s="144">
        <v>315.39640000000003</v>
      </c>
      <c r="V67" s="146">
        <v>1.0203463972241678E-4</v>
      </c>
      <c r="W67" s="146">
        <v>2.01418599344508E-3</v>
      </c>
      <c r="X67" s="147">
        <v>4.5754171808795965E-4</v>
      </c>
      <c r="Y67" s="180"/>
    </row>
    <row r="68" spans="1:25" ht="15" x14ac:dyDescent="0.2">
      <c r="A68" s="142" t="s">
        <v>1205</v>
      </c>
      <c r="B68" s="143" t="s">
        <v>1205</v>
      </c>
      <c r="C68" s="143" t="s">
        <v>1658</v>
      </c>
      <c r="D68" s="143" t="s">
        <v>1659</v>
      </c>
      <c r="E68" s="143" t="s">
        <v>309</v>
      </c>
      <c r="F68" s="143" t="s">
        <v>2323</v>
      </c>
      <c r="G68" s="143" t="s">
        <v>2324</v>
      </c>
      <c r="H68" s="143" t="s">
        <v>321</v>
      </c>
      <c r="I68" s="143" t="s">
        <v>917</v>
      </c>
      <c r="J68" s="143" t="s">
        <v>204</v>
      </c>
      <c r="K68" s="143" t="s">
        <v>204</v>
      </c>
      <c r="L68" s="143" t="s">
        <v>325</v>
      </c>
      <c r="M68" s="143" t="s">
        <v>340</v>
      </c>
      <c r="N68" s="143" t="s">
        <v>447</v>
      </c>
      <c r="O68" s="143" t="s">
        <v>339</v>
      </c>
      <c r="P68" s="143" t="s">
        <v>1210</v>
      </c>
      <c r="Q68" s="144">
        <v>7000</v>
      </c>
      <c r="R68" s="145" t="s">
        <v>3930</v>
      </c>
      <c r="S68" s="143" t="s">
        <v>2325</v>
      </c>
      <c r="T68" s="145" t="s">
        <v>3930</v>
      </c>
      <c r="U68" s="144">
        <v>315</v>
      </c>
      <c r="V68" s="146">
        <v>1.1428399023009024E-4</v>
      </c>
      <c r="W68" s="146">
        <v>2.0116547825149897E-3</v>
      </c>
      <c r="X68" s="147">
        <v>4.5696672918347635E-4</v>
      </c>
      <c r="Y68" s="180"/>
    </row>
    <row r="69" spans="1:25" ht="15" x14ac:dyDescent="0.2">
      <c r="A69" s="142" t="s">
        <v>1205</v>
      </c>
      <c r="B69" s="143" t="s">
        <v>1205</v>
      </c>
      <c r="C69" s="143" t="s">
        <v>2326</v>
      </c>
      <c r="D69" s="143" t="s">
        <v>2327</v>
      </c>
      <c r="E69" s="143" t="s">
        <v>309</v>
      </c>
      <c r="F69" s="143" t="s">
        <v>2328</v>
      </c>
      <c r="G69" s="143" t="s">
        <v>2329</v>
      </c>
      <c r="H69" s="143" t="s">
        <v>321</v>
      </c>
      <c r="I69" s="143" t="s">
        <v>917</v>
      </c>
      <c r="J69" s="143" t="s">
        <v>204</v>
      </c>
      <c r="K69" s="143" t="s">
        <v>204</v>
      </c>
      <c r="L69" s="143" t="s">
        <v>325</v>
      </c>
      <c r="M69" s="143" t="s">
        <v>340</v>
      </c>
      <c r="N69" s="143" t="s">
        <v>464</v>
      </c>
      <c r="O69" s="143" t="s">
        <v>339</v>
      </c>
      <c r="P69" s="143" t="s">
        <v>1210</v>
      </c>
      <c r="Q69" s="144">
        <v>18131</v>
      </c>
      <c r="R69" s="145" t="s">
        <v>3930</v>
      </c>
      <c r="S69" s="143" t="s">
        <v>2330</v>
      </c>
      <c r="T69" s="145" t="s">
        <v>3930</v>
      </c>
      <c r="U69" s="144">
        <v>274.322</v>
      </c>
      <c r="V69" s="146">
        <v>9.3157711257614874E-5</v>
      </c>
      <c r="W69" s="146">
        <v>1.7518769003133984E-3</v>
      </c>
      <c r="X69" s="147">
        <v>3.9795568505419514E-4</v>
      </c>
      <c r="Y69" s="180"/>
    </row>
    <row r="70" spans="1:25" ht="15" x14ac:dyDescent="0.2">
      <c r="A70" s="142" t="s">
        <v>1205</v>
      </c>
      <c r="B70" s="143" t="s">
        <v>1205</v>
      </c>
      <c r="C70" s="143" t="s">
        <v>2331</v>
      </c>
      <c r="D70" s="143" t="s">
        <v>2332</v>
      </c>
      <c r="E70" s="143" t="s">
        <v>309</v>
      </c>
      <c r="F70" s="143" t="s">
        <v>2333</v>
      </c>
      <c r="G70" s="143" t="s">
        <v>2334</v>
      </c>
      <c r="H70" s="143" t="s">
        <v>321</v>
      </c>
      <c r="I70" s="143" t="s">
        <v>917</v>
      </c>
      <c r="J70" s="143" t="s">
        <v>204</v>
      </c>
      <c r="K70" s="143" t="s">
        <v>204</v>
      </c>
      <c r="L70" s="143" t="s">
        <v>325</v>
      </c>
      <c r="M70" s="143" t="s">
        <v>340</v>
      </c>
      <c r="N70" s="143" t="s">
        <v>448</v>
      </c>
      <c r="O70" s="143" t="s">
        <v>339</v>
      </c>
      <c r="P70" s="143" t="s">
        <v>1210</v>
      </c>
      <c r="Q70" s="144">
        <v>1663</v>
      </c>
      <c r="R70" s="145" t="s">
        <v>3930</v>
      </c>
      <c r="S70" s="143" t="s">
        <v>2335</v>
      </c>
      <c r="T70" s="145" t="s">
        <v>3930</v>
      </c>
      <c r="U70" s="144">
        <v>272.23309999999998</v>
      </c>
      <c r="V70" s="146">
        <v>4.6907649190582141E-5</v>
      </c>
      <c r="W70" s="146">
        <v>1.7385365637266077E-3</v>
      </c>
      <c r="X70" s="147">
        <v>3.9492529930945468E-4</v>
      </c>
      <c r="Y70" s="180"/>
    </row>
    <row r="71" spans="1:25" ht="15" x14ac:dyDescent="0.2">
      <c r="A71" s="142" t="s">
        <v>1205</v>
      </c>
      <c r="B71" s="143" t="s">
        <v>1205</v>
      </c>
      <c r="C71" s="143" t="s">
        <v>2336</v>
      </c>
      <c r="D71" s="143" t="s">
        <v>2337</v>
      </c>
      <c r="E71" s="143" t="s">
        <v>309</v>
      </c>
      <c r="F71" s="143" t="s">
        <v>2338</v>
      </c>
      <c r="G71" s="143" t="s">
        <v>2339</v>
      </c>
      <c r="H71" s="143" t="s">
        <v>321</v>
      </c>
      <c r="I71" s="143" t="s">
        <v>917</v>
      </c>
      <c r="J71" s="143" t="s">
        <v>204</v>
      </c>
      <c r="K71" s="143" t="s">
        <v>204</v>
      </c>
      <c r="L71" s="143" t="s">
        <v>325</v>
      </c>
      <c r="M71" s="143" t="s">
        <v>340</v>
      </c>
      <c r="N71" s="143" t="s">
        <v>462</v>
      </c>
      <c r="O71" s="143" t="s">
        <v>339</v>
      </c>
      <c r="P71" s="143" t="s">
        <v>1210</v>
      </c>
      <c r="Q71" s="144">
        <v>1324</v>
      </c>
      <c r="R71" s="145" t="s">
        <v>3930</v>
      </c>
      <c r="S71" s="143" t="s">
        <v>2340</v>
      </c>
      <c r="T71" s="145" t="s">
        <v>3930</v>
      </c>
      <c r="U71" s="144">
        <v>264.66759999999999</v>
      </c>
      <c r="V71" s="146">
        <v>1.5420450102440007E-4</v>
      </c>
      <c r="W71" s="146">
        <v>1.6902217248151246E-3</v>
      </c>
      <c r="X71" s="147">
        <v>3.8395011902489094E-4</v>
      </c>
      <c r="Y71" s="180"/>
    </row>
    <row r="72" spans="1:25" ht="15" x14ac:dyDescent="0.2">
      <c r="A72" s="142" t="s">
        <v>1205</v>
      </c>
      <c r="B72" s="143" t="s">
        <v>1205</v>
      </c>
      <c r="C72" s="143" t="s">
        <v>2341</v>
      </c>
      <c r="D72" s="143" t="s">
        <v>2342</v>
      </c>
      <c r="E72" s="143" t="s">
        <v>309</v>
      </c>
      <c r="F72" s="143" t="s">
        <v>2343</v>
      </c>
      <c r="G72" s="143" t="s">
        <v>2344</v>
      </c>
      <c r="H72" s="143" t="s">
        <v>321</v>
      </c>
      <c r="I72" s="143" t="s">
        <v>917</v>
      </c>
      <c r="J72" s="143" t="s">
        <v>204</v>
      </c>
      <c r="K72" s="143" t="s">
        <v>204</v>
      </c>
      <c r="L72" s="143" t="s">
        <v>325</v>
      </c>
      <c r="M72" s="143" t="s">
        <v>340</v>
      </c>
      <c r="N72" s="143" t="s">
        <v>446</v>
      </c>
      <c r="O72" s="143" t="s">
        <v>339</v>
      </c>
      <c r="P72" s="143" t="s">
        <v>1210</v>
      </c>
      <c r="Q72" s="144">
        <v>10868</v>
      </c>
      <c r="R72" s="145" t="s">
        <v>3930</v>
      </c>
      <c r="S72" s="143" t="s">
        <v>2345</v>
      </c>
      <c r="T72" s="145" t="s">
        <v>3930</v>
      </c>
      <c r="U72" s="144">
        <v>255.61539999999999</v>
      </c>
      <c r="V72" s="146">
        <v>4.3499566545311094E-4</v>
      </c>
      <c r="W72" s="146">
        <v>1.6324122585025104E-3</v>
      </c>
      <c r="X72" s="147">
        <v>3.708181428198629E-4</v>
      </c>
      <c r="Y72" s="180"/>
    </row>
    <row r="73" spans="1:25" ht="15" x14ac:dyDescent="0.2">
      <c r="A73" s="142" t="s">
        <v>1205</v>
      </c>
      <c r="B73" s="143" t="s">
        <v>1205</v>
      </c>
      <c r="C73" s="143" t="s">
        <v>2346</v>
      </c>
      <c r="D73" s="143" t="s">
        <v>2347</v>
      </c>
      <c r="E73" s="143" t="s">
        <v>309</v>
      </c>
      <c r="F73" s="143" t="s">
        <v>2348</v>
      </c>
      <c r="G73" s="143" t="s">
        <v>2349</v>
      </c>
      <c r="H73" s="143" t="s">
        <v>321</v>
      </c>
      <c r="I73" s="143" t="s">
        <v>917</v>
      </c>
      <c r="J73" s="143" t="s">
        <v>204</v>
      </c>
      <c r="K73" s="143" t="s">
        <v>204</v>
      </c>
      <c r="L73" s="143" t="s">
        <v>325</v>
      </c>
      <c r="M73" s="143" t="s">
        <v>340</v>
      </c>
      <c r="N73" s="143" t="s">
        <v>473</v>
      </c>
      <c r="O73" s="143" t="s">
        <v>339</v>
      </c>
      <c r="P73" s="143" t="s">
        <v>1210</v>
      </c>
      <c r="Q73" s="144">
        <v>29792.22</v>
      </c>
      <c r="R73" s="145" t="s">
        <v>3930</v>
      </c>
      <c r="S73" s="143" t="s">
        <v>2350</v>
      </c>
      <c r="T73" s="144">
        <v>5.4295</v>
      </c>
      <c r="U73" s="144">
        <v>255.02870000000001</v>
      </c>
      <c r="V73" s="146">
        <v>2.7127700869480464E-4</v>
      </c>
      <c r="W73" s="146">
        <v>1.6633398807988792E-3</v>
      </c>
      <c r="X73" s="147">
        <v>3.7784364964391374E-4</v>
      </c>
      <c r="Y73" s="180"/>
    </row>
    <row r="74" spans="1:25" ht="15" x14ac:dyDescent="0.2">
      <c r="A74" s="142" t="s">
        <v>1205</v>
      </c>
      <c r="B74" s="143" t="s">
        <v>1205</v>
      </c>
      <c r="C74" s="143" t="s">
        <v>2351</v>
      </c>
      <c r="D74" s="143" t="s">
        <v>2352</v>
      </c>
      <c r="E74" s="143" t="s">
        <v>309</v>
      </c>
      <c r="F74" s="143" t="s">
        <v>2353</v>
      </c>
      <c r="G74" s="143" t="s">
        <v>2354</v>
      </c>
      <c r="H74" s="143" t="s">
        <v>321</v>
      </c>
      <c r="I74" s="143" t="s">
        <v>917</v>
      </c>
      <c r="J74" s="143" t="s">
        <v>204</v>
      </c>
      <c r="K74" s="143" t="s">
        <v>204</v>
      </c>
      <c r="L74" s="143" t="s">
        <v>325</v>
      </c>
      <c r="M74" s="143" t="s">
        <v>340</v>
      </c>
      <c r="N74" s="143" t="s">
        <v>451</v>
      </c>
      <c r="O74" s="143" t="s">
        <v>339</v>
      </c>
      <c r="P74" s="143" t="s">
        <v>1210</v>
      </c>
      <c r="Q74" s="144">
        <v>714000</v>
      </c>
      <c r="R74" s="145" t="s">
        <v>3930</v>
      </c>
      <c r="S74" s="143" t="s">
        <v>2355</v>
      </c>
      <c r="T74" s="145" t="s">
        <v>3930</v>
      </c>
      <c r="U74" s="144">
        <v>242.76</v>
      </c>
      <c r="V74" s="146">
        <v>2.3227641491958911E-3</v>
      </c>
      <c r="W74" s="146">
        <v>1.5503152857248854E-3</v>
      </c>
      <c r="X74" s="147">
        <v>3.5216902595739909E-4</v>
      </c>
      <c r="Y74" s="180"/>
    </row>
    <row r="75" spans="1:25" ht="15" x14ac:dyDescent="0.2">
      <c r="A75" s="142" t="s">
        <v>1205</v>
      </c>
      <c r="B75" s="143" t="s">
        <v>1205</v>
      </c>
      <c r="C75" s="143" t="s">
        <v>2356</v>
      </c>
      <c r="D75" s="143" t="s">
        <v>2357</v>
      </c>
      <c r="E75" s="143" t="s">
        <v>309</v>
      </c>
      <c r="F75" s="143" t="s">
        <v>2358</v>
      </c>
      <c r="G75" s="143" t="s">
        <v>2359</v>
      </c>
      <c r="H75" s="143" t="s">
        <v>321</v>
      </c>
      <c r="I75" s="143" t="s">
        <v>917</v>
      </c>
      <c r="J75" s="143" t="s">
        <v>204</v>
      </c>
      <c r="K75" s="143" t="s">
        <v>204</v>
      </c>
      <c r="L75" s="143" t="s">
        <v>325</v>
      </c>
      <c r="M75" s="143" t="s">
        <v>340</v>
      </c>
      <c r="N75" s="143" t="s">
        <v>480</v>
      </c>
      <c r="O75" s="143" t="s">
        <v>339</v>
      </c>
      <c r="P75" s="143" t="s">
        <v>1210</v>
      </c>
      <c r="Q75" s="144">
        <v>8042</v>
      </c>
      <c r="R75" s="145" t="s">
        <v>3930</v>
      </c>
      <c r="S75" s="143" t="s">
        <v>2360</v>
      </c>
      <c r="T75" s="145" t="s">
        <v>3930</v>
      </c>
      <c r="U75" s="144">
        <v>236.00450000000001</v>
      </c>
      <c r="V75" s="146">
        <v>1.8005955712782393E-4</v>
      </c>
      <c r="W75" s="146">
        <v>1.5071730945832539E-3</v>
      </c>
      <c r="X75" s="147">
        <v>3.4236886235718513E-4</v>
      </c>
      <c r="Y75" s="180"/>
    </row>
    <row r="76" spans="1:25" ht="15" x14ac:dyDescent="0.2">
      <c r="A76" s="142" t="s">
        <v>1205</v>
      </c>
      <c r="B76" s="143" t="s">
        <v>1205</v>
      </c>
      <c r="C76" s="143" t="s">
        <v>1555</v>
      </c>
      <c r="D76" s="143" t="s">
        <v>1556</v>
      </c>
      <c r="E76" s="143" t="s">
        <v>309</v>
      </c>
      <c r="F76" s="143" t="s">
        <v>2361</v>
      </c>
      <c r="G76" s="143" t="s">
        <v>2362</v>
      </c>
      <c r="H76" s="143" t="s">
        <v>321</v>
      </c>
      <c r="I76" s="143" t="s">
        <v>917</v>
      </c>
      <c r="J76" s="143" t="s">
        <v>204</v>
      </c>
      <c r="K76" s="143" t="s">
        <v>204</v>
      </c>
      <c r="L76" s="143" t="s">
        <v>325</v>
      </c>
      <c r="M76" s="143" t="s">
        <v>340</v>
      </c>
      <c r="N76" s="143" t="s">
        <v>464</v>
      </c>
      <c r="O76" s="143" t="s">
        <v>339</v>
      </c>
      <c r="P76" s="143" t="s">
        <v>1210</v>
      </c>
      <c r="Q76" s="144">
        <v>13575</v>
      </c>
      <c r="R76" s="145" t="s">
        <v>3930</v>
      </c>
      <c r="S76" s="143" t="s">
        <v>2363</v>
      </c>
      <c r="T76" s="145" t="s">
        <v>3930</v>
      </c>
      <c r="U76" s="144">
        <v>218.42179999999999</v>
      </c>
      <c r="V76" s="146">
        <v>2.8791044629873147E-5</v>
      </c>
      <c r="W76" s="146">
        <v>1.3948862158501378E-3</v>
      </c>
      <c r="X76" s="147">
        <v>3.1686181803184434E-4</v>
      </c>
      <c r="Y76" s="180"/>
    </row>
    <row r="77" spans="1:25" ht="15" x14ac:dyDescent="0.2">
      <c r="A77" s="142" t="s">
        <v>1205</v>
      </c>
      <c r="B77" s="143" t="s">
        <v>1205</v>
      </c>
      <c r="C77" s="143" t="s">
        <v>2364</v>
      </c>
      <c r="D77" s="143" t="s">
        <v>2365</v>
      </c>
      <c r="E77" s="143" t="s">
        <v>309</v>
      </c>
      <c r="F77" s="143" t="s">
        <v>2366</v>
      </c>
      <c r="G77" s="143" t="s">
        <v>2367</v>
      </c>
      <c r="H77" s="143" t="s">
        <v>321</v>
      </c>
      <c r="I77" s="143" t="s">
        <v>917</v>
      </c>
      <c r="J77" s="143" t="s">
        <v>204</v>
      </c>
      <c r="K77" s="143" t="s">
        <v>204</v>
      </c>
      <c r="L77" s="143" t="s">
        <v>325</v>
      </c>
      <c r="M77" s="143" t="s">
        <v>340</v>
      </c>
      <c r="N77" s="143" t="s">
        <v>445</v>
      </c>
      <c r="O77" s="143" t="s">
        <v>339</v>
      </c>
      <c r="P77" s="143" t="s">
        <v>1210</v>
      </c>
      <c r="Q77" s="144">
        <v>9175</v>
      </c>
      <c r="R77" s="145" t="s">
        <v>3930</v>
      </c>
      <c r="S77" s="143" t="s">
        <v>2368</v>
      </c>
      <c r="T77" s="145" t="s">
        <v>3930</v>
      </c>
      <c r="U77" s="144">
        <v>191.11529999999999</v>
      </c>
      <c r="V77" s="146">
        <v>3.6760394387146529E-4</v>
      </c>
      <c r="W77" s="146">
        <v>1.2205012910287234E-3</v>
      </c>
      <c r="X77" s="147">
        <v>2.7724860536375355E-4</v>
      </c>
      <c r="Y77" s="180"/>
    </row>
    <row r="78" spans="1:25" ht="15" x14ac:dyDescent="0.2">
      <c r="A78" s="142" t="s">
        <v>1205</v>
      </c>
      <c r="B78" s="143" t="s">
        <v>1205</v>
      </c>
      <c r="C78" s="143" t="s">
        <v>2369</v>
      </c>
      <c r="D78" s="143" t="s">
        <v>2370</v>
      </c>
      <c r="E78" s="143" t="s">
        <v>309</v>
      </c>
      <c r="F78" s="143" t="s">
        <v>2371</v>
      </c>
      <c r="G78" s="143" t="s">
        <v>2372</v>
      </c>
      <c r="H78" s="143" t="s">
        <v>321</v>
      </c>
      <c r="I78" s="143" t="s">
        <v>917</v>
      </c>
      <c r="J78" s="143" t="s">
        <v>204</v>
      </c>
      <c r="K78" s="143" t="s">
        <v>204</v>
      </c>
      <c r="L78" s="143" t="s">
        <v>325</v>
      </c>
      <c r="M78" s="143" t="s">
        <v>340</v>
      </c>
      <c r="N78" s="143" t="s">
        <v>464</v>
      </c>
      <c r="O78" s="143" t="s">
        <v>339</v>
      </c>
      <c r="P78" s="143" t="s">
        <v>1210</v>
      </c>
      <c r="Q78" s="144">
        <v>100961</v>
      </c>
      <c r="R78" s="145" t="s">
        <v>3930</v>
      </c>
      <c r="S78" s="143" t="s">
        <v>2373</v>
      </c>
      <c r="T78" s="145" t="s">
        <v>3930</v>
      </c>
      <c r="U78" s="144">
        <v>179.5087</v>
      </c>
      <c r="V78" s="146">
        <v>1.3520506880389374E-4</v>
      </c>
      <c r="W78" s="146">
        <v>1.146379207519199E-3</v>
      </c>
      <c r="X78" s="147">
        <v>2.6041106129008021E-4</v>
      </c>
      <c r="Y78" s="180"/>
    </row>
    <row r="79" spans="1:25" ht="15" x14ac:dyDescent="0.2">
      <c r="A79" s="142" t="s">
        <v>1205</v>
      </c>
      <c r="B79" s="143" t="s">
        <v>1205</v>
      </c>
      <c r="C79" s="143" t="s">
        <v>2374</v>
      </c>
      <c r="D79" s="143" t="s">
        <v>2375</v>
      </c>
      <c r="E79" s="143" t="s">
        <v>309</v>
      </c>
      <c r="F79" s="143" t="s">
        <v>2376</v>
      </c>
      <c r="G79" s="143" t="s">
        <v>2377</v>
      </c>
      <c r="H79" s="143" t="s">
        <v>321</v>
      </c>
      <c r="I79" s="143" t="s">
        <v>917</v>
      </c>
      <c r="J79" s="143" t="s">
        <v>204</v>
      </c>
      <c r="K79" s="143" t="s">
        <v>204</v>
      </c>
      <c r="L79" s="143" t="s">
        <v>325</v>
      </c>
      <c r="M79" s="143" t="s">
        <v>340</v>
      </c>
      <c r="N79" s="143" t="s">
        <v>477</v>
      </c>
      <c r="O79" s="143" t="s">
        <v>339</v>
      </c>
      <c r="P79" s="143" t="s">
        <v>1210</v>
      </c>
      <c r="Q79" s="144">
        <v>44564.98</v>
      </c>
      <c r="R79" s="145" t="s">
        <v>3930</v>
      </c>
      <c r="S79" s="143" t="s">
        <v>2378</v>
      </c>
      <c r="T79" s="145" t="s">
        <v>3930</v>
      </c>
      <c r="U79" s="144">
        <v>158.38389999999998</v>
      </c>
      <c r="V79" s="146">
        <v>8.0787322984998027E-4</v>
      </c>
      <c r="W79" s="146">
        <v>1.0114724069904127E-3</v>
      </c>
      <c r="X79" s="147">
        <v>2.2976568420148539E-4</v>
      </c>
      <c r="Y79" s="180"/>
    </row>
    <row r="80" spans="1:25" ht="15" x14ac:dyDescent="0.2">
      <c r="A80" s="142" t="s">
        <v>1205</v>
      </c>
      <c r="B80" s="143" t="s">
        <v>1205</v>
      </c>
      <c r="C80" s="143" t="s">
        <v>2379</v>
      </c>
      <c r="D80" s="143" t="s">
        <v>2380</v>
      </c>
      <c r="E80" s="143" t="s">
        <v>309</v>
      </c>
      <c r="F80" s="143" t="s">
        <v>2381</v>
      </c>
      <c r="G80" s="143" t="s">
        <v>2382</v>
      </c>
      <c r="H80" s="143" t="s">
        <v>321</v>
      </c>
      <c r="I80" s="143" t="s">
        <v>917</v>
      </c>
      <c r="J80" s="143" t="s">
        <v>204</v>
      </c>
      <c r="K80" s="143" t="s">
        <v>204</v>
      </c>
      <c r="L80" s="143" t="s">
        <v>325</v>
      </c>
      <c r="M80" s="143" t="s">
        <v>340</v>
      </c>
      <c r="N80" s="143" t="s">
        <v>464</v>
      </c>
      <c r="O80" s="143" t="s">
        <v>339</v>
      </c>
      <c r="P80" s="143" t="s">
        <v>1210</v>
      </c>
      <c r="Q80" s="144">
        <v>41459.199999999997</v>
      </c>
      <c r="R80" s="145" t="s">
        <v>3930</v>
      </c>
      <c r="S80" s="143" t="s">
        <v>2383</v>
      </c>
      <c r="T80" s="145" t="s">
        <v>3930</v>
      </c>
      <c r="U80" s="144">
        <v>140.91979999999998</v>
      </c>
      <c r="V80" s="146">
        <v>4.3748557646801351E-4</v>
      </c>
      <c r="W80" s="146">
        <v>8.9994295702690579E-4</v>
      </c>
      <c r="X80" s="147">
        <v>2.0443069710507179E-4</v>
      </c>
      <c r="Y80" s="180"/>
    </row>
    <row r="81" spans="1:25" ht="15" x14ac:dyDescent="0.2">
      <c r="A81" s="142" t="s">
        <v>1205</v>
      </c>
      <c r="B81" s="143" t="s">
        <v>1205</v>
      </c>
      <c r="C81" s="143" t="s">
        <v>2384</v>
      </c>
      <c r="D81" s="143" t="s">
        <v>2385</v>
      </c>
      <c r="E81" s="143" t="s">
        <v>309</v>
      </c>
      <c r="F81" s="143" t="s">
        <v>2386</v>
      </c>
      <c r="G81" s="143" t="s">
        <v>2387</v>
      </c>
      <c r="H81" s="143" t="s">
        <v>321</v>
      </c>
      <c r="I81" s="143" t="s">
        <v>917</v>
      </c>
      <c r="J81" s="143" t="s">
        <v>204</v>
      </c>
      <c r="K81" s="143" t="s">
        <v>204</v>
      </c>
      <c r="L81" s="143" t="s">
        <v>325</v>
      </c>
      <c r="M81" s="143" t="s">
        <v>340</v>
      </c>
      <c r="N81" s="143" t="s">
        <v>460</v>
      </c>
      <c r="O81" s="143" t="s">
        <v>339</v>
      </c>
      <c r="P81" s="143" t="s">
        <v>1210</v>
      </c>
      <c r="Q81" s="144">
        <v>18700</v>
      </c>
      <c r="R81" s="145" t="s">
        <v>3930</v>
      </c>
      <c r="S81" s="143" t="s">
        <v>2388</v>
      </c>
      <c r="T81" s="145" t="s">
        <v>3930</v>
      </c>
      <c r="U81" s="144">
        <v>75.230100000000007</v>
      </c>
      <c r="V81" s="146">
        <v>3.7330560677472621E-4</v>
      </c>
      <c r="W81" s="146">
        <v>4.8043489033041564E-4</v>
      </c>
      <c r="X81" s="147">
        <v>1.0913540550205029E-4</v>
      </c>
      <c r="Y81" s="180"/>
    </row>
    <row r="82" spans="1:25" ht="15" x14ac:dyDescent="0.2">
      <c r="A82" s="142" t="s">
        <v>1205</v>
      </c>
      <c r="B82" s="143" t="s">
        <v>1205</v>
      </c>
      <c r="C82" s="143" t="s">
        <v>2389</v>
      </c>
      <c r="D82" s="143" t="s">
        <v>2390</v>
      </c>
      <c r="E82" s="143" t="s">
        <v>309</v>
      </c>
      <c r="F82" s="143" t="s">
        <v>2391</v>
      </c>
      <c r="G82" s="143" t="s">
        <v>2392</v>
      </c>
      <c r="H82" s="143" t="s">
        <v>321</v>
      </c>
      <c r="I82" s="143" t="s">
        <v>917</v>
      </c>
      <c r="J82" s="143" t="s">
        <v>204</v>
      </c>
      <c r="K82" s="143" t="s">
        <v>204</v>
      </c>
      <c r="L82" s="143" t="s">
        <v>325</v>
      </c>
      <c r="M82" s="143" t="s">
        <v>340</v>
      </c>
      <c r="N82" s="143" t="s">
        <v>440</v>
      </c>
      <c r="O82" s="143" t="s">
        <v>339</v>
      </c>
      <c r="P82" s="143" t="s">
        <v>1210</v>
      </c>
      <c r="Q82" s="144">
        <v>1076</v>
      </c>
      <c r="R82" s="145" t="s">
        <v>3930</v>
      </c>
      <c r="S82" s="143" t="s">
        <v>2393</v>
      </c>
      <c r="T82" s="145" t="s">
        <v>3930</v>
      </c>
      <c r="U82" s="144">
        <v>60.223699999999994</v>
      </c>
      <c r="V82" s="146">
        <v>8.612262725558642E-5</v>
      </c>
      <c r="W82" s="146">
        <v>3.8460106145664645E-4</v>
      </c>
      <c r="X82" s="147">
        <v>8.7365829675115897E-5</v>
      </c>
      <c r="Y82" s="180"/>
    </row>
    <row r="83" spans="1:25" ht="15" x14ac:dyDescent="0.2">
      <c r="A83" s="142" t="s">
        <v>1205</v>
      </c>
      <c r="B83" s="143" t="s">
        <v>1205</v>
      </c>
      <c r="C83" s="143" t="s">
        <v>2394</v>
      </c>
      <c r="D83" s="143" t="s">
        <v>2395</v>
      </c>
      <c r="E83" s="143" t="s">
        <v>309</v>
      </c>
      <c r="F83" s="143" t="s">
        <v>2396</v>
      </c>
      <c r="G83" s="143" t="s">
        <v>2397</v>
      </c>
      <c r="H83" s="143" t="s">
        <v>321</v>
      </c>
      <c r="I83" s="143" t="s">
        <v>917</v>
      </c>
      <c r="J83" s="143" t="s">
        <v>204</v>
      </c>
      <c r="K83" s="143" t="s">
        <v>204</v>
      </c>
      <c r="L83" s="143" t="s">
        <v>325</v>
      </c>
      <c r="M83" s="143" t="s">
        <v>340</v>
      </c>
      <c r="N83" s="143" t="s">
        <v>447</v>
      </c>
      <c r="O83" s="143" t="s">
        <v>339</v>
      </c>
      <c r="P83" s="143" t="s">
        <v>1210</v>
      </c>
      <c r="Q83" s="144">
        <v>30206</v>
      </c>
      <c r="R83" s="145" t="s">
        <v>3930</v>
      </c>
      <c r="S83" s="143" t="s">
        <v>2398</v>
      </c>
      <c r="T83" s="145" t="s">
        <v>3930</v>
      </c>
      <c r="U83" s="144">
        <v>56.092500000000001</v>
      </c>
      <c r="V83" s="146">
        <v>5.5662005911936725E-4</v>
      </c>
      <c r="W83" s="146">
        <v>3.5821850913562834E-4</v>
      </c>
      <c r="X83" s="147">
        <v>8.137277920421197E-5</v>
      </c>
      <c r="Y83" s="180"/>
    </row>
    <row r="84" spans="1:25" ht="15" x14ac:dyDescent="0.2">
      <c r="A84" s="142" t="s">
        <v>1205</v>
      </c>
      <c r="B84" s="143" t="s">
        <v>1205</v>
      </c>
      <c r="C84" s="143" t="s">
        <v>2399</v>
      </c>
      <c r="D84" s="143" t="s">
        <v>2400</v>
      </c>
      <c r="E84" s="143" t="s">
        <v>309</v>
      </c>
      <c r="F84" s="143" t="s">
        <v>2401</v>
      </c>
      <c r="G84" s="143" t="s">
        <v>2402</v>
      </c>
      <c r="H84" s="143" t="s">
        <v>321</v>
      </c>
      <c r="I84" s="143" t="s">
        <v>917</v>
      </c>
      <c r="J84" s="143" t="s">
        <v>204</v>
      </c>
      <c r="K84" s="143" t="s">
        <v>204</v>
      </c>
      <c r="L84" s="143" t="s">
        <v>325</v>
      </c>
      <c r="M84" s="143" t="s">
        <v>340</v>
      </c>
      <c r="N84" s="143" t="s">
        <v>459</v>
      </c>
      <c r="O84" s="143" t="s">
        <v>339</v>
      </c>
      <c r="P84" s="143" t="s">
        <v>1210</v>
      </c>
      <c r="Q84" s="144">
        <v>236.01</v>
      </c>
      <c r="R84" s="145" t="s">
        <v>3930</v>
      </c>
      <c r="S84" s="143" t="s">
        <v>2403</v>
      </c>
      <c r="T84" s="145" t="s">
        <v>3930</v>
      </c>
      <c r="U84" s="144">
        <v>37.667199999999994</v>
      </c>
      <c r="V84" s="146">
        <v>6.97898261981681E-5</v>
      </c>
      <c r="W84" s="146">
        <v>2.4055046024549045E-4</v>
      </c>
      <c r="X84" s="147">
        <v>5.4643350328993407E-5</v>
      </c>
      <c r="Y84" s="180"/>
    </row>
    <row r="85" spans="1:25" ht="15" x14ac:dyDescent="0.2">
      <c r="A85" s="142" t="s">
        <v>1205</v>
      </c>
      <c r="B85" s="143" t="s">
        <v>1205</v>
      </c>
      <c r="C85" s="143" t="s">
        <v>2404</v>
      </c>
      <c r="D85" s="143" t="s">
        <v>2405</v>
      </c>
      <c r="E85" s="143" t="s">
        <v>309</v>
      </c>
      <c r="F85" s="143" t="s">
        <v>2406</v>
      </c>
      <c r="G85" s="143" t="s">
        <v>2407</v>
      </c>
      <c r="H85" s="143" t="s">
        <v>321</v>
      </c>
      <c r="I85" s="143" t="s">
        <v>917</v>
      </c>
      <c r="J85" s="143" t="s">
        <v>204</v>
      </c>
      <c r="K85" s="143" t="s">
        <v>204</v>
      </c>
      <c r="L85" s="143" t="s">
        <v>325</v>
      </c>
      <c r="M85" s="143" t="s">
        <v>340</v>
      </c>
      <c r="N85" s="143" t="s">
        <v>439</v>
      </c>
      <c r="O85" s="143" t="s">
        <v>339</v>
      </c>
      <c r="P85" s="143" t="s">
        <v>1210</v>
      </c>
      <c r="Q85" s="144">
        <v>23596</v>
      </c>
      <c r="R85" s="145" t="s">
        <v>3930</v>
      </c>
      <c r="S85" s="143" t="s">
        <v>2408</v>
      </c>
      <c r="T85" s="145" t="s">
        <v>3930</v>
      </c>
      <c r="U85" s="144">
        <v>34.048999999999999</v>
      </c>
      <c r="V85" s="146">
        <v>6.5332064421247502E-4</v>
      </c>
      <c r="W85" s="146">
        <v>2.1744409528948189E-4</v>
      </c>
      <c r="X85" s="147">
        <v>4.9394517323925724E-5</v>
      </c>
      <c r="Y85" s="180"/>
    </row>
    <row r="86" spans="1:25" ht="15" x14ac:dyDescent="0.2">
      <c r="A86" s="142" t="s">
        <v>1205</v>
      </c>
      <c r="B86" s="143" t="s">
        <v>1205</v>
      </c>
      <c r="C86" s="143" t="s">
        <v>2409</v>
      </c>
      <c r="D86" s="143" t="s">
        <v>2410</v>
      </c>
      <c r="E86" s="143" t="s">
        <v>309</v>
      </c>
      <c r="F86" s="143" t="s">
        <v>2411</v>
      </c>
      <c r="G86" s="143" t="s">
        <v>2412</v>
      </c>
      <c r="H86" s="143" t="s">
        <v>321</v>
      </c>
      <c r="I86" s="143" t="s">
        <v>917</v>
      </c>
      <c r="J86" s="143" t="s">
        <v>204</v>
      </c>
      <c r="K86" s="143" t="s">
        <v>204</v>
      </c>
      <c r="L86" s="143" t="s">
        <v>325</v>
      </c>
      <c r="M86" s="143" t="s">
        <v>340</v>
      </c>
      <c r="N86" s="143" t="s">
        <v>480</v>
      </c>
      <c r="O86" s="143" t="s">
        <v>339</v>
      </c>
      <c r="P86" s="143" t="s">
        <v>1210</v>
      </c>
      <c r="Q86" s="144">
        <v>60000</v>
      </c>
      <c r="R86" s="145" t="s">
        <v>3930</v>
      </c>
      <c r="S86" s="143" t="s">
        <v>2413</v>
      </c>
      <c r="T86" s="145" t="s">
        <v>3930</v>
      </c>
      <c r="U86" s="144">
        <v>28.8</v>
      </c>
      <c r="V86" s="146">
        <v>3.2936464308762754E-4</v>
      </c>
      <c r="W86" s="146">
        <v>1.8392272297279905E-4</v>
      </c>
      <c r="X86" s="147">
        <v>4.1779815239632123E-5</v>
      </c>
      <c r="Y86" s="180"/>
    </row>
    <row r="87" spans="1:25" ht="15" x14ac:dyDescent="0.2">
      <c r="A87" s="142" t="s">
        <v>1205</v>
      </c>
      <c r="B87" s="143" t="s">
        <v>1205</v>
      </c>
      <c r="C87" s="143" t="s">
        <v>2414</v>
      </c>
      <c r="D87" s="143" t="s">
        <v>2415</v>
      </c>
      <c r="E87" s="143" t="s">
        <v>309</v>
      </c>
      <c r="F87" s="143" t="s">
        <v>2416</v>
      </c>
      <c r="G87" s="143" t="s">
        <v>2417</v>
      </c>
      <c r="H87" s="143" t="s">
        <v>321</v>
      </c>
      <c r="I87" s="143" t="s">
        <v>917</v>
      </c>
      <c r="J87" s="143" t="s">
        <v>204</v>
      </c>
      <c r="K87" s="143" t="s">
        <v>204</v>
      </c>
      <c r="L87" s="143" t="s">
        <v>325</v>
      </c>
      <c r="M87" s="143" t="s">
        <v>340</v>
      </c>
      <c r="N87" s="143" t="s">
        <v>460</v>
      </c>
      <c r="O87" s="143" t="s">
        <v>339</v>
      </c>
      <c r="P87" s="143" t="s">
        <v>1210</v>
      </c>
      <c r="Q87" s="144">
        <v>24046.25</v>
      </c>
      <c r="R87" s="145" t="s">
        <v>3930</v>
      </c>
      <c r="S87" s="143" t="s">
        <v>2418</v>
      </c>
      <c r="T87" s="145" t="s">
        <v>3930</v>
      </c>
      <c r="U87" s="144">
        <v>11.9991</v>
      </c>
      <c r="V87" s="146">
        <v>8.987220048819615E-4</v>
      </c>
      <c r="W87" s="146">
        <v>7.6628584613369784E-5</v>
      </c>
      <c r="X87" s="147">
        <v>1.740691990349986E-5</v>
      </c>
      <c r="Y87" s="180"/>
    </row>
    <row r="88" spans="1:25" ht="15" x14ac:dyDescent="0.2">
      <c r="A88" s="142" t="s">
        <v>1205</v>
      </c>
      <c r="B88" s="143" t="s">
        <v>1205</v>
      </c>
      <c r="C88" s="143" t="s">
        <v>2419</v>
      </c>
      <c r="D88" s="143" t="s">
        <v>2420</v>
      </c>
      <c r="E88" s="143" t="s">
        <v>313</v>
      </c>
      <c r="F88" s="143" t="s">
        <v>2419</v>
      </c>
      <c r="G88" s="143" t="s">
        <v>2421</v>
      </c>
      <c r="H88" s="143" t="s">
        <v>321</v>
      </c>
      <c r="I88" s="143" t="s">
        <v>917</v>
      </c>
      <c r="J88" s="143" t="s">
        <v>205</v>
      </c>
      <c r="K88" s="143" t="s">
        <v>224</v>
      </c>
      <c r="L88" s="143" t="s">
        <v>325</v>
      </c>
      <c r="M88" s="143" t="s">
        <v>344</v>
      </c>
      <c r="N88" s="143" t="s">
        <v>544</v>
      </c>
      <c r="O88" s="143" t="s">
        <v>339</v>
      </c>
      <c r="P88" s="143" t="s">
        <v>1211</v>
      </c>
      <c r="Q88" s="144">
        <v>1582</v>
      </c>
      <c r="R88" s="143" t="s">
        <v>1212</v>
      </c>
      <c r="S88" s="143" t="s">
        <v>2422</v>
      </c>
      <c r="T88" s="145" t="s">
        <v>3930</v>
      </c>
      <c r="U88" s="144">
        <v>3038.9647</v>
      </c>
      <c r="V88" s="146">
        <v>3.4028823402882338E-6</v>
      </c>
      <c r="W88" s="146">
        <v>1.9407453765769911E-2</v>
      </c>
      <c r="X88" s="147">
        <v>4.408589757152994E-3</v>
      </c>
      <c r="Y88" s="180"/>
    </row>
    <row r="89" spans="1:25" ht="15" x14ac:dyDescent="0.2">
      <c r="A89" s="142" t="s">
        <v>1205</v>
      </c>
      <c r="B89" s="143" t="s">
        <v>1205</v>
      </c>
      <c r="C89" s="143" t="s">
        <v>2423</v>
      </c>
      <c r="D89" s="143" t="s">
        <v>2424</v>
      </c>
      <c r="E89" s="143" t="s">
        <v>313</v>
      </c>
      <c r="F89" s="143" t="s">
        <v>2423</v>
      </c>
      <c r="G89" s="143" t="s">
        <v>2425</v>
      </c>
      <c r="H89" s="143" t="s">
        <v>321</v>
      </c>
      <c r="I89" s="143" t="s">
        <v>917</v>
      </c>
      <c r="J89" s="143" t="s">
        <v>205</v>
      </c>
      <c r="K89" s="143" t="s">
        <v>224</v>
      </c>
      <c r="L89" s="143" t="s">
        <v>325</v>
      </c>
      <c r="M89" s="143" t="s">
        <v>344</v>
      </c>
      <c r="N89" s="143" t="s">
        <v>521</v>
      </c>
      <c r="O89" s="143" t="s">
        <v>339</v>
      </c>
      <c r="P89" s="143" t="s">
        <v>1211</v>
      </c>
      <c r="Q89" s="144">
        <v>4294</v>
      </c>
      <c r="R89" s="143" t="s">
        <v>1212</v>
      </c>
      <c r="S89" s="143" t="s">
        <v>2426</v>
      </c>
      <c r="T89" s="145" t="s">
        <v>3930</v>
      </c>
      <c r="U89" s="144">
        <v>2968.3747999999996</v>
      </c>
      <c r="V89" s="146">
        <v>4.2091213836501413E-7</v>
      </c>
      <c r="W89" s="146">
        <v>1.8956651844231207E-2</v>
      </c>
      <c r="X89" s="147">
        <v>4.3061857654812111E-3</v>
      </c>
      <c r="Y89" s="180"/>
    </row>
    <row r="90" spans="1:25" ht="15" x14ac:dyDescent="0.2">
      <c r="A90" s="142" t="s">
        <v>1205</v>
      </c>
      <c r="B90" s="143" t="s">
        <v>1205</v>
      </c>
      <c r="C90" s="143" t="s">
        <v>2427</v>
      </c>
      <c r="D90" s="143" t="s">
        <v>2428</v>
      </c>
      <c r="E90" s="143" t="s">
        <v>313</v>
      </c>
      <c r="F90" s="143" t="s">
        <v>2429</v>
      </c>
      <c r="G90" s="143" t="s">
        <v>2430</v>
      </c>
      <c r="H90" s="143" t="s">
        <v>321</v>
      </c>
      <c r="I90" s="143" t="s">
        <v>917</v>
      </c>
      <c r="J90" s="143" t="s">
        <v>205</v>
      </c>
      <c r="K90" s="143" t="s">
        <v>224</v>
      </c>
      <c r="L90" s="143" t="s">
        <v>325</v>
      </c>
      <c r="M90" s="143" t="s">
        <v>344</v>
      </c>
      <c r="N90" s="143" t="s">
        <v>539</v>
      </c>
      <c r="O90" s="143" t="s">
        <v>339</v>
      </c>
      <c r="P90" s="143" t="s">
        <v>1211</v>
      </c>
      <c r="Q90" s="144">
        <v>2858</v>
      </c>
      <c r="R90" s="143" t="s">
        <v>1212</v>
      </c>
      <c r="S90" s="143" t="s">
        <v>2431</v>
      </c>
      <c r="T90" s="145" t="s">
        <v>3930</v>
      </c>
      <c r="U90" s="144">
        <v>2915.3442999999997</v>
      </c>
      <c r="V90" s="146">
        <v>1.7556867849861135E-6</v>
      </c>
      <c r="W90" s="146">
        <v>1.8617988527779874E-2</v>
      </c>
      <c r="X90" s="147">
        <v>4.2292551363502457E-3</v>
      </c>
      <c r="Y90" s="180"/>
    </row>
    <row r="91" spans="1:25" x14ac:dyDescent="0.2">
      <c r="A91" s="142" t="s">
        <v>1205</v>
      </c>
      <c r="B91" s="143" t="s">
        <v>1205</v>
      </c>
      <c r="C91" s="143" t="s">
        <v>2432</v>
      </c>
      <c r="D91" s="143" t="s">
        <v>2433</v>
      </c>
      <c r="E91" s="143" t="s">
        <v>313</v>
      </c>
      <c r="F91" s="143" t="s">
        <v>2432</v>
      </c>
      <c r="G91" s="143" t="s">
        <v>2434</v>
      </c>
      <c r="H91" s="143" t="s">
        <v>321</v>
      </c>
      <c r="I91" s="143" t="s">
        <v>917</v>
      </c>
      <c r="J91" s="143" t="s">
        <v>205</v>
      </c>
      <c r="K91" s="143" t="s">
        <v>224</v>
      </c>
      <c r="L91" s="143" t="s">
        <v>325</v>
      </c>
      <c r="M91" s="143" t="s">
        <v>344</v>
      </c>
      <c r="N91" s="143" t="s">
        <v>546</v>
      </c>
      <c r="O91" s="143" t="s">
        <v>339</v>
      </c>
      <c r="P91" s="143" t="s">
        <v>1211</v>
      </c>
      <c r="Q91" s="144">
        <v>6156</v>
      </c>
      <c r="R91" s="143" t="s">
        <v>1212</v>
      </c>
      <c r="S91" s="143" t="s">
        <v>2435</v>
      </c>
      <c r="T91" s="144">
        <v>6.1600000000000002E-2</v>
      </c>
      <c r="U91" s="144">
        <v>2773.7673999999997</v>
      </c>
      <c r="V91" s="146">
        <v>2.5024390243902438E-6</v>
      </c>
      <c r="W91" s="146">
        <v>1.7714242213605999E-2</v>
      </c>
      <c r="X91" s="147">
        <v>4.0239604700937686E-3</v>
      </c>
      <c r="Y91" s="180"/>
    </row>
    <row r="92" spans="1:25" ht="15" x14ac:dyDescent="0.2">
      <c r="A92" s="142" t="s">
        <v>1205</v>
      </c>
      <c r="B92" s="143" t="s">
        <v>1205</v>
      </c>
      <c r="C92" s="143" t="s">
        <v>2436</v>
      </c>
      <c r="D92" s="143" t="s">
        <v>2437</v>
      </c>
      <c r="E92" s="143" t="s">
        <v>313</v>
      </c>
      <c r="F92" s="143" t="s">
        <v>2436</v>
      </c>
      <c r="G92" s="143" t="s">
        <v>2438</v>
      </c>
      <c r="H92" s="143" t="s">
        <v>321</v>
      </c>
      <c r="I92" s="143" t="s">
        <v>917</v>
      </c>
      <c r="J92" s="143" t="s">
        <v>205</v>
      </c>
      <c r="K92" s="143" t="s">
        <v>224</v>
      </c>
      <c r="L92" s="143" t="s">
        <v>325</v>
      </c>
      <c r="M92" s="143" t="s">
        <v>344</v>
      </c>
      <c r="N92" s="143" t="s">
        <v>546</v>
      </c>
      <c r="O92" s="143" t="s">
        <v>339</v>
      </c>
      <c r="P92" s="143" t="s">
        <v>1211</v>
      </c>
      <c r="Q92" s="144">
        <v>1683</v>
      </c>
      <c r="R92" s="143" t="s">
        <v>1212</v>
      </c>
      <c r="S92" s="143" t="s">
        <v>2439</v>
      </c>
      <c r="T92" s="145" t="s">
        <v>3930</v>
      </c>
      <c r="U92" s="144">
        <v>2686.7631000000001</v>
      </c>
      <c r="V92" s="146">
        <v>2.2577048706192913E-7</v>
      </c>
      <c r="W92" s="146">
        <v>1.7158221578904918E-2</v>
      </c>
      <c r="X92" s="147">
        <v>3.8976550358779554E-3</v>
      </c>
      <c r="Y92" s="180"/>
    </row>
    <row r="93" spans="1:25" ht="15" x14ac:dyDescent="0.2">
      <c r="A93" s="142" t="s">
        <v>1205</v>
      </c>
      <c r="B93" s="143" t="s">
        <v>1205</v>
      </c>
      <c r="C93" s="143" t="s">
        <v>2440</v>
      </c>
      <c r="D93" s="143" t="s">
        <v>2441</v>
      </c>
      <c r="E93" s="143" t="s">
        <v>309</v>
      </c>
      <c r="F93" s="143" t="s">
        <v>2442</v>
      </c>
      <c r="G93" s="143" t="s">
        <v>2443</v>
      </c>
      <c r="H93" s="143" t="s">
        <v>321</v>
      </c>
      <c r="I93" s="143" t="s">
        <v>917</v>
      </c>
      <c r="J93" s="143" t="s">
        <v>205</v>
      </c>
      <c r="K93" s="143" t="s">
        <v>224</v>
      </c>
      <c r="L93" s="143" t="s">
        <v>325</v>
      </c>
      <c r="M93" s="143" t="s">
        <v>344</v>
      </c>
      <c r="N93" s="143" t="s">
        <v>544</v>
      </c>
      <c r="O93" s="143" t="s">
        <v>339</v>
      </c>
      <c r="P93" s="143" t="s">
        <v>1211</v>
      </c>
      <c r="Q93" s="144">
        <v>42877</v>
      </c>
      <c r="R93" s="143" t="s">
        <v>1212</v>
      </c>
      <c r="S93" s="143" t="s">
        <v>2444</v>
      </c>
      <c r="T93" s="145" t="s">
        <v>3930</v>
      </c>
      <c r="U93" s="144">
        <v>2678.8006</v>
      </c>
      <c r="V93" s="146">
        <v>2.1724393012038424E-4</v>
      </c>
      <c r="W93" s="146">
        <v>1.7107371568338595E-2</v>
      </c>
      <c r="X93" s="147">
        <v>3.886103966972193E-3</v>
      </c>
      <c r="Y93" s="180"/>
    </row>
    <row r="94" spans="1:25" x14ac:dyDescent="0.2">
      <c r="A94" s="142" t="s">
        <v>1205</v>
      </c>
      <c r="B94" s="143" t="s">
        <v>1205</v>
      </c>
      <c r="C94" s="143" t="s">
        <v>2445</v>
      </c>
      <c r="D94" s="143" t="s">
        <v>2446</v>
      </c>
      <c r="E94" s="143" t="s">
        <v>313</v>
      </c>
      <c r="F94" s="143" t="s">
        <v>2447</v>
      </c>
      <c r="G94" s="143" t="s">
        <v>2448</v>
      </c>
      <c r="H94" s="143" t="s">
        <v>321</v>
      </c>
      <c r="I94" s="143" t="s">
        <v>917</v>
      </c>
      <c r="J94" s="143" t="s">
        <v>205</v>
      </c>
      <c r="K94" s="143" t="s">
        <v>224</v>
      </c>
      <c r="L94" s="143" t="s">
        <v>325</v>
      </c>
      <c r="M94" s="143" t="s">
        <v>344</v>
      </c>
      <c r="N94" s="143" t="s">
        <v>546</v>
      </c>
      <c r="O94" s="143" t="s">
        <v>339</v>
      </c>
      <c r="P94" s="143" t="s">
        <v>1211</v>
      </c>
      <c r="Q94" s="144">
        <v>4000</v>
      </c>
      <c r="R94" s="143" t="s">
        <v>1212</v>
      </c>
      <c r="S94" s="143" t="s">
        <v>2449</v>
      </c>
      <c r="T94" s="144">
        <v>3.0884</v>
      </c>
      <c r="U94" s="144">
        <v>2588.7207000000003</v>
      </c>
      <c r="V94" s="146">
        <v>7.7129606276498842E-7</v>
      </c>
      <c r="W94" s="146">
        <v>1.6551826048818531E-2</v>
      </c>
      <c r="X94" s="147">
        <v>3.7599064597387531E-3</v>
      </c>
      <c r="Y94" s="180"/>
    </row>
    <row r="95" spans="1:25" ht="15" x14ac:dyDescent="0.2">
      <c r="A95" s="142" t="s">
        <v>1205</v>
      </c>
      <c r="B95" s="143" t="s">
        <v>1205</v>
      </c>
      <c r="C95" s="143" t="s">
        <v>2450</v>
      </c>
      <c r="D95" s="143" t="s">
        <v>2451</v>
      </c>
      <c r="E95" s="143" t="s">
        <v>313</v>
      </c>
      <c r="F95" s="143" t="s">
        <v>2450</v>
      </c>
      <c r="G95" s="143" t="s">
        <v>2452</v>
      </c>
      <c r="H95" s="143" t="s">
        <v>321</v>
      </c>
      <c r="I95" s="143" t="s">
        <v>917</v>
      </c>
      <c r="J95" s="143" t="s">
        <v>205</v>
      </c>
      <c r="K95" s="143" t="s">
        <v>224</v>
      </c>
      <c r="L95" s="143" t="s">
        <v>325</v>
      </c>
      <c r="M95" s="143" t="s">
        <v>344</v>
      </c>
      <c r="N95" s="143" t="s">
        <v>544</v>
      </c>
      <c r="O95" s="143" t="s">
        <v>339</v>
      </c>
      <c r="P95" s="143" t="s">
        <v>1211</v>
      </c>
      <c r="Q95" s="144">
        <v>1161</v>
      </c>
      <c r="R95" s="143" t="s">
        <v>1212</v>
      </c>
      <c r="S95" s="143" t="s">
        <v>2453</v>
      </c>
      <c r="T95" s="145" t="s">
        <v>3930</v>
      </c>
      <c r="U95" s="144">
        <v>2465.6765</v>
      </c>
      <c r="V95" s="146">
        <v>5.1478259635768031E-7</v>
      </c>
      <c r="W95" s="146">
        <v>1.5746317449473191E-2</v>
      </c>
      <c r="X95" s="147">
        <v>3.5769274351211133E-3</v>
      </c>
      <c r="Y95" s="180"/>
    </row>
    <row r="96" spans="1:25" ht="15" x14ac:dyDescent="0.2">
      <c r="A96" s="142" t="s">
        <v>1205</v>
      </c>
      <c r="B96" s="143" t="s">
        <v>1205</v>
      </c>
      <c r="C96" s="143" t="s">
        <v>2454</v>
      </c>
      <c r="D96" s="143" t="s">
        <v>2455</v>
      </c>
      <c r="E96" s="143" t="s">
        <v>313</v>
      </c>
      <c r="F96" s="143" t="s">
        <v>2456</v>
      </c>
      <c r="G96" s="143" t="s">
        <v>2457</v>
      </c>
      <c r="H96" s="143" t="s">
        <v>321</v>
      </c>
      <c r="I96" s="143" t="s">
        <v>917</v>
      </c>
      <c r="J96" s="143" t="s">
        <v>205</v>
      </c>
      <c r="K96" s="143" t="s">
        <v>224</v>
      </c>
      <c r="L96" s="143" t="s">
        <v>325</v>
      </c>
      <c r="M96" s="143" t="s">
        <v>344</v>
      </c>
      <c r="N96" s="143" t="s">
        <v>546</v>
      </c>
      <c r="O96" s="143" t="s">
        <v>339</v>
      </c>
      <c r="P96" s="143" t="s">
        <v>1211</v>
      </c>
      <c r="Q96" s="144">
        <v>3934</v>
      </c>
      <c r="R96" s="143" t="s">
        <v>1212</v>
      </c>
      <c r="S96" s="143" t="s">
        <v>2458</v>
      </c>
      <c r="T96" s="145" t="s">
        <v>3930</v>
      </c>
      <c r="U96" s="144">
        <v>2440.1615000000002</v>
      </c>
      <c r="V96" s="146">
        <v>6.4640157739073288E-7</v>
      </c>
      <c r="W96" s="146">
        <v>1.5583372902470265E-2</v>
      </c>
      <c r="X96" s="147">
        <v>3.5399130142923473E-3</v>
      </c>
      <c r="Y96" s="180"/>
    </row>
    <row r="97" spans="1:25" ht="15" x14ac:dyDescent="0.2">
      <c r="A97" s="142" t="s">
        <v>1205</v>
      </c>
      <c r="B97" s="143" t="s">
        <v>1205</v>
      </c>
      <c r="C97" s="143" t="s">
        <v>2459</v>
      </c>
      <c r="D97" s="143" t="s">
        <v>2460</v>
      </c>
      <c r="E97" s="143" t="s">
        <v>313</v>
      </c>
      <c r="F97" s="143" t="s">
        <v>2459</v>
      </c>
      <c r="G97" s="143" t="s">
        <v>2461</v>
      </c>
      <c r="H97" s="143" t="s">
        <v>321</v>
      </c>
      <c r="I97" s="143" t="s">
        <v>917</v>
      </c>
      <c r="J97" s="143" t="s">
        <v>205</v>
      </c>
      <c r="K97" s="143" t="s">
        <v>224</v>
      </c>
      <c r="L97" s="143" t="s">
        <v>325</v>
      </c>
      <c r="M97" s="143" t="s">
        <v>344</v>
      </c>
      <c r="N97" s="143" t="s">
        <v>546</v>
      </c>
      <c r="O97" s="143" t="s">
        <v>339</v>
      </c>
      <c r="P97" s="143" t="s">
        <v>1211</v>
      </c>
      <c r="Q97" s="144">
        <v>2478</v>
      </c>
      <c r="R97" s="143" t="s">
        <v>1212</v>
      </c>
      <c r="S97" s="143" t="s">
        <v>2462</v>
      </c>
      <c r="T97" s="145" t="s">
        <v>3930</v>
      </c>
      <c r="U97" s="144">
        <v>2142.0574999999999</v>
      </c>
      <c r="V97" s="146">
        <v>1.5576952597409699E-7</v>
      </c>
      <c r="W97" s="146">
        <v>1.3679619983375536E-2</v>
      </c>
      <c r="X97" s="147">
        <v>3.1074572310368365E-3</v>
      </c>
      <c r="Y97" s="180"/>
    </row>
    <row r="98" spans="1:25" ht="15" x14ac:dyDescent="0.2">
      <c r="A98" s="142" t="s">
        <v>1205</v>
      </c>
      <c r="B98" s="143" t="s">
        <v>1205</v>
      </c>
      <c r="C98" s="143" t="s">
        <v>2463</v>
      </c>
      <c r="D98" s="143" t="s">
        <v>2464</v>
      </c>
      <c r="E98" s="143" t="s">
        <v>313</v>
      </c>
      <c r="F98" s="143" t="s">
        <v>2463</v>
      </c>
      <c r="G98" s="143" t="s">
        <v>2465</v>
      </c>
      <c r="H98" s="143" t="s">
        <v>321</v>
      </c>
      <c r="I98" s="143" t="s">
        <v>917</v>
      </c>
      <c r="J98" s="143" t="s">
        <v>205</v>
      </c>
      <c r="K98" s="143" t="s">
        <v>224</v>
      </c>
      <c r="L98" s="143" t="s">
        <v>325</v>
      </c>
      <c r="M98" s="143" t="s">
        <v>344</v>
      </c>
      <c r="N98" s="143" t="s">
        <v>517</v>
      </c>
      <c r="O98" s="143" t="s">
        <v>339</v>
      </c>
      <c r="P98" s="143" t="s">
        <v>1211</v>
      </c>
      <c r="Q98" s="144">
        <v>2179</v>
      </c>
      <c r="R98" s="143" t="s">
        <v>1212</v>
      </c>
      <c r="S98" s="143" t="s">
        <v>2466</v>
      </c>
      <c r="T98" s="145" t="s">
        <v>3930</v>
      </c>
      <c r="U98" s="144">
        <v>2115.0405000000001</v>
      </c>
      <c r="V98" s="146">
        <v>6.9004785682979542E-7</v>
      </c>
      <c r="W98" s="146">
        <v>1.3507083396983463E-2</v>
      </c>
      <c r="X98" s="147">
        <v>3.0682638862177532E-3</v>
      </c>
      <c r="Y98" s="180"/>
    </row>
    <row r="99" spans="1:25" ht="15" x14ac:dyDescent="0.2">
      <c r="A99" s="142" t="s">
        <v>1205</v>
      </c>
      <c r="B99" s="143" t="s">
        <v>1205</v>
      </c>
      <c r="C99" s="143" t="s">
        <v>2467</v>
      </c>
      <c r="D99" s="143" t="s">
        <v>2468</v>
      </c>
      <c r="E99" s="143" t="s">
        <v>313</v>
      </c>
      <c r="F99" s="143" t="s">
        <v>2469</v>
      </c>
      <c r="G99" s="143" t="s">
        <v>2470</v>
      </c>
      <c r="H99" s="143" t="s">
        <v>321</v>
      </c>
      <c r="I99" s="143" t="s">
        <v>917</v>
      </c>
      <c r="J99" s="143" t="s">
        <v>205</v>
      </c>
      <c r="K99" s="143" t="s">
        <v>224</v>
      </c>
      <c r="L99" s="143" t="s">
        <v>325</v>
      </c>
      <c r="M99" s="143" t="s">
        <v>344</v>
      </c>
      <c r="N99" s="143" t="s">
        <v>475</v>
      </c>
      <c r="O99" s="143" t="s">
        <v>339</v>
      </c>
      <c r="P99" s="143" t="s">
        <v>1211</v>
      </c>
      <c r="Q99" s="144">
        <v>5857</v>
      </c>
      <c r="R99" s="143" t="s">
        <v>1212</v>
      </c>
      <c r="S99" s="143" t="s">
        <v>2471</v>
      </c>
      <c r="T99" s="145" t="s">
        <v>3930</v>
      </c>
      <c r="U99" s="144">
        <v>2090.1576999999997</v>
      </c>
      <c r="V99" s="146">
        <v>3.2117929887825787E-6</v>
      </c>
      <c r="W99" s="146">
        <v>1.3348177054731646E-2</v>
      </c>
      <c r="X99" s="147">
        <v>3.0321667824321132E-3</v>
      </c>
      <c r="Y99" s="180"/>
    </row>
    <row r="100" spans="1:25" ht="15" x14ac:dyDescent="0.2">
      <c r="A100" s="142" t="s">
        <v>1205</v>
      </c>
      <c r="B100" s="143" t="s">
        <v>1205</v>
      </c>
      <c r="C100" s="143" t="s">
        <v>2472</v>
      </c>
      <c r="D100" s="143" t="s">
        <v>2473</v>
      </c>
      <c r="E100" s="143" t="s">
        <v>309</v>
      </c>
      <c r="F100" s="143" t="s">
        <v>2474</v>
      </c>
      <c r="G100" s="143" t="s">
        <v>2475</v>
      </c>
      <c r="H100" s="143" t="s">
        <v>321</v>
      </c>
      <c r="I100" s="143" t="s">
        <v>917</v>
      </c>
      <c r="J100" s="143" t="s">
        <v>205</v>
      </c>
      <c r="K100" s="143" t="s">
        <v>224</v>
      </c>
      <c r="L100" s="143" t="s">
        <v>325</v>
      </c>
      <c r="M100" s="143" t="s">
        <v>344</v>
      </c>
      <c r="N100" s="143" t="s">
        <v>458</v>
      </c>
      <c r="O100" s="143" t="s">
        <v>339</v>
      </c>
      <c r="P100" s="143" t="s">
        <v>1211</v>
      </c>
      <c r="Q100" s="144">
        <v>12230</v>
      </c>
      <c r="R100" s="143" t="s">
        <v>1212</v>
      </c>
      <c r="S100" s="143" t="s">
        <v>2476</v>
      </c>
      <c r="T100" s="145" t="s">
        <v>3930</v>
      </c>
      <c r="U100" s="144">
        <v>2012.9013</v>
      </c>
      <c r="V100" s="146">
        <v>1.1002453115223149E-4</v>
      </c>
      <c r="W100" s="146">
        <v>1.2854801742869341E-2</v>
      </c>
      <c r="X100" s="147">
        <v>2.9200918357358777E-3</v>
      </c>
      <c r="Y100" s="180"/>
    </row>
    <row r="101" spans="1:25" ht="15" x14ac:dyDescent="0.2">
      <c r="A101" s="142" t="s">
        <v>1205</v>
      </c>
      <c r="B101" s="143" t="s">
        <v>1205</v>
      </c>
      <c r="C101" s="143" t="s">
        <v>2477</v>
      </c>
      <c r="D101" s="143" t="s">
        <v>2478</v>
      </c>
      <c r="E101" s="143" t="s">
        <v>313</v>
      </c>
      <c r="F101" s="143" t="s">
        <v>2479</v>
      </c>
      <c r="G101" s="143" t="s">
        <v>2480</v>
      </c>
      <c r="H101" s="143" t="s">
        <v>321</v>
      </c>
      <c r="I101" s="143" t="s">
        <v>917</v>
      </c>
      <c r="J101" s="143" t="s">
        <v>205</v>
      </c>
      <c r="K101" s="143" t="s">
        <v>268</v>
      </c>
      <c r="L101" s="143" t="s">
        <v>325</v>
      </c>
      <c r="M101" s="143" t="s">
        <v>344</v>
      </c>
      <c r="N101" s="143" t="s">
        <v>521</v>
      </c>
      <c r="O101" s="143" t="s">
        <v>339</v>
      </c>
      <c r="P101" s="143" t="s">
        <v>1211</v>
      </c>
      <c r="Q101" s="144">
        <v>5032</v>
      </c>
      <c r="R101" s="143" t="s">
        <v>1212</v>
      </c>
      <c r="S101" s="143" t="s">
        <v>2481</v>
      </c>
      <c r="T101" s="145" t="s">
        <v>3930</v>
      </c>
      <c r="U101" s="144">
        <v>1981.1246000000001</v>
      </c>
      <c r="V101" s="146">
        <v>1.9006351566135457E-6</v>
      </c>
      <c r="W101" s="146">
        <v>1.2651868916687285E-2</v>
      </c>
      <c r="X101" s="147">
        <v>2.8739936927391773E-3</v>
      </c>
      <c r="Y101" s="180"/>
    </row>
    <row r="102" spans="1:25" ht="15" x14ac:dyDescent="0.2">
      <c r="A102" s="142" t="s">
        <v>1205</v>
      </c>
      <c r="B102" s="143" t="s">
        <v>1205</v>
      </c>
      <c r="C102" s="143" t="s">
        <v>2482</v>
      </c>
      <c r="D102" s="143" t="s">
        <v>2483</v>
      </c>
      <c r="E102" s="143" t="s">
        <v>313</v>
      </c>
      <c r="F102" s="143" t="s">
        <v>2482</v>
      </c>
      <c r="G102" s="143" t="s">
        <v>2484</v>
      </c>
      <c r="H102" s="143" t="s">
        <v>321</v>
      </c>
      <c r="I102" s="143" t="s">
        <v>917</v>
      </c>
      <c r="J102" s="143" t="s">
        <v>205</v>
      </c>
      <c r="K102" s="143" t="s">
        <v>224</v>
      </c>
      <c r="L102" s="143" t="s">
        <v>325</v>
      </c>
      <c r="M102" s="143" t="s">
        <v>344</v>
      </c>
      <c r="N102" s="143" t="s">
        <v>486</v>
      </c>
      <c r="O102" s="143" t="s">
        <v>339</v>
      </c>
      <c r="P102" s="143" t="s">
        <v>1211</v>
      </c>
      <c r="Q102" s="144">
        <v>6045</v>
      </c>
      <c r="R102" s="143" t="s">
        <v>1212</v>
      </c>
      <c r="S102" s="143" t="s">
        <v>2485</v>
      </c>
      <c r="T102" s="145" t="s">
        <v>3930</v>
      </c>
      <c r="U102" s="144">
        <v>1895.7501000000002</v>
      </c>
      <c r="V102" s="146">
        <v>3.0420237081589642E-6</v>
      </c>
      <c r="W102" s="146">
        <v>1.2106649910876082E-2</v>
      </c>
      <c r="X102" s="147">
        <v>2.7501419524009435E-3</v>
      </c>
      <c r="Y102" s="180"/>
    </row>
    <row r="103" spans="1:25" ht="15" x14ac:dyDescent="0.2">
      <c r="A103" s="142" t="s">
        <v>1205</v>
      </c>
      <c r="B103" s="143" t="s">
        <v>1205</v>
      </c>
      <c r="C103" s="143" t="s">
        <v>2486</v>
      </c>
      <c r="D103" s="143" t="s">
        <v>2487</v>
      </c>
      <c r="E103" s="143" t="s">
        <v>313</v>
      </c>
      <c r="F103" s="143" t="s">
        <v>2488</v>
      </c>
      <c r="G103" s="143" t="s">
        <v>2489</v>
      </c>
      <c r="H103" s="143" t="s">
        <v>321</v>
      </c>
      <c r="I103" s="143" t="s">
        <v>917</v>
      </c>
      <c r="J103" s="143" t="s">
        <v>205</v>
      </c>
      <c r="K103" s="143" t="s">
        <v>281</v>
      </c>
      <c r="L103" s="143" t="s">
        <v>325</v>
      </c>
      <c r="M103" s="143" t="s">
        <v>364</v>
      </c>
      <c r="N103" s="143" t="s">
        <v>517</v>
      </c>
      <c r="O103" s="143" t="s">
        <v>339</v>
      </c>
      <c r="P103" s="143" t="s">
        <v>1218</v>
      </c>
      <c r="Q103" s="144">
        <v>642</v>
      </c>
      <c r="R103" s="143" t="s">
        <v>1219</v>
      </c>
      <c r="S103" s="143" t="s">
        <v>2490</v>
      </c>
      <c r="T103" s="145" t="s">
        <v>3930</v>
      </c>
      <c r="U103" s="144">
        <v>1835.4313999999999</v>
      </c>
      <c r="V103" s="146">
        <v>1.2787621900694753E-6</v>
      </c>
      <c r="W103" s="146">
        <v>1.1721442334225266E-2</v>
      </c>
      <c r="X103" s="147">
        <v>2.6626383469668408E-3</v>
      </c>
      <c r="Y103" s="180"/>
    </row>
    <row r="104" spans="1:25" ht="15" x14ac:dyDescent="0.2">
      <c r="A104" s="142" t="s">
        <v>1205</v>
      </c>
      <c r="B104" s="143" t="s">
        <v>1205</v>
      </c>
      <c r="C104" s="143" t="s">
        <v>2491</v>
      </c>
      <c r="D104" s="143" t="s">
        <v>2492</v>
      </c>
      <c r="E104" s="143" t="s">
        <v>313</v>
      </c>
      <c r="F104" s="143" t="s">
        <v>2493</v>
      </c>
      <c r="G104" s="143" t="s">
        <v>2494</v>
      </c>
      <c r="H104" s="143" t="s">
        <v>321</v>
      </c>
      <c r="I104" s="143" t="s">
        <v>917</v>
      </c>
      <c r="J104" s="143" t="s">
        <v>205</v>
      </c>
      <c r="K104" s="143" t="s">
        <v>224</v>
      </c>
      <c r="L104" s="143" t="s">
        <v>325</v>
      </c>
      <c r="M104" s="143" t="s">
        <v>344</v>
      </c>
      <c r="N104" s="143" t="s">
        <v>539</v>
      </c>
      <c r="O104" s="143" t="s">
        <v>339</v>
      </c>
      <c r="P104" s="143" t="s">
        <v>1211</v>
      </c>
      <c r="Q104" s="144">
        <v>982</v>
      </c>
      <c r="R104" s="143" t="s">
        <v>1212</v>
      </c>
      <c r="S104" s="143" t="s">
        <v>2495</v>
      </c>
      <c r="T104" s="145" t="s">
        <v>3930</v>
      </c>
      <c r="U104" s="144">
        <v>1799.0219999999999</v>
      </c>
      <c r="V104" s="146">
        <v>1.02956270844189E-6</v>
      </c>
      <c r="W104" s="146">
        <v>1.148892470656906E-2</v>
      </c>
      <c r="X104" s="147">
        <v>2.609819731809264E-3</v>
      </c>
      <c r="Y104" s="180"/>
    </row>
    <row r="105" spans="1:25" ht="15" x14ac:dyDescent="0.2">
      <c r="A105" s="142" t="s">
        <v>1205</v>
      </c>
      <c r="B105" s="143" t="s">
        <v>1205</v>
      </c>
      <c r="C105" s="143" t="s">
        <v>2496</v>
      </c>
      <c r="D105" s="143" t="s">
        <v>2497</v>
      </c>
      <c r="E105" s="143" t="s">
        <v>313</v>
      </c>
      <c r="F105" s="143" t="s">
        <v>2496</v>
      </c>
      <c r="G105" s="143" t="s">
        <v>2498</v>
      </c>
      <c r="H105" s="143" t="s">
        <v>321</v>
      </c>
      <c r="I105" s="143" t="s">
        <v>917</v>
      </c>
      <c r="J105" s="143" t="s">
        <v>205</v>
      </c>
      <c r="K105" s="143" t="s">
        <v>224</v>
      </c>
      <c r="L105" s="143" t="s">
        <v>325</v>
      </c>
      <c r="M105" s="143" t="s">
        <v>344</v>
      </c>
      <c r="N105" s="143" t="s">
        <v>497</v>
      </c>
      <c r="O105" s="143" t="s">
        <v>339</v>
      </c>
      <c r="P105" s="143" t="s">
        <v>1211</v>
      </c>
      <c r="Q105" s="144">
        <v>5998</v>
      </c>
      <c r="R105" s="143" t="s">
        <v>1212</v>
      </c>
      <c r="S105" s="143" t="s">
        <v>2499</v>
      </c>
      <c r="T105" s="145" t="s">
        <v>3930</v>
      </c>
      <c r="U105" s="144">
        <v>1791.1101999999998</v>
      </c>
      <c r="V105" s="146">
        <v>7.1485864319877193E-6</v>
      </c>
      <c r="W105" s="146">
        <v>1.1438397866108375E-2</v>
      </c>
      <c r="X105" s="147">
        <v>2.5983420741008041E-3</v>
      </c>
      <c r="Y105" s="180"/>
    </row>
    <row r="106" spans="1:25" ht="15" x14ac:dyDescent="0.2">
      <c r="A106" s="142" t="s">
        <v>1205</v>
      </c>
      <c r="B106" s="143" t="s">
        <v>1205</v>
      </c>
      <c r="C106" s="143" t="s">
        <v>2500</v>
      </c>
      <c r="D106" s="143" t="s">
        <v>2501</v>
      </c>
      <c r="E106" s="143" t="s">
        <v>313</v>
      </c>
      <c r="F106" s="143" t="s">
        <v>2502</v>
      </c>
      <c r="G106" s="143" t="s">
        <v>2503</v>
      </c>
      <c r="H106" s="143" t="s">
        <v>321</v>
      </c>
      <c r="I106" s="143" t="s">
        <v>917</v>
      </c>
      <c r="J106" s="143" t="s">
        <v>205</v>
      </c>
      <c r="K106" s="143" t="s">
        <v>224</v>
      </c>
      <c r="L106" s="143" t="s">
        <v>325</v>
      </c>
      <c r="M106" s="143" t="s">
        <v>344</v>
      </c>
      <c r="N106" s="143" t="s">
        <v>539</v>
      </c>
      <c r="O106" s="143" t="s">
        <v>339</v>
      </c>
      <c r="P106" s="143" t="s">
        <v>1211</v>
      </c>
      <c r="Q106" s="144">
        <v>3495</v>
      </c>
      <c r="R106" s="143" t="s">
        <v>1212</v>
      </c>
      <c r="S106" s="143" t="s">
        <v>2504</v>
      </c>
      <c r="T106" s="145" t="s">
        <v>3930</v>
      </c>
      <c r="U106" s="144">
        <v>1693.1590000000001</v>
      </c>
      <c r="V106" s="146">
        <v>4.0587054877878837E-6</v>
      </c>
      <c r="W106" s="146">
        <v>1.0812861848844899E-2</v>
      </c>
      <c r="X106" s="147">
        <v>2.4562455522323858E-3</v>
      </c>
      <c r="Y106" s="180"/>
    </row>
    <row r="107" spans="1:25" x14ac:dyDescent="0.2">
      <c r="A107" s="142" t="s">
        <v>1205</v>
      </c>
      <c r="B107" s="143" t="s">
        <v>1205</v>
      </c>
      <c r="C107" s="143" t="s">
        <v>2505</v>
      </c>
      <c r="D107" s="143" t="s">
        <v>2506</v>
      </c>
      <c r="E107" s="143" t="s">
        <v>313</v>
      </c>
      <c r="F107" s="143" t="s">
        <v>2505</v>
      </c>
      <c r="G107" s="143" t="s">
        <v>2507</v>
      </c>
      <c r="H107" s="143" t="s">
        <v>321</v>
      </c>
      <c r="I107" s="143" t="s">
        <v>917</v>
      </c>
      <c r="J107" s="143" t="s">
        <v>205</v>
      </c>
      <c r="K107" s="143" t="s">
        <v>224</v>
      </c>
      <c r="L107" s="143" t="s">
        <v>325</v>
      </c>
      <c r="M107" s="143" t="s">
        <v>344</v>
      </c>
      <c r="N107" s="143" t="s">
        <v>546</v>
      </c>
      <c r="O107" s="143" t="s">
        <v>339</v>
      </c>
      <c r="P107" s="143" t="s">
        <v>1211</v>
      </c>
      <c r="Q107" s="144">
        <v>2505</v>
      </c>
      <c r="R107" s="143" t="s">
        <v>1212</v>
      </c>
      <c r="S107" s="143" t="s">
        <v>2508</v>
      </c>
      <c r="T107" s="144">
        <v>1.3277000000000001</v>
      </c>
      <c r="U107" s="144">
        <v>1608.0630000000001</v>
      </c>
      <c r="V107" s="146">
        <v>5.9944578186395336E-6</v>
      </c>
      <c r="W107" s="146">
        <v>1.0277899398414047E-2</v>
      </c>
      <c r="X107" s="147">
        <v>2.3347236870822738E-3</v>
      </c>
      <c r="Y107" s="180"/>
    </row>
    <row r="108" spans="1:25" x14ac:dyDescent="0.2">
      <c r="A108" s="142" t="s">
        <v>1205</v>
      </c>
      <c r="B108" s="143" t="s">
        <v>1205</v>
      </c>
      <c r="C108" s="143" t="s">
        <v>2509</v>
      </c>
      <c r="D108" s="143" t="s">
        <v>2510</v>
      </c>
      <c r="E108" s="143" t="s">
        <v>313</v>
      </c>
      <c r="F108" s="143" t="s">
        <v>2509</v>
      </c>
      <c r="G108" s="143" t="s">
        <v>2511</v>
      </c>
      <c r="H108" s="143" t="s">
        <v>321</v>
      </c>
      <c r="I108" s="143" t="s">
        <v>917</v>
      </c>
      <c r="J108" s="143" t="s">
        <v>205</v>
      </c>
      <c r="K108" s="143" t="s">
        <v>224</v>
      </c>
      <c r="L108" s="143" t="s">
        <v>325</v>
      </c>
      <c r="M108" s="143" t="s">
        <v>344</v>
      </c>
      <c r="N108" s="143" t="s">
        <v>568</v>
      </c>
      <c r="O108" s="143" t="s">
        <v>339</v>
      </c>
      <c r="P108" s="143" t="s">
        <v>1211</v>
      </c>
      <c r="Q108" s="144">
        <v>3395</v>
      </c>
      <c r="R108" s="143" t="s">
        <v>1212</v>
      </c>
      <c r="S108" s="143" t="s">
        <v>2512</v>
      </c>
      <c r="T108" s="144">
        <v>3.2591999999999999</v>
      </c>
      <c r="U108" s="144">
        <v>1602.6451000000002</v>
      </c>
      <c r="V108" s="146">
        <v>3.677908391372786E-6</v>
      </c>
      <c r="W108" s="146">
        <v>1.0255634859894875E-2</v>
      </c>
      <c r="X108" s="147">
        <v>2.3296660830478652E-3</v>
      </c>
      <c r="Y108" s="180"/>
    </row>
    <row r="109" spans="1:25" ht="15" x14ac:dyDescent="0.2">
      <c r="A109" s="142" t="s">
        <v>1205</v>
      </c>
      <c r="B109" s="143" t="s">
        <v>1205</v>
      </c>
      <c r="C109" s="143" t="s">
        <v>2513</v>
      </c>
      <c r="D109" s="143" t="s">
        <v>2514</v>
      </c>
      <c r="E109" s="143" t="s">
        <v>313</v>
      </c>
      <c r="F109" s="143" t="s">
        <v>2513</v>
      </c>
      <c r="G109" s="143" t="s">
        <v>2515</v>
      </c>
      <c r="H109" s="143" t="s">
        <v>321</v>
      </c>
      <c r="I109" s="143" t="s">
        <v>917</v>
      </c>
      <c r="J109" s="143" t="s">
        <v>205</v>
      </c>
      <c r="K109" s="143" t="s">
        <v>224</v>
      </c>
      <c r="L109" s="143" t="s">
        <v>325</v>
      </c>
      <c r="M109" s="143" t="s">
        <v>344</v>
      </c>
      <c r="N109" s="143" t="s">
        <v>533</v>
      </c>
      <c r="O109" s="143" t="s">
        <v>339</v>
      </c>
      <c r="P109" s="143" t="s">
        <v>1211</v>
      </c>
      <c r="Q109" s="144">
        <v>472</v>
      </c>
      <c r="R109" s="143" t="s">
        <v>1212</v>
      </c>
      <c r="S109" s="143" t="s">
        <v>2516</v>
      </c>
      <c r="T109" s="145" t="s">
        <v>3930</v>
      </c>
      <c r="U109" s="144">
        <v>1551.3873000000001</v>
      </c>
      <c r="V109" s="146">
        <v>4.9674903018171337E-7</v>
      </c>
      <c r="W109" s="146">
        <v>9.9074780527870204E-3</v>
      </c>
      <c r="X109" s="147">
        <v>2.2505789162189046E-3</v>
      </c>
      <c r="Y109" s="180"/>
    </row>
    <row r="110" spans="1:25" ht="15" x14ac:dyDescent="0.2">
      <c r="A110" s="142" t="s">
        <v>1205</v>
      </c>
      <c r="B110" s="143" t="s">
        <v>1205</v>
      </c>
      <c r="C110" s="143" t="s">
        <v>2517</v>
      </c>
      <c r="D110" s="143" t="s">
        <v>2518</v>
      </c>
      <c r="E110" s="143" t="s">
        <v>313</v>
      </c>
      <c r="F110" s="143" t="s">
        <v>2517</v>
      </c>
      <c r="G110" s="143" t="s">
        <v>2519</v>
      </c>
      <c r="H110" s="143" t="s">
        <v>321</v>
      </c>
      <c r="I110" s="143" t="s">
        <v>917</v>
      </c>
      <c r="J110" s="143" t="s">
        <v>205</v>
      </c>
      <c r="K110" s="143" t="s">
        <v>224</v>
      </c>
      <c r="L110" s="143" t="s">
        <v>325</v>
      </c>
      <c r="M110" s="143" t="s">
        <v>344</v>
      </c>
      <c r="N110" s="143" t="s">
        <v>540</v>
      </c>
      <c r="O110" s="143" t="s">
        <v>339</v>
      </c>
      <c r="P110" s="143" t="s">
        <v>1211</v>
      </c>
      <c r="Q110" s="144">
        <v>1230</v>
      </c>
      <c r="R110" s="143" t="s">
        <v>1212</v>
      </c>
      <c r="S110" s="143" t="s">
        <v>2520</v>
      </c>
      <c r="T110" s="145" t="s">
        <v>3930</v>
      </c>
      <c r="U110" s="144">
        <v>1512.4602</v>
      </c>
      <c r="V110" s="146">
        <v>3.0765382691345672E-6</v>
      </c>
      <c r="W110" s="146">
        <v>9.6588815813782487E-3</v>
      </c>
      <c r="X110" s="147">
        <v>2.1941078370786775E-3</v>
      </c>
      <c r="Y110" s="180"/>
    </row>
    <row r="111" spans="1:25" ht="15" x14ac:dyDescent="0.2">
      <c r="A111" s="142" t="s">
        <v>1205</v>
      </c>
      <c r="B111" s="143" t="s">
        <v>1205</v>
      </c>
      <c r="C111" s="143" t="s">
        <v>2521</v>
      </c>
      <c r="D111" s="143" t="s">
        <v>2522</v>
      </c>
      <c r="E111" s="143" t="s">
        <v>309</v>
      </c>
      <c r="F111" s="143" t="s">
        <v>2523</v>
      </c>
      <c r="G111" s="143" t="s">
        <v>2524</v>
      </c>
      <c r="H111" s="143" t="s">
        <v>321</v>
      </c>
      <c r="I111" s="143" t="s">
        <v>917</v>
      </c>
      <c r="J111" s="143" t="s">
        <v>205</v>
      </c>
      <c r="K111" s="143" t="s">
        <v>204</v>
      </c>
      <c r="L111" s="143" t="s">
        <v>325</v>
      </c>
      <c r="M111" s="143" t="s">
        <v>344</v>
      </c>
      <c r="N111" s="143" t="s">
        <v>458</v>
      </c>
      <c r="O111" s="143" t="s">
        <v>339</v>
      </c>
      <c r="P111" s="143" t="s">
        <v>1211</v>
      </c>
      <c r="Q111" s="144">
        <v>1945</v>
      </c>
      <c r="R111" s="143" t="s">
        <v>1212</v>
      </c>
      <c r="S111" s="143" t="s">
        <v>2525</v>
      </c>
      <c r="T111" s="145" t="s">
        <v>3930</v>
      </c>
      <c r="U111" s="144">
        <v>1509.8957</v>
      </c>
      <c r="V111" s="146">
        <v>6.6859841765270326E-5</v>
      </c>
      <c r="W111" s="146">
        <v>9.6425043996421281E-3</v>
      </c>
      <c r="X111" s="147">
        <v>2.1903876027540574E-3</v>
      </c>
      <c r="Y111" s="180"/>
    </row>
    <row r="112" spans="1:25" ht="15" x14ac:dyDescent="0.2">
      <c r="A112" s="142" t="s">
        <v>1205</v>
      </c>
      <c r="B112" s="143" t="s">
        <v>1205</v>
      </c>
      <c r="C112" s="143" t="s">
        <v>2526</v>
      </c>
      <c r="D112" s="143" t="s">
        <v>2527</v>
      </c>
      <c r="E112" s="143" t="s">
        <v>313</v>
      </c>
      <c r="F112" s="143" t="s">
        <v>2526</v>
      </c>
      <c r="G112" s="143" t="s">
        <v>2528</v>
      </c>
      <c r="H112" s="143" t="s">
        <v>321</v>
      </c>
      <c r="I112" s="143" t="s">
        <v>917</v>
      </c>
      <c r="J112" s="143" t="s">
        <v>205</v>
      </c>
      <c r="K112" s="143" t="s">
        <v>224</v>
      </c>
      <c r="L112" s="143" t="s">
        <v>325</v>
      </c>
      <c r="M112" s="143" t="s">
        <v>344</v>
      </c>
      <c r="N112" s="143" t="s">
        <v>521</v>
      </c>
      <c r="O112" s="143" t="s">
        <v>339</v>
      </c>
      <c r="P112" s="143" t="s">
        <v>1211</v>
      </c>
      <c r="Q112" s="144">
        <v>402</v>
      </c>
      <c r="R112" s="143" t="s">
        <v>1212</v>
      </c>
      <c r="S112" s="143" t="s">
        <v>2529</v>
      </c>
      <c r="T112" s="145" t="s">
        <v>3930</v>
      </c>
      <c r="U112" s="144">
        <v>1322.1737000000001</v>
      </c>
      <c r="V112" s="146">
        <v>9.057297545742732E-7</v>
      </c>
      <c r="W112" s="146">
        <v>8.4436728991609533E-3</v>
      </c>
      <c r="X112" s="147">
        <v>1.9180614987034886E-3</v>
      </c>
      <c r="Y112" s="180"/>
    </row>
    <row r="113" spans="1:25" ht="15" x14ac:dyDescent="0.2">
      <c r="A113" s="142" t="s">
        <v>1205</v>
      </c>
      <c r="B113" s="143" t="s">
        <v>1205</v>
      </c>
      <c r="C113" s="143" t="s">
        <v>2530</v>
      </c>
      <c r="D113" s="143" t="s">
        <v>2531</v>
      </c>
      <c r="E113" s="143" t="s">
        <v>313</v>
      </c>
      <c r="F113" s="143" t="s">
        <v>2530</v>
      </c>
      <c r="G113" s="143" t="s">
        <v>2532</v>
      </c>
      <c r="H113" s="143" t="s">
        <v>321</v>
      </c>
      <c r="I113" s="143" t="s">
        <v>917</v>
      </c>
      <c r="J113" s="143" t="s">
        <v>205</v>
      </c>
      <c r="K113" s="143" t="s">
        <v>224</v>
      </c>
      <c r="L113" s="143" t="s">
        <v>325</v>
      </c>
      <c r="M113" s="143" t="s">
        <v>344</v>
      </c>
      <c r="N113" s="143" t="s">
        <v>544</v>
      </c>
      <c r="O113" s="143" t="s">
        <v>339</v>
      </c>
      <c r="P113" s="143" t="s">
        <v>1211</v>
      </c>
      <c r="Q113" s="144">
        <v>1023</v>
      </c>
      <c r="R113" s="143" t="s">
        <v>1212</v>
      </c>
      <c r="S113" s="143" t="s">
        <v>2533</v>
      </c>
      <c r="T113" s="145" t="s">
        <v>3930</v>
      </c>
      <c r="U113" s="144">
        <v>1297.2438</v>
      </c>
      <c r="V113" s="146">
        <v>3.3834176156001018E-6</v>
      </c>
      <c r="W113" s="146">
        <v>8.2844656580571118E-3</v>
      </c>
      <c r="X113" s="147">
        <v>1.8818960428499789E-3</v>
      </c>
      <c r="Y113" s="180"/>
    </row>
    <row r="114" spans="1:25" ht="15" x14ac:dyDescent="0.2">
      <c r="A114" s="142" t="s">
        <v>1205</v>
      </c>
      <c r="B114" s="143" t="s">
        <v>1205</v>
      </c>
      <c r="C114" s="143" t="s">
        <v>2534</v>
      </c>
      <c r="D114" s="143" t="s">
        <v>2535</v>
      </c>
      <c r="E114" s="143" t="s">
        <v>313</v>
      </c>
      <c r="F114" s="143" t="s">
        <v>2534</v>
      </c>
      <c r="G114" s="143" t="s">
        <v>2536</v>
      </c>
      <c r="H114" s="143" t="s">
        <v>321</v>
      </c>
      <c r="I114" s="143" t="s">
        <v>917</v>
      </c>
      <c r="J114" s="143" t="s">
        <v>205</v>
      </c>
      <c r="K114" s="143" t="s">
        <v>241</v>
      </c>
      <c r="L114" s="143" t="s">
        <v>325</v>
      </c>
      <c r="M114" s="143" t="s">
        <v>344</v>
      </c>
      <c r="N114" s="143" t="s">
        <v>533</v>
      </c>
      <c r="O114" s="143" t="s">
        <v>339</v>
      </c>
      <c r="P114" s="143" t="s">
        <v>1211</v>
      </c>
      <c r="Q114" s="144">
        <v>2888</v>
      </c>
      <c r="R114" s="143" t="s">
        <v>1212</v>
      </c>
      <c r="S114" s="143" t="s">
        <v>2537</v>
      </c>
      <c r="T114" s="145" t="s">
        <v>3930</v>
      </c>
      <c r="U114" s="144">
        <v>1275.7731000000001</v>
      </c>
      <c r="V114" s="146">
        <v>1.6573279374530864E-6</v>
      </c>
      <c r="W114" s="146">
        <v>8.1473496051129354E-3</v>
      </c>
      <c r="X114" s="147">
        <v>1.8507488128296705E-3</v>
      </c>
      <c r="Y114" s="180"/>
    </row>
    <row r="115" spans="1:25" x14ac:dyDescent="0.2">
      <c r="A115" s="142" t="s">
        <v>1205</v>
      </c>
      <c r="B115" s="143" t="s">
        <v>1205</v>
      </c>
      <c r="C115" s="143" t="s">
        <v>2538</v>
      </c>
      <c r="D115" s="143" t="s">
        <v>2539</v>
      </c>
      <c r="E115" s="143" t="s">
        <v>313</v>
      </c>
      <c r="F115" s="143" t="s">
        <v>2538</v>
      </c>
      <c r="G115" s="143" t="s">
        <v>2540</v>
      </c>
      <c r="H115" s="143" t="s">
        <v>321</v>
      </c>
      <c r="I115" s="143" t="s">
        <v>917</v>
      </c>
      <c r="J115" s="143" t="s">
        <v>205</v>
      </c>
      <c r="K115" s="143" t="s">
        <v>224</v>
      </c>
      <c r="L115" s="143" t="s">
        <v>325</v>
      </c>
      <c r="M115" s="143" t="s">
        <v>344</v>
      </c>
      <c r="N115" s="143" t="s">
        <v>544</v>
      </c>
      <c r="O115" s="143" t="s">
        <v>339</v>
      </c>
      <c r="P115" s="143" t="s">
        <v>1211</v>
      </c>
      <c r="Q115" s="144">
        <v>1140</v>
      </c>
      <c r="R115" s="143" t="s">
        <v>1212</v>
      </c>
      <c r="S115" s="143" t="s">
        <v>2541</v>
      </c>
      <c r="T115" s="144">
        <v>0.45600000000000002</v>
      </c>
      <c r="U115" s="144">
        <v>1159.3208</v>
      </c>
      <c r="V115" s="146">
        <v>1.2377850162866449E-6</v>
      </c>
      <c r="W115" s="146">
        <v>7.4065733802101373E-3</v>
      </c>
      <c r="X115" s="147">
        <v>1.6824743695738019E-3</v>
      </c>
      <c r="Y115" s="180"/>
    </row>
    <row r="116" spans="1:25" ht="15" x14ac:dyDescent="0.2">
      <c r="A116" s="142" t="s">
        <v>1205</v>
      </c>
      <c r="B116" s="143" t="s">
        <v>1205</v>
      </c>
      <c r="C116" s="143" t="s">
        <v>2542</v>
      </c>
      <c r="D116" s="143" t="s">
        <v>2543</v>
      </c>
      <c r="E116" s="143" t="s">
        <v>313</v>
      </c>
      <c r="F116" s="143" t="s">
        <v>2542</v>
      </c>
      <c r="G116" s="143" t="s">
        <v>2544</v>
      </c>
      <c r="H116" s="143" t="s">
        <v>321</v>
      </c>
      <c r="I116" s="143" t="s">
        <v>917</v>
      </c>
      <c r="J116" s="143" t="s">
        <v>205</v>
      </c>
      <c r="K116" s="143" t="s">
        <v>281</v>
      </c>
      <c r="L116" s="143" t="s">
        <v>325</v>
      </c>
      <c r="M116" s="143" t="s">
        <v>364</v>
      </c>
      <c r="N116" s="143" t="s">
        <v>515</v>
      </c>
      <c r="O116" s="143" t="s">
        <v>339</v>
      </c>
      <c r="P116" s="143" t="s">
        <v>1218</v>
      </c>
      <c r="Q116" s="144">
        <v>125</v>
      </c>
      <c r="R116" s="143" t="s">
        <v>1219</v>
      </c>
      <c r="S116" s="143" t="s">
        <v>2545</v>
      </c>
      <c r="T116" s="145" t="s">
        <v>3930</v>
      </c>
      <c r="U116" s="144">
        <v>1145.0243</v>
      </c>
      <c r="V116" s="146">
        <v>1.1840597144995216E-6</v>
      </c>
      <c r="W116" s="146">
        <v>7.3123606640980261E-3</v>
      </c>
      <c r="X116" s="147">
        <v>1.6610730451003159E-3</v>
      </c>
      <c r="Y116" s="180"/>
    </row>
    <row r="117" spans="1:25" ht="15" x14ac:dyDescent="0.2">
      <c r="A117" s="142" t="s">
        <v>1205</v>
      </c>
      <c r="B117" s="143" t="s">
        <v>1205</v>
      </c>
      <c r="C117" s="143" t="s">
        <v>2546</v>
      </c>
      <c r="D117" s="143" t="s">
        <v>2547</v>
      </c>
      <c r="E117" s="143" t="s">
        <v>313</v>
      </c>
      <c r="F117" s="143" t="s">
        <v>2548</v>
      </c>
      <c r="G117" s="143" t="s">
        <v>2549</v>
      </c>
      <c r="H117" s="143" t="s">
        <v>321</v>
      </c>
      <c r="I117" s="143" t="s">
        <v>917</v>
      </c>
      <c r="J117" s="143" t="s">
        <v>205</v>
      </c>
      <c r="K117" s="143" t="s">
        <v>224</v>
      </c>
      <c r="L117" s="143" t="s">
        <v>325</v>
      </c>
      <c r="M117" s="143" t="s">
        <v>344</v>
      </c>
      <c r="N117" s="143" t="s">
        <v>517</v>
      </c>
      <c r="O117" s="143" t="s">
        <v>339</v>
      </c>
      <c r="P117" s="143" t="s">
        <v>1211</v>
      </c>
      <c r="Q117" s="144">
        <v>3819</v>
      </c>
      <c r="R117" s="143" t="s">
        <v>1212</v>
      </c>
      <c r="S117" s="143" t="s">
        <v>2550</v>
      </c>
      <c r="T117" s="145" t="s">
        <v>3930</v>
      </c>
      <c r="U117" s="144">
        <v>1144.1056000000001</v>
      </c>
      <c r="V117" s="146">
        <v>1.4161228122218926E-6</v>
      </c>
      <c r="W117" s="146">
        <v>7.3064934494076229E-3</v>
      </c>
      <c r="X117" s="147">
        <v>1.6597402508605715E-3</v>
      </c>
      <c r="Y117" s="180"/>
    </row>
    <row r="118" spans="1:25" ht="15" x14ac:dyDescent="0.2">
      <c r="A118" s="142" t="s">
        <v>1205</v>
      </c>
      <c r="B118" s="143" t="s">
        <v>1205</v>
      </c>
      <c r="C118" s="143" t="s">
        <v>2551</v>
      </c>
      <c r="D118" s="143" t="s">
        <v>2552</v>
      </c>
      <c r="E118" s="143" t="s">
        <v>313</v>
      </c>
      <c r="F118" s="143" t="s">
        <v>2551</v>
      </c>
      <c r="G118" s="143" t="s">
        <v>2553</v>
      </c>
      <c r="H118" s="143" t="s">
        <v>321</v>
      </c>
      <c r="I118" s="143" t="s">
        <v>917</v>
      </c>
      <c r="J118" s="143" t="s">
        <v>205</v>
      </c>
      <c r="K118" s="143" t="s">
        <v>224</v>
      </c>
      <c r="L118" s="143" t="s">
        <v>325</v>
      </c>
      <c r="M118" s="143" t="s">
        <v>340</v>
      </c>
      <c r="N118" s="143" t="s">
        <v>516</v>
      </c>
      <c r="O118" s="143" t="s">
        <v>339</v>
      </c>
      <c r="P118" s="143" t="s">
        <v>1211</v>
      </c>
      <c r="Q118" s="144">
        <v>2290</v>
      </c>
      <c r="R118" s="143" t="s">
        <v>1212</v>
      </c>
      <c r="S118" s="143" t="s">
        <v>2554</v>
      </c>
      <c r="T118" s="145" t="s">
        <v>3930</v>
      </c>
      <c r="U118" s="144">
        <v>1077.3651</v>
      </c>
      <c r="V118" s="146">
        <v>5.2045217976281927E-6</v>
      </c>
      <c r="W118" s="146">
        <v>6.8802749640793325E-3</v>
      </c>
      <c r="X118" s="147">
        <v>1.5629206231337384E-3</v>
      </c>
      <c r="Y118" s="180"/>
    </row>
    <row r="119" spans="1:25" ht="15" x14ac:dyDescent="0.2">
      <c r="A119" s="142" t="s">
        <v>1205</v>
      </c>
      <c r="B119" s="143" t="s">
        <v>1205</v>
      </c>
      <c r="C119" s="143" t="s">
        <v>2555</v>
      </c>
      <c r="D119" s="143" t="s">
        <v>2556</v>
      </c>
      <c r="E119" s="143" t="s">
        <v>313</v>
      </c>
      <c r="F119" s="143" t="s">
        <v>2557</v>
      </c>
      <c r="G119" s="143" t="s">
        <v>2558</v>
      </c>
      <c r="H119" s="143" t="s">
        <v>321</v>
      </c>
      <c r="I119" s="143" t="s">
        <v>917</v>
      </c>
      <c r="J119" s="143" t="s">
        <v>205</v>
      </c>
      <c r="K119" s="143" t="s">
        <v>243</v>
      </c>
      <c r="L119" s="143" t="s">
        <v>325</v>
      </c>
      <c r="M119" s="143" t="s">
        <v>380</v>
      </c>
      <c r="N119" s="143" t="s">
        <v>546</v>
      </c>
      <c r="O119" s="143" t="s">
        <v>339</v>
      </c>
      <c r="P119" s="143" t="s">
        <v>1211</v>
      </c>
      <c r="Q119" s="144">
        <v>246</v>
      </c>
      <c r="R119" s="143" t="s">
        <v>1212</v>
      </c>
      <c r="S119" s="143" t="s">
        <v>2559</v>
      </c>
      <c r="T119" s="145" t="s">
        <v>3930</v>
      </c>
      <c r="U119" s="144">
        <v>1066.8995</v>
      </c>
      <c r="V119" s="146">
        <v>1.0301895800092968E-6</v>
      </c>
      <c r="W119" s="146">
        <v>6.8134398796953731E-3</v>
      </c>
      <c r="X119" s="147">
        <v>1.5477383909877952E-3</v>
      </c>
      <c r="Y119" s="180"/>
    </row>
    <row r="120" spans="1:25" x14ac:dyDescent="0.2">
      <c r="A120" s="142" t="s">
        <v>1205</v>
      </c>
      <c r="B120" s="143" t="s">
        <v>1205</v>
      </c>
      <c r="C120" s="143" t="s">
        <v>2560</v>
      </c>
      <c r="D120" s="143" t="s">
        <v>2561</v>
      </c>
      <c r="E120" s="143" t="s">
        <v>313</v>
      </c>
      <c r="F120" s="143" t="s">
        <v>2562</v>
      </c>
      <c r="G120" s="143" t="s">
        <v>2563</v>
      </c>
      <c r="H120" s="143" t="s">
        <v>321</v>
      </c>
      <c r="I120" s="143" t="s">
        <v>917</v>
      </c>
      <c r="J120" s="143" t="s">
        <v>205</v>
      </c>
      <c r="K120" s="143" t="s">
        <v>224</v>
      </c>
      <c r="L120" s="143" t="s">
        <v>325</v>
      </c>
      <c r="M120" s="143" t="s">
        <v>344</v>
      </c>
      <c r="N120" s="143" t="s">
        <v>497</v>
      </c>
      <c r="O120" s="143" t="s">
        <v>339</v>
      </c>
      <c r="P120" s="143" t="s">
        <v>1211</v>
      </c>
      <c r="Q120" s="144">
        <v>660</v>
      </c>
      <c r="R120" s="143" t="s">
        <v>1212</v>
      </c>
      <c r="S120" s="143" t="s">
        <v>2564</v>
      </c>
      <c r="T120" s="144">
        <v>0.97020000000000006</v>
      </c>
      <c r="U120" s="144">
        <v>1025.4737</v>
      </c>
      <c r="V120" s="146">
        <v>2.2130050932647524E-6</v>
      </c>
      <c r="W120" s="146">
        <v>6.5550817148737842E-3</v>
      </c>
      <c r="X120" s="147">
        <v>1.4890498493142753E-3</v>
      </c>
      <c r="Y120" s="180"/>
    </row>
    <row r="121" spans="1:25" x14ac:dyDescent="0.2">
      <c r="A121" s="142" t="s">
        <v>1205</v>
      </c>
      <c r="B121" s="143" t="s">
        <v>1205</v>
      </c>
      <c r="C121" s="143" t="s">
        <v>2565</v>
      </c>
      <c r="D121" s="143" t="s">
        <v>2566</v>
      </c>
      <c r="E121" s="143" t="s">
        <v>313</v>
      </c>
      <c r="F121" s="143" t="s">
        <v>2565</v>
      </c>
      <c r="G121" s="143" t="s">
        <v>2567</v>
      </c>
      <c r="H121" s="143" t="s">
        <v>321</v>
      </c>
      <c r="I121" s="143" t="s">
        <v>917</v>
      </c>
      <c r="J121" s="143" t="s">
        <v>205</v>
      </c>
      <c r="K121" s="143" t="s">
        <v>224</v>
      </c>
      <c r="L121" s="143" t="s">
        <v>325</v>
      </c>
      <c r="M121" s="143" t="s">
        <v>344</v>
      </c>
      <c r="N121" s="143" t="s">
        <v>515</v>
      </c>
      <c r="O121" s="143" t="s">
        <v>339</v>
      </c>
      <c r="P121" s="143" t="s">
        <v>1211</v>
      </c>
      <c r="Q121" s="144">
        <v>3016</v>
      </c>
      <c r="R121" s="143" t="s">
        <v>1212</v>
      </c>
      <c r="S121" s="143" t="s">
        <v>2568</v>
      </c>
      <c r="T121" s="144">
        <v>1.1159000000000001</v>
      </c>
      <c r="U121" s="144">
        <v>993.27949999999998</v>
      </c>
      <c r="V121" s="146">
        <v>2.394243653984161E-6</v>
      </c>
      <c r="W121" s="146">
        <v>6.3504135765232398E-3</v>
      </c>
      <c r="X121" s="147">
        <v>1.4425575134706511E-3</v>
      </c>
      <c r="Y121" s="180"/>
    </row>
    <row r="122" spans="1:25" ht="15" x14ac:dyDescent="0.2">
      <c r="A122" s="142" t="s">
        <v>1205</v>
      </c>
      <c r="B122" s="143" t="s">
        <v>1205</v>
      </c>
      <c r="C122" s="143" t="s">
        <v>2569</v>
      </c>
      <c r="D122" s="143" t="s">
        <v>2570</v>
      </c>
      <c r="E122" s="143" t="s">
        <v>313</v>
      </c>
      <c r="F122" s="143" t="s">
        <v>2569</v>
      </c>
      <c r="G122" s="143" t="s">
        <v>2571</v>
      </c>
      <c r="H122" s="143" t="s">
        <v>321</v>
      </c>
      <c r="I122" s="143" t="s">
        <v>917</v>
      </c>
      <c r="J122" s="143" t="s">
        <v>205</v>
      </c>
      <c r="K122" s="143" t="s">
        <v>268</v>
      </c>
      <c r="L122" s="143" t="s">
        <v>325</v>
      </c>
      <c r="M122" s="143" t="s">
        <v>344</v>
      </c>
      <c r="N122" s="143" t="s">
        <v>489</v>
      </c>
      <c r="O122" s="143" t="s">
        <v>339</v>
      </c>
      <c r="P122" s="143" t="s">
        <v>1211</v>
      </c>
      <c r="Q122" s="144">
        <v>680</v>
      </c>
      <c r="R122" s="143" t="s">
        <v>1212</v>
      </c>
      <c r="S122" s="143" t="s">
        <v>2572</v>
      </c>
      <c r="T122" s="145" t="s">
        <v>3930</v>
      </c>
      <c r="U122" s="144">
        <v>981.67190000000005</v>
      </c>
      <c r="V122" s="146">
        <v>1.2098352489058107E-5</v>
      </c>
      <c r="W122" s="146">
        <v>6.2691588727465039E-3</v>
      </c>
      <c r="X122" s="147">
        <v>1.4240997261115267E-3</v>
      </c>
      <c r="Y122" s="180"/>
    </row>
    <row r="123" spans="1:25" ht="15" x14ac:dyDescent="0.2">
      <c r="A123" s="142" t="s">
        <v>1205</v>
      </c>
      <c r="B123" s="143" t="s">
        <v>1205</v>
      </c>
      <c r="C123" s="143" t="s">
        <v>2454</v>
      </c>
      <c r="D123" s="143" t="s">
        <v>2455</v>
      </c>
      <c r="E123" s="143" t="s">
        <v>313</v>
      </c>
      <c r="F123" s="143" t="s">
        <v>2573</v>
      </c>
      <c r="G123" s="143" t="s">
        <v>2574</v>
      </c>
      <c r="H123" s="143" t="s">
        <v>321</v>
      </c>
      <c r="I123" s="143" t="s">
        <v>917</v>
      </c>
      <c r="J123" s="143" t="s">
        <v>205</v>
      </c>
      <c r="K123" s="143" t="s">
        <v>224</v>
      </c>
      <c r="L123" s="143" t="s">
        <v>325</v>
      </c>
      <c r="M123" s="143" t="s">
        <v>344</v>
      </c>
      <c r="N123" s="143" t="s">
        <v>546</v>
      </c>
      <c r="O123" s="143" t="s">
        <v>339</v>
      </c>
      <c r="P123" s="143" t="s">
        <v>1211</v>
      </c>
      <c r="Q123" s="144">
        <v>1591</v>
      </c>
      <c r="R123" s="143" t="s">
        <v>1212</v>
      </c>
      <c r="S123" s="143" t="s">
        <v>2575</v>
      </c>
      <c r="T123" s="145" t="s">
        <v>3930</v>
      </c>
      <c r="U123" s="144">
        <v>978.9479</v>
      </c>
      <c r="V123" s="146">
        <v>2.6636531056420558E-7</v>
      </c>
      <c r="W123" s="146">
        <v>6.2517624174631119E-3</v>
      </c>
      <c r="X123" s="147">
        <v>1.4201479539986694E-3</v>
      </c>
      <c r="Y123" s="180"/>
    </row>
    <row r="124" spans="1:25" ht="15" x14ac:dyDescent="0.2">
      <c r="A124" s="142" t="s">
        <v>1205</v>
      </c>
      <c r="B124" s="143" t="s">
        <v>1205</v>
      </c>
      <c r="C124" s="143" t="s">
        <v>2576</v>
      </c>
      <c r="D124" s="143" t="s">
        <v>2577</v>
      </c>
      <c r="E124" s="143" t="s">
        <v>313</v>
      </c>
      <c r="F124" s="143" t="s">
        <v>2578</v>
      </c>
      <c r="G124" s="143" t="s">
        <v>2579</v>
      </c>
      <c r="H124" s="143" t="s">
        <v>321</v>
      </c>
      <c r="I124" s="143" t="s">
        <v>917</v>
      </c>
      <c r="J124" s="143" t="s">
        <v>205</v>
      </c>
      <c r="K124" s="143" t="s">
        <v>238</v>
      </c>
      <c r="L124" s="143" t="s">
        <v>325</v>
      </c>
      <c r="M124" s="143" t="s">
        <v>368</v>
      </c>
      <c r="N124" s="143" t="s">
        <v>544</v>
      </c>
      <c r="O124" s="143" t="s">
        <v>339</v>
      </c>
      <c r="P124" s="143" t="s">
        <v>1218</v>
      </c>
      <c r="Q124" s="144">
        <v>1148</v>
      </c>
      <c r="R124" s="143" t="s">
        <v>1219</v>
      </c>
      <c r="S124" s="143" t="s">
        <v>2580</v>
      </c>
      <c r="T124" s="145" t="s">
        <v>3930</v>
      </c>
      <c r="U124" s="144">
        <v>974.36559999999997</v>
      </c>
      <c r="V124" s="146">
        <v>9.3446989183592406E-7</v>
      </c>
      <c r="W124" s="146">
        <v>6.2224993822788711E-3</v>
      </c>
      <c r="X124" s="147">
        <v>1.4135005741448532E-3</v>
      </c>
      <c r="Y124" s="180"/>
    </row>
    <row r="125" spans="1:25" ht="15" x14ac:dyDescent="0.2">
      <c r="A125" s="142" t="s">
        <v>1205</v>
      </c>
      <c r="B125" s="143" t="s">
        <v>1205</v>
      </c>
      <c r="C125" s="143" t="s">
        <v>2581</v>
      </c>
      <c r="D125" s="143" t="s">
        <v>2582</v>
      </c>
      <c r="E125" s="143" t="s">
        <v>313</v>
      </c>
      <c r="F125" s="143" t="s">
        <v>2581</v>
      </c>
      <c r="G125" s="143" t="s">
        <v>2583</v>
      </c>
      <c r="H125" s="143" t="s">
        <v>321</v>
      </c>
      <c r="I125" s="143" t="s">
        <v>917</v>
      </c>
      <c r="J125" s="143" t="s">
        <v>205</v>
      </c>
      <c r="K125" s="143" t="s">
        <v>224</v>
      </c>
      <c r="L125" s="143" t="s">
        <v>325</v>
      </c>
      <c r="M125" s="143" t="s">
        <v>344</v>
      </c>
      <c r="N125" s="143" t="s">
        <v>533</v>
      </c>
      <c r="O125" s="143" t="s">
        <v>339</v>
      </c>
      <c r="P125" s="143" t="s">
        <v>1211</v>
      </c>
      <c r="Q125" s="144">
        <v>3626</v>
      </c>
      <c r="R125" s="143" t="s">
        <v>1212</v>
      </c>
      <c r="S125" s="143" t="s">
        <v>2584</v>
      </c>
      <c r="T125" s="145" t="s">
        <v>3930</v>
      </c>
      <c r="U125" s="144">
        <v>899.02790000000005</v>
      </c>
      <c r="V125" s="146">
        <v>9.4382841376438131E-6</v>
      </c>
      <c r="W125" s="146">
        <v>5.7413770738742424E-3</v>
      </c>
      <c r="X125" s="147">
        <v>1.3042090150166016E-3</v>
      </c>
      <c r="Y125" s="180"/>
    </row>
    <row r="126" spans="1:25" ht="15" x14ac:dyDescent="0.2">
      <c r="A126" s="142" t="s">
        <v>1205</v>
      </c>
      <c r="B126" s="143" t="s">
        <v>1205</v>
      </c>
      <c r="C126" s="143" t="s">
        <v>2585</v>
      </c>
      <c r="D126" s="143" t="s">
        <v>2586</v>
      </c>
      <c r="E126" s="143" t="s">
        <v>309</v>
      </c>
      <c r="F126" s="143" t="s">
        <v>2585</v>
      </c>
      <c r="G126" s="143" t="s">
        <v>2587</v>
      </c>
      <c r="H126" s="143" t="s">
        <v>321</v>
      </c>
      <c r="I126" s="143" t="s">
        <v>917</v>
      </c>
      <c r="J126" s="143" t="s">
        <v>205</v>
      </c>
      <c r="K126" s="143" t="s">
        <v>204</v>
      </c>
      <c r="L126" s="143" t="s">
        <v>325</v>
      </c>
      <c r="M126" s="143" t="s">
        <v>344</v>
      </c>
      <c r="N126" s="143" t="s">
        <v>476</v>
      </c>
      <c r="O126" s="143" t="s">
        <v>339</v>
      </c>
      <c r="P126" s="143" t="s">
        <v>1211</v>
      </c>
      <c r="Q126" s="144">
        <v>806</v>
      </c>
      <c r="R126" s="143" t="s">
        <v>1212</v>
      </c>
      <c r="S126" s="143" t="s">
        <v>2588</v>
      </c>
      <c r="T126" s="145" t="s">
        <v>3930</v>
      </c>
      <c r="U126" s="144">
        <v>871.98969999999997</v>
      </c>
      <c r="V126" s="146">
        <v>1.9795657726692208E-5</v>
      </c>
      <c r="W126" s="146">
        <v>5.5687056753193336E-3</v>
      </c>
      <c r="X126" s="147">
        <v>1.2649850463182918E-3</v>
      </c>
      <c r="Y126" s="180"/>
    </row>
    <row r="127" spans="1:25" ht="15" x14ac:dyDescent="0.2">
      <c r="A127" s="142" t="s">
        <v>1205</v>
      </c>
      <c r="B127" s="143" t="s">
        <v>1205</v>
      </c>
      <c r="C127" s="143" t="s">
        <v>2589</v>
      </c>
      <c r="D127" s="143" t="s">
        <v>2590</v>
      </c>
      <c r="E127" s="143" t="s">
        <v>313</v>
      </c>
      <c r="F127" s="143" t="s">
        <v>2589</v>
      </c>
      <c r="G127" s="143" t="s">
        <v>2591</v>
      </c>
      <c r="H127" s="143" t="s">
        <v>321</v>
      </c>
      <c r="I127" s="143" t="s">
        <v>917</v>
      </c>
      <c r="J127" s="143" t="s">
        <v>205</v>
      </c>
      <c r="K127" s="143" t="s">
        <v>268</v>
      </c>
      <c r="L127" s="143" t="s">
        <v>325</v>
      </c>
      <c r="M127" s="143" t="s">
        <v>344</v>
      </c>
      <c r="N127" s="143" t="s">
        <v>544</v>
      </c>
      <c r="O127" s="143" t="s">
        <v>339</v>
      </c>
      <c r="P127" s="143" t="s">
        <v>1211</v>
      </c>
      <c r="Q127" s="144">
        <v>5687</v>
      </c>
      <c r="R127" s="143" t="s">
        <v>1212</v>
      </c>
      <c r="S127" s="143" t="s">
        <v>2592</v>
      </c>
      <c r="T127" s="145" t="s">
        <v>3930</v>
      </c>
      <c r="U127" s="144">
        <v>843.95080000000007</v>
      </c>
      <c r="V127" s="146">
        <v>4.2194468495860314E-6</v>
      </c>
      <c r="W127" s="146">
        <v>5.3896433746900051E-3</v>
      </c>
      <c r="X127" s="147">
        <v>1.2243093227548513E-3</v>
      </c>
      <c r="Y127" s="180"/>
    </row>
    <row r="128" spans="1:25" ht="15" x14ac:dyDescent="0.2">
      <c r="A128" s="142" t="s">
        <v>1205</v>
      </c>
      <c r="B128" s="143" t="s">
        <v>1205</v>
      </c>
      <c r="C128" s="143" t="s">
        <v>2593</v>
      </c>
      <c r="D128" s="143" t="s">
        <v>2594</v>
      </c>
      <c r="E128" s="143" t="s">
        <v>313</v>
      </c>
      <c r="F128" s="143" t="s">
        <v>2595</v>
      </c>
      <c r="G128" s="143" t="s">
        <v>2596</v>
      </c>
      <c r="H128" s="143" t="s">
        <v>321</v>
      </c>
      <c r="I128" s="143" t="s">
        <v>917</v>
      </c>
      <c r="J128" s="143" t="s">
        <v>205</v>
      </c>
      <c r="K128" s="143" t="s">
        <v>281</v>
      </c>
      <c r="L128" s="143" t="s">
        <v>325</v>
      </c>
      <c r="M128" s="143" t="s">
        <v>364</v>
      </c>
      <c r="N128" s="143" t="s">
        <v>517</v>
      </c>
      <c r="O128" s="143" t="s">
        <v>339</v>
      </c>
      <c r="P128" s="143" t="s">
        <v>1218</v>
      </c>
      <c r="Q128" s="144">
        <v>488</v>
      </c>
      <c r="R128" s="143" t="s">
        <v>1219</v>
      </c>
      <c r="S128" s="143" t="s">
        <v>2597</v>
      </c>
      <c r="T128" s="145" t="s">
        <v>3930</v>
      </c>
      <c r="U128" s="144">
        <v>814.70249999999999</v>
      </c>
      <c r="V128" s="146">
        <v>9.0921116615647745E-7</v>
      </c>
      <c r="W128" s="146">
        <v>5.2028579772993595E-3</v>
      </c>
      <c r="X128" s="147">
        <v>1.1818792234919312E-3</v>
      </c>
      <c r="Y128" s="180"/>
    </row>
    <row r="129" spans="1:25" ht="15" x14ac:dyDescent="0.2">
      <c r="A129" s="142" t="s">
        <v>1205</v>
      </c>
      <c r="B129" s="143" t="s">
        <v>1205</v>
      </c>
      <c r="C129" s="143" t="s">
        <v>2598</v>
      </c>
      <c r="D129" s="143" t="s">
        <v>2599</v>
      </c>
      <c r="E129" s="143" t="s">
        <v>309</v>
      </c>
      <c r="F129" s="143" t="s">
        <v>2600</v>
      </c>
      <c r="G129" s="143" t="s">
        <v>2601</v>
      </c>
      <c r="H129" s="143" t="s">
        <v>321</v>
      </c>
      <c r="I129" s="143" t="s">
        <v>917</v>
      </c>
      <c r="J129" s="143" t="s">
        <v>205</v>
      </c>
      <c r="K129" s="143" t="s">
        <v>204</v>
      </c>
      <c r="L129" s="143" t="s">
        <v>325</v>
      </c>
      <c r="M129" s="143" t="s">
        <v>344</v>
      </c>
      <c r="N129" s="143" t="s">
        <v>544</v>
      </c>
      <c r="O129" s="143" t="s">
        <v>339</v>
      </c>
      <c r="P129" s="143" t="s">
        <v>1211</v>
      </c>
      <c r="Q129" s="144">
        <v>1207</v>
      </c>
      <c r="R129" s="143" t="s">
        <v>1212</v>
      </c>
      <c r="S129" s="143" t="s">
        <v>2602</v>
      </c>
      <c r="T129" s="145" t="s">
        <v>3930</v>
      </c>
      <c r="U129" s="144">
        <v>748.58219999999994</v>
      </c>
      <c r="V129" s="146">
        <v>2.0531750216884686E-5</v>
      </c>
      <c r="W129" s="146">
        <v>4.7806001684409273E-3</v>
      </c>
      <c r="X129" s="147">
        <v>1.085959301513578E-3</v>
      </c>
      <c r="Y129" s="180"/>
    </row>
    <row r="130" spans="1:25" ht="15" x14ac:dyDescent="0.2">
      <c r="A130" s="142" t="s">
        <v>1205</v>
      </c>
      <c r="B130" s="143" t="s">
        <v>1205</v>
      </c>
      <c r="C130" s="143" t="s">
        <v>2603</v>
      </c>
      <c r="D130" s="143" t="s">
        <v>2604</v>
      </c>
      <c r="E130" s="143" t="s">
        <v>313</v>
      </c>
      <c r="F130" s="143" t="s">
        <v>2605</v>
      </c>
      <c r="G130" s="143" t="s">
        <v>2606</v>
      </c>
      <c r="H130" s="143" t="s">
        <v>321</v>
      </c>
      <c r="I130" s="143" t="s">
        <v>917</v>
      </c>
      <c r="J130" s="143" t="s">
        <v>205</v>
      </c>
      <c r="K130" s="143" t="s">
        <v>224</v>
      </c>
      <c r="L130" s="143" t="s">
        <v>325</v>
      </c>
      <c r="M130" s="143" t="s">
        <v>344</v>
      </c>
      <c r="N130" s="143" t="s">
        <v>539</v>
      </c>
      <c r="O130" s="143" t="s">
        <v>339</v>
      </c>
      <c r="P130" s="143" t="s">
        <v>1211</v>
      </c>
      <c r="Q130" s="144">
        <v>405</v>
      </c>
      <c r="R130" s="143" t="s">
        <v>1212</v>
      </c>
      <c r="S130" s="143" t="s">
        <v>2607</v>
      </c>
      <c r="T130" s="145" t="s">
        <v>3930</v>
      </c>
      <c r="U130" s="144">
        <v>691.56369999999993</v>
      </c>
      <c r="V130" s="146">
        <v>3.0335397139034992E-7</v>
      </c>
      <c r="W130" s="146">
        <v>4.4164677780556653E-3</v>
      </c>
      <c r="X130" s="147">
        <v>1.0032431273119171E-3</v>
      </c>
      <c r="Y130" s="180"/>
    </row>
    <row r="131" spans="1:25" ht="15" x14ac:dyDescent="0.2">
      <c r="A131" s="142" t="s">
        <v>1205</v>
      </c>
      <c r="B131" s="143" t="s">
        <v>1205</v>
      </c>
      <c r="C131" s="143" t="s">
        <v>2608</v>
      </c>
      <c r="D131" s="143" t="s">
        <v>2609</v>
      </c>
      <c r="E131" s="143" t="s">
        <v>313</v>
      </c>
      <c r="F131" s="143" t="s">
        <v>2610</v>
      </c>
      <c r="G131" s="143" t="s">
        <v>2611</v>
      </c>
      <c r="H131" s="143" t="s">
        <v>321</v>
      </c>
      <c r="I131" s="143" t="s">
        <v>917</v>
      </c>
      <c r="J131" s="143" t="s">
        <v>205</v>
      </c>
      <c r="K131" s="143" t="s">
        <v>268</v>
      </c>
      <c r="L131" s="143" t="s">
        <v>325</v>
      </c>
      <c r="M131" s="143" t="s">
        <v>344</v>
      </c>
      <c r="N131" s="143" t="s">
        <v>546</v>
      </c>
      <c r="O131" s="143" t="s">
        <v>339</v>
      </c>
      <c r="P131" s="143" t="s">
        <v>1211</v>
      </c>
      <c r="Q131" s="144">
        <v>1482</v>
      </c>
      <c r="R131" s="143" t="s">
        <v>1212</v>
      </c>
      <c r="S131" s="143" t="s">
        <v>2612</v>
      </c>
      <c r="T131" s="145" t="s">
        <v>3930</v>
      </c>
      <c r="U131" s="144">
        <v>578.9076</v>
      </c>
      <c r="V131" s="146">
        <v>5.3766171572860055E-6</v>
      </c>
      <c r="W131" s="146">
        <v>3.6970228875729113E-3</v>
      </c>
      <c r="X131" s="147">
        <v>8.3981430180506426E-4</v>
      </c>
      <c r="Y131" s="180"/>
    </row>
    <row r="132" spans="1:25" ht="15" x14ac:dyDescent="0.2">
      <c r="A132" s="142" t="s">
        <v>1205</v>
      </c>
      <c r="B132" s="143" t="s">
        <v>1205</v>
      </c>
      <c r="C132" s="143" t="s">
        <v>2613</v>
      </c>
      <c r="D132" s="143" t="s">
        <v>2614</v>
      </c>
      <c r="E132" s="143" t="s">
        <v>309</v>
      </c>
      <c r="F132" s="143" t="s">
        <v>2613</v>
      </c>
      <c r="G132" s="143" t="s">
        <v>2615</v>
      </c>
      <c r="H132" s="143" t="s">
        <v>321</v>
      </c>
      <c r="I132" s="143" t="s">
        <v>917</v>
      </c>
      <c r="J132" s="143" t="s">
        <v>205</v>
      </c>
      <c r="K132" s="143" t="s">
        <v>224</v>
      </c>
      <c r="L132" s="143" t="s">
        <v>325</v>
      </c>
      <c r="M132" s="143" t="s">
        <v>344</v>
      </c>
      <c r="N132" s="143" t="s">
        <v>544</v>
      </c>
      <c r="O132" s="143" t="s">
        <v>339</v>
      </c>
      <c r="P132" s="143" t="s">
        <v>1211</v>
      </c>
      <c r="Q132" s="144">
        <v>4900</v>
      </c>
      <c r="R132" s="143" t="s">
        <v>1212</v>
      </c>
      <c r="S132" s="143" t="s">
        <v>2616</v>
      </c>
      <c r="T132" s="145" t="s">
        <v>3930</v>
      </c>
      <c r="U132" s="144">
        <v>527.91819999999996</v>
      </c>
      <c r="V132" s="146">
        <v>4.8858310898394654E-5</v>
      </c>
      <c r="W132" s="146">
        <v>3.3713939407635351E-3</v>
      </c>
      <c r="X132" s="147">
        <v>7.6584455508494958E-4</v>
      </c>
      <c r="Y132" s="180"/>
    </row>
    <row r="133" spans="1:25" ht="15" x14ac:dyDescent="0.2">
      <c r="A133" s="142" t="s">
        <v>1205</v>
      </c>
      <c r="B133" s="143" t="s">
        <v>1205</v>
      </c>
      <c r="C133" s="143" t="s">
        <v>2617</v>
      </c>
      <c r="D133" s="143" t="s">
        <v>2618</v>
      </c>
      <c r="E133" s="143" t="s">
        <v>313</v>
      </c>
      <c r="F133" s="143" t="s">
        <v>2619</v>
      </c>
      <c r="G133" s="143" t="s">
        <v>2620</v>
      </c>
      <c r="H133" s="143" t="s">
        <v>321</v>
      </c>
      <c r="I133" s="143" t="s">
        <v>917</v>
      </c>
      <c r="J133" s="143" t="s">
        <v>205</v>
      </c>
      <c r="K133" s="143" t="s">
        <v>224</v>
      </c>
      <c r="L133" s="143" t="s">
        <v>325</v>
      </c>
      <c r="M133" s="143" t="s">
        <v>344</v>
      </c>
      <c r="N133" s="143" t="s">
        <v>544</v>
      </c>
      <c r="O133" s="143" t="s">
        <v>339</v>
      </c>
      <c r="P133" s="143" t="s">
        <v>1211</v>
      </c>
      <c r="Q133" s="144">
        <v>994</v>
      </c>
      <c r="R133" s="143" t="s">
        <v>1212</v>
      </c>
      <c r="S133" s="143" t="s">
        <v>2621</v>
      </c>
      <c r="T133" s="145" t="s">
        <v>3930</v>
      </c>
      <c r="U133" s="144">
        <v>423.57380000000001</v>
      </c>
      <c r="V133" s="146">
        <v>3.0185241421196477E-6</v>
      </c>
      <c r="W133" s="146">
        <v>2.7050295032037654E-3</v>
      </c>
      <c r="X133" s="147">
        <v>6.1447346491450895E-4</v>
      </c>
      <c r="Y133" s="180"/>
    </row>
    <row r="134" spans="1:25" ht="15" x14ac:dyDescent="0.2">
      <c r="A134" s="142" t="s">
        <v>1205</v>
      </c>
      <c r="B134" s="143" t="s">
        <v>1205</v>
      </c>
      <c r="C134" s="143" t="s">
        <v>2622</v>
      </c>
      <c r="D134" s="143" t="s">
        <v>2623</v>
      </c>
      <c r="E134" s="143" t="s">
        <v>313</v>
      </c>
      <c r="F134" s="143" t="s">
        <v>2624</v>
      </c>
      <c r="G134" s="143" t="s">
        <v>2625</v>
      </c>
      <c r="H134" s="143" t="s">
        <v>321</v>
      </c>
      <c r="I134" s="143" t="s">
        <v>917</v>
      </c>
      <c r="J134" s="143" t="s">
        <v>205</v>
      </c>
      <c r="K134" s="143" t="s">
        <v>224</v>
      </c>
      <c r="L134" s="143" t="s">
        <v>325</v>
      </c>
      <c r="M134" s="143" t="s">
        <v>344</v>
      </c>
      <c r="N134" s="143" t="s">
        <v>489</v>
      </c>
      <c r="O134" s="143" t="s">
        <v>339</v>
      </c>
      <c r="P134" s="143" t="s">
        <v>1211</v>
      </c>
      <c r="Q134" s="144">
        <v>16000</v>
      </c>
      <c r="R134" s="143" t="s">
        <v>1212</v>
      </c>
      <c r="S134" s="143" t="s">
        <v>2626</v>
      </c>
      <c r="T134" s="145" t="s">
        <v>3930</v>
      </c>
      <c r="U134" s="144">
        <v>356.16</v>
      </c>
      <c r="V134" s="146">
        <v>1.5384615384615385E-3</v>
      </c>
      <c r="W134" s="146">
        <v>2.2745110074302815E-3</v>
      </c>
      <c r="X134" s="147">
        <v>5.1667704846345059E-4</v>
      </c>
      <c r="Y134" s="180"/>
    </row>
    <row r="135" spans="1:25" ht="15" x14ac:dyDescent="0.2">
      <c r="A135" s="142" t="s">
        <v>1205</v>
      </c>
      <c r="B135" s="143" t="s">
        <v>1205</v>
      </c>
      <c r="C135" s="143" t="s">
        <v>2627</v>
      </c>
      <c r="D135" s="143" t="s">
        <v>2628</v>
      </c>
      <c r="E135" s="143" t="s">
        <v>313</v>
      </c>
      <c r="F135" s="143" t="s">
        <v>2629</v>
      </c>
      <c r="G135" s="143" t="s">
        <v>2630</v>
      </c>
      <c r="H135" s="143" t="s">
        <v>321</v>
      </c>
      <c r="I135" s="143" t="s">
        <v>917</v>
      </c>
      <c r="J135" s="143" t="s">
        <v>205</v>
      </c>
      <c r="K135" s="143" t="s">
        <v>224</v>
      </c>
      <c r="L135" s="143" t="s">
        <v>325</v>
      </c>
      <c r="M135" s="143" t="s">
        <v>344</v>
      </c>
      <c r="N135" s="143" t="s">
        <v>548</v>
      </c>
      <c r="O135" s="143" t="s">
        <v>339</v>
      </c>
      <c r="P135" s="143" t="s">
        <v>1211</v>
      </c>
      <c r="Q135" s="144">
        <v>3302</v>
      </c>
      <c r="R135" s="143" t="s">
        <v>1212</v>
      </c>
      <c r="S135" s="143" t="s">
        <v>2631</v>
      </c>
      <c r="T135" s="145" t="s">
        <v>3930</v>
      </c>
      <c r="U135" s="144">
        <v>280.65709999999996</v>
      </c>
      <c r="V135" s="146">
        <v>5.9075051435727706E-5</v>
      </c>
      <c r="W135" s="146">
        <v>1.7923341019699171E-3</v>
      </c>
      <c r="X135" s="147">
        <v>4.0714592747232136E-4</v>
      </c>
      <c r="Y135" s="180"/>
    </row>
    <row r="136" spans="1:25" ht="15" x14ac:dyDescent="0.2">
      <c r="A136" s="142" t="s">
        <v>1205</v>
      </c>
      <c r="B136" s="143" t="s">
        <v>1205</v>
      </c>
      <c r="C136" s="143" t="s">
        <v>2632</v>
      </c>
      <c r="D136" s="143" t="s">
        <v>2633</v>
      </c>
      <c r="E136" s="143" t="s">
        <v>313</v>
      </c>
      <c r="F136" s="143" t="s">
        <v>2632</v>
      </c>
      <c r="G136" s="143" t="s">
        <v>2634</v>
      </c>
      <c r="H136" s="143" t="s">
        <v>321</v>
      </c>
      <c r="I136" s="143" t="s">
        <v>917</v>
      </c>
      <c r="J136" s="143" t="s">
        <v>205</v>
      </c>
      <c r="K136" s="143" t="s">
        <v>272</v>
      </c>
      <c r="L136" s="143" t="s">
        <v>325</v>
      </c>
      <c r="M136" s="143" t="s">
        <v>394</v>
      </c>
      <c r="N136" s="143" t="s">
        <v>568</v>
      </c>
      <c r="O136" s="143" t="s">
        <v>339</v>
      </c>
      <c r="P136" s="143" t="s">
        <v>1218</v>
      </c>
      <c r="Q136" s="144">
        <v>7552</v>
      </c>
      <c r="R136" s="143" t="s">
        <v>1219</v>
      </c>
      <c r="S136" s="143" t="s">
        <v>2635</v>
      </c>
      <c r="T136" s="145" t="s">
        <v>3930</v>
      </c>
      <c r="U136" s="144">
        <v>202.26510000000002</v>
      </c>
      <c r="V136" s="146">
        <v>2.0919667590027701E-3</v>
      </c>
      <c r="W136" s="146">
        <v>1.2917063024206002E-3</v>
      </c>
      <c r="X136" s="147">
        <v>2.9342350845350658E-4</v>
      </c>
      <c r="Y136" s="180"/>
    </row>
    <row r="137" spans="1:25" ht="15" x14ac:dyDescent="0.2">
      <c r="A137" s="142" t="s">
        <v>1205</v>
      </c>
      <c r="B137" s="143" t="s">
        <v>1205</v>
      </c>
      <c r="C137" s="143" t="s">
        <v>2636</v>
      </c>
      <c r="D137" s="143" t="s">
        <v>2637</v>
      </c>
      <c r="E137" s="143" t="s">
        <v>309</v>
      </c>
      <c r="F137" s="143" t="s">
        <v>2638</v>
      </c>
      <c r="G137" s="143" t="s">
        <v>2639</v>
      </c>
      <c r="H137" s="143" t="s">
        <v>321</v>
      </c>
      <c r="I137" s="143" t="s">
        <v>917</v>
      </c>
      <c r="J137" s="143" t="s">
        <v>205</v>
      </c>
      <c r="K137" s="143" t="s">
        <v>204</v>
      </c>
      <c r="L137" s="143" t="s">
        <v>325</v>
      </c>
      <c r="M137" s="143" t="s">
        <v>344</v>
      </c>
      <c r="N137" s="143" t="s">
        <v>533</v>
      </c>
      <c r="O137" s="143" t="s">
        <v>339</v>
      </c>
      <c r="P137" s="143" t="s">
        <v>1211</v>
      </c>
      <c r="Q137" s="144">
        <v>1972</v>
      </c>
      <c r="R137" s="143" t="s">
        <v>1212</v>
      </c>
      <c r="S137" s="143" t="s">
        <v>2640</v>
      </c>
      <c r="T137" s="145" t="s">
        <v>3930</v>
      </c>
      <c r="U137" s="144">
        <v>92.914699999999996</v>
      </c>
      <c r="V137" s="146">
        <v>8.5404937202252055E-5</v>
      </c>
      <c r="W137" s="146">
        <v>5.9337253619257233E-4</v>
      </c>
      <c r="X137" s="147">
        <v>1.3479027783893792E-4</v>
      </c>
      <c r="Y137" s="180"/>
    </row>
    <row r="138" spans="1:25" ht="15" x14ac:dyDescent="0.2">
      <c r="A138" s="142" t="s">
        <v>1205</v>
      </c>
      <c r="B138" s="143" t="s">
        <v>1205</v>
      </c>
      <c r="C138" s="143" t="s">
        <v>2641</v>
      </c>
      <c r="D138" s="143" t="s">
        <v>2642</v>
      </c>
      <c r="E138" s="143" t="s">
        <v>313</v>
      </c>
      <c r="F138" s="143" t="s">
        <v>2641</v>
      </c>
      <c r="G138" s="143" t="s">
        <v>2643</v>
      </c>
      <c r="H138" s="143" t="s">
        <v>321</v>
      </c>
      <c r="I138" s="143" t="s">
        <v>917</v>
      </c>
      <c r="J138" s="143" t="s">
        <v>205</v>
      </c>
      <c r="K138" s="143" t="s">
        <v>224</v>
      </c>
      <c r="L138" s="143" t="s">
        <v>325</v>
      </c>
      <c r="M138" s="143" t="s">
        <v>344</v>
      </c>
      <c r="N138" s="143" t="s">
        <v>544</v>
      </c>
      <c r="O138" s="143" t="s">
        <v>339</v>
      </c>
      <c r="P138" s="143" t="s">
        <v>1211</v>
      </c>
      <c r="Q138" s="144">
        <v>43</v>
      </c>
      <c r="R138" s="143" t="s">
        <v>1212</v>
      </c>
      <c r="S138" s="143" t="s">
        <v>2644</v>
      </c>
      <c r="T138" s="145" t="s">
        <v>3930</v>
      </c>
      <c r="U138" s="144">
        <v>5.0396000000000001</v>
      </c>
      <c r="V138" s="146">
        <v>3.7647635640929109E-7</v>
      </c>
      <c r="W138" s="146">
        <v>3.2183619970448663E-5</v>
      </c>
      <c r="X138" s="147">
        <v>7.3108187741801809E-6</v>
      </c>
      <c r="Y138" s="180"/>
    </row>
    <row r="139" spans="1:25" ht="15" x14ac:dyDescent="0.2">
      <c r="A139" s="142" t="s">
        <v>1205</v>
      </c>
      <c r="B139" s="143" t="s">
        <v>1205</v>
      </c>
      <c r="C139" s="143" t="s">
        <v>2645</v>
      </c>
      <c r="D139" s="143" t="s">
        <v>2646</v>
      </c>
      <c r="E139" s="143" t="s">
        <v>309</v>
      </c>
      <c r="F139" s="143" t="s">
        <v>2645</v>
      </c>
      <c r="G139" s="143" t="s">
        <v>2647</v>
      </c>
      <c r="H139" s="143" t="s">
        <v>321</v>
      </c>
      <c r="I139" s="143" t="s">
        <v>917</v>
      </c>
      <c r="J139" s="143" t="s">
        <v>205</v>
      </c>
      <c r="K139" s="143" t="s">
        <v>204</v>
      </c>
      <c r="L139" s="143" t="s">
        <v>325</v>
      </c>
      <c r="M139" s="143" t="s">
        <v>344</v>
      </c>
      <c r="N139" s="143" t="s">
        <v>533</v>
      </c>
      <c r="O139" s="143" t="s">
        <v>339</v>
      </c>
      <c r="P139" s="143" t="s">
        <v>1211</v>
      </c>
      <c r="Q139" s="144">
        <v>64516</v>
      </c>
      <c r="R139" s="143" t="s">
        <v>1212</v>
      </c>
      <c r="S139" s="143" t="s">
        <v>2648</v>
      </c>
      <c r="T139" s="145" t="s">
        <v>3930</v>
      </c>
      <c r="U139" s="144">
        <v>4.069</v>
      </c>
      <c r="V139" s="146">
        <v>8.6737204393595138E-4</v>
      </c>
      <c r="W139" s="146">
        <v>2.5985624860847133E-5</v>
      </c>
      <c r="X139" s="147">
        <v>5.9028845812224543E-6</v>
      </c>
      <c r="Y139" s="180"/>
    </row>
    <row r="140" spans="1:25" ht="15" x14ac:dyDescent="0.2">
      <c r="A140" s="142" t="s">
        <v>1205</v>
      </c>
      <c r="B140" s="143" t="s">
        <v>1205</v>
      </c>
      <c r="C140" s="143" t="s">
        <v>2649</v>
      </c>
      <c r="D140" s="143" t="s">
        <v>2650</v>
      </c>
      <c r="E140" s="143" t="s">
        <v>313</v>
      </c>
      <c r="F140" s="143" t="s">
        <v>2649</v>
      </c>
      <c r="G140" s="143" t="s">
        <v>2651</v>
      </c>
      <c r="H140" s="143" t="s">
        <v>321</v>
      </c>
      <c r="I140" s="143" t="s">
        <v>917</v>
      </c>
      <c r="J140" s="143" t="s">
        <v>205</v>
      </c>
      <c r="K140" s="143" t="s">
        <v>224</v>
      </c>
      <c r="L140" s="143" t="s">
        <v>325</v>
      </c>
      <c r="M140" s="143" t="s">
        <v>344</v>
      </c>
      <c r="N140" s="143" t="s">
        <v>544</v>
      </c>
      <c r="O140" s="143" t="s">
        <v>339</v>
      </c>
      <c r="P140" s="143" t="s">
        <v>1211</v>
      </c>
      <c r="Q140" s="144">
        <v>1</v>
      </c>
      <c r="R140" s="143" t="s">
        <v>1212</v>
      </c>
      <c r="S140" s="143" t="s">
        <v>2652</v>
      </c>
      <c r="T140" s="145" t="s">
        <v>3930</v>
      </c>
      <c r="U140" s="144">
        <v>2.7600000000000003E-2</v>
      </c>
      <c r="V140" s="146">
        <v>8.0606158310494917E-9</v>
      </c>
      <c r="W140" s="146">
        <v>1.7627460307584682E-7</v>
      </c>
      <c r="X140" s="147">
        <v>4.0042471255917416E-8</v>
      </c>
      <c r="Y140" s="180"/>
    </row>
    <row r="141" spans="1:25" ht="15" x14ac:dyDescent="0.2">
      <c r="A141" s="142" t="s">
        <v>1220</v>
      </c>
      <c r="B141" s="143" t="s">
        <v>1220</v>
      </c>
      <c r="C141" s="143" t="s">
        <v>2056</v>
      </c>
      <c r="D141" s="143" t="s">
        <v>2057</v>
      </c>
      <c r="E141" s="143" t="s">
        <v>309</v>
      </c>
      <c r="F141" s="143" t="s">
        <v>2058</v>
      </c>
      <c r="G141" s="143" t="s">
        <v>2059</v>
      </c>
      <c r="H141" s="143" t="s">
        <v>321</v>
      </c>
      <c r="I141" s="143" t="s">
        <v>917</v>
      </c>
      <c r="J141" s="143" t="s">
        <v>204</v>
      </c>
      <c r="K141" s="143" t="s">
        <v>204</v>
      </c>
      <c r="L141" s="143" t="s">
        <v>325</v>
      </c>
      <c r="M141" s="143" t="s">
        <v>340</v>
      </c>
      <c r="N141" s="143" t="s">
        <v>467</v>
      </c>
      <c r="O141" s="143" t="s">
        <v>339</v>
      </c>
      <c r="P141" s="143" t="s">
        <v>1210</v>
      </c>
      <c r="Q141" s="144">
        <v>979124</v>
      </c>
      <c r="R141" s="145" t="s">
        <v>3930</v>
      </c>
      <c r="S141" s="143" t="s">
        <v>2060</v>
      </c>
      <c r="T141" s="145" t="s">
        <v>3930</v>
      </c>
      <c r="U141" s="144">
        <v>64906.13</v>
      </c>
      <c r="V141" s="146">
        <v>7.9038453833079573E-4</v>
      </c>
      <c r="W141" s="146">
        <v>3.7441429330177675E-2</v>
      </c>
      <c r="X141" s="147">
        <v>8.2847759956675322E-3</v>
      </c>
      <c r="Y141" s="180"/>
    </row>
    <row r="142" spans="1:25" ht="15" x14ac:dyDescent="0.2">
      <c r="A142" s="142" t="s">
        <v>1220</v>
      </c>
      <c r="B142" s="143" t="s">
        <v>1220</v>
      </c>
      <c r="C142" s="143" t="s">
        <v>1569</v>
      </c>
      <c r="D142" s="143" t="s">
        <v>1570</v>
      </c>
      <c r="E142" s="143" t="s">
        <v>309</v>
      </c>
      <c r="F142" s="143" t="s">
        <v>2061</v>
      </c>
      <c r="G142" s="143" t="s">
        <v>2062</v>
      </c>
      <c r="H142" s="143" t="s">
        <v>321</v>
      </c>
      <c r="I142" s="143" t="s">
        <v>917</v>
      </c>
      <c r="J142" s="143" t="s">
        <v>204</v>
      </c>
      <c r="K142" s="143" t="s">
        <v>204</v>
      </c>
      <c r="L142" s="143" t="s">
        <v>325</v>
      </c>
      <c r="M142" s="143" t="s">
        <v>340</v>
      </c>
      <c r="N142" s="143" t="s">
        <v>448</v>
      </c>
      <c r="O142" s="143" t="s">
        <v>339</v>
      </c>
      <c r="P142" s="143" t="s">
        <v>1210</v>
      </c>
      <c r="Q142" s="144">
        <v>1484659</v>
      </c>
      <c r="R142" s="145" t="s">
        <v>3930</v>
      </c>
      <c r="S142" s="143" t="s">
        <v>2063</v>
      </c>
      <c r="T142" s="145" t="s">
        <v>3930</v>
      </c>
      <c r="U142" s="144">
        <v>55362.934099999999</v>
      </c>
      <c r="V142" s="146">
        <v>1.1098741374549537E-3</v>
      </c>
      <c r="W142" s="146">
        <v>3.1936388539392256E-2</v>
      </c>
      <c r="X142" s="147">
        <v>7.0666593100977915E-3</v>
      </c>
      <c r="Y142" s="180"/>
    </row>
    <row r="143" spans="1:25" ht="15" x14ac:dyDescent="0.2">
      <c r="A143" s="142" t="s">
        <v>1220</v>
      </c>
      <c r="B143" s="143" t="s">
        <v>1220</v>
      </c>
      <c r="C143" s="143" t="s">
        <v>1493</v>
      </c>
      <c r="D143" s="143" t="s">
        <v>1494</v>
      </c>
      <c r="E143" s="143" t="s">
        <v>309</v>
      </c>
      <c r="F143" s="143" t="s">
        <v>2064</v>
      </c>
      <c r="G143" s="143" t="s">
        <v>2065</v>
      </c>
      <c r="H143" s="143" t="s">
        <v>321</v>
      </c>
      <c r="I143" s="143" t="s">
        <v>917</v>
      </c>
      <c r="J143" s="143" t="s">
        <v>204</v>
      </c>
      <c r="K143" s="143" t="s">
        <v>204</v>
      </c>
      <c r="L143" s="143" t="s">
        <v>325</v>
      </c>
      <c r="M143" s="143" t="s">
        <v>340</v>
      </c>
      <c r="N143" s="143" t="s">
        <v>448</v>
      </c>
      <c r="O143" s="143" t="s">
        <v>339</v>
      </c>
      <c r="P143" s="143" t="s">
        <v>1210</v>
      </c>
      <c r="Q143" s="144">
        <v>1384937</v>
      </c>
      <c r="R143" s="145" t="s">
        <v>3930</v>
      </c>
      <c r="S143" s="143" t="s">
        <v>2066</v>
      </c>
      <c r="T143" s="145" t="s">
        <v>3930</v>
      </c>
      <c r="U143" s="144">
        <v>50467.104299999999</v>
      </c>
      <c r="V143" s="146">
        <v>8.5721044535899628E-4</v>
      </c>
      <c r="W143" s="146">
        <v>2.9112204341297434E-2</v>
      </c>
      <c r="X143" s="147">
        <v>6.4417437053705699E-3</v>
      </c>
      <c r="Y143" s="180"/>
    </row>
    <row r="144" spans="1:25" ht="15" x14ac:dyDescent="0.2">
      <c r="A144" s="142" t="s">
        <v>1220</v>
      </c>
      <c r="B144" s="143" t="s">
        <v>1220</v>
      </c>
      <c r="C144" s="143" t="s">
        <v>2067</v>
      </c>
      <c r="D144" s="143" t="s">
        <v>2068</v>
      </c>
      <c r="E144" s="143" t="s">
        <v>309</v>
      </c>
      <c r="F144" s="143" t="s">
        <v>2069</v>
      </c>
      <c r="G144" s="143" t="s">
        <v>2070</v>
      </c>
      <c r="H144" s="143" t="s">
        <v>321</v>
      </c>
      <c r="I144" s="143" t="s">
        <v>917</v>
      </c>
      <c r="J144" s="143" t="s">
        <v>204</v>
      </c>
      <c r="K144" s="143" t="s">
        <v>204</v>
      </c>
      <c r="L144" s="143" t="s">
        <v>325</v>
      </c>
      <c r="M144" s="143" t="s">
        <v>340</v>
      </c>
      <c r="N144" s="143" t="s">
        <v>480</v>
      </c>
      <c r="O144" s="143" t="s">
        <v>339</v>
      </c>
      <c r="P144" s="143" t="s">
        <v>1210</v>
      </c>
      <c r="Q144" s="144">
        <v>62060</v>
      </c>
      <c r="R144" s="145" t="s">
        <v>3930</v>
      </c>
      <c r="S144" s="143" t="s">
        <v>2071</v>
      </c>
      <c r="T144" s="145" t="s">
        <v>3930</v>
      </c>
      <c r="U144" s="144">
        <v>40264.527999999998</v>
      </c>
      <c r="V144" s="146">
        <v>8.2995845647359373E-4</v>
      </c>
      <c r="W144" s="146">
        <v>2.3226796614649992E-2</v>
      </c>
      <c r="X144" s="147">
        <v>5.1394621009889464E-3</v>
      </c>
      <c r="Y144" s="180"/>
    </row>
    <row r="145" spans="1:25" ht="15" x14ac:dyDescent="0.2">
      <c r="A145" s="142" t="s">
        <v>1220</v>
      </c>
      <c r="B145" s="143" t="s">
        <v>1220</v>
      </c>
      <c r="C145" s="143" t="s">
        <v>2072</v>
      </c>
      <c r="D145" s="143" t="s">
        <v>2073</v>
      </c>
      <c r="E145" s="143" t="s">
        <v>309</v>
      </c>
      <c r="F145" s="143" t="s">
        <v>2074</v>
      </c>
      <c r="G145" s="143" t="s">
        <v>2075</v>
      </c>
      <c r="H145" s="143" t="s">
        <v>321</v>
      </c>
      <c r="I145" s="143" t="s">
        <v>917</v>
      </c>
      <c r="J145" s="143" t="s">
        <v>204</v>
      </c>
      <c r="K145" s="143" t="s">
        <v>204</v>
      </c>
      <c r="L145" s="143" t="s">
        <v>325</v>
      </c>
      <c r="M145" s="143" t="s">
        <v>340</v>
      </c>
      <c r="N145" s="143" t="s">
        <v>448</v>
      </c>
      <c r="O145" s="143" t="s">
        <v>339</v>
      </c>
      <c r="P145" s="143" t="s">
        <v>1210</v>
      </c>
      <c r="Q145" s="144">
        <v>241825</v>
      </c>
      <c r="R145" s="145" t="s">
        <v>3930</v>
      </c>
      <c r="S145" s="143" t="s">
        <v>2076</v>
      </c>
      <c r="T145" s="145" t="s">
        <v>3930</v>
      </c>
      <c r="U145" s="144">
        <v>35185.537499999999</v>
      </c>
      <c r="V145" s="146">
        <v>9.3593447349458537E-4</v>
      </c>
      <c r="W145" s="146">
        <v>2.0296955257730582E-2</v>
      </c>
      <c r="X145" s="147">
        <v>4.4911674236979846E-3</v>
      </c>
      <c r="Y145" s="180"/>
    </row>
    <row r="146" spans="1:25" ht="15" x14ac:dyDescent="0.2">
      <c r="A146" s="142" t="s">
        <v>1220</v>
      </c>
      <c r="B146" s="143" t="s">
        <v>1220</v>
      </c>
      <c r="C146" s="143" t="s">
        <v>2077</v>
      </c>
      <c r="D146" s="143" t="s">
        <v>2078</v>
      </c>
      <c r="E146" s="143" t="s">
        <v>309</v>
      </c>
      <c r="F146" s="143" t="s">
        <v>2079</v>
      </c>
      <c r="G146" s="143" t="s">
        <v>2080</v>
      </c>
      <c r="H146" s="143" t="s">
        <v>321</v>
      </c>
      <c r="I146" s="143" t="s">
        <v>917</v>
      </c>
      <c r="J146" s="143" t="s">
        <v>204</v>
      </c>
      <c r="K146" s="143" t="s">
        <v>204</v>
      </c>
      <c r="L146" s="143" t="s">
        <v>325</v>
      </c>
      <c r="M146" s="143" t="s">
        <v>340</v>
      </c>
      <c r="N146" s="143" t="s">
        <v>448</v>
      </c>
      <c r="O146" s="143" t="s">
        <v>339</v>
      </c>
      <c r="P146" s="143" t="s">
        <v>1210</v>
      </c>
      <c r="Q146" s="144">
        <v>1678588</v>
      </c>
      <c r="R146" s="145" t="s">
        <v>3930</v>
      </c>
      <c r="S146" s="143" t="s">
        <v>2081</v>
      </c>
      <c r="T146" s="145" t="s">
        <v>3930</v>
      </c>
      <c r="U146" s="144">
        <v>34998.559799999995</v>
      </c>
      <c r="V146" s="146">
        <v>1.3569706351904743E-3</v>
      </c>
      <c r="W146" s="146">
        <v>2.0189096225845866E-2</v>
      </c>
      <c r="X146" s="147">
        <v>4.467301136158737E-3</v>
      </c>
      <c r="Y146" s="180"/>
    </row>
    <row r="147" spans="1:25" ht="15" x14ac:dyDescent="0.2">
      <c r="A147" s="142" t="s">
        <v>1220</v>
      </c>
      <c r="B147" s="143" t="s">
        <v>1220</v>
      </c>
      <c r="C147" s="143" t="s">
        <v>2082</v>
      </c>
      <c r="D147" s="143" t="s">
        <v>2083</v>
      </c>
      <c r="E147" s="143" t="s">
        <v>309</v>
      </c>
      <c r="F147" s="143" t="s">
        <v>2084</v>
      </c>
      <c r="G147" s="143" t="s">
        <v>2085</v>
      </c>
      <c r="H147" s="143" t="s">
        <v>321</v>
      </c>
      <c r="I147" s="143" t="s">
        <v>917</v>
      </c>
      <c r="J147" s="143" t="s">
        <v>204</v>
      </c>
      <c r="K147" s="143" t="s">
        <v>204</v>
      </c>
      <c r="L147" s="143" t="s">
        <v>325</v>
      </c>
      <c r="M147" s="143" t="s">
        <v>340</v>
      </c>
      <c r="N147" s="143" t="s">
        <v>448</v>
      </c>
      <c r="O147" s="143" t="s">
        <v>339</v>
      </c>
      <c r="P147" s="143" t="s">
        <v>1210</v>
      </c>
      <c r="Q147" s="144">
        <v>199524</v>
      </c>
      <c r="R147" s="145" t="s">
        <v>3930</v>
      </c>
      <c r="S147" s="143" t="s">
        <v>2086</v>
      </c>
      <c r="T147" s="145" t="s">
        <v>3930</v>
      </c>
      <c r="U147" s="144">
        <v>30746.648399999998</v>
      </c>
      <c r="V147" s="146">
        <v>1.9886765718422918E-3</v>
      </c>
      <c r="W147" s="146">
        <v>1.7736359630714002E-2</v>
      </c>
      <c r="X147" s="147">
        <v>3.924576843027501E-3</v>
      </c>
      <c r="Y147" s="180"/>
    </row>
    <row r="148" spans="1:25" ht="15" x14ac:dyDescent="0.2">
      <c r="A148" s="142" t="s">
        <v>1220</v>
      </c>
      <c r="B148" s="143" t="s">
        <v>1220</v>
      </c>
      <c r="C148" s="143" t="s">
        <v>1810</v>
      </c>
      <c r="D148" s="143" t="s">
        <v>1811</v>
      </c>
      <c r="E148" s="143" t="s">
        <v>309</v>
      </c>
      <c r="F148" s="143" t="s">
        <v>2092</v>
      </c>
      <c r="G148" s="143" t="s">
        <v>2093</v>
      </c>
      <c r="H148" s="143" t="s">
        <v>321</v>
      </c>
      <c r="I148" s="143" t="s">
        <v>917</v>
      </c>
      <c r="J148" s="143" t="s">
        <v>204</v>
      </c>
      <c r="K148" s="143" t="s">
        <v>204</v>
      </c>
      <c r="L148" s="143" t="s">
        <v>325</v>
      </c>
      <c r="M148" s="143" t="s">
        <v>340</v>
      </c>
      <c r="N148" s="143" t="s">
        <v>454</v>
      </c>
      <c r="O148" s="143" t="s">
        <v>339</v>
      </c>
      <c r="P148" s="143" t="s">
        <v>1210</v>
      </c>
      <c r="Q148" s="144">
        <v>562932</v>
      </c>
      <c r="R148" s="145" t="s">
        <v>3930</v>
      </c>
      <c r="S148" s="143" t="s">
        <v>2094</v>
      </c>
      <c r="T148" s="145" t="s">
        <v>3930</v>
      </c>
      <c r="U148" s="144">
        <v>29300.6106</v>
      </c>
      <c r="V148" s="146">
        <v>5.609268156472288E-3</v>
      </c>
      <c r="W148" s="146">
        <v>1.690220541244784E-2</v>
      </c>
      <c r="X148" s="147">
        <v>3.7400010678017882E-3</v>
      </c>
      <c r="Y148" s="180"/>
    </row>
    <row r="149" spans="1:25" ht="15" x14ac:dyDescent="0.2">
      <c r="A149" s="142" t="s">
        <v>1220</v>
      </c>
      <c r="B149" s="143" t="s">
        <v>1220</v>
      </c>
      <c r="C149" s="143" t="s">
        <v>2087</v>
      </c>
      <c r="D149" s="143" t="s">
        <v>2088</v>
      </c>
      <c r="E149" s="143" t="s">
        <v>309</v>
      </c>
      <c r="F149" s="143" t="s">
        <v>2089</v>
      </c>
      <c r="G149" s="143" t="s">
        <v>2090</v>
      </c>
      <c r="H149" s="143" t="s">
        <v>321</v>
      </c>
      <c r="I149" s="143" t="s">
        <v>917</v>
      </c>
      <c r="J149" s="143" t="s">
        <v>204</v>
      </c>
      <c r="K149" s="143" t="s">
        <v>204</v>
      </c>
      <c r="L149" s="143" t="s">
        <v>327</v>
      </c>
      <c r="M149" s="143" t="s">
        <v>340</v>
      </c>
      <c r="N149" s="143" t="s">
        <v>441</v>
      </c>
      <c r="O149" s="143" t="s">
        <v>339</v>
      </c>
      <c r="P149" s="143" t="s">
        <v>1210</v>
      </c>
      <c r="Q149" s="144">
        <v>2150400</v>
      </c>
      <c r="R149" s="145" t="s">
        <v>3930</v>
      </c>
      <c r="S149" s="143" t="s">
        <v>2091</v>
      </c>
      <c r="T149" s="145" t="s">
        <v>3930</v>
      </c>
      <c r="U149" s="144">
        <v>27632.639999999999</v>
      </c>
      <c r="V149" s="146">
        <v>3.3077580955779652E-2</v>
      </c>
      <c r="W149" s="146">
        <v>1.5940028136076548E-2</v>
      </c>
      <c r="X149" s="147">
        <v>3.5270972512150447E-3</v>
      </c>
      <c r="Y149" s="180"/>
    </row>
    <row r="150" spans="1:25" ht="15" x14ac:dyDescent="0.2">
      <c r="A150" s="142" t="s">
        <v>1220</v>
      </c>
      <c r="B150" s="143" t="s">
        <v>1220</v>
      </c>
      <c r="C150" s="143" t="s">
        <v>2100</v>
      </c>
      <c r="D150" s="143" t="s">
        <v>2101</v>
      </c>
      <c r="E150" s="143" t="s">
        <v>309</v>
      </c>
      <c r="F150" s="143" t="s">
        <v>2102</v>
      </c>
      <c r="G150" s="143" t="s">
        <v>2103</v>
      </c>
      <c r="H150" s="143" t="s">
        <v>321</v>
      </c>
      <c r="I150" s="143" t="s">
        <v>917</v>
      </c>
      <c r="J150" s="143" t="s">
        <v>204</v>
      </c>
      <c r="K150" s="143" t="s">
        <v>204</v>
      </c>
      <c r="L150" s="143" t="s">
        <v>325</v>
      </c>
      <c r="M150" s="143" t="s">
        <v>340</v>
      </c>
      <c r="N150" s="143" t="s">
        <v>441</v>
      </c>
      <c r="O150" s="143" t="s">
        <v>339</v>
      </c>
      <c r="P150" s="143" t="s">
        <v>1210</v>
      </c>
      <c r="Q150" s="144">
        <v>360059</v>
      </c>
      <c r="R150" s="145" t="s">
        <v>3930</v>
      </c>
      <c r="S150" s="143" t="s">
        <v>2104</v>
      </c>
      <c r="T150" s="145" t="s">
        <v>3930</v>
      </c>
      <c r="U150" s="144">
        <v>22525.459500000001</v>
      </c>
      <c r="V150" s="146">
        <v>3.1151553429137504E-3</v>
      </c>
      <c r="W150" s="146">
        <v>1.2993925240854765E-2</v>
      </c>
      <c r="X150" s="147">
        <v>2.8752043351658327E-3</v>
      </c>
      <c r="Y150" s="180"/>
    </row>
    <row r="151" spans="1:25" ht="15" x14ac:dyDescent="0.2">
      <c r="A151" s="142" t="s">
        <v>1220</v>
      </c>
      <c r="B151" s="143" t="s">
        <v>1220</v>
      </c>
      <c r="C151" s="143" t="s">
        <v>2095</v>
      </c>
      <c r="D151" s="143" t="s">
        <v>2096</v>
      </c>
      <c r="E151" s="143" t="s">
        <v>309</v>
      </c>
      <c r="F151" s="143" t="s">
        <v>2097</v>
      </c>
      <c r="G151" s="143" t="s">
        <v>2098</v>
      </c>
      <c r="H151" s="143" t="s">
        <v>321</v>
      </c>
      <c r="I151" s="143" t="s">
        <v>917</v>
      </c>
      <c r="J151" s="143" t="s">
        <v>204</v>
      </c>
      <c r="K151" s="143" t="s">
        <v>204</v>
      </c>
      <c r="L151" s="143" t="s">
        <v>325</v>
      </c>
      <c r="M151" s="143" t="s">
        <v>340</v>
      </c>
      <c r="N151" s="143" t="s">
        <v>446</v>
      </c>
      <c r="O151" s="143" t="s">
        <v>339</v>
      </c>
      <c r="P151" s="143" t="s">
        <v>1210</v>
      </c>
      <c r="Q151" s="144">
        <v>29550</v>
      </c>
      <c r="R151" s="145" t="s">
        <v>3930</v>
      </c>
      <c r="S151" s="143" t="s">
        <v>2099</v>
      </c>
      <c r="T151" s="145" t="s">
        <v>3930</v>
      </c>
      <c r="U151" s="144">
        <v>21890.639999999999</v>
      </c>
      <c r="V151" s="146">
        <v>6.6436634783676926E-4</v>
      </c>
      <c r="W151" s="146">
        <v>1.2627726395911599E-2</v>
      </c>
      <c r="X151" s="147">
        <v>2.7941744318073884E-3</v>
      </c>
      <c r="Y151" s="180"/>
    </row>
    <row r="152" spans="1:25" ht="15" x14ac:dyDescent="0.2">
      <c r="A152" s="142" t="s">
        <v>1220</v>
      </c>
      <c r="B152" s="143" t="s">
        <v>1220</v>
      </c>
      <c r="C152" s="143" t="s">
        <v>1503</v>
      </c>
      <c r="D152" s="143" t="s">
        <v>1504</v>
      </c>
      <c r="E152" s="143" t="s">
        <v>309</v>
      </c>
      <c r="F152" s="143" t="s">
        <v>2110</v>
      </c>
      <c r="G152" s="143" t="s">
        <v>2111</v>
      </c>
      <c r="H152" s="143" t="s">
        <v>321</v>
      </c>
      <c r="I152" s="143" t="s">
        <v>917</v>
      </c>
      <c r="J152" s="143" t="s">
        <v>204</v>
      </c>
      <c r="K152" s="143" t="s">
        <v>204</v>
      </c>
      <c r="L152" s="143" t="s">
        <v>325</v>
      </c>
      <c r="M152" s="143" t="s">
        <v>340</v>
      </c>
      <c r="N152" s="143" t="s">
        <v>464</v>
      </c>
      <c r="O152" s="143" t="s">
        <v>339</v>
      </c>
      <c r="P152" s="143" t="s">
        <v>1210</v>
      </c>
      <c r="Q152" s="144">
        <v>71080</v>
      </c>
      <c r="R152" s="145" t="s">
        <v>3930</v>
      </c>
      <c r="S152" s="143" t="s">
        <v>2112</v>
      </c>
      <c r="T152" s="145" t="s">
        <v>3930</v>
      </c>
      <c r="U152" s="144">
        <v>20051.668000000001</v>
      </c>
      <c r="V152" s="146">
        <v>1.4956679287259102E-3</v>
      </c>
      <c r="W152" s="146">
        <v>1.1566906097110726E-2</v>
      </c>
      <c r="X152" s="147">
        <v>2.5594435813978207E-3</v>
      </c>
      <c r="Y152" s="180"/>
    </row>
    <row r="153" spans="1:25" ht="15" x14ac:dyDescent="0.2">
      <c r="A153" s="142" t="s">
        <v>1220</v>
      </c>
      <c r="B153" s="143" t="s">
        <v>1220</v>
      </c>
      <c r="C153" s="143" t="s">
        <v>1575</v>
      </c>
      <c r="D153" s="143" t="s">
        <v>1576</v>
      </c>
      <c r="E153" s="143" t="s">
        <v>309</v>
      </c>
      <c r="F153" s="143" t="s">
        <v>2118</v>
      </c>
      <c r="G153" s="143" t="s">
        <v>2119</v>
      </c>
      <c r="H153" s="143" t="s">
        <v>321</v>
      </c>
      <c r="I153" s="143" t="s">
        <v>917</v>
      </c>
      <c r="J153" s="143" t="s">
        <v>204</v>
      </c>
      <c r="K153" s="143" t="s">
        <v>204</v>
      </c>
      <c r="L153" s="143" t="s">
        <v>325</v>
      </c>
      <c r="M153" s="143" t="s">
        <v>340</v>
      </c>
      <c r="N153" s="143" t="s">
        <v>464</v>
      </c>
      <c r="O153" s="143" t="s">
        <v>339</v>
      </c>
      <c r="P153" s="143" t="s">
        <v>1210</v>
      </c>
      <c r="Q153" s="144">
        <v>43219.31</v>
      </c>
      <c r="R153" s="145" t="s">
        <v>3930</v>
      </c>
      <c r="S153" s="143" t="s">
        <v>2120</v>
      </c>
      <c r="T153" s="145" t="s">
        <v>3930</v>
      </c>
      <c r="U153" s="144">
        <v>17931.691699999999</v>
      </c>
      <c r="V153" s="146">
        <v>1.7522388025814838E-3</v>
      </c>
      <c r="W153" s="146">
        <v>1.0343987057635853E-2</v>
      </c>
      <c r="X153" s="147">
        <v>2.2888446623891339E-3</v>
      </c>
      <c r="Y153" s="180"/>
    </row>
    <row r="154" spans="1:25" ht="15" x14ac:dyDescent="0.2">
      <c r="A154" s="142" t="s">
        <v>1220</v>
      </c>
      <c r="B154" s="143" t="s">
        <v>1220</v>
      </c>
      <c r="C154" s="143" t="s">
        <v>2113</v>
      </c>
      <c r="D154" s="143" t="s">
        <v>2114</v>
      </c>
      <c r="E154" s="143" t="s">
        <v>309</v>
      </c>
      <c r="F154" s="143" t="s">
        <v>2115</v>
      </c>
      <c r="G154" s="143" t="s">
        <v>2116</v>
      </c>
      <c r="H154" s="143" t="s">
        <v>321</v>
      </c>
      <c r="I154" s="143" t="s">
        <v>917</v>
      </c>
      <c r="J154" s="143" t="s">
        <v>204</v>
      </c>
      <c r="K154" s="143" t="s">
        <v>204</v>
      </c>
      <c r="L154" s="143" t="s">
        <v>325</v>
      </c>
      <c r="M154" s="143" t="s">
        <v>340</v>
      </c>
      <c r="N154" s="143" t="s">
        <v>441</v>
      </c>
      <c r="O154" s="143" t="s">
        <v>339</v>
      </c>
      <c r="P154" s="143" t="s">
        <v>1210</v>
      </c>
      <c r="Q154" s="144">
        <v>62688.36</v>
      </c>
      <c r="R154" s="145" t="s">
        <v>3930</v>
      </c>
      <c r="S154" s="143" t="s">
        <v>2117</v>
      </c>
      <c r="T154" s="145" t="s">
        <v>3930</v>
      </c>
      <c r="U154" s="144">
        <v>17903.795600000001</v>
      </c>
      <c r="V154" s="146">
        <v>1.1123914762215001E-3</v>
      </c>
      <c r="W154" s="146">
        <v>1.0327895049535763E-2</v>
      </c>
      <c r="X154" s="147">
        <v>2.2852839360810104E-3</v>
      </c>
      <c r="Y154" s="180"/>
    </row>
    <row r="155" spans="1:25" ht="15" x14ac:dyDescent="0.2">
      <c r="A155" s="142" t="s">
        <v>1220</v>
      </c>
      <c r="B155" s="143" t="s">
        <v>1220</v>
      </c>
      <c r="C155" s="143" t="s">
        <v>1388</v>
      </c>
      <c r="D155" s="143" t="s">
        <v>1389</v>
      </c>
      <c r="E155" s="143" t="s">
        <v>309</v>
      </c>
      <c r="F155" s="143" t="s">
        <v>2124</v>
      </c>
      <c r="G155" s="143" t="s">
        <v>2125</v>
      </c>
      <c r="H155" s="143" t="s">
        <v>321</v>
      </c>
      <c r="I155" s="143" t="s">
        <v>917</v>
      </c>
      <c r="J155" s="143" t="s">
        <v>204</v>
      </c>
      <c r="K155" s="143" t="s">
        <v>204</v>
      </c>
      <c r="L155" s="143" t="s">
        <v>325</v>
      </c>
      <c r="M155" s="143" t="s">
        <v>340</v>
      </c>
      <c r="N155" s="143" t="s">
        <v>445</v>
      </c>
      <c r="O155" s="143" t="s">
        <v>339</v>
      </c>
      <c r="P155" s="143" t="s">
        <v>1210</v>
      </c>
      <c r="Q155" s="144">
        <v>271450</v>
      </c>
      <c r="R155" s="145" t="s">
        <v>3930</v>
      </c>
      <c r="S155" s="143" t="s">
        <v>2126</v>
      </c>
      <c r="T155" s="145" t="s">
        <v>3930</v>
      </c>
      <c r="U155" s="144">
        <v>17180.070500000002</v>
      </c>
      <c r="V155" s="146">
        <v>3.4327446227942894E-3</v>
      </c>
      <c r="W155" s="146">
        <v>9.9104105561313958E-3</v>
      </c>
      <c r="X155" s="147">
        <v>2.1929059053434879E-3</v>
      </c>
      <c r="Y155" s="180"/>
    </row>
    <row r="156" spans="1:25" ht="15" x14ac:dyDescent="0.2">
      <c r="A156" s="142" t="s">
        <v>1220</v>
      </c>
      <c r="B156" s="143" t="s">
        <v>1220</v>
      </c>
      <c r="C156" s="143" t="s">
        <v>1706</v>
      </c>
      <c r="D156" s="143" t="s">
        <v>1707</v>
      </c>
      <c r="E156" s="143" t="s">
        <v>309</v>
      </c>
      <c r="F156" s="143" t="s">
        <v>2127</v>
      </c>
      <c r="G156" s="143" t="s">
        <v>2128</v>
      </c>
      <c r="H156" s="143" t="s">
        <v>321</v>
      </c>
      <c r="I156" s="143" t="s">
        <v>917</v>
      </c>
      <c r="J156" s="143" t="s">
        <v>204</v>
      </c>
      <c r="K156" s="143" t="s">
        <v>204</v>
      </c>
      <c r="L156" s="143" t="s">
        <v>325</v>
      </c>
      <c r="M156" s="143" t="s">
        <v>340</v>
      </c>
      <c r="N156" s="143" t="s">
        <v>464</v>
      </c>
      <c r="O156" s="143" t="s">
        <v>339</v>
      </c>
      <c r="P156" s="143" t="s">
        <v>1210</v>
      </c>
      <c r="Q156" s="144">
        <v>65961</v>
      </c>
      <c r="R156" s="145" t="s">
        <v>3930</v>
      </c>
      <c r="S156" s="143" t="s">
        <v>2129</v>
      </c>
      <c r="T156" s="145" t="s">
        <v>3930</v>
      </c>
      <c r="U156" s="144">
        <v>17110.2834</v>
      </c>
      <c r="V156" s="146">
        <v>5.4390615007030431E-4</v>
      </c>
      <c r="W156" s="146">
        <v>9.870153514548138E-3</v>
      </c>
      <c r="X156" s="147">
        <v>2.1839981104827631E-3</v>
      </c>
      <c r="Y156" s="180"/>
    </row>
    <row r="157" spans="1:25" ht="15" x14ac:dyDescent="0.2">
      <c r="A157" s="142" t="s">
        <v>1220</v>
      </c>
      <c r="B157" s="143" t="s">
        <v>1220</v>
      </c>
      <c r="C157" s="143" t="s">
        <v>2105</v>
      </c>
      <c r="D157" s="143" t="s">
        <v>2106</v>
      </c>
      <c r="E157" s="143" t="s">
        <v>313</v>
      </c>
      <c r="F157" s="143" t="s">
        <v>2107</v>
      </c>
      <c r="G157" s="143" t="s">
        <v>2108</v>
      </c>
      <c r="H157" s="143" t="s">
        <v>321</v>
      </c>
      <c r="I157" s="143" t="s">
        <v>917</v>
      </c>
      <c r="J157" s="143" t="s">
        <v>204</v>
      </c>
      <c r="K157" s="143" t="s">
        <v>204</v>
      </c>
      <c r="L157" s="143" t="s">
        <v>325</v>
      </c>
      <c r="M157" s="143" t="s">
        <v>340</v>
      </c>
      <c r="N157" s="143" t="s">
        <v>454</v>
      </c>
      <c r="O157" s="143" t="s">
        <v>339</v>
      </c>
      <c r="P157" s="143" t="s">
        <v>1210</v>
      </c>
      <c r="Q157" s="144">
        <v>355345</v>
      </c>
      <c r="R157" s="145" t="s">
        <v>3930</v>
      </c>
      <c r="S157" s="143" t="s">
        <v>2109</v>
      </c>
      <c r="T157" s="144">
        <v>395.49900000000002</v>
      </c>
      <c r="U157" s="144">
        <v>16518.901999999998</v>
      </c>
      <c r="V157" s="146">
        <v>1.9958605040412041E-3</v>
      </c>
      <c r="W157" s="146">
        <v>9.7571577393508902E-3</v>
      </c>
      <c r="X157" s="147">
        <v>2.1589952005321143E-3</v>
      </c>
      <c r="Y157" s="180"/>
    </row>
    <row r="158" spans="1:25" ht="15" x14ac:dyDescent="0.2">
      <c r="A158" s="142" t="s">
        <v>1220</v>
      </c>
      <c r="B158" s="143" t="s">
        <v>1220</v>
      </c>
      <c r="C158" s="143" t="s">
        <v>1415</v>
      </c>
      <c r="D158" s="143" t="s">
        <v>1416</v>
      </c>
      <c r="E158" s="143" t="s">
        <v>309</v>
      </c>
      <c r="F158" s="143" t="s">
        <v>2135</v>
      </c>
      <c r="G158" s="143" t="s">
        <v>2136</v>
      </c>
      <c r="H158" s="143" t="s">
        <v>321</v>
      </c>
      <c r="I158" s="143" t="s">
        <v>917</v>
      </c>
      <c r="J158" s="143" t="s">
        <v>204</v>
      </c>
      <c r="K158" s="143" t="s">
        <v>204</v>
      </c>
      <c r="L158" s="143" t="s">
        <v>325</v>
      </c>
      <c r="M158" s="143" t="s">
        <v>340</v>
      </c>
      <c r="N158" s="143" t="s">
        <v>451</v>
      </c>
      <c r="O158" s="143" t="s">
        <v>339</v>
      </c>
      <c r="P158" s="143" t="s">
        <v>1210</v>
      </c>
      <c r="Q158" s="144">
        <v>10313</v>
      </c>
      <c r="R158" s="145" t="s">
        <v>3930</v>
      </c>
      <c r="S158" s="143" t="s">
        <v>2137</v>
      </c>
      <c r="T158" s="144">
        <v>115.52980000000001</v>
      </c>
      <c r="U158" s="144">
        <v>15430.334800000001</v>
      </c>
      <c r="V158" s="146">
        <v>2.5414648379357184E-3</v>
      </c>
      <c r="W158" s="146">
        <v>8.9677105600345659E-3</v>
      </c>
      <c r="X158" s="147">
        <v>1.9843118842684431E-3</v>
      </c>
      <c r="Y158" s="180"/>
    </row>
    <row r="159" spans="1:25" ht="15" x14ac:dyDescent="0.2">
      <c r="A159" s="142" t="s">
        <v>1220</v>
      </c>
      <c r="B159" s="143" t="s">
        <v>1220</v>
      </c>
      <c r="C159" s="143" t="s">
        <v>1382</v>
      </c>
      <c r="D159" s="143" t="s">
        <v>1383</v>
      </c>
      <c r="E159" s="143" t="s">
        <v>309</v>
      </c>
      <c r="F159" s="143" t="s">
        <v>2121</v>
      </c>
      <c r="G159" s="143" t="s">
        <v>2122</v>
      </c>
      <c r="H159" s="143" t="s">
        <v>321</v>
      </c>
      <c r="I159" s="143" t="s">
        <v>917</v>
      </c>
      <c r="J159" s="143" t="s">
        <v>204</v>
      </c>
      <c r="K159" s="143" t="s">
        <v>204</v>
      </c>
      <c r="L159" s="143" t="s">
        <v>325</v>
      </c>
      <c r="M159" s="143" t="s">
        <v>340</v>
      </c>
      <c r="N159" s="143" t="s">
        <v>484</v>
      </c>
      <c r="O159" s="143" t="s">
        <v>339</v>
      </c>
      <c r="P159" s="143" t="s">
        <v>1210</v>
      </c>
      <c r="Q159" s="144">
        <v>3450276</v>
      </c>
      <c r="R159" s="145" t="s">
        <v>3930</v>
      </c>
      <c r="S159" s="143" t="s">
        <v>2123</v>
      </c>
      <c r="T159" s="144">
        <v>507.32380000000001</v>
      </c>
      <c r="U159" s="144">
        <v>15295.206699999999</v>
      </c>
      <c r="V159" s="146">
        <v>1.2464957422060289E-3</v>
      </c>
      <c r="W159" s="146">
        <v>9.1157696033041351E-3</v>
      </c>
      <c r="X159" s="147">
        <v>2.0170733474274513E-3</v>
      </c>
      <c r="Y159" s="180"/>
    </row>
    <row r="160" spans="1:25" ht="15" x14ac:dyDescent="0.2">
      <c r="A160" s="142" t="s">
        <v>1220</v>
      </c>
      <c r="B160" s="143" t="s">
        <v>1220</v>
      </c>
      <c r="C160" s="143" t="s">
        <v>2130</v>
      </c>
      <c r="D160" s="143" t="s">
        <v>2131</v>
      </c>
      <c r="E160" s="143" t="s">
        <v>309</v>
      </c>
      <c r="F160" s="143" t="s">
        <v>2132</v>
      </c>
      <c r="G160" s="143" t="s">
        <v>2133</v>
      </c>
      <c r="H160" s="143" t="s">
        <v>321</v>
      </c>
      <c r="I160" s="143" t="s">
        <v>917</v>
      </c>
      <c r="J160" s="143" t="s">
        <v>204</v>
      </c>
      <c r="K160" s="143" t="s">
        <v>204</v>
      </c>
      <c r="L160" s="143" t="s">
        <v>325</v>
      </c>
      <c r="M160" s="143" t="s">
        <v>340</v>
      </c>
      <c r="N160" s="143" t="s">
        <v>463</v>
      </c>
      <c r="O160" s="143" t="s">
        <v>339</v>
      </c>
      <c r="P160" s="143" t="s">
        <v>1210</v>
      </c>
      <c r="Q160" s="144">
        <v>2762934</v>
      </c>
      <c r="R160" s="145" t="s">
        <v>3930</v>
      </c>
      <c r="S160" s="143" t="s">
        <v>2134</v>
      </c>
      <c r="T160" s="145" t="s">
        <v>3930</v>
      </c>
      <c r="U160" s="144">
        <v>15245.8698</v>
      </c>
      <c r="V160" s="146">
        <v>9.6098709610100523E-3</v>
      </c>
      <c r="W160" s="146">
        <v>8.794657107038634E-3</v>
      </c>
      <c r="X160" s="147">
        <v>1.9460198340183071E-3</v>
      </c>
      <c r="Y160" s="180"/>
    </row>
    <row r="161" spans="1:25" ht="15" x14ac:dyDescent="0.2">
      <c r="A161" s="142" t="s">
        <v>1220</v>
      </c>
      <c r="B161" s="143" t="s">
        <v>1220</v>
      </c>
      <c r="C161" s="143" t="s">
        <v>1630</v>
      </c>
      <c r="D161" s="143" t="s">
        <v>1631</v>
      </c>
      <c r="E161" s="143" t="s">
        <v>309</v>
      </c>
      <c r="F161" s="143" t="s">
        <v>2138</v>
      </c>
      <c r="G161" s="143" t="s">
        <v>2139</v>
      </c>
      <c r="H161" s="143" t="s">
        <v>321</v>
      </c>
      <c r="I161" s="143" t="s">
        <v>917</v>
      </c>
      <c r="J161" s="143" t="s">
        <v>204</v>
      </c>
      <c r="K161" s="143" t="s">
        <v>204</v>
      </c>
      <c r="L161" s="143" t="s">
        <v>325</v>
      </c>
      <c r="M161" s="143" t="s">
        <v>340</v>
      </c>
      <c r="N161" s="143" t="s">
        <v>445</v>
      </c>
      <c r="O161" s="143" t="s">
        <v>339</v>
      </c>
      <c r="P161" s="143" t="s">
        <v>1210</v>
      </c>
      <c r="Q161" s="144">
        <v>359583</v>
      </c>
      <c r="R161" s="145" t="s">
        <v>3930</v>
      </c>
      <c r="S161" s="143" t="s">
        <v>2140</v>
      </c>
      <c r="T161" s="145" t="s">
        <v>3930</v>
      </c>
      <c r="U161" s="144">
        <v>15102.486000000001</v>
      </c>
      <c r="V161" s="146">
        <v>1.3759601923090941E-3</v>
      </c>
      <c r="W161" s="146">
        <v>8.7119454299228061E-3</v>
      </c>
      <c r="X161" s="147">
        <v>1.9277179761728774E-3</v>
      </c>
      <c r="Y161" s="180"/>
    </row>
    <row r="162" spans="1:25" ht="15" x14ac:dyDescent="0.2">
      <c r="A162" s="142" t="s">
        <v>1220</v>
      </c>
      <c r="B162" s="143" t="s">
        <v>1220</v>
      </c>
      <c r="C162" s="143" t="s">
        <v>1394</v>
      </c>
      <c r="D162" s="143" t="s">
        <v>1395</v>
      </c>
      <c r="E162" s="143" t="s">
        <v>309</v>
      </c>
      <c r="F162" s="143" t="s">
        <v>2141</v>
      </c>
      <c r="G162" s="143" t="s">
        <v>2142</v>
      </c>
      <c r="H162" s="143" t="s">
        <v>321</v>
      </c>
      <c r="I162" s="143" t="s">
        <v>917</v>
      </c>
      <c r="J162" s="143" t="s">
        <v>204</v>
      </c>
      <c r="K162" s="143" t="s">
        <v>204</v>
      </c>
      <c r="L162" s="143" t="s">
        <v>325</v>
      </c>
      <c r="M162" s="143" t="s">
        <v>340</v>
      </c>
      <c r="N162" s="143" t="s">
        <v>463</v>
      </c>
      <c r="O162" s="143" t="s">
        <v>339</v>
      </c>
      <c r="P162" s="143" t="s">
        <v>1210</v>
      </c>
      <c r="Q162" s="144">
        <v>702392</v>
      </c>
      <c r="R162" s="145" t="s">
        <v>3930</v>
      </c>
      <c r="S162" s="143" t="s">
        <v>2143</v>
      </c>
      <c r="T162" s="145" t="s">
        <v>3930</v>
      </c>
      <c r="U162" s="144">
        <v>15031.1888</v>
      </c>
      <c r="V162" s="146">
        <v>1.9653849736207441E-3</v>
      </c>
      <c r="W162" s="146">
        <v>8.6708172795172175E-3</v>
      </c>
      <c r="X162" s="147">
        <v>1.9186174284821997E-3</v>
      </c>
      <c r="Y162" s="180"/>
    </row>
    <row r="163" spans="1:25" ht="15" x14ac:dyDescent="0.2">
      <c r="A163" s="142" t="s">
        <v>1220</v>
      </c>
      <c r="B163" s="143" t="s">
        <v>1220</v>
      </c>
      <c r="C163" s="143" t="s">
        <v>2144</v>
      </c>
      <c r="D163" s="143" t="s">
        <v>2145</v>
      </c>
      <c r="E163" s="143" t="s">
        <v>309</v>
      </c>
      <c r="F163" s="143" t="s">
        <v>2146</v>
      </c>
      <c r="G163" s="143" t="s">
        <v>2147</v>
      </c>
      <c r="H163" s="143" t="s">
        <v>321</v>
      </c>
      <c r="I163" s="143" t="s">
        <v>917</v>
      </c>
      <c r="J163" s="143" t="s">
        <v>204</v>
      </c>
      <c r="K163" s="143" t="s">
        <v>204</v>
      </c>
      <c r="L163" s="143" t="s">
        <v>325</v>
      </c>
      <c r="M163" s="143" t="s">
        <v>340</v>
      </c>
      <c r="N163" s="143" t="s">
        <v>451</v>
      </c>
      <c r="O163" s="143" t="s">
        <v>339</v>
      </c>
      <c r="P163" s="143" t="s">
        <v>1210</v>
      </c>
      <c r="Q163" s="144">
        <v>2617581</v>
      </c>
      <c r="R163" s="145" t="s">
        <v>3930</v>
      </c>
      <c r="S163" s="143" t="s">
        <v>2148</v>
      </c>
      <c r="T163" s="145" t="s">
        <v>3930</v>
      </c>
      <c r="U163" s="144">
        <v>13402.0147</v>
      </c>
      <c r="V163" s="146">
        <v>1.3993727144386519E-2</v>
      </c>
      <c r="W163" s="146">
        <v>7.7310199719213234E-3</v>
      </c>
      <c r="X163" s="147">
        <v>1.7106656938915561E-3</v>
      </c>
      <c r="Y163" s="180"/>
    </row>
    <row r="164" spans="1:25" ht="15" x14ac:dyDescent="0.2">
      <c r="A164" s="142" t="s">
        <v>1220</v>
      </c>
      <c r="B164" s="143" t="s">
        <v>1220</v>
      </c>
      <c r="C164" s="143" t="s">
        <v>1739</v>
      </c>
      <c r="D164" s="143" t="s">
        <v>1740</v>
      </c>
      <c r="E164" s="143" t="s">
        <v>309</v>
      </c>
      <c r="F164" s="143" t="s">
        <v>2154</v>
      </c>
      <c r="G164" s="143" t="s">
        <v>2155</v>
      </c>
      <c r="H164" s="143" t="s">
        <v>321</v>
      </c>
      <c r="I164" s="143" t="s">
        <v>917</v>
      </c>
      <c r="J164" s="143" t="s">
        <v>204</v>
      </c>
      <c r="K164" s="143" t="s">
        <v>204</v>
      </c>
      <c r="L164" s="143" t="s">
        <v>325</v>
      </c>
      <c r="M164" s="143" t="s">
        <v>340</v>
      </c>
      <c r="N164" s="143" t="s">
        <v>464</v>
      </c>
      <c r="O164" s="143" t="s">
        <v>339</v>
      </c>
      <c r="P164" s="143" t="s">
        <v>1210</v>
      </c>
      <c r="Q164" s="144">
        <v>399975</v>
      </c>
      <c r="R164" s="145" t="s">
        <v>3930</v>
      </c>
      <c r="S164" s="143" t="s">
        <v>2156</v>
      </c>
      <c r="T164" s="145" t="s">
        <v>3930</v>
      </c>
      <c r="U164" s="144">
        <v>12939.1913</v>
      </c>
      <c r="V164" s="146">
        <v>9.8419740316571629E-3</v>
      </c>
      <c r="W164" s="146">
        <v>7.4640379125221279E-3</v>
      </c>
      <c r="X164" s="147">
        <v>1.6515897826201464E-3</v>
      </c>
      <c r="Y164" s="180"/>
    </row>
    <row r="165" spans="1:25" ht="15" x14ac:dyDescent="0.2">
      <c r="A165" s="142" t="s">
        <v>1220</v>
      </c>
      <c r="B165" s="143" t="s">
        <v>1220</v>
      </c>
      <c r="C165" s="143" t="s">
        <v>2157</v>
      </c>
      <c r="D165" s="143" t="s">
        <v>2158</v>
      </c>
      <c r="E165" s="143" t="s">
        <v>309</v>
      </c>
      <c r="F165" s="143" t="s">
        <v>2159</v>
      </c>
      <c r="G165" s="143" t="s">
        <v>2160</v>
      </c>
      <c r="H165" s="143" t="s">
        <v>321</v>
      </c>
      <c r="I165" s="143" t="s">
        <v>917</v>
      </c>
      <c r="J165" s="143" t="s">
        <v>204</v>
      </c>
      <c r="K165" s="143" t="s">
        <v>204</v>
      </c>
      <c r="L165" s="143" t="s">
        <v>325</v>
      </c>
      <c r="M165" s="143" t="s">
        <v>340</v>
      </c>
      <c r="N165" s="143" t="s">
        <v>439</v>
      </c>
      <c r="O165" s="143" t="s">
        <v>339</v>
      </c>
      <c r="P165" s="143" t="s">
        <v>1210</v>
      </c>
      <c r="Q165" s="144">
        <v>317802</v>
      </c>
      <c r="R165" s="145" t="s">
        <v>3930</v>
      </c>
      <c r="S165" s="143" t="s">
        <v>2161</v>
      </c>
      <c r="T165" s="145" t="s">
        <v>3930</v>
      </c>
      <c r="U165" s="144">
        <v>12553.179</v>
      </c>
      <c r="V165" s="146">
        <v>3.9684038621941595E-3</v>
      </c>
      <c r="W165" s="146">
        <v>7.2413647938526773E-3</v>
      </c>
      <c r="X165" s="147">
        <v>1.6023182419381725E-3</v>
      </c>
      <c r="Y165" s="180"/>
    </row>
    <row r="166" spans="1:25" ht="15" x14ac:dyDescent="0.2">
      <c r="A166" s="142" t="s">
        <v>1220</v>
      </c>
      <c r="B166" s="143" t="s">
        <v>1220</v>
      </c>
      <c r="C166" s="143" t="s">
        <v>2149</v>
      </c>
      <c r="D166" s="143" t="s">
        <v>2150</v>
      </c>
      <c r="E166" s="143" t="s">
        <v>309</v>
      </c>
      <c r="F166" s="143" t="s">
        <v>2151</v>
      </c>
      <c r="G166" s="143" t="s">
        <v>2152</v>
      </c>
      <c r="H166" s="143" t="s">
        <v>321</v>
      </c>
      <c r="I166" s="143" t="s">
        <v>917</v>
      </c>
      <c r="J166" s="143" t="s">
        <v>204</v>
      </c>
      <c r="K166" s="143" t="s">
        <v>204</v>
      </c>
      <c r="L166" s="143" t="s">
        <v>325</v>
      </c>
      <c r="M166" s="143" t="s">
        <v>340</v>
      </c>
      <c r="N166" s="143" t="s">
        <v>456</v>
      </c>
      <c r="O166" s="143" t="s">
        <v>339</v>
      </c>
      <c r="P166" s="143" t="s">
        <v>1210</v>
      </c>
      <c r="Q166" s="144">
        <v>708940</v>
      </c>
      <c r="R166" s="145" t="s">
        <v>3930</v>
      </c>
      <c r="S166" s="143" t="s">
        <v>2153</v>
      </c>
      <c r="T166" s="145" t="s">
        <v>3930</v>
      </c>
      <c r="U166" s="144">
        <v>11257.967199999999</v>
      </c>
      <c r="V166" s="146">
        <v>5.3920011124556071E-4</v>
      </c>
      <c r="W166" s="146">
        <v>6.4942153164890106E-3</v>
      </c>
      <c r="X166" s="147">
        <v>1.4369942635010311E-3</v>
      </c>
      <c r="Y166" s="180"/>
    </row>
    <row r="167" spans="1:25" ht="15" x14ac:dyDescent="0.2">
      <c r="A167" s="142" t="s">
        <v>1220</v>
      </c>
      <c r="B167" s="143" t="s">
        <v>1220</v>
      </c>
      <c r="C167" s="143" t="s">
        <v>1428</v>
      </c>
      <c r="D167" s="143" t="s">
        <v>1429</v>
      </c>
      <c r="E167" s="143" t="s">
        <v>309</v>
      </c>
      <c r="F167" s="143" t="s">
        <v>2162</v>
      </c>
      <c r="G167" s="143" t="s">
        <v>2163</v>
      </c>
      <c r="H167" s="143" t="s">
        <v>321</v>
      </c>
      <c r="I167" s="143" t="s">
        <v>917</v>
      </c>
      <c r="J167" s="143" t="s">
        <v>204</v>
      </c>
      <c r="K167" s="143" t="s">
        <v>204</v>
      </c>
      <c r="L167" s="143" t="s">
        <v>325</v>
      </c>
      <c r="M167" s="143" t="s">
        <v>340</v>
      </c>
      <c r="N167" s="143" t="s">
        <v>445</v>
      </c>
      <c r="O167" s="143" t="s">
        <v>339</v>
      </c>
      <c r="P167" s="143" t="s">
        <v>1210</v>
      </c>
      <c r="Q167" s="144">
        <v>97427</v>
      </c>
      <c r="R167" s="145" t="s">
        <v>3930</v>
      </c>
      <c r="S167" s="143" t="s">
        <v>2164</v>
      </c>
      <c r="T167" s="145" t="s">
        <v>3930</v>
      </c>
      <c r="U167" s="144">
        <v>10600.0576</v>
      </c>
      <c r="V167" s="146">
        <v>1.5398139184340683E-3</v>
      </c>
      <c r="W167" s="146">
        <v>6.114696836351215E-3</v>
      </c>
      <c r="X167" s="147">
        <v>1.3530170850009678E-3</v>
      </c>
      <c r="Y167" s="180"/>
    </row>
    <row r="168" spans="1:25" ht="15" x14ac:dyDescent="0.2">
      <c r="A168" s="142" t="s">
        <v>1220</v>
      </c>
      <c r="B168" s="143" t="s">
        <v>1220</v>
      </c>
      <c r="C168" s="143" t="s">
        <v>1434</v>
      </c>
      <c r="D168" s="143" t="s">
        <v>1435</v>
      </c>
      <c r="E168" s="143" t="s">
        <v>309</v>
      </c>
      <c r="F168" s="143" t="s">
        <v>2170</v>
      </c>
      <c r="G168" s="143" t="s">
        <v>2171</v>
      </c>
      <c r="H168" s="143" t="s">
        <v>321</v>
      </c>
      <c r="I168" s="143" t="s">
        <v>917</v>
      </c>
      <c r="J168" s="143" t="s">
        <v>204</v>
      </c>
      <c r="K168" s="143" t="s">
        <v>204</v>
      </c>
      <c r="L168" s="143" t="s">
        <v>325</v>
      </c>
      <c r="M168" s="143" t="s">
        <v>340</v>
      </c>
      <c r="N168" s="143" t="s">
        <v>484</v>
      </c>
      <c r="O168" s="143" t="s">
        <v>339</v>
      </c>
      <c r="P168" s="143" t="s">
        <v>1210</v>
      </c>
      <c r="Q168" s="144">
        <v>610845</v>
      </c>
      <c r="R168" s="145" t="s">
        <v>3930</v>
      </c>
      <c r="S168" s="143" t="s">
        <v>2172</v>
      </c>
      <c r="T168" s="145" t="s">
        <v>3930</v>
      </c>
      <c r="U168" s="144">
        <v>10201.111500000001</v>
      </c>
      <c r="V168" s="146">
        <v>3.6856161601807659E-3</v>
      </c>
      <c r="W168" s="146">
        <v>5.8845627608963176E-3</v>
      </c>
      <c r="X168" s="147">
        <v>1.3020946363064905E-3</v>
      </c>
      <c r="Y168" s="180"/>
    </row>
    <row r="169" spans="1:25" ht="15" x14ac:dyDescent="0.2">
      <c r="A169" s="142" t="s">
        <v>1220</v>
      </c>
      <c r="B169" s="143" t="s">
        <v>1220</v>
      </c>
      <c r="C169" s="143" t="s">
        <v>2173</v>
      </c>
      <c r="D169" s="143" t="s">
        <v>2174</v>
      </c>
      <c r="E169" s="143" t="s">
        <v>309</v>
      </c>
      <c r="F169" s="143" t="s">
        <v>2175</v>
      </c>
      <c r="G169" s="143" t="s">
        <v>2176</v>
      </c>
      <c r="H169" s="143" t="s">
        <v>321</v>
      </c>
      <c r="I169" s="143" t="s">
        <v>917</v>
      </c>
      <c r="J169" s="143" t="s">
        <v>204</v>
      </c>
      <c r="K169" s="143" t="s">
        <v>204</v>
      </c>
      <c r="L169" s="143" t="s">
        <v>325</v>
      </c>
      <c r="M169" s="143" t="s">
        <v>340</v>
      </c>
      <c r="N169" s="143" t="s">
        <v>463</v>
      </c>
      <c r="O169" s="143" t="s">
        <v>339</v>
      </c>
      <c r="P169" s="143" t="s">
        <v>1210</v>
      </c>
      <c r="Q169" s="144">
        <v>36973</v>
      </c>
      <c r="R169" s="145" t="s">
        <v>3930</v>
      </c>
      <c r="S169" s="143" t="s">
        <v>2177</v>
      </c>
      <c r="T169" s="145" t="s">
        <v>3930</v>
      </c>
      <c r="U169" s="144">
        <v>9224.7634999999991</v>
      </c>
      <c r="V169" s="146">
        <v>4.1041032263048893E-3</v>
      </c>
      <c r="W169" s="146">
        <v>5.3213514792163161E-3</v>
      </c>
      <c r="X169" s="147">
        <v>1.1774712073822436E-3</v>
      </c>
      <c r="Y169" s="180"/>
    </row>
    <row r="170" spans="1:25" ht="15" x14ac:dyDescent="0.2">
      <c r="A170" s="142" t="s">
        <v>1220</v>
      </c>
      <c r="B170" s="143" t="s">
        <v>1220</v>
      </c>
      <c r="C170" s="143" t="s">
        <v>2165</v>
      </c>
      <c r="D170" s="143" t="s">
        <v>2166</v>
      </c>
      <c r="E170" s="143" t="s">
        <v>309</v>
      </c>
      <c r="F170" s="143" t="s">
        <v>2167</v>
      </c>
      <c r="G170" s="143" t="s">
        <v>2168</v>
      </c>
      <c r="H170" s="143" t="s">
        <v>321</v>
      </c>
      <c r="I170" s="143" t="s">
        <v>917</v>
      </c>
      <c r="J170" s="143" t="s">
        <v>204</v>
      </c>
      <c r="K170" s="143" t="s">
        <v>204</v>
      </c>
      <c r="L170" s="143" t="s">
        <v>325</v>
      </c>
      <c r="M170" s="143" t="s">
        <v>340</v>
      </c>
      <c r="N170" s="143" t="s">
        <v>454</v>
      </c>
      <c r="O170" s="143" t="s">
        <v>339</v>
      </c>
      <c r="P170" s="143" t="s">
        <v>1210</v>
      </c>
      <c r="Q170" s="144">
        <v>576992</v>
      </c>
      <c r="R170" s="145" t="s">
        <v>3930</v>
      </c>
      <c r="S170" s="143" t="s">
        <v>2169</v>
      </c>
      <c r="T170" s="145" t="s">
        <v>3930</v>
      </c>
      <c r="U170" s="144">
        <v>9058.7744000000002</v>
      </c>
      <c r="V170" s="146">
        <v>2.8848157592120394E-2</v>
      </c>
      <c r="W170" s="146">
        <v>5.2255998273914445E-3</v>
      </c>
      <c r="X170" s="147">
        <v>1.1562839556993909E-3</v>
      </c>
      <c r="Y170" s="180"/>
    </row>
    <row r="171" spans="1:25" ht="15" x14ac:dyDescent="0.2">
      <c r="A171" s="142" t="s">
        <v>1220</v>
      </c>
      <c r="B171" s="143" t="s">
        <v>1220</v>
      </c>
      <c r="C171" s="143" t="s">
        <v>2184</v>
      </c>
      <c r="D171" s="143" t="s">
        <v>2185</v>
      </c>
      <c r="E171" s="143" t="s">
        <v>309</v>
      </c>
      <c r="F171" s="143" t="s">
        <v>2186</v>
      </c>
      <c r="G171" s="143" t="s">
        <v>2187</v>
      </c>
      <c r="H171" s="143" t="s">
        <v>321</v>
      </c>
      <c r="I171" s="143" t="s">
        <v>917</v>
      </c>
      <c r="J171" s="143" t="s">
        <v>204</v>
      </c>
      <c r="K171" s="143" t="s">
        <v>204</v>
      </c>
      <c r="L171" s="143" t="s">
        <v>325</v>
      </c>
      <c r="M171" s="143" t="s">
        <v>340</v>
      </c>
      <c r="N171" s="143" t="s">
        <v>475</v>
      </c>
      <c r="O171" s="143" t="s">
        <v>339</v>
      </c>
      <c r="P171" s="143" t="s">
        <v>1210</v>
      </c>
      <c r="Q171" s="144">
        <v>38179</v>
      </c>
      <c r="R171" s="145" t="s">
        <v>3930</v>
      </c>
      <c r="S171" s="143" t="s">
        <v>2188</v>
      </c>
      <c r="T171" s="145" t="s">
        <v>3930</v>
      </c>
      <c r="U171" s="144">
        <v>8548.2780999999995</v>
      </c>
      <c r="V171" s="146">
        <v>2.633077883145798E-3</v>
      </c>
      <c r="W171" s="146">
        <v>4.9311174549014122E-3</v>
      </c>
      <c r="X171" s="147">
        <v>1.0911229686751526E-3</v>
      </c>
      <c r="Y171" s="180"/>
    </row>
    <row r="172" spans="1:25" ht="15" x14ac:dyDescent="0.2">
      <c r="A172" s="142" t="s">
        <v>1220</v>
      </c>
      <c r="B172" s="143" t="s">
        <v>1220</v>
      </c>
      <c r="C172" s="143" t="s">
        <v>1763</v>
      </c>
      <c r="D172" s="143" t="s">
        <v>1764</v>
      </c>
      <c r="E172" s="143" t="s">
        <v>309</v>
      </c>
      <c r="F172" s="143" t="s">
        <v>2181</v>
      </c>
      <c r="G172" s="143" t="s">
        <v>2182</v>
      </c>
      <c r="H172" s="143" t="s">
        <v>321</v>
      </c>
      <c r="I172" s="143" t="s">
        <v>917</v>
      </c>
      <c r="J172" s="143" t="s">
        <v>204</v>
      </c>
      <c r="K172" s="143" t="s">
        <v>204</v>
      </c>
      <c r="L172" s="143" t="s">
        <v>325</v>
      </c>
      <c r="M172" s="143" t="s">
        <v>340</v>
      </c>
      <c r="N172" s="143" t="s">
        <v>445</v>
      </c>
      <c r="O172" s="143" t="s">
        <v>339</v>
      </c>
      <c r="P172" s="143" t="s">
        <v>1210</v>
      </c>
      <c r="Q172" s="144">
        <v>234567</v>
      </c>
      <c r="R172" s="145" t="s">
        <v>3930</v>
      </c>
      <c r="S172" s="143" t="s">
        <v>2183</v>
      </c>
      <c r="T172" s="145" t="s">
        <v>3930</v>
      </c>
      <c r="U172" s="144">
        <v>8488.9796999999999</v>
      </c>
      <c r="V172" s="146">
        <v>1.0524033443192152E-3</v>
      </c>
      <c r="W172" s="146">
        <v>4.8969108902654065E-3</v>
      </c>
      <c r="X172" s="147">
        <v>1.0835539807743028E-3</v>
      </c>
      <c r="Y172" s="180"/>
    </row>
    <row r="173" spans="1:25" ht="15" x14ac:dyDescent="0.2">
      <c r="A173" s="142" t="s">
        <v>1220</v>
      </c>
      <c r="B173" s="143" t="s">
        <v>1220</v>
      </c>
      <c r="C173" s="143" t="s">
        <v>2202</v>
      </c>
      <c r="D173" s="143" t="s">
        <v>2203</v>
      </c>
      <c r="E173" s="143" t="s">
        <v>309</v>
      </c>
      <c r="F173" s="143" t="s">
        <v>2204</v>
      </c>
      <c r="G173" s="143" t="s">
        <v>2205</v>
      </c>
      <c r="H173" s="143" t="s">
        <v>321</v>
      </c>
      <c r="I173" s="143" t="s">
        <v>917</v>
      </c>
      <c r="J173" s="143" t="s">
        <v>204</v>
      </c>
      <c r="K173" s="143" t="s">
        <v>204</v>
      </c>
      <c r="L173" s="143" t="s">
        <v>325</v>
      </c>
      <c r="M173" s="143" t="s">
        <v>340</v>
      </c>
      <c r="N173" s="143" t="s">
        <v>476</v>
      </c>
      <c r="O173" s="143" t="s">
        <v>339</v>
      </c>
      <c r="P173" s="143" t="s">
        <v>1210</v>
      </c>
      <c r="Q173" s="144">
        <v>114792</v>
      </c>
      <c r="R173" s="145" t="s">
        <v>3930</v>
      </c>
      <c r="S173" s="143" t="s">
        <v>2206</v>
      </c>
      <c r="T173" s="144">
        <v>58.142099999999999</v>
      </c>
      <c r="U173" s="144">
        <v>8237.0720999999994</v>
      </c>
      <c r="V173" s="146">
        <v>1.7887078421419517E-3</v>
      </c>
      <c r="W173" s="146">
        <v>4.78513626431574E-3</v>
      </c>
      <c r="X173" s="147">
        <v>1.0588212781355675E-3</v>
      </c>
      <c r="Y173" s="180"/>
    </row>
    <row r="174" spans="1:25" ht="15" x14ac:dyDescent="0.2">
      <c r="A174" s="142" t="s">
        <v>1220</v>
      </c>
      <c r="B174" s="143" t="s">
        <v>1220</v>
      </c>
      <c r="C174" s="143" t="s">
        <v>2189</v>
      </c>
      <c r="D174" s="143" t="s">
        <v>2190</v>
      </c>
      <c r="E174" s="143" t="s">
        <v>309</v>
      </c>
      <c r="F174" s="143" t="s">
        <v>2191</v>
      </c>
      <c r="G174" s="143" t="s">
        <v>2192</v>
      </c>
      <c r="H174" s="143" t="s">
        <v>321</v>
      </c>
      <c r="I174" s="143" t="s">
        <v>917</v>
      </c>
      <c r="J174" s="143" t="s">
        <v>204</v>
      </c>
      <c r="K174" s="143" t="s">
        <v>204</v>
      </c>
      <c r="L174" s="143" t="s">
        <v>325</v>
      </c>
      <c r="M174" s="143" t="s">
        <v>340</v>
      </c>
      <c r="N174" s="143" t="s">
        <v>455</v>
      </c>
      <c r="O174" s="143" t="s">
        <v>339</v>
      </c>
      <c r="P174" s="143" t="s">
        <v>1210</v>
      </c>
      <c r="Q174" s="144">
        <v>118359</v>
      </c>
      <c r="R174" s="145" t="s">
        <v>3930</v>
      </c>
      <c r="S174" s="143" t="s">
        <v>2193</v>
      </c>
      <c r="T174" s="145" t="s">
        <v>3930</v>
      </c>
      <c r="U174" s="144">
        <v>8048.4120000000003</v>
      </c>
      <c r="V174" s="146">
        <v>1.1352080025359203E-2</v>
      </c>
      <c r="W174" s="146">
        <v>4.6427671670436158E-3</v>
      </c>
      <c r="X174" s="147">
        <v>1.0273188461850254E-3</v>
      </c>
      <c r="Y174" s="180"/>
    </row>
    <row r="175" spans="1:25" ht="15" x14ac:dyDescent="0.2">
      <c r="A175" s="142" t="s">
        <v>1220</v>
      </c>
      <c r="B175" s="143" t="s">
        <v>1220</v>
      </c>
      <c r="C175" s="143" t="s">
        <v>1644</v>
      </c>
      <c r="D175" s="143" t="s">
        <v>1645</v>
      </c>
      <c r="E175" s="143" t="s">
        <v>309</v>
      </c>
      <c r="F175" s="143" t="s">
        <v>2178</v>
      </c>
      <c r="G175" s="143" t="s">
        <v>2179</v>
      </c>
      <c r="H175" s="143" t="s">
        <v>321</v>
      </c>
      <c r="I175" s="143" t="s">
        <v>917</v>
      </c>
      <c r="J175" s="143" t="s">
        <v>204</v>
      </c>
      <c r="K175" s="143" t="s">
        <v>204</v>
      </c>
      <c r="L175" s="143" t="s">
        <v>325</v>
      </c>
      <c r="M175" s="143" t="s">
        <v>340</v>
      </c>
      <c r="N175" s="143" t="s">
        <v>464</v>
      </c>
      <c r="O175" s="143" t="s">
        <v>339</v>
      </c>
      <c r="P175" s="143" t="s">
        <v>1210</v>
      </c>
      <c r="Q175" s="144">
        <v>1074991</v>
      </c>
      <c r="R175" s="145" t="s">
        <v>3930</v>
      </c>
      <c r="S175" s="143" t="s">
        <v>2180</v>
      </c>
      <c r="T175" s="145" t="s">
        <v>3930</v>
      </c>
      <c r="U175" s="144">
        <v>7857.1091999999999</v>
      </c>
      <c r="V175" s="146">
        <v>4.8349850755129795E-3</v>
      </c>
      <c r="W175" s="146">
        <v>4.5324131903099526E-3</v>
      </c>
      <c r="X175" s="147">
        <v>1.0029004948072745E-3</v>
      </c>
      <c r="Y175" s="180"/>
    </row>
    <row r="176" spans="1:25" ht="15" x14ac:dyDescent="0.2">
      <c r="A176" s="142" t="s">
        <v>1220</v>
      </c>
      <c r="B176" s="143" t="s">
        <v>1220</v>
      </c>
      <c r="C176" s="143" t="s">
        <v>1408</v>
      </c>
      <c r="D176" s="143" t="s">
        <v>1409</v>
      </c>
      <c r="E176" s="143" t="s">
        <v>309</v>
      </c>
      <c r="F176" s="143" t="s">
        <v>2194</v>
      </c>
      <c r="G176" s="143" t="s">
        <v>2195</v>
      </c>
      <c r="H176" s="143" t="s">
        <v>321</v>
      </c>
      <c r="I176" s="143" t="s">
        <v>917</v>
      </c>
      <c r="J176" s="143" t="s">
        <v>204</v>
      </c>
      <c r="K176" s="143" t="s">
        <v>204</v>
      </c>
      <c r="L176" s="143" t="s">
        <v>325</v>
      </c>
      <c r="M176" s="143" t="s">
        <v>340</v>
      </c>
      <c r="N176" s="143" t="s">
        <v>475</v>
      </c>
      <c r="O176" s="143" t="s">
        <v>339</v>
      </c>
      <c r="P176" s="143" t="s">
        <v>1210</v>
      </c>
      <c r="Q176" s="144">
        <v>229962</v>
      </c>
      <c r="R176" s="145" t="s">
        <v>3930</v>
      </c>
      <c r="S176" s="143" t="s">
        <v>2196</v>
      </c>
      <c r="T176" s="145" t="s">
        <v>3930</v>
      </c>
      <c r="U176" s="144">
        <v>7611.7422000000006</v>
      </c>
      <c r="V176" s="146">
        <v>8.3601145385351792E-4</v>
      </c>
      <c r="W176" s="146">
        <v>4.3908719844561062E-3</v>
      </c>
      <c r="X176" s="147">
        <v>9.715812528436501E-4</v>
      </c>
      <c r="Y176" s="180"/>
    </row>
    <row r="177" spans="1:25" ht="15" x14ac:dyDescent="0.2">
      <c r="A177" s="142" t="s">
        <v>1220</v>
      </c>
      <c r="B177" s="143" t="s">
        <v>1220</v>
      </c>
      <c r="C177" s="143" t="s">
        <v>1371</v>
      </c>
      <c r="D177" s="143" t="s">
        <v>1372</v>
      </c>
      <c r="E177" s="143" t="s">
        <v>309</v>
      </c>
      <c r="F177" s="143" t="s">
        <v>2207</v>
      </c>
      <c r="G177" s="143" t="s">
        <v>2208</v>
      </c>
      <c r="H177" s="143" t="s">
        <v>321</v>
      </c>
      <c r="I177" s="143" t="s">
        <v>917</v>
      </c>
      <c r="J177" s="143" t="s">
        <v>204</v>
      </c>
      <c r="K177" s="143" t="s">
        <v>204</v>
      </c>
      <c r="L177" s="143" t="s">
        <v>325</v>
      </c>
      <c r="M177" s="143" t="s">
        <v>340</v>
      </c>
      <c r="N177" s="143" t="s">
        <v>440</v>
      </c>
      <c r="O177" s="143" t="s">
        <v>339</v>
      </c>
      <c r="P177" s="143" t="s">
        <v>1210</v>
      </c>
      <c r="Q177" s="144">
        <v>239778</v>
      </c>
      <c r="R177" s="145" t="s">
        <v>3930</v>
      </c>
      <c r="S177" s="143" t="s">
        <v>2209</v>
      </c>
      <c r="T177" s="145" t="s">
        <v>3930</v>
      </c>
      <c r="U177" s="144">
        <v>7231.7044999999998</v>
      </c>
      <c r="V177" s="146">
        <v>9.3768046163546237E-4</v>
      </c>
      <c r="W177" s="146">
        <v>4.1716453036333414E-3</v>
      </c>
      <c r="X177" s="147">
        <v>9.23072315674779E-4</v>
      </c>
      <c r="Y177" s="180"/>
    </row>
    <row r="178" spans="1:25" ht="15" x14ac:dyDescent="0.2">
      <c r="A178" s="142" t="s">
        <v>1220</v>
      </c>
      <c r="B178" s="143" t="s">
        <v>1220</v>
      </c>
      <c r="C178" s="143" t="s">
        <v>1842</v>
      </c>
      <c r="D178" s="143" t="s">
        <v>1843</v>
      </c>
      <c r="E178" s="143" t="s">
        <v>309</v>
      </c>
      <c r="F178" s="143" t="s">
        <v>2215</v>
      </c>
      <c r="G178" s="143" t="s">
        <v>2216</v>
      </c>
      <c r="H178" s="143" t="s">
        <v>321</v>
      </c>
      <c r="I178" s="143" t="s">
        <v>917</v>
      </c>
      <c r="J178" s="143" t="s">
        <v>204</v>
      </c>
      <c r="K178" s="143" t="s">
        <v>204</v>
      </c>
      <c r="L178" s="143" t="s">
        <v>325</v>
      </c>
      <c r="M178" s="143" t="s">
        <v>340</v>
      </c>
      <c r="N178" s="143" t="s">
        <v>464</v>
      </c>
      <c r="O178" s="143" t="s">
        <v>339</v>
      </c>
      <c r="P178" s="143" t="s">
        <v>1210</v>
      </c>
      <c r="Q178" s="144">
        <v>756234.34</v>
      </c>
      <c r="R178" s="145" t="s">
        <v>3930</v>
      </c>
      <c r="S178" s="143" t="s">
        <v>2217</v>
      </c>
      <c r="T178" s="145" t="s">
        <v>3930</v>
      </c>
      <c r="U178" s="144">
        <v>7214.4755999999998</v>
      </c>
      <c r="V178" s="146">
        <v>1.0140113879678536E-3</v>
      </c>
      <c r="W178" s="146">
        <v>4.1617067391469592E-3</v>
      </c>
      <c r="X178" s="147">
        <v>9.2087318006587725E-4</v>
      </c>
      <c r="Y178" s="180"/>
    </row>
    <row r="179" spans="1:25" ht="15" x14ac:dyDescent="0.2">
      <c r="A179" s="142" t="s">
        <v>1220</v>
      </c>
      <c r="B179" s="143" t="s">
        <v>1220</v>
      </c>
      <c r="C179" s="143" t="s">
        <v>2197</v>
      </c>
      <c r="D179" s="143" t="s">
        <v>2198</v>
      </c>
      <c r="E179" s="143" t="s">
        <v>309</v>
      </c>
      <c r="F179" s="143" t="s">
        <v>2199</v>
      </c>
      <c r="G179" s="143" t="s">
        <v>2200</v>
      </c>
      <c r="H179" s="143" t="s">
        <v>321</v>
      </c>
      <c r="I179" s="143" t="s">
        <v>917</v>
      </c>
      <c r="J179" s="143" t="s">
        <v>204</v>
      </c>
      <c r="K179" s="143" t="s">
        <v>204</v>
      </c>
      <c r="L179" s="143" t="s">
        <v>325</v>
      </c>
      <c r="M179" s="143" t="s">
        <v>340</v>
      </c>
      <c r="N179" s="143" t="s">
        <v>459</v>
      </c>
      <c r="O179" s="143" t="s">
        <v>339</v>
      </c>
      <c r="P179" s="143" t="s">
        <v>1210</v>
      </c>
      <c r="Q179" s="144">
        <v>118409</v>
      </c>
      <c r="R179" s="145" t="s">
        <v>3930</v>
      </c>
      <c r="S179" s="143" t="s">
        <v>2201</v>
      </c>
      <c r="T179" s="145" t="s">
        <v>3930</v>
      </c>
      <c r="U179" s="144">
        <v>7021.6536999999998</v>
      </c>
      <c r="V179" s="146">
        <v>1.0083119463689665E-3</v>
      </c>
      <c r="W179" s="146">
        <v>4.0504764488585232E-3</v>
      </c>
      <c r="X179" s="147">
        <v>8.9626092419160634E-4</v>
      </c>
      <c r="Y179" s="180"/>
    </row>
    <row r="180" spans="1:25" ht="15" x14ac:dyDescent="0.2">
      <c r="A180" s="142" t="s">
        <v>1220</v>
      </c>
      <c r="B180" s="143" t="s">
        <v>1220</v>
      </c>
      <c r="C180" s="143" t="s">
        <v>1853</v>
      </c>
      <c r="D180" s="143" t="s">
        <v>1854</v>
      </c>
      <c r="E180" s="143" t="s">
        <v>309</v>
      </c>
      <c r="F180" s="143" t="s">
        <v>2223</v>
      </c>
      <c r="G180" s="143" t="s">
        <v>2224</v>
      </c>
      <c r="H180" s="143" t="s">
        <v>321</v>
      </c>
      <c r="I180" s="143" t="s">
        <v>917</v>
      </c>
      <c r="J180" s="143" t="s">
        <v>204</v>
      </c>
      <c r="K180" s="143" t="s">
        <v>204</v>
      </c>
      <c r="L180" s="143" t="s">
        <v>325</v>
      </c>
      <c r="M180" s="143" t="s">
        <v>340</v>
      </c>
      <c r="N180" s="143" t="s">
        <v>484</v>
      </c>
      <c r="O180" s="143" t="s">
        <v>339</v>
      </c>
      <c r="P180" s="143" t="s">
        <v>1210</v>
      </c>
      <c r="Q180" s="144">
        <v>431140</v>
      </c>
      <c r="R180" s="145" t="s">
        <v>3930</v>
      </c>
      <c r="S180" s="143" t="s">
        <v>2225</v>
      </c>
      <c r="T180" s="145" t="s">
        <v>3930</v>
      </c>
      <c r="U180" s="144">
        <v>6924.1084000000001</v>
      </c>
      <c r="V180" s="146">
        <v>2.2558578200741848E-3</v>
      </c>
      <c r="W180" s="146">
        <v>3.9942069492181695E-3</v>
      </c>
      <c r="X180" s="147">
        <v>8.8381000529645388E-4</v>
      </c>
      <c r="Y180" s="180"/>
    </row>
    <row r="181" spans="1:25" ht="15" x14ac:dyDescent="0.2">
      <c r="A181" s="142" t="s">
        <v>1220</v>
      </c>
      <c r="B181" s="143" t="s">
        <v>1220</v>
      </c>
      <c r="C181" s="143" t="s">
        <v>1753</v>
      </c>
      <c r="D181" s="143" t="s">
        <v>1754</v>
      </c>
      <c r="E181" s="143" t="s">
        <v>309</v>
      </c>
      <c r="F181" s="143" t="s">
        <v>2320</v>
      </c>
      <c r="G181" s="143" t="s">
        <v>2321</v>
      </c>
      <c r="H181" s="143" t="s">
        <v>321</v>
      </c>
      <c r="I181" s="143" t="s">
        <v>917</v>
      </c>
      <c r="J181" s="143" t="s">
        <v>204</v>
      </c>
      <c r="K181" s="143" t="s">
        <v>204</v>
      </c>
      <c r="L181" s="143" t="s">
        <v>325</v>
      </c>
      <c r="M181" s="143" t="s">
        <v>340</v>
      </c>
      <c r="N181" s="143" t="s">
        <v>440</v>
      </c>
      <c r="O181" s="143" t="s">
        <v>339</v>
      </c>
      <c r="P181" s="143" t="s">
        <v>1210</v>
      </c>
      <c r="Q181" s="144">
        <v>7127267</v>
      </c>
      <c r="R181" s="145" t="s">
        <v>3930</v>
      </c>
      <c r="S181" s="143" t="s">
        <v>2322</v>
      </c>
      <c r="T181" s="145" t="s">
        <v>3930</v>
      </c>
      <c r="U181" s="144">
        <v>6849.3035999999993</v>
      </c>
      <c r="V181" s="146">
        <v>2.2158348077078037E-3</v>
      </c>
      <c r="W181" s="146">
        <v>3.9510554145137785E-3</v>
      </c>
      <c r="X181" s="147">
        <v>8.7426173736729633E-4</v>
      </c>
      <c r="Y181" s="180"/>
    </row>
    <row r="182" spans="1:25" ht="15" x14ac:dyDescent="0.2">
      <c r="A182" s="142" t="s">
        <v>1220</v>
      </c>
      <c r="B182" s="143" t="s">
        <v>1220</v>
      </c>
      <c r="C182" s="143" t="s">
        <v>2234</v>
      </c>
      <c r="D182" s="143" t="s">
        <v>2235</v>
      </c>
      <c r="E182" s="143" t="s">
        <v>309</v>
      </c>
      <c r="F182" s="143" t="s">
        <v>2236</v>
      </c>
      <c r="G182" s="143" t="s">
        <v>2237</v>
      </c>
      <c r="H182" s="143" t="s">
        <v>321</v>
      </c>
      <c r="I182" s="143" t="s">
        <v>917</v>
      </c>
      <c r="J182" s="143" t="s">
        <v>204</v>
      </c>
      <c r="K182" s="143" t="s">
        <v>204</v>
      </c>
      <c r="L182" s="143" t="s">
        <v>325</v>
      </c>
      <c r="M182" s="143" t="s">
        <v>340</v>
      </c>
      <c r="N182" s="143" t="s">
        <v>451</v>
      </c>
      <c r="O182" s="143" t="s">
        <v>339</v>
      </c>
      <c r="P182" s="143" t="s">
        <v>1210</v>
      </c>
      <c r="Q182" s="144">
        <v>10531049</v>
      </c>
      <c r="R182" s="145" t="s">
        <v>3930</v>
      </c>
      <c r="S182" s="143" t="s">
        <v>2238</v>
      </c>
      <c r="T182" s="145" t="s">
        <v>3930</v>
      </c>
      <c r="U182" s="144">
        <v>6824.1197999999995</v>
      </c>
      <c r="V182" s="146">
        <v>8.3252320609100271E-3</v>
      </c>
      <c r="W182" s="146">
        <v>3.9365279919267833E-3</v>
      </c>
      <c r="X182" s="147">
        <v>8.7104721153105505E-4</v>
      </c>
      <c r="Y182" s="180"/>
    </row>
    <row r="183" spans="1:25" ht="15" x14ac:dyDescent="0.2">
      <c r="A183" s="142" t="s">
        <v>1220</v>
      </c>
      <c r="B183" s="143" t="s">
        <v>1220</v>
      </c>
      <c r="C183" s="143" t="s">
        <v>2210</v>
      </c>
      <c r="D183" s="143" t="s">
        <v>2211</v>
      </c>
      <c r="E183" s="143" t="s">
        <v>309</v>
      </c>
      <c r="F183" s="143" t="s">
        <v>2212</v>
      </c>
      <c r="G183" s="143" t="s">
        <v>2213</v>
      </c>
      <c r="H183" s="143" t="s">
        <v>321</v>
      </c>
      <c r="I183" s="143" t="s">
        <v>917</v>
      </c>
      <c r="J183" s="143" t="s">
        <v>204</v>
      </c>
      <c r="K183" s="143" t="s">
        <v>204</v>
      </c>
      <c r="L183" s="143" t="s">
        <v>325</v>
      </c>
      <c r="M183" s="143" t="s">
        <v>340</v>
      </c>
      <c r="N183" s="143" t="s">
        <v>464</v>
      </c>
      <c r="O183" s="143" t="s">
        <v>339</v>
      </c>
      <c r="P183" s="143" t="s">
        <v>1210</v>
      </c>
      <c r="Q183" s="144">
        <v>70527</v>
      </c>
      <c r="R183" s="145" t="s">
        <v>3930</v>
      </c>
      <c r="S183" s="143" t="s">
        <v>2214</v>
      </c>
      <c r="T183" s="145" t="s">
        <v>3930</v>
      </c>
      <c r="U183" s="144">
        <v>6735.3284999999996</v>
      </c>
      <c r="V183" s="146">
        <v>1.926818963874255E-3</v>
      </c>
      <c r="W183" s="146">
        <v>3.8853083091488268E-3</v>
      </c>
      <c r="X183" s="147">
        <v>8.5971368057414534E-4</v>
      </c>
      <c r="Y183" s="180"/>
    </row>
    <row r="184" spans="1:25" ht="15" x14ac:dyDescent="0.2">
      <c r="A184" s="142" t="s">
        <v>1220</v>
      </c>
      <c r="B184" s="143" t="s">
        <v>1220</v>
      </c>
      <c r="C184" s="143" t="s">
        <v>1532</v>
      </c>
      <c r="D184" s="143" t="s">
        <v>1533</v>
      </c>
      <c r="E184" s="143" t="s">
        <v>309</v>
      </c>
      <c r="F184" s="143" t="s">
        <v>2231</v>
      </c>
      <c r="G184" s="143" t="s">
        <v>2232</v>
      </c>
      <c r="H184" s="143" t="s">
        <v>321</v>
      </c>
      <c r="I184" s="143" t="s">
        <v>917</v>
      </c>
      <c r="J184" s="143" t="s">
        <v>204</v>
      </c>
      <c r="K184" s="143" t="s">
        <v>204</v>
      </c>
      <c r="L184" s="143" t="s">
        <v>325</v>
      </c>
      <c r="M184" s="143" t="s">
        <v>340</v>
      </c>
      <c r="N184" s="143" t="s">
        <v>464</v>
      </c>
      <c r="O184" s="143" t="s">
        <v>339</v>
      </c>
      <c r="P184" s="143" t="s">
        <v>1210</v>
      </c>
      <c r="Q184" s="144">
        <v>119901.42</v>
      </c>
      <c r="R184" s="145" t="s">
        <v>3930</v>
      </c>
      <c r="S184" s="143" t="s">
        <v>2233</v>
      </c>
      <c r="T184" s="145" t="s">
        <v>3930</v>
      </c>
      <c r="U184" s="144">
        <v>6707.2854000000007</v>
      </c>
      <c r="V184" s="146">
        <v>9.1173026401669634E-4</v>
      </c>
      <c r="W184" s="146">
        <v>3.8691315251604048E-3</v>
      </c>
      <c r="X184" s="147">
        <v>8.5613419565404487E-4</v>
      </c>
      <c r="Y184" s="180"/>
    </row>
    <row r="185" spans="1:25" ht="15" x14ac:dyDescent="0.2">
      <c r="A185" s="142" t="s">
        <v>1220</v>
      </c>
      <c r="B185" s="143" t="s">
        <v>1220</v>
      </c>
      <c r="C185" s="143" t="s">
        <v>1666</v>
      </c>
      <c r="D185" s="143" t="s">
        <v>1667</v>
      </c>
      <c r="E185" s="143" t="s">
        <v>309</v>
      </c>
      <c r="F185" s="143" t="s">
        <v>2244</v>
      </c>
      <c r="G185" s="143" t="s">
        <v>2245</v>
      </c>
      <c r="H185" s="143" t="s">
        <v>321</v>
      </c>
      <c r="I185" s="143" t="s">
        <v>917</v>
      </c>
      <c r="J185" s="143" t="s">
        <v>204</v>
      </c>
      <c r="K185" s="143" t="s">
        <v>204</v>
      </c>
      <c r="L185" s="143" t="s">
        <v>325</v>
      </c>
      <c r="M185" s="143" t="s">
        <v>340</v>
      </c>
      <c r="N185" s="143" t="s">
        <v>451</v>
      </c>
      <c r="O185" s="143" t="s">
        <v>339</v>
      </c>
      <c r="P185" s="143" t="s">
        <v>1210</v>
      </c>
      <c r="Q185" s="144">
        <v>8191</v>
      </c>
      <c r="R185" s="145" t="s">
        <v>3930</v>
      </c>
      <c r="S185" s="143" t="s">
        <v>2246</v>
      </c>
      <c r="T185" s="145" t="s">
        <v>3930</v>
      </c>
      <c r="U185" s="144">
        <v>6642.9009999999998</v>
      </c>
      <c r="V185" s="146">
        <v>1.0634361542326473E-3</v>
      </c>
      <c r="W185" s="146">
        <v>3.8319910383217467E-3</v>
      </c>
      <c r="X185" s="147">
        <v>8.4791601009507863E-4</v>
      </c>
      <c r="Y185" s="180"/>
    </row>
    <row r="186" spans="1:25" ht="15" x14ac:dyDescent="0.2">
      <c r="A186" s="142" t="s">
        <v>1220</v>
      </c>
      <c r="B186" s="143" t="s">
        <v>1220</v>
      </c>
      <c r="C186" s="143" t="s">
        <v>2226</v>
      </c>
      <c r="D186" s="143" t="s">
        <v>2227</v>
      </c>
      <c r="E186" s="143" t="s">
        <v>309</v>
      </c>
      <c r="F186" s="143" t="s">
        <v>2228</v>
      </c>
      <c r="G186" s="143" t="s">
        <v>2229</v>
      </c>
      <c r="H186" s="143" t="s">
        <v>321</v>
      </c>
      <c r="I186" s="143" t="s">
        <v>917</v>
      </c>
      <c r="J186" s="143" t="s">
        <v>204</v>
      </c>
      <c r="K186" s="143" t="s">
        <v>204</v>
      </c>
      <c r="L186" s="143" t="s">
        <v>325</v>
      </c>
      <c r="M186" s="143" t="s">
        <v>340</v>
      </c>
      <c r="N186" s="143" t="s">
        <v>476</v>
      </c>
      <c r="O186" s="143" t="s">
        <v>339</v>
      </c>
      <c r="P186" s="143" t="s">
        <v>1210</v>
      </c>
      <c r="Q186" s="144">
        <v>21611</v>
      </c>
      <c r="R186" s="145" t="s">
        <v>3930</v>
      </c>
      <c r="S186" s="143" t="s">
        <v>2230</v>
      </c>
      <c r="T186" s="145" t="s">
        <v>3930</v>
      </c>
      <c r="U186" s="144">
        <v>6446.5612999999994</v>
      </c>
      <c r="V186" s="146">
        <v>1.3590723820027901E-3</v>
      </c>
      <c r="W186" s="146">
        <v>3.7187314893887156E-3</v>
      </c>
      <c r="X186" s="147">
        <v>8.2285473414843045E-4</v>
      </c>
      <c r="Y186" s="180"/>
    </row>
    <row r="187" spans="1:25" ht="15" x14ac:dyDescent="0.2">
      <c r="A187" s="142" t="s">
        <v>1220</v>
      </c>
      <c r="B187" s="143" t="s">
        <v>1220</v>
      </c>
      <c r="C187" s="143" t="s">
        <v>2218</v>
      </c>
      <c r="D187" s="143" t="s">
        <v>2219</v>
      </c>
      <c r="E187" s="143" t="s">
        <v>309</v>
      </c>
      <c r="F187" s="143" t="s">
        <v>2220</v>
      </c>
      <c r="G187" s="143" t="s">
        <v>2221</v>
      </c>
      <c r="H187" s="143" t="s">
        <v>321</v>
      </c>
      <c r="I187" s="143" t="s">
        <v>917</v>
      </c>
      <c r="J187" s="143" t="s">
        <v>204</v>
      </c>
      <c r="K187" s="143" t="s">
        <v>204</v>
      </c>
      <c r="L187" s="143" t="s">
        <v>325</v>
      </c>
      <c r="M187" s="143" t="s">
        <v>340</v>
      </c>
      <c r="N187" s="143" t="s">
        <v>456</v>
      </c>
      <c r="O187" s="143" t="s">
        <v>339</v>
      </c>
      <c r="P187" s="143" t="s">
        <v>1210</v>
      </c>
      <c r="Q187" s="144">
        <v>600000</v>
      </c>
      <c r="R187" s="145" t="s">
        <v>3930</v>
      </c>
      <c r="S187" s="143" t="s">
        <v>2222</v>
      </c>
      <c r="T187" s="145" t="s">
        <v>3930</v>
      </c>
      <c r="U187" s="144">
        <v>6444</v>
      </c>
      <c r="V187" s="146">
        <v>5.6146298313386718E-3</v>
      </c>
      <c r="W187" s="146">
        <v>3.7172539905299408E-3</v>
      </c>
      <c r="X187" s="147">
        <v>8.2252780359856126E-4</v>
      </c>
      <c r="Y187" s="180"/>
    </row>
    <row r="188" spans="1:25" ht="15" x14ac:dyDescent="0.2">
      <c r="A188" s="142" t="s">
        <v>1220</v>
      </c>
      <c r="B188" s="143" t="s">
        <v>1220</v>
      </c>
      <c r="C188" s="143" t="s">
        <v>1831</v>
      </c>
      <c r="D188" s="143" t="s">
        <v>1832</v>
      </c>
      <c r="E188" s="143" t="s">
        <v>309</v>
      </c>
      <c r="F188" s="143" t="s">
        <v>1831</v>
      </c>
      <c r="G188" s="143" t="s">
        <v>2242</v>
      </c>
      <c r="H188" s="143" t="s">
        <v>321</v>
      </c>
      <c r="I188" s="143" t="s">
        <v>917</v>
      </c>
      <c r="J188" s="143" t="s">
        <v>204</v>
      </c>
      <c r="K188" s="143" t="s">
        <v>204</v>
      </c>
      <c r="L188" s="143" t="s">
        <v>325</v>
      </c>
      <c r="M188" s="143" t="s">
        <v>340</v>
      </c>
      <c r="N188" s="143" t="s">
        <v>441</v>
      </c>
      <c r="O188" s="143" t="s">
        <v>339</v>
      </c>
      <c r="P188" s="143" t="s">
        <v>1210</v>
      </c>
      <c r="Q188" s="144">
        <v>72417</v>
      </c>
      <c r="R188" s="145" t="s">
        <v>3930</v>
      </c>
      <c r="S188" s="143" t="s">
        <v>2243</v>
      </c>
      <c r="T188" s="145" t="s">
        <v>3930</v>
      </c>
      <c r="U188" s="144">
        <v>6316.2107000000005</v>
      </c>
      <c r="V188" s="146">
        <v>2.0375902294260703E-3</v>
      </c>
      <c r="W188" s="146">
        <v>3.6435381096047597E-3</v>
      </c>
      <c r="X188" s="147">
        <v>8.0621647222809496E-4</v>
      </c>
      <c r="Y188" s="180"/>
    </row>
    <row r="189" spans="1:25" ht="15" x14ac:dyDescent="0.2">
      <c r="A189" s="142" t="s">
        <v>1220</v>
      </c>
      <c r="B189" s="143" t="s">
        <v>1220</v>
      </c>
      <c r="C189" s="143" t="s">
        <v>1610</v>
      </c>
      <c r="D189" s="143" t="s">
        <v>1611</v>
      </c>
      <c r="E189" s="143" t="s">
        <v>309</v>
      </c>
      <c r="F189" s="143" t="s">
        <v>2284</v>
      </c>
      <c r="G189" s="143" t="s">
        <v>2285</v>
      </c>
      <c r="H189" s="143" t="s">
        <v>321</v>
      </c>
      <c r="I189" s="143" t="s">
        <v>917</v>
      </c>
      <c r="J189" s="143" t="s">
        <v>204</v>
      </c>
      <c r="K189" s="143" t="s">
        <v>204</v>
      </c>
      <c r="L189" s="143" t="s">
        <v>325</v>
      </c>
      <c r="M189" s="143" t="s">
        <v>340</v>
      </c>
      <c r="N189" s="143" t="s">
        <v>440</v>
      </c>
      <c r="O189" s="143" t="s">
        <v>339</v>
      </c>
      <c r="P189" s="143" t="s">
        <v>1210</v>
      </c>
      <c r="Q189" s="144">
        <v>14896</v>
      </c>
      <c r="R189" s="145" t="s">
        <v>3930</v>
      </c>
      <c r="S189" s="143" t="s">
        <v>2286</v>
      </c>
      <c r="T189" s="144">
        <v>327.79409999999996</v>
      </c>
      <c r="U189" s="144">
        <v>6165.5365000000002</v>
      </c>
      <c r="V189" s="146">
        <v>1.0811508362915103E-3</v>
      </c>
      <c r="W189" s="146">
        <v>3.7457106197036523E-3</v>
      </c>
      <c r="X189" s="147">
        <v>8.2882448624432652E-4</v>
      </c>
      <c r="Y189" s="180"/>
    </row>
    <row r="190" spans="1:25" ht="15" x14ac:dyDescent="0.2">
      <c r="A190" s="142" t="s">
        <v>1220</v>
      </c>
      <c r="B190" s="143" t="s">
        <v>1220</v>
      </c>
      <c r="C190" s="143" t="s">
        <v>2257</v>
      </c>
      <c r="D190" s="143" t="s">
        <v>2258</v>
      </c>
      <c r="E190" s="143" t="s">
        <v>309</v>
      </c>
      <c r="F190" s="143" t="s">
        <v>2259</v>
      </c>
      <c r="G190" s="143" t="s">
        <v>2260</v>
      </c>
      <c r="H190" s="143" t="s">
        <v>321</v>
      </c>
      <c r="I190" s="143" t="s">
        <v>917</v>
      </c>
      <c r="J190" s="143" t="s">
        <v>204</v>
      </c>
      <c r="K190" s="143" t="s">
        <v>204</v>
      </c>
      <c r="L190" s="143" t="s">
        <v>325</v>
      </c>
      <c r="M190" s="143" t="s">
        <v>340</v>
      </c>
      <c r="N190" s="143" t="s">
        <v>447</v>
      </c>
      <c r="O190" s="143" t="s">
        <v>339</v>
      </c>
      <c r="P190" s="143" t="s">
        <v>1210</v>
      </c>
      <c r="Q190" s="144">
        <v>350177</v>
      </c>
      <c r="R190" s="145" t="s">
        <v>3930</v>
      </c>
      <c r="S190" s="143" t="s">
        <v>2261</v>
      </c>
      <c r="T190" s="145" t="s">
        <v>3930</v>
      </c>
      <c r="U190" s="144">
        <v>6093.0797999999995</v>
      </c>
      <c r="V190" s="146">
        <v>1.2462175595772047E-3</v>
      </c>
      <c r="W190" s="146">
        <v>3.5148238983810326E-3</v>
      </c>
      <c r="X190" s="147">
        <v>7.7773549736883318E-4</v>
      </c>
      <c r="Y190" s="180"/>
    </row>
    <row r="191" spans="1:25" ht="15" x14ac:dyDescent="0.2">
      <c r="A191" s="142" t="s">
        <v>1220</v>
      </c>
      <c r="B191" s="143" t="s">
        <v>1220</v>
      </c>
      <c r="C191" s="143" t="s">
        <v>1671</v>
      </c>
      <c r="D191" s="143" t="s">
        <v>1672</v>
      </c>
      <c r="E191" s="143" t="s">
        <v>309</v>
      </c>
      <c r="F191" s="143" t="s">
        <v>2239</v>
      </c>
      <c r="G191" s="143" t="s">
        <v>2240</v>
      </c>
      <c r="H191" s="143" t="s">
        <v>321</v>
      </c>
      <c r="I191" s="143" t="s">
        <v>917</v>
      </c>
      <c r="J191" s="143" t="s">
        <v>204</v>
      </c>
      <c r="K191" s="143" t="s">
        <v>204</v>
      </c>
      <c r="L191" s="143" t="s">
        <v>325</v>
      </c>
      <c r="M191" s="143" t="s">
        <v>340</v>
      </c>
      <c r="N191" s="143" t="s">
        <v>464</v>
      </c>
      <c r="O191" s="143" t="s">
        <v>339</v>
      </c>
      <c r="P191" s="143" t="s">
        <v>1210</v>
      </c>
      <c r="Q191" s="144">
        <v>768782</v>
      </c>
      <c r="R191" s="145" t="s">
        <v>3930</v>
      </c>
      <c r="S191" s="143" t="s">
        <v>2241</v>
      </c>
      <c r="T191" s="145" t="s">
        <v>3930</v>
      </c>
      <c r="U191" s="144">
        <v>5907.3209000000006</v>
      </c>
      <c r="V191" s="146">
        <v>5.1065498468656776E-3</v>
      </c>
      <c r="W191" s="146">
        <v>3.407667930518137E-3</v>
      </c>
      <c r="X191" s="147">
        <v>7.5402477888866272E-4</v>
      </c>
      <c r="Y191" s="180"/>
    </row>
    <row r="192" spans="1:25" ht="15" x14ac:dyDescent="0.2">
      <c r="A192" s="142" t="s">
        <v>1220</v>
      </c>
      <c r="B192" s="143" t="s">
        <v>1220</v>
      </c>
      <c r="C192" s="143" t="s">
        <v>1875</v>
      </c>
      <c r="D192" s="143" t="s">
        <v>1876</v>
      </c>
      <c r="E192" s="143" t="s">
        <v>309</v>
      </c>
      <c r="F192" s="143" t="s">
        <v>2276</v>
      </c>
      <c r="G192" s="143" t="s">
        <v>2277</v>
      </c>
      <c r="H192" s="143" t="s">
        <v>321</v>
      </c>
      <c r="I192" s="143" t="s">
        <v>917</v>
      </c>
      <c r="J192" s="143" t="s">
        <v>204</v>
      </c>
      <c r="K192" s="143" t="s">
        <v>204</v>
      </c>
      <c r="L192" s="143" t="s">
        <v>325</v>
      </c>
      <c r="M192" s="143" t="s">
        <v>340</v>
      </c>
      <c r="N192" s="143" t="s">
        <v>437</v>
      </c>
      <c r="O192" s="143" t="s">
        <v>339</v>
      </c>
      <c r="P192" s="143" t="s">
        <v>1210</v>
      </c>
      <c r="Q192" s="144">
        <v>32333</v>
      </c>
      <c r="R192" s="145" t="s">
        <v>3930</v>
      </c>
      <c r="S192" s="143" t="s">
        <v>2278</v>
      </c>
      <c r="T192" s="145" t="s">
        <v>3930</v>
      </c>
      <c r="U192" s="144">
        <v>5448.1104999999998</v>
      </c>
      <c r="V192" s="146">
        <v>1.2009225111370306E-3</v>
      </c>
      <c r="W192" s="146">
        <v>3.1427700957438035E-3</v>
      </c>
      <c r="X192" s="147">
        <v>6.9541005017493163E-4</v>
      </c>
      <c r="Y192" s="180"/>
    </row>
    <row r="193" spans="1:25" ht="15" x14ac:dyDescent="0.2">
      <c r="A193" s="142" t="s">
        <v>1220</v>
      </c>
      <c r="B193" s="143" t="s">
        <v>1220</v>
      </c>
      <c r="C193" s="143" t="s">
        <v>2262</v>
      </c>
      <c r="D193" s="143" t="s">
        <v>2263</v>
      </c>
      <c r="E193" s="143" t="s">
        <v>309</v>
      </c>
      <c r="F193" s="143" t="s">
        <v>2264</v>
      </c>
      <c r="G193" s="143" t="s">
        <v>2265</v>
      </c>
      <c r="H193" s="143" t="s">
        <v>321</v>
      </c>
      <c r="I193" s="143" t="s">
        <v>917</v>
      </c>
      <c r="J193" s="143" t="s">
        <v>204</v>
      </c>
      <c r="K193" s="143" t="s">
        <v>204</v>
      </c>
      <c r="L193" s="143" t="s">
        <v>325</v>
      </c>
      <c r="M193" s="143" t="s">
        <v>340</v>
      </c>
      <c r="N193" s="143" t="s">
        <v>475</v>
      </c>
      <c r="O193" s="143" t="s">
        <v>339</v>
      </c>
      <c r="P193" s="143" t="s">
        <v>1210</v>
      </c>
      <c r="Q193" s="144">
        <v>500000</v>
      </c>
      <c r="R193" s="145" t="s">
        <v>3930</v>
      </c>
      <c r="S193" s="143" t="s">
        <v>2266</v>
      </c>
      <c r="T193" s="145" t="s">
        <v>3930</v>
      </c>
      <c r="U193" s="144">
        <v>5245</v>
      </c>
      <c r="V193" s="146">
        <v>3.4935322351223774E-3</v>
      </c>
      <c r="W193" s="146">
        <v>3.0256047765874518E-3</v>
      </c>
      <c r="X193" s="147">
        <v>6.6948453287933802E-4</v>
      </c>
      <c r="Y193" s="180"/>
    </row>
    <row r="194" spans="1:25" ht="15" x14ac:dyDescent="0.2">
      <c r="A194" s="142" t="s">
        <v>1220</v>
      </c>
      <c r="B194" s="143" t="s">
        <v>1220</v>
      </c>
      <c r="C194" s="143" t="s">
        <v>2247</v>
      </c>
      <c r="D194" s="143" t="s">
        <v>2248</v>
      </c>
      <c r="E194" s="143" t="s">
        <v>309</v>
      </c>
      <c r="F194" s="143" t="s">
        <v>2249</v>
      </c>
      <c r="G194" s="143" t="s">
        <v>2250</v>
      </c>
      <c r="H194" s="143" t="s">
        <v>321</v>
      </c>
      <c r="I194" s="143" t="s">
        <v>917</v>
      </c>
      <c r="J194" s="143" t="s">
        <v>204</v>
      </c>
      <c r="K194" s="143" t="s">
        <v>204</v>
      </c>
      <c r="L194" s="143" t="s">
        <v>325</v>
      </c>
      <c r="M194" s="143" t="s">
        <v>340</v>
      </c>
      <c r="N194" s="143" t="s">
        <v>475</v>
      </c>
      <c r="O194" s="143" t="s">
        <v>339</v>
      </c>
      <c r="P194" s="143" t="s">
        <v>1210</v>
      </c>
      <c r="Q194" s="144">
        <v>875153</v>
      </c>
      <c r="R194" s="145" t="s">
        <v>3930</v>
      </c>
      <c r="S194" s="143" t="s">
        <v>2251</v>
      </c>
      <c r="T194" s="145" t="s">
        <v>3930</v>
      </c>
      <c r="U194" s="144">
        <v>5233.4149000000007</v>
      </c>
      <c r="V194" s="146">
        <v>8.0460912063856742E-3</v>
      </c>
      <c r="W194" s="146">
        <v>3.0189218761350108E-3</v>
      </c>
      <c r="X194" s="147">
        <v>6.6800578769678719E-4</v>
      </c>
      <c r="Y194" s="180"/>
    </row>
    <row r="195" spans="1:25" ht="15" x14ac:dyDescent="0.2">
      <c r="A195" s="142" t="s">
        <v>1220</v>
      </c>
      <c r="B195" s="143" t="s">
        <v>1220</v>
      </c>
      <c r="C195" s="143" t="s">
        <v>2271</v>
      </c>
      <c r="D195" s="143" t="s">
        <v>2272</v>
      </c>
      <c r="E195" s="143" t="s">
        <v>309</v>
      </c>
      <c r="F195" s="143" t="s">
        <v>2273</v>
      </c>
      <c r="G195" s="143" t="s">
        <v>2274</v>
      </c>
      <c r="H195" s="143" t="s">
        <v>321</v>
      </c>
      <c r="I195" s="143" t="s">
        <v>917</v>
      </c>
      <c r="J195" s="143" t="s">
        <v>204</v>
      </c>
      <c r="K195" s="143" t="s">
        <v>204</v>
      </c>
      <c r="L195" s="143" t="s">
        <v>325</v>
      </c>
      <c r="M195" s="143" t="s">
        <v>340</v>
      </c>
      <c r="N195" s="143" t="s">
        <v>476</v>
      </c>
      <c r="O195" s="143" t="s">
        <v>339</v>
      </c>
      <c r="P195" s="143" t="s">
        <v>1210</v>
      </c>
      <c r="Q195" s="144">
        <v>26711</v>
      </c>
      <c r="R195" s="145" t="s">
        <v>3930</v>
      </c>
      <c r="S195" s="143" t="s">
        <v>2275</v>
      </c>
      <c r="T195" s="145" t="s">
        <v>3930</v>
      </c>
      <c r="U195" s="144">
        <v>5224.6715999999997</v>
      </c>
      <c r="V195" s="146">
        <v>1.1647571716114956E-3</v>
      </c>
      <c r="W195" s="146">
        <v>3.0138782362365692E-3</v>
      </c>
      <c r="X195" s="147">
        <v>6.6688976655365935E-4</v>
      </c>
      <c r="Y195" s="180"/>
    </row>
    <row r="196" spans="1:25" ht="15" x14ac:dyDescent="0.2">
      <c r="A196" s="142" t="s">
        <v>1220</v>
      </c>
      <c r="B196" s="143" t="s">
        <v>1220</v>
      </c>
      <c r="C196" s="143" t="s">
        <v>2267</v>
      </c>
      <c r="D196" s="143" t="s">
        <v>2268</v>
      </c>
      <c r="E196" s="143" t="s">
        <v>309</v>
      </c>
      <c r="F196" s="143" t="s">
        <v>2267</v>
      </c>
      <c r="G196" s="143" t="s">
        <v>2269</v>
      </c>
      <c r="H196" s="143" t="s">
        <v>321</v>
      </c>
      <c r="I196" s="143" t="s">
        <v>917</v>
      </c>
      <c r="J196" s="143" t="s">
        <v>204</v>
      </c>
      <c r="K196" s="143" t="s">
        <v>204</v>
      </c>
      <c r="L196" s="143" t="s">
        <v>325</v>
      </c>
      <c r="M196" s="143" t="s">
        <v>340</v>
      </c>
      <c r="N196" s="143" t="s">
        <v>471</v>
      </c>
      <c r="O196" s="143" t="s">
        <v>339</v>
      </c>
      <c r="P196" s="143" t="s">
        <v>1210</v>
      </c>
      <c r="Q196" s="144">
        <v>230955</v>
      </c>
      <c r="R196" s="145" t="s">
        <v>3930</v>
      </c>
      <c r="S196" s="143" t="s">
        <v>2270</v>
      </c>
      <c r="T196" s="145" t="s">
        <v>3930</v>
      </c>
      <c r="U196" s="144">
        <v>5205.7257</v>
      </c>
      <c r="V196" s="146">
        <v>1.5909792773493889E-3</v>
      </c>
      <c r="W196" s="146">
        <v>3.0029491980026798E-3</v>
      </c>
      <c r="X196" s="147">
        <v>6.6447146588416873E-4</v>
      </c>
      <c r="Y196" s="180"/>
    </row>
    <row r="197" spans="1:25" ht="15" x14ac:dyDescent="0.2">
      <c r="A197" s="142" t="s">
        <v>1220</v>
      </c>
      <c r="B197" s="143" t="s">
        <v>1220</v>
      </c>
      <c r="C197" s="143" t="s">
        <v>2252</v>
      </c>
      <c r="D197" s="143" t="s">
        <v>2253</v>
      </c>
      <c r="E197" s="143" t="s">
        <v>309</v>
      </c>
      <c r="F197" s="143" t="s">
        <v>2254</v>
      </c>
      <c r="G197" s="143" t="s">
        <v>2255</v>
      </c>
      <c r="H197" s="143" t="s">
        <v>321</v>
      </c>
      <c r="I197" s="143" t="s">
        <v>917</v>
      </c>
      <c r="J197" s="143" t="s">
        <v>204</v>
      </c>
      <c r="K197" s="143" t="s">
        <v>204</v>
      </c>
      <c r="L197" s="143" t="s">
        <v>325</v>
      </c>
      <c r="M197" s="143" t="s">
        <v>340</v>
      </c>
      <c r="N197" s="143" t="s">
        <v>445</v>
      </c>
      <c r="O197" s="143" t="s">
        <v>339</v>
      </c>
      <c r="P197" s="143" t="s">
        <v>1210</v>
      </c>
      <c r="Q197" s="144">
        <v>41893</v>
      </c>
      <c r="R197" s="145" t="s">
        <v>3930</v>
      </c>
      <c r="S197" s="143" t="s">
        <v>2256</v>
      </c>
      <c r="T197" s="145" t="s">
        <v>3930</v>
      </c>
      <c r="U197" s="144">
        <v>5031.3492999999999</v>
      </c>
      <c r="V197" s="146">
        <v>2.8473818808556948E-3</v>
      </c>
      <c r="W197" s="146">
        <v>2.9023592897540387E-3</v>
      </c>
      <c r="X197" s="147">
        <v>6.4221363886811898E-4</v>
      </c>
      <c r="Y197" s="180"/>
    </row>
    <row r="198" spans="1:25" ht="15" x14ac:dyDescent="0.2">
      <c r="A198" s="142" t="s">
        <v>1220</v>
      </c>
      <c r="B198" s="143" t="s">
        <v>1220</v>
      </c>
      <c r="C198" s="143" t="s">
        <v>2279</v>
      </c>
      <c r="D198" s="143" t="s">
        <v>2280</v>
      </c>
      <c r="E198" s="143" t="s">
        <v>309</v>
      </c>
      <c r="F198" s="143" t="s">
        <v>2281</v>
      </c>
      <c r="G198" s="143" t="s">
        <v>2282</v>
      </c>
      <c r="H198" s="143" t="s">
        <v>321</v>
      </c>
      <c r="I198" s="143" t="s">
        <v>917</v>
      </c>
      <c r="J198" s="143" t="s">
        <v>204</v>
      </c>
      <c r="K198" s="143" t="s">
        <v>204</v>
      </c>
      <c r="L198" s="143" t="s">
        <v>325</v>
      </c>
      <c r="M198" s="143" t="s">
        <v>340</v>
      </c>
      <c r="N198" s="143" t="s">
        <v>476</v>
      </c>
      <c r="O198" s="143" t="s">
        <v>339</v>
      </c>
      <c r="P198" s="143" t="s">
        <v>1210</v>
      </c>
      <c r="Q198" s="144">
        <v>93786</v>
      </c>
      <c r="R198" s="145" t="s">
        <v>3930</v>
      </c>
      <c r="S198" s="143" t="s">
        <v>2283</v>
      </c>
      <c r="T198" s="145" t="s">
        <v>3930</v>
      </c>
      <c r="U198" s="144">
        <v>4716.4979000000003</v>
      </c>
      <c r="V198" s="146">
        <v>1.3057733557772383E-3</v>
      </c>
      <c r="W198" s="146">
        <v>2.7207356903772881E-3</v>
      </c>
      <c r="X198" s="147">
        <v>6.020252469375138E-4</v>
      </c>
      <c r="Y198" s="180"/>
    </row>
    <row r="199" spans="1:25" ht="15" x14ac:dyDescent="0.2">
      <c r="A199" s="142" t="s">
        <v>1220</v>
      </c>
      <c r="B199" s="143" t="s">
        <v>1220</v>
      </c>
      <c r="C199" s="143" t="s">
        <v>2295</v>
      </c>
      <c r="D199" s="143" t="s">
        <v>2296</v>
      </c>
      <c r="E199" s="143" t="s">
        <v>309</v>
      </c>
      <c r="F199" s="143" t="s">
        <v>2297</v>
      </c>
      <c r="G199" s="143" t="s">
        <v>2298</v>
      </c>
      <c r="H199" s="143" t="s">
        <v>321</v>
      </c>
      <c r="I199" s="143" t="s">
        <v>917</v>
      </c>
      <c r="J199" s="143" t="s">
        <v>204</v>
      </c>
      <c r="K199" s="143" t="s">
        <v>204</v>
      </c>
      <c r="L199" s="143" t="s">
        <v>325</v>
      </c>
      <c r="M199" s="143" t="s">
        <v>340</v>
      </c>
      <c r="N199" s="143" t="s">
        <v>447</v>
      </c>
      <c r="O199" s="143" t="s">
        <v>339</v>
      </c>
      <c r="P199" s="143" t="s">
        <v>1210</v>
      </c>
      <c r="Q199" s="144">
        <v>268978</v>
      </c>
      <c r="R199" s="145" t="s">
        <v>3930</v>
      </c>
      <c r="S199" s="143" t="s">
        <v>2299</v>
      </c>
      <c r="T199" s="145" t="s">
        <v>3930</v>
      </c>
      <c r="U199" s="144">
        <v>4707.1149999999998</v>
      </c>
      <c r="V199" s="146">
        <v>1.2739322718329864E-3</v>
      </c>
      <c r="W199" s="146">
        <v>2.7153230939840692E-3</v>
      </c>
      <c r="X199" s="147">
        <v>6.0082758569767879E-4</v>
      </c>
      <c r="Y199" s="180"/>
    </row>
    <row r="200" spans="1:25" ht="15" x14ac:dyDescent="0.2">
      <c r="A200" s="142" t="s">
        <v>1220</v>
      </c>
      <c r="B200" s="143" t="s">
        <v>1220</v>
      </c>
      <c r="C200" s="143" t="s">
        <v>1820</v>
      </c>
      <c r="D200" s="143" t="s">
        <v>1821</v>
      </c>
      <c r="E200" s="143" t="s">
        <v>309</v>
      </c>
      <c r="F200" s="143" t="s">
        <v>2292</v>
      </c>
      <c r="G200" s="143" t="s">
        <v>2293</v>
      </c>
      <c r="H200" s="143" t="s">
        <v>321</v>
      </c>
      <c r="I200" s="143" t="s">
        <v>917</v>
      </c>
      <c r="J200" s="143" t="s">
        <v>204</v>
      </c>
      <c r="K200" s="143" t="s">
        <v>204</v>
      </c>
      <c r="L200" s="143" t="s">
        <v>325</v>
      </c>
      <c r="M200" s="143" t="s">
        <v>340</v>
      </c>
      <c r="N200" s="143" t="s">
        <v>454</v>
      </c>
      <c r="O200" s="143" t="s">
        <v>339</v>
      </c>
      <c r="P200" s="143" t="s">
        <v>1210</v>
      </c>
      <c r="Q200" s="144">
        <v>2740746.7</v>
      </c>
      <c r="R200" s="145" t="s">
        <v>3930</v>
      </c>
      <c r="S200" s="143" t="s">
        <v>2294</v>
      </c>
      <c r="T200" s="145" t="s">
        <v>3930</v>
      </c>
      <c r="U200" s="144">
        <v>4437.2689</v>
      </c>
      <c r="V200" s="146">
        <v>1.0558564462080518E-3</v>
      </c>
      <c r="W200" s="146">
        <v>2.5596610106634627E-3</v>
      </c>
      <c r="X200" s="147">
        <v>5.6638377534103926E-4</v>
      </c>
      <c r="Y200" s="180"/>
    </row>
    <row r="201" spans="1:25" ht="15" x14ac:dyDescent="0.2">
      <c r="A201" s="142" t="s">
        <v>1220</v>
      </c>
      <c r="B201" s="143" t="s">
        <v>1220</v>
      </c>
      <c r="C201" s="143" t="s">
        <v>2287</v>
      </c>
      <c r="D201" s="143" t="s">
        <v>2288</v>
      </c>
      <c r="E201" s="143" t="s">
        <v>309</v>
      </c>
      <c r="F201" s="143" t="s">
        <v>2289</v>
      </c>
      <c r="G201" s="143" t="s">
        <v>2290</v>
      </c>
      <c r="H201" s="143" t="s">
        <v>321</v>
      </c>
      <c r="I201" s="143" t="s">
        <v>917</v>
      </c>
      <c r="J201" s="143" t="s">
        <v>204</v>
      </c>
      <c r="K201" s="143" t="s">
        <v>204</v>
      </c>
      <c r="L201" s="143" t="s">
        <v>325</v>
      </c>
      <c r="M201" s="143" t="s">
        <v>340</v>
      </c>
      <c r="N201" s="143" t="s">
        <v>441</v>
      </c>
      <c r="O201" s="143" t="s">
        <v>339</v>
      </c>
      <c r="P201" s="143" t="s">
        <v>1210</v>
      </c>
      <c r="Q201" s="144">
        <v>291595</v>
      </c>
      <c r="R201" s="145" t="s">
        <v>3930</v>
      </c>
      <c r="S201" s="143" t="s">
        <v>2291</v>
      </c>
      <c r="T201" s="145" t="s">
        <v>3930</v>
      </c>
      <c r="U201" s="144">
        <v>3930.7006000000001</v>
      </c>
      <c r="V201" s="146">
        <v>5.3067640962068991E-4</v>
      </c>
      <c r="W201" s="146">
        <v>2.2674445206282484E-3</v>
      </c>
      <c r="X201" s="147">
        <v>5.0172416684071187E-4</v>
      </c>
      <c r="Y201" s="180"/>
    </row>
    <row r="202" spans="1:25" ht="15" x14ac:dyDescent="0.2">
      <c r="A202" s="142" t="s">
        <v>1220</v>
      </c>
      <c r="B202" s="143" t="s">
        <v>1220</v>
      </c>
      <c r="C202" s="143" t="s">
        <v>2310</v>
      </c>
      <c r="D202" s="143" t="s">
        <v>2311</v>
      </c>
      <c r="E202" s="143" t="s">
        <v>309</v>
      </c>
      <c r="F202" s="143" t="s">
        <v>2312</v>
      </c>
      <c r="G202" s="143" t="s">
        <v>2313</v>
      </c>
      <c r="H202" s="143" t="s">
        <v>321</v>
      </c>
      <c r="I202" s="143" t="s">
        <v>917</v>
      </c>
      <c r="J202" s="143" t="s">
        <v>204</v>
      </c>
      <c r="K202" s="143" t="s">
        <v>204</v>
      </c>
      <c r="L202" s="143" t="s">
        <v>325</v>
      </c>
      <c r="M202" s="143" t="s">
        <v>340</v>
      </c>
      <c r="N202" s="143" t="s">
        <v>465</v>
      </c>
      <c r="O202" s="143" t="s">
        <v>339</v>
      </c>
      <c r="P202" s="143" t="s">
        <v>1210</v>
      </c>
      <c r="Q202" s="144">
        <v>43203</v>
      </c>
      <c r="R202" s="145" t="s">
        <v>3930</v>
      </c>
      <c r="S202" s="143" t="s">
        <v>2314</v>
      </c>
      <c r="T202" s="145" t="s">
        <v>3930</v>
      </c>
      <c r="U202" s="144">
        <v>3922.8323999999998</v>
      </c>
      <c r="V202" s="146">
        <v>2.1013506368839055E-3</v>
      </c>
      <c r="W202" s="146">
        <v>2.2629057096648269E-3</v>
      </c>
      <c r="X202" s="147">
        <v>5.0071985069169347E-4</v>
      </c>
      <c r="Y202" s="180"/>
    </row>
    <row r="203" spans="1:25" ht="15" x14ac:dyDescent="0.2">
      <c r="A203" s="142" t="s">
        <v>1220</v>
      </c>
      <c r="B203" s="143" t="s">
        <v>1220</v>
      </c>
      <c r="C203" s="143" t="s">
        <v>2315</v>
      </c>
      <c r="D203" s="143" t="s">
        <v>2316</v>
      </c>
      <c r="E203" s="143" t="s">
        <v>309</v>
      </c>
      <c r="F203" s="143" t="s">
        <v>2317</v>
      </c>
      <c r="G203" s="143" t="s">
        <v>2318</v>
      </c>
      <c r="H203" s="143" t="s">
        <v>321</v>
      </c>
      <c r="I203" s="143" t="s">
        <v>917</v>
      </c>
      <c r="J203" s="143" t="s">
        <v>204</v>
      </c>
      <c r="K203" s="143" t="s">
        <v>204</v>
      </c>
      <c r="L203" s="143" t="s">
        <v>325</v>
      </c>
      <c r="M203" s="143" t="s">
        <v>340</v>
      </c>
      <c r="N203" s="143" t="s">
        <v>475</v>
      </c>
      <c r="O203" s="143" t="s">
        <v>339</v>
      </c>
      <c r="P203" s="143" t="s">
        <v>1210</v>
      </c>
      <c r="Q203" s="144">
        <v>60810</v>
      </c>
      <c r="R203" s="145" t="s">
        <v>3930</v>
      </c>
      <c r="S203" s="143" t="s">
        <v>2319</v>
      </c>
      <c r="T203" s="145" t="s">
        <v>3930</v>
      </c>
      <c r="U203" s="144">
        <v>3781.7738999999997</v>
      </c>
      <c r="V203" s="146">
        <v>2.4314315122000605E-3</v>
      </c>
      <c r="W203" s="146">
        <v>2.1815354005364643E-3</v>
      </c>
      <c r="X203" s="147">
        <v>4.8271480131492324E-4</v>
      </c>
      <c r="Y203" s="180"/>
    </row>
    <row r="204" spans="1:25" ht="15" x14ac:dyDescent="0.2">
      <c r="A204" s="142" t="s">
        <v>1220</v>
      </c>
      <c r="B204" s="143" t="s">
        <v>1220</v>
      </c>
      <c r="C204" s="143" t="s">
        <v>2305</v>
      </c>
      <c r="D204" s="143" t="s">
        <v>2306</v>
      </c>
      <c r="E204" s="143" t="s">
        <v>309</v>
      </c>
      <c r="F204" s="143" t="s">
        <v>2307</v>
      </c>
      <c r="G204" s="143" t="s">
        <v>2308</v>
      </c>
      <c r="H204" s="143" t="s">
        <v>321</v>
      </c>
      <c r="I204" s="143" t="s">
        <v>917</v>
      </c>
      <c r="J204" s="143" t="s">
        <v>204</v>
      </c>
      <c r="K204" s="143" t="s">
        <v>204</v>
      </c>
      <c r="L204" s="143" t="s">
        <v>325</v>
      </c>
      <c r="M204" s="143" t="s">
        <v>340</v>
      </c>
      <c r="N204" s="143" t="s">
        <v>465</v>
      </c>
      <c r="O204" s="143" t="s">
        <v>339</v>
      </c>
      <c r="P204" s="143" t="s">
        <v>1210</v>
      </c>
      <c r="Q204" s="144">
        <v>632683</v>
      </c>
      <c r="R204" s="145" t="s">
        <v>3930</v>
      </c>
      <c r="S204" s="143" t="s">
        <v>2309</v>
      </c>
      <c r="T204" s="145" t="s">
        <v>3930</v>
      </c>
      <c r="U204" s="144">
        <v>3517.7175000000002</v>
      </c>
      <c r="V204" s="146">
        <v>9.2978377309868247E-3</v>
      </c>
      <c r="W204" s="146">
        <v>2.0292131191941227E-3</v>
      </c>
      <c r="X204" s="147">
        <v>4.4900999883685074E-4</v>
      </c>
      <c r="Y204" s="180"/>
    </row>
    <row r="205" spans="1:25" ht="15" x14ac:dyDescent="0.2">
      <c r="A205" s="142" t="s">
        <v>1220</v>
      </c>
      <c r="B205" s="143" t="s">
        <v>1220</v>
      </c>
      <c r="C205" s="143" t="s">
        <v>2300</v>
      </c>
      <c r="D205" s="143" t="s">
        <v>2301</v>
      </c>
      <c r="E205" s="143" t="s">
        <v>309</v>
      </c>
      <c r="F205" s="143" t="s">
        <v>2302</v>
      </c>
      <c r="G205" s="143" t="s">
        <v>2303</v>
      </c>
      <c r="H205" s="143" t="s">
        <v>321</v>
      </c>
      <c r="I205" s="143" t="s">
        <v>917</v>
      </c>
      <c r="J205" s="143" t="s">
        <v>204</v>
      </c>
      <c r="K205" s="143" t="s">
        <v>204</v>
      </c>
      <c r="L205" s="143" t="s">
        <v>325</v>
      </c>
      <c r="M205" s="143" t="s">
        <v>340</v>
      </c>
      <c r="N205" s="143" t="s">
        <v>465</v>
      </c>
      <c r="O205" s="143" t="s">
        <v>339</v>
      </c>
      <c r="P205" s="143" t="s">
        <v>1210</v>
      </c>
      <c r="Q205" s="144">
        <v>60152</v>
      </c>
      <c r="R205" s="145" t="s">
        <v>3930</v>
      </c>
      <c r="S205" s="143" t="s">
        <v>2304</v>
      </c>
      <c r="T205" s="145" t="s">
        <v>3930</v>
      </c>
      <c r="U205" s="144">
        <v>3350.4663999999998</v>
      </c>
      <c r="V205" s="146">
        <v>8.1352826418343088E-4</v>
      </c>
      <c r="W205" s="146">
        <v>1.9327334878237873E-3</v>
      </c>
      <c r="X205" s="147">
        <v>4.2766166496318729E-4</v>
      </c>
      <c r="Y205" s="180"/>
    </row>
    <row r="206" spans="1:25" ht="15" x14ac:dyDescent="0.2">
      <c r="A206" s="142" t="s">
        <v>1220</v>
      </c>
      <c r="B206" s="143" t="s">
        <v>1220</v>
      </c>
      <c r="C206" s="143" t="s">
        <v>2331</v>
      </c>
      <c r="D206" s="143" t="s">
        <v>2332</v>
      </c>
      <c r="E206" s="143" t="s">
        <v>309</v>
      </c>
      <c r="F206" s="143" t="s">
        <v>2333</v>
      </c>
      <c r="G206" s="143" t="s">
        <v>2334</v>
      </c>
      <c r="H206" s="143" t="s">
        <v>321</v>
      </c>
      <c r="I206" s="143" t="s">
        <v>917</v>
      </c>
      <c r="J206" s="143" t="s">
        <v>204</v>
      </c>
      <c r="K206" s="143" t="s">
        <v>204</v>
      </c>
      <c r="L206" s="143" t="s">
        <v>325</v>
      </c>
      <c r="M206" s="143" t="s">
        <v>340</v>
      </c>
      <c r="N206" s="143" t="s">
        <v>448</v>
      </c>
      <c r="O206" s="143" t="s">
        <v>339</v>
      </c>
      <c r="P206" s="143" t="s">
        <v>1210</v>
      </c>
      <c r="Q206" s="144">
        <v>18742</v>
      </c>
      <c r="R206" s="145" t="s">
        <v>3930</v>
      </c>
      <c r="S206" s="143" t="s">
        <v>2335</v>
      </c>
      <c r="T206" s="145" t="s">
        <v>3930</v>
      </c>
      <c r="U206" s="144">
        <v>3068.0654</v>
      </c>
      <c r="V206" s="146">
        <v>5.2864892431141945E-4</v>
      </c>
      <c r="W206" s="146">
        <v>1.7698290427307323E-3</v>
      </c>
      <c r="X206" s="147">
        <v>3.9161531576020195E-4</v>
      </c>
      <c r="Y206" s="180"/>
    </row>
    <row r="207" spans="1:25" ht="15" x14ac:dyDescent="0.2">
      <c r="A207" s="142" t="s">
        <v>1220</v>
      </c>
      <c r="B207" s="143" t="s">
        <v>1220</v>
      </c>
      <c r="C207" s="143" t="s">
        <v>2346</v>
      </c>
      <c r="D207" s="143" t="s">
        <v>2347</v>
      </c>
      <c r="E207" s="143" t="s">
        <v>309</v>
      </c>
      <c r="F207" s="143" t="s">
        <v>2348</v>
      </c>
      <c r="G207" s="143" t="s">
        <v>2349</v>
      </c>
      <c r="H207" s="143" t="s">
        <v>321</v>
      </c>
      <c r="I207" s="143" t="s">
        <v>917</v>
      </c>
      <c r="J207" s="143" t="s">
        <v>204</v>
      </c>
      <c r="K207" s="143" t="s">
        <v>204</v>
      </c>
      <c r="L207" s="143" t="s">
        <v>325</v>
      </c>
      <c r="M207" s="143" t="s">
        <v>340</v>
      </c>
      <c r="N207" s="143" t="s">
        <v>473</v>
      </c>
      <c r="O207" s="143" t="s">
        <v>339</v>
      </c>
      <c r="P207" s="143" t="s">
        <v>1210</v>
      </c>
      <c r="Q207" s="144">
        <v>347823.65</v>
      </c>
      <c r="R207" s="145" t="s">
        <v>3930</v>
      </c>
      <c r="S207" s="143" t="s">
        <v>2350</v>
      </c>
      <c r="T207" s="144">
        <v>63.389499999999998</v>
      </c>
      <c r="U207" s="144">
        <v>2977.4560000000001</v>
      </c>
      <c r="V207" s="146">
        <v>3.1671543552413577E-3</v>
      </c>
      <c r="W207" s="146">
        <v>1.7541270940409307E-3</v>
      </c>
      <c r="X207" s="147">
        <v>3.8814089905342251E-4</v>
      </c>
      <c r="Y207" s="180"/>
    </row>
    <row r="208" spans="1:25" ht="15" x14ac:dyDescent="0.2">
      <c r="A208" s="142" t="s">
        <v>1220</v>
      </c>
      <c r="B208" s="143" t="s">
        <v>1220</v>
      </c>
      <c r="C208" s="143" t="s">
        <v>2326</v>
      </c>
      <c r="D208" s="143" t="s">
        <v>2327</v>
      </c>
      <c r="E208" s="143" t="s">
        <v>309</v>
      </c>
      <c r="F208" s="143" t="s">
        <v>2328</v>
      </c>
      <c r="G208" s="143" t="s">
        <v>2329</v>
      </c>
      <c r="H208" s="143" t="s">
        <v>321</v>
      </c>
      <c r="I208" s="143" t="s">
        <v>917</v>
      </c>
      <c r="J208" s="143" t="s">
        <v>204</v>
      </c>
      <c r="K208" s="143" t="s">
        <v>204</v>
      </c>
      <c r="L208" s="143" t="s">
        <v>325</v>
      </c>
      <c r="M208" s="143" t="s">
        <v>340</v>
      </c>
      <c r="N208" s="143" t="s">
        <v>464</v>
      </c>
      <c r="O208" s="143" t="s">
        <v>339</v>
      </c>
      <c r="P208" s="143" t="s">
        <v>1210</v>
      </c>
      <c r="Q208" s="144">
        <v>194306</v>
      </c>
      <c r="R208" s="145" t="s">
        <v>3930</v>
      </c>
      <c r="S208" s="143" t="s">
        <v>2330</v>
      </c>
      <c r="T208" s="145" t="s">
        <v>3930</v>
      </c>
      <c r="U208" s="144">
        <v>2939.8498</v>
      </c>
      <c r="V208" s="146">
        <v>9.9835101448470095E-4</v>
      </c>
      <c r="W208" s="146">
        <v>1.6958672138832353E-3</v>
      </c>
      <c r="X208" s="147">
        <v>3.752495627642945E-4</v>
      </c>
      <c r="Y208" s="180"/>
    </row>
    <row r="209" spans="1:25" ht="15" x14ac:dyDescent="0.2">
      <c r="A209" s="142" t="s">
        <v>1220</v>
      </c>
      <c r="B209" s="143" t="s">
        <v>1220</v>
      </c>
      <c r="C209" s="143" t="s">
        <v>1658</v>
      </c>
      <c r="D209" s="143" t="s">
        <v>1659</v>
      </c>
      <c r="E209" s="143" t="s">
        <v>309</v>
      </c>
      <c r="F209" s="143" t="s">
        <v>2323</v>
      </c>
      <c r="G209" s="143" t="s">
        <v>2324</v>
      </c>
      <c r="H209" s="143" t="s">
        <v>321</v>
      </c>
      <c r="I209" s="143" t="s">
        <v>917</v>
      </c>
      <c r="J209" s="143" t="s">
        <v>204</v>
      </c>
      <c r="K209" s="143" t="s">
        <v>204</v>
      </c>
      <c r="L209" s="143" t="s">
        <v>325</v>
      </c>
      <c r="M209" s="143" t="s">
        <v>340</v>
      </c>
      <c r="N209" s="143" t="s">
        <v>447</v>
      </c>
      <c r="O209" s="143" t="s">
        <v>339</v>
      </c>
      <c r="P209" s="143" t="s">
        <v>1210</v>
      </c>
      <c r="Q209" s="144">
        <v>65000</v>
      </c>
      <c r="R209" s="145" t="s">
        <v>3930</v>
      </c>
      <c r="S209" s="143" t="s">
        <v>2325</v>
      </c>
      <c r="T209" s="145" t="s">
        <v>3930</v>
      </c>
      <c r="U209" s="144">
        <v>2925</v>
      </c>
      <c r="V209" s="146">
        <v>1.0612084807079809E-3</v>
      </c>
      <c r="W209" s="146">
        <v>1.6873010431874731E-3</v>
      </c>
      <c r="X209" s="147">
        <v>3.7335410079543635E-4</v>
      </c>
      <c r="Y209" s="180"/>
    </row>
    <row r="210" spans="1:25" ht="15" x14ac:dyDescent="0.2">
      <c r="A210" s="142" t="s">
        <v>1220</v>
      </c>
      <c r="B210" s="143" t="s">
        <v>1220</v>
      </c>
      <c r="C210" s="143" t="s">
        <v>2341</v>
      </c>
      <c r="D210" s="143" t="s">
        <v>2342</v>
      </c>
      <c r="E210" s="143" t="s">
        <v>309</v>
      </c>
      <c r="F210" s="143" t="s">
        <v>2343</v>
      </c>
      <c r="G210" s="143" t="s">
        <v>2344</v>
      </c>
      <c r="H210" s="143" t="s">
        <v>321</v>
      </c>
      <c r="I210" s="143" t="s">
        <v>917</v>
      </c>
      <c r="J210" s="143" t="s">
        <v>204</v>
      </c>
      <c r="K210" s="143" t="s">
        <v>204</v>
      </c>
      <c r="L210" s="143" t="s">
        <v>325</v>
      </c>
      <c r="M210" s="143" t="s">
        <v>340</v>
      </c>
      <c r="N210" s="143" t="s">
        <v>446</v>
      </c>
      <c r="O210" s="143" t="s">
        <v>339</v>
      </c>
      <c r="P210" s="143" t="s">
        <v>1210</v>
      </c>
      <c r="Q210" s="144">
        <v>122768</v>
      </c>
      <c r="R210" s="145" t="s">
        <v>3930</v>
      </c>
      <c r="S210" s="143" t="s">
        <v>2345</v>
      </c>
      <c r="T210" s="145" t="s">
        <v>3930</v>
      </c>
      <c r="U210" s="144">
        <v>2887.5034000000001</v>
      </c>
      <c r="V210" s="146">
        <v>4.9138339948792348E-3</v>
      </c>
      <c r="W210" s="146">
        <v>1.6656709167642166E-3</v>
      </c>
      <c r="X210" s="147">
        <v>3.6856793863815422E-4</v>
      </c>
      <c r="Y210" s="180"/>
    </row>
    <row r="211" spans="1:25" ht="15" x14ac:dyDescent="0.2">
      <c r="A211" s="142" t="s">
        <v>1220</v>
      </c>
      <c r="B211" s="143" t="s">
        <v>1220</v>
      </c>
      <c r="C211" s="143" t="s">
        <v>1555</v>
      </c>
      <c r="D211" s="143" t="s">
        <v>1556</v>
      </c>
      <c r="E211" s="143" t="s">
        <v>309</v>
      </c>
      <c r="F211" s="143" t="s">
        <v>2361</v>
      </c>
      <c r="G211" s="143" t="s">
        <v>2362</v>
      </c>
      <c r="H211" s="143" t="s">
        <v>321</v>
      </c>
      <c r="I211" s="143" t="s">
        <v>917</v>
      </c>
      <c r="J211" s="143" t="s">
        <v>204</v>
      </c>
      <c r="K211" s="143" t="s">
        <v>204</v>
      </c>
      <c r="L211" s="143" t="s">
        <v>325</v>
      </c>
      <c r="M211" s="143" t="s">
        <v>340</v>
      </c>
      <c r="N211" s="143" t="s">
        <v>464</v>
      </c>
      <c r="O211" s="143" t="s">
        <v>339</v>
      </c>
      <c r="P211" s="143" t="s">
        <v>1210</v>
      </c>
      <c r="Q211" s="144">
        <v>167798</v>
      </c>
      <c r="R211" s="145" t="s">
        <v>3930</v>
      </c>
      <c r="S211" s="143" t="s">
        <v>2363</v>
      </c>
      <c r="T211" s="145" t="s">
        <v>3930</v>
      </c>
      <c r="U211" s="144">
        <v>2699.8697999999999</v>
      </c>
      <c r="V211" s="146">
        <v>3.5588064138515315E-4</v>
      </c>
      <c r="W211" s="146">
        <v>1.5574335602585899E-3</v>
      </c>
      <c r="X211" s="147">
        <v>3.4461793808917489E-4</v>
      </c>
      <c r="Y211" s="180"/>
    </row>
    <row r="212" spans="1:25" ht="15" x14ac:dyDescent="0.2">
      <c r="A212" s="142" t="s">
        <v>1220</v>
      </c>
      <c r="B212" s="143" t="s">
        <v>1220</v>
      </c>
      <c r="C212" s="143" t="s">
        <v>2356</v>
      </c>
      <c r="D212" s="143" t="s">
        <v>2357</v>
      </c>
      <c r="E212" s="143" t="s">
        <v>309</v>
      </c>
      <c r="F212" s="143" t="s">
        <v>2358</v>
      </c>
      <c r="G212" s="143" t="s">
        <v>2359</v>
      </c>
      <c r="H212" s="143" t="s">
        <v>321</v>
      </c>
      <c r="I212" s="143" t="s">
        <v>917</v>
      </c>
      <c r="J212" s="143" t="s">
        <v>204</v>
      </c>
      <c r="K212" s="143" t="s">
        <v>204</v>
      </c>
      <c r="L212" s="143" t="s">
        <v>325</v>
      </c>
      <c r="M212" s="143" t="s">
        <v>340</v>
      </c>
      <c r="N212" s="143" t="s">
        <v>480</v>
      </c>
      <c r="O212" s="143" t="s">
        <v>339</v>
      </c>
      <c r="P212" s="143" t="s">
        <v>1210</v>
      </c>
      <c r="Q212" s="144">
        <v>90163</v>
      </c>
      <c r="R212" s="145" t="s">
        <v>3930</v>
      </c>
      <c r="S212" s="143" t="s">
        <v>2360</v>
      </c>
      <c r="T212" s="145" t="s">
        <v>3930</v>
      </c>
      <c r="U212" s="144">
        <v>2646.1577000000002</v>
      </c>
      <c r="V212" s="146">
        <v>2.0187403443566263E-3</v>
      </c>
      <c r="W212" s="146">
        <v>1.5264494244985006E-3</v>
      </c>
      <c r="X212" s="147">
        <v>3.3776198657279422E-4</v>
      </c>
      <c r="Y212" s="180"/>
    </row>
    <row r="213" spans="1:25" ht="15" x14ac:dyDescent="0.2">
      <c r="A213" s="142" t="s">
        <v>1220</v>
      </c>
      <c r="B213" s="143" t="s">
        <v>1220</v>
      </c>
      <c r="C213" s="143" t="s">
        <v>2336</v>
      </c>
      <c r="D213" s="143" t="s">
        <v>2337</v>
      </c>
      <c r="E213" s="143" t="s">
        <v>309</v>
      </c>
      <c r="F213" s="143" t="s">
        <v>2338</v>
      </c>
      <c r="G213" s="143" t="s">
        <v>2339</v>
      </c>
      <c r="H213" s="143" t="s">
        <v>321</v>
      </c>
      <c r="I213" s="143" t="s">
        <v>917</v>
      </c>
      <c r="J213" s="143" t="s">
        <v>204</v>
      </c>
      <c r="K213" s="143" t="s">
        <v>204</v>
      </c>
      <c r="L213" s="143" t="s">
        <v>325</v>
      </c>
      <c r="M213" s="143" t="s">
        <v>340</v>
      </c>
      <c r="N213" s="143" t="s">
        <v>462</v>
      </c>
      <c r="O213" s="143" t="s">
        <v>339</v>
      </c>
      <c r="P213" s="143" t="s">
        <v>1210</v>
      </c>
      <c r="Q213" s="144">
        <v>12902</v>
      </c>
      <c r="R213" s="145" t="s">
        <v>3930</v>
      </c>
      <c r="S213" s="143" t="s">
        <v>2340</v>
      </c>
      <c r="T213" s="145" t="s">
        <v>3930</v>
      </c>
      <c r="U213" s="144">
        <v>2579.1097999999997</v>
      </c>
      <c r="V213" s="146">
        <v>1.5026786043933608E-3</v>
      </c>
      <c r="W213" s="146">
        <v>1.4877725319777898E-3</v>
      </c>
      <c r="X213" s="147">
        <v>3.2920383597664877E-4</v>
      </c>
      <c r="Y213" s="180"/>
    </row>
    <row r="214" spans="1:25" ht="15" x14ac:dyDescent="0.2">
      <c r="A214" s="142" t="s">
        <v>1220</v>
      </c>
      <c r="B214" s="143" t="s">
        <v>1220</v>
      </c>
      <c r="C214" s="143" t="s">
        <v>2351</v>
      </c>
      <c r="D214" s="143" t="s">
        <v>2352</v>
      </c>
      <c r="E214" s="143" t="s">
        <v>309</v>
      </c>
      <c r="F214" s="143" t="s">
        <v>2353</v>
      </c>
      <c r="G214" s="143" t="s">
        <v>2354</v>
      </c>
      <c r="H214" s="143" t="s">
        <v>321</v>
      </c>
      <c r="I214" s="143" t="s">
        <v>917</v>
      </c>
      <c r="J214" s="143" t="s">
        <v>204</v>
      </c>
      <c r="K214" s="143" t="s">
        <v>204</v>
      </c>
      <c r="L214" s="143" t="s">
        <v>325</v>
      </c>
      <c r="M214" s="143" t="s">
        <v>340</v>
      </c>
      <c r="N214" s="143" t="s">
        <v>451</v>
      </c>
      <c r="O214" s="143" t="s">
        <v>339</v>
      </c>
      <c r="P214" s="143" t="s">
        <v>1210</v>
      </c>
      <c r="Q214" s="144">
        <v>7401000</v>
      </c>
      <c r="R214" s="145" t="s">
        <v>3930</v>
      </c>
      <c r="S214" s="143" t="s">
        <v>2355</v>
      </c>
      <c r="T214" s="145" t="s">
        <v>3930</v>
      </c>
      <c r="U214" s="144">
        <v>2516.34</v>
      </c>
      <c r="V214" s="146">
        <v>2.4076719143135559E-2</v>
      </c>
      <c r="W214" s="146">
        <v>1.451563455389527E-3</v>
      </c>
      <c r="X214" s="147">
        <v>3.2119174632327805E-4</v>
      </c>
      <c r="Y214" s="180"/>
    </row>
    <row r="215" spans="1:25" ht="15" x14ac:dyDescent="0.2">
      <c r="A215" s="142" t="s">
        <v>1220</v>
      </c>
      <c r="B215" s="143" t="s">
        <v>1220</v>
      </c>
      <c r="C215" s="143" t="s">
        <v>2364</v>
      </c>
      <c r="D215" s="143" t="s">
        <v>2365</v>
      </c>
      <c r="E215" s="143" t="s">
        <v>309</v>
      </c>
      <c r="F215" s="143" t="s">
        <v>2366</v>
      </c>
      <c r="G215" s="143" t="s">
        <v>2367</v>
      </c>
      <c r="H215" s="143" t="s">
        <v>321</v>
      </c>
      <c r="I215" s="143" t="s">
        <v>917</v>
      </c>
      <c r="J215" s="143" t="s">
        <v>204</v>
      </c>
      <c r="K215" s="143" t="s">
        <v>204</v>
      </c>
      <c r="L215" s="143" t="s">
        <v>325</v>
      </c>
      <c r="M215" s="143" t="s">
        <v>340</v>
      </c>
      <c r="N215" s="143" t="s">
        <v>445</v>
      </c>
      <c r="O215" s="143" t="s">
        <v>339</v>
      </c>
      <c r="P215" s="143" t="s">
        <v>1210</v>
      </c>
      <c r="Q215" s="144">
        <v>91051</v>
      </c>
      <c r="R215" s="145" t="s">
        <v>3930</v>
      </c>
      <c r="S215" s="143" t="s">
        <v>2368</v>
      </c>
      <c r="T215" s="145" t="s">
        <v>3930</v>
      </c>
      <c r="U215" s="144">
        <v>1896.5923</v>
      </c>
      <c r="V215" s="146">
        <v>3.6480334270780151E-3</v>
      </c>
      <c r="W215" s="146">
        <v>1.0940588775761916E-3</v>
      </c>
      <c r="X215" s="147">
        <v>2.4208564921116972E-4</v>
      </c>
      <c r="Y215" s="180"/>
    </row>
    <row r="216" spans="1:25" ht="15" x14ac:dyDescent="0.2">
      <c r="A216" s="142" t="s">
        <v>1220</v>
      </c>
      <c r="B216" s="143" t="s">
        <v>1220</v>
      </c>
      <c r="C216" s="143" t="s">
        <v>2369</v>
      </c>
      <c r="D216" s="143" t="s">
        <v>2370</v>
      </c>
      <c r="E216" s="143" t="s">
        <v>309</v>
      </c>
      <c r="F216" s="143" t="s">
        <v>2371</v>
      </c>
      <c r="G216" s="143" t="s">
        <v>2372</v>
      </c>
      <c r="H216" s="143" t="s">
        <v>321</v>
      </c>
      <c r="I216" s="143" t="s">
        <v>917</v>
      </c>
      <c r="J216" s="143" t="s">
        <v>204</v>
      </c>
      <c r="K216" s="143" t="s">
        <v>204</v>
      </c>
      <c r="L216" s="143" t="s">
        <v>325</v>
      </c>
      <c r="M216" s="143" t="s">
        <v>340</v>
      </c>
      <c r="N216" s="143" t="s">
        <v>464</v>
      </c>
      <c r="O216" s="143" t="s">
        <v>339</v>
      </c>
      <c r="P216" s="143" t="s">
        <v>1210</v>
      </c>
      <c r="Q216" s="144">
        <v>1031121</v>
      </c>
      <c r="R216" s="145" t="s">
        <v>3930</v>
      </c>
      <c r="S216" s="143" t="s">
        <v>2373</v>
      </c>
      <c r="T216" s="145" t="s">
        <v>3930</v>
      </c>
      <c r="U216" s="144">
        <v>1833.3331000000001</v>
      </c>
      <c r="V216" s="146">
        <v>1.3808578139097246E-3</v>
      </c>
      <c r="W216" s="146">
        <v>1.0575674927376286E-3</v>
      </c>
      <c r="X216" s="147">
        <v>2.3401109237486005E-4</v>
      </c>
      <c r="Y216" s="180"/>
    </row>
    <row r="217" spans="1:25" ht="15" x14ac:dyDescent="0.2">
      <c r="A217" s="142" t="s">
        <v>1220</v>
      </c>
      <c r="B217" s="143" t="s">
        <v>1220</v>
      </c>
      <c r="C217" s="143" t="s">
        <v>2374</v>
      </c>
      <c r="D217" s="143" t="s">
        <v>2375</v>
      </c>
      <c r="E217" s="143" t="s">
        <v>309</v>
      </c>
      <c r="F217" s="143" t="s">
        <v>2376</v>
      </c>
      <c r="G217" s="143" t="s">
        <v>2377</v>
      </c>
      <c r="H217" s="143" t="s">
        <v>321</v>
      </c>
      <c r="I217" s="143" t="s">
        <v>917</v>
      </c>
      <c r="J217" s="143" t="s">
        <v>204</v>
      </c>
      <c r="K217" s="143" t="s">
        <v>204</v>
      </c>
      <c r="L217" s="143" t="s">
        <v>325</v>
      </c>
      <c r="M217" s="143" t="s">
        <v>340</v>
      </c>
      <c r="N217" s="143" t="s">
        <v>477</v>
      </c>
      <c r="O217" s="143" t="s">
        <v>339</v>
      </c>
      <c r="P217" s="143" t="s">
        <v>1210</v>
      </c>
      <c r="Q217" s="144">
        <v>442369.17</v>
      </c>
      <c r="R217" s="145" t="s">
        <v>3930</v>
      </c>
      <c r="S217" s="143" t="s">
        <v>2378</v>
      </c>
      <c r="T217" s="145" t="s">
        <v>3930</v>
      </c>
      <c r="U217" s="144">
        <v>1572.18</v>
      </c>
      <c r="V217" s="146">
        <v>8.019261091420999E-3</v>
      </c>
      <c r="W217" s="146">
        <v>9.0692000170982117E-4</v>
      </c>
      <c r="X217" s="147">
        <v>2.0067687571158834E-4</v>
      </c>
      <c r="Y217" s="180"/>
    </row>
    <row r="218" spans="1:25" ht="15" x14ac:dyDescent="0.2">
      <c r="A218" s="142" t="s">
        <v>1220</v>
      </c>
      <c r="B218" s="143" t="s">
        <v>1220</v>
      </c>
      <c r="C218" s="143" t="s">
        <v>2379</v>
      </c>
      <c r="D218" s="143" t="s">
        <v>2380</v>
      </c>
      <c r="E218" s="143" t="s">
        <v>309</v>
      </c>
      <c r="F218" s="143" t="s">
        <v>2381</v>
      </c>
      <c r="G218" s="143" t="s">
        <v>2382</v>
      </c>
      <c r="H218" s="143" t="s">
        <v>321</v>
      </c>
      <c r="I218" s="143" t="s">
        <v>917</v>
      </c>
      <c r="J218" s="143" t="s">
        <v>204</v>
      </c>
      <c r="K218" s="143" t="s">
        <v>204</v>
      </c>
      <c r="L218" s="143" t="s">
        <v>325</v>
      </c>
      <c r="M218" s="143" t="s">
        <v>340</v>
      </c>
      <c r="N218" s="143" t="s">
        <v>464</v>
      </c>
      <c r="O218" s="143" t="s">
        <v>339</v>
      </c>
      <c r="P218" s="143" t="s">
        <v>1210</v>
      </c>
      <c r="Q218" s="144">
        <v>460989.8</v>
      </c>
      <c r="R218" s="145" t="s">
        <v>3930</v>
      </c>
      <c r="S218" s="143" t="s">
        <v>2383</v>
      </c>
      <c r="T218" s="145" t="s">
        <v>3930</v>
      </c>
      <c r="U218" s="144">
        <v>1566.9043000000001</v>
      </c>
      <c r="V218" s="146">
        <v>4.8644544129861226E-3</v>
      </c>
      <c r="W218" s="146">
        <v>9.0387668749450562E-4</v>
      </c>
      <c r="X218" s="147">
        <v>2.0000347255873385E-4</v>
      </c>
      <c r="Y218" s="180"/>
    </row>
    <row r="219" spans="1:25" ht="15" x14ac:dyDescent="0.2">
      <c r="A219" s="142" t="s">
        <v>1220</v>
      </c>
      <c r="B219" s="143" t="s">
        <v>1220</v>
      </c>
      <c r="C219" s="143" t="s">
        <v>2389</v>
      </c>
      <c r="D219" s="143" t="s">
        <v>2390</v>
      </c>
      <c r="E219" s="143" t="s">
        <v>309</v>
      </c>
      <c r="F219" s="143" t="s">
        <v>2391</v>
      </c>
      <c r="G219" s="143" t="s">
        <v>2392</v>
      </c>
      <c r="H219" s="143" t="s">
        <v>321</v>
      </c>
      <c r="I219" s="143" t="s">
        <v>917</v>
      </c>
      <c r="J219" s="143" t="s">
        <v>204</v>
      </c>
      <c r="K219" s="143" t="s">
        <v>204</v>
      </c>
      <c r="L219" s="143" t="s">
        <v>325</v>
      </c>
      <c r="M219" s="143" t="s">
        <v>340</v>
      </c>
      <c r="N219" s="143" t="s">
        <v>440</v>
      </c>
      <c r="O219" s="143" t="s">
        <v>339</v>
      </c>
      <c r="P219" s="143" t="s">
        <v>1210</v>
      </c>
      <c r="Q219" s="144">
        <v>14896</v>
      </c>
      <c r="R219" s="145" t="s">
        <v>3930</v>
      </c>
      <c r="S219" s="143" t="s">
        <v>2393</v>
      </c>
      <c r="T219" s="145" t="s">
        <v>3930</v>
      </c>
      <c r="U219" s="144">
        <v>833.72910000000002</v>
      </c>
      <c r="V219" s="146">
        <v>1.1922701260215756E-3</v>
      </c>
      <c r="W219" s="146">
        <v>4.8094085945701674E-4</v>
      </c>
      <c r="X219" s="147">
        <v>1.0641920885626341E-4</v>
      </c>
      <c r="Y219" s="180"/>
    </row>
    <row r="220" spans="1:25" ht="15" x14ac:dyDescent="0.2">
      <c r="A220" s="142" t="s">
        <v>1220</v>
      </c>
      <c r="B220" s="143" t="s">
        <v>1220</v>
      </c>
      <c r="C220" s="143" t="s">
        <v>2384</v>
      </c>
      <c r="D220" s="143" t="s">
        <v>2385</v>
      </c>
      <c r="E220" s="143" t="s">
        <v>309</v>
      </c>
      <c r="F220" s="143" t="s">
        <v>2386</v>
      </c>
      <c r="G220" s="143" t="s">
        <v>2387</v>
      </c>
      <c r="H220" s="143" t="s">
        <v>321</v>
      </c>
      <c r="I220" s="143" t="s">
        <v>917</v>
      </c>
      <c r="J220" s="143" t="s">
        <v>204</v>
      </c>
      <c r="K220" s="143" t="s">
        <v>204</v>
      </c>
      <c r="L220" s="143" t="s">
        <v>325</v>
      </c>
      <c r="M220" s="143" t="s">
        <v>340</v>
      </c>
      <c r="N220" s="143" t="s">
        <v>460</v>
      </c>
      <c r="O220" s="143" t="s">
        <v>339</v>
      </c>
      <c r="P220" s="143" t="s">
        <v>1210</v>
      </c>
      <c r="Q220" s="144">
        <v>203100</v>
      </c>
      <c r="R220" s="145" t="s">
        <v>3930</v>
      </c>
      <c r="S220" s="143" t="s">
        <v>2388</v>
      </c>
      <c r="T220" s="145" t="s">
        <v>3930</v>
      </c>
      <c r="U220" s="144">
        <v>817.07130000000006</v>
      </c>
      <c r="V220" s="146">
        <v>4.0544582211736301E-3</v>
      </c>
      <c r="W220" s="146">
        <v>4.7133171174309227E-4</v>
      </c>
      <c r="X220" s="147">
        <v>1.0429296427256692E-4</v>
      </c>
      <c r="Y220" s="180"/>
    </row>
    <row r="221" spans="1:25" ht="15" x14ac:dyDescent="0.2">
      <c r="A221" s="142" t="s">
        <v>1220</v>
      </c>
      <c r="B221" s="143" t="s">
        <v>1220</v>
      </c>
      <c r="C221" s="143" t="s">
        <v>2394</v>
      </c>
      <c r="D221" s="143" t="s">
        <v>2395</v>
      </c>
      <c r="E221" s="143" t="s">
        <v>309</v>
      </c>
      <c r="F221" s="143" t="s">
        <v>2396</v>
      </c>
      <c r="G221" s="143" t="s">
        <v>2397</v>
      </c>
      <c r="H221" s="143" t="s">
        <v>321</v>
      </c>
      <c r="I221" s="143" t="s">
        <v>917</v>
      </c>
      <c r="J221" s="143" t="s">
        <v>204</v>
      </c>
      <c r="K221" s="143" t="s">
        <v>204</v>
      </c>
      <c r="L221" s="143" t="s">
        <v>325</v>
      </c>
      <c r="M221" s="143" t="s">
        <v>340</v>
      </c>
      <c r="N221" s="143" t="s">
        <v>447</v>
      </c>
      <c r="O221" s="143" t="s">
        <v>339</v>
      </c>
      <c r="P221" s="143" t="s">
        <v>1210</v>
      </c>
      <c r="Q221" s="144">
        <v>317153</v>
      </c>
      <c r="R221" s="145" t="s">
        <v>3930</v>
      </c>
      <c r="S221" s="143" t="s">
        <v>2398</v>
      </c>
      <c r="T221" s="145" t="s">
        <v>3930</v>
      </c>
      <c r="U221" s="144">
        <v>588.95309999999995</v>
      </c>
      <c r="V221" s="146">
        <v>5.8443263460863631E-3</v>
      </c>
      <c r="W221" s="146">
        <v>3.3974058647925405E-4</v>
      </c>
      <c r="X221" s="147">
        <v>7.5175406120212246E-5</v>
      </c>
      <c r="Y221" s="180"/>
    </row>
    <row r="222" spans="1:25" ht="15" x14ac:dyDescent="0.2">
      <c r="A222" s="142" t="s">
        <v>1220</v>
      </c>
      <c r="B222" s="143" t="s">
        <v>1220</v>
      </c>
      <c r="C222" s="143" t="s">
        <v>2399</v>
      </c>
      <c r="D222" s="143" t="s">
        <v>2400</v>
      </c>
      <c r="E222" s="143" t="s">
        <v>309</v>
      </c>
      <c r="F222" s="143" t="s">
        <v>2401</v>
      </c>
      <c r="G222" s="143" t="s">
        <v>2402</v>
      </c>
      <c r="H222" s="143" t="s">
        <v>321</v>
      </c>
      <c r="I222" s="143" t="s">
        <v>917</v>
      </c>
      <c r="J222" s="143" t="s">
        <v>204</v>
      </c>
      <c r="K222" s="143" t="s">
        <v>204</v>
      </c>
      <c r="L222" s="143" t="s">
        <v>325</v>
      </c>
      <c r="M222" s="143" t="s">
        <v>340</v>
      </c>
      <c r="N222" s="143" t="s">
        <v>459</v>
      </c>
      <c r="O222" s="143" t="s">
        <v>339</v>
      </c>
      <c r="P222" s="143" t="s">
        <v>1210</v>
      </c>
      <c r="Q222" s="144">
        <v>2467.44</v>
      </c>
      <c r="R222" s="145" t="s">
        <v>3930</v>
      </c>
      <c r="S222" s="143" t="s">
        <v>2403</v>
      </c>
      <c r="T222" s="145" t="s">
        <v>3930</v>
      </c>
      <c r="U222" s="144">
        <v>393.80340000000001</v>
      </c>
      <c r="V222" s="146">
        <v>7.2963945915176427E-4</v>
      </c>
      <c r="W222" s="146">
        <v>2.2716749679521327E-4</v>
      </c>
      <c r="X222" s="147">
        <v>5.0266025045362034E-5</v>
      </c>
      <c r="Y222" s="180"/>
    </row>
    <row r="223" spans="1:25" ht="15" x14ac:dyDescent="0.2">
      <c r="A223" s="142" t="s">
        <v>1220</v>
      </c>
      <c r="B223" s="143" t="s">
        <v>1220</v>
      </c>
      <c r="C223" s="143" t="s">
        <v>2404</v>
      </c>
      <c r="D223" s="143" t="s">
        <v>2405</v>
      </c>
      <c r="E223" s="143" t="s">
        <v>309</v>
      </c>
      <c r="F223" s="143" t="s">
        <v>2406</v>
      </c>
      <c r="G223" s="143" t="s">
        <v>2407</v>
      </c>
      <c r="H223" s="143" t="s">
        <v>321</v>
      </c>
      <c r="I223" s="143" t="s">
        <v>917</v>
      </c>
      <c r="J223" s="143" t="s">
        <v>204</v>
      </c>
      <c r="K223" s="143" t="s">
        <v>204</v>
      </c>
      <c r="L223" s="143" t="s">
        <v>325</v>
      </c>
      <c r="M223" s="143" t="s">
        <v>340</v>
      </c>
      <c r="N223" s="143" t="s">
        <v>439</v>
      </c>
      <c r="O223" s="143" t="s">
        <v>339</v>
      </c>
      <c r="P223" s="143" t="s">
        <v>1210</v>
      </c>
      <c r="Q223" s="144">
        <v>252399</v>
      </c>
      <c r="R223" s="145" t="s">
        <v>3930</v>
      </c>
      <c r="S223" s="143" t="s">
        <v>2408</v>
      </c>
      <c r="T223" s="145" t="s">
        <v>3930</v>
      </c>
      <c r="U223" s="144">
        <v>364.21179999999998</v>
      </c>
      <c r="V223" s="146">
        <v>6.9883657093822889E-3</v>
      </c>
      <c r="W223" s="146">
        <v>2.1009739402640768E-4</v>
      </c>
      <c r="X223" s="147">
        <v>4.6488872832089217E-5</v>
      </c>
      <c r="Y223" s="180"/>
    </row>
    <row r="224" spans="1:25" ht="15" x14ac:dyDescent="0.2">
      <c r="A224" s="142" t="s">
        <v>1220</v>
      </c>
      <c r="B224" s="143" t="s">
        <v>1220</v>
      </c>
      <c r="C224" s="143" t="s">
        <v>2409</v>
      </c>
      <c r="D224" s="143" t="s">
        <v>2410</v>
      </c>
      <c r="E224" s="143" t="s">
        <v>309</v>
      </c>
      <c r="F224" s="143" t="s">
        <v>2411</v>
      </c>
      <c r="G224" s="143" t="s">
        <v>2412</v>
      </c>
      <c r="H224" s="143" t="s">
        <v>321</v>
      </c>
      <c r="I224" s="143" t="s">
        <v>917</v>
      </c>
      <c r="J224" s="143" t="s">
        <v>204</v>
      </c>
      <c r="K224" s="143" t="s">
        <v>204</v>
      </c>
      <c r="L224" s="143" t="s">
        <v>325</v>
      </c>
      <c r="M224" s="143" t="s">
        <v>340</v>
      </c>
      <c r="N224" s="143" t="s">
        <v>480</v>
      </c>
      <c r="O224" s="143" t="s">
        <v>339</v>
      </c>
      <c r="P224" s="143" t="s">
        <v>1210</v>
      </c>
      <c r="Q224" s="144">
        <v>601000</v>
      </c>
      <c r="R224" s="145" t="s">
        <v>3930</v>
      </c>
      <c r="S224" s="143" t="s">
        <v>2413</v>
      </c>
      <c r="T224" s="145" t="s">
        <v>3930</v>
      </c>
      <c r="U224" s="144">
        <v>288.48</v>
      </c>
      <c r="V224" s="146">
        <v>3.2991358415944026E-3</v>
      </c>
      <c r="W224" s="146">
        <v>1.6641114698759735E-4</v>
      </c>
      <c r="X224" s="147">
        <v>3.6822287520501705E-5</v>
      </c>
      <c r="Y224" s="180"/>
    </row>
    <row r="225" spans="1:25" ht="15" x14ac:dyDescent="0.2">
      <c r="A225" s="142" t="s">
        <v>1220</v>
      </c>
      <c r="B225" s="143" t="s">
        <v>1220</v>
      </c>
      <c r="C225" s="143" t="s">
        <v>2414</v>
      </c>
      <c r="D225" s="143" t="s">
        <v>2415</v>
      </c>
      <c r="E225" s="143" t="s">
        <v>309</v>
      </c>
      <c r="F225" s="143" t="s">
        <v>2416</v>
      </c>
      <c r="G225" s="143" t="s">
        <v>2417</v>
      </c>
      <c r="H225" s="143" t="s">
        <v>321</v>
      </c>
      <c r="I225" s="143" t="s">
        <v>917</v>
      </c>
      <c r="J225" s="143" t="s">
        <v>204</v>
      </c>
      <c r="K225" s="143" t="s">
        <v>204</v>
      </c>
      <c r="L225" s="143" t="s">
        <v>325</v>
      </c>
      <c r="M225" s="143" t="s">
        <v>340</v>
      </c>
      <c r="N225" s="143" t="s">
        <v>460</v>
      </c>
      <c r="O225" s="143" t="s">
        <v>339</v>
      </c>
      <c r="P225" s="143" t="s">
        <v>1210</v>
      </c>
      <c r="Q225" s="144">
        <v>243238.75</v>
      </c>
      <c r="R225" s="145" t="s">
        <v>3930</v>
      </c>
      <c r="S225" s="143" t="s">
        <v>2418</v>
      </c>
      <c r="T225" s="145" t="s">
        <v>3930</v>
      </c>
      <c r="U225" s="144">
        <v>121.37610000000001</v>
      </c>
      <c r="V225" s="146">
        <v>9.0909816318545389E-3</v>
      </c>
      <c r="W225" s="146">
        <v>7.0016438055620466E-5</v>
      </c>
      <c r="X225" s="147">
        <v>1.5492744686373713E-5</v>
      </c>
      <c r="Y225" s="180"/>
    </row>
    <row r="226" spans="1:25" ht="15" x14ac:dyDescent="0.2">
      <c r="A226" s="142" t="s">
        <v>1220</v>
      </c>
      <c r="B226" s="143" t="s">
        <v>1220</v>
      </c>
      <c r="C226" s="143" t="s">
        <v>2419</v>
      </c>
      <c r="D226" s="143" t="s">
        <v>2420</v>
      </c>
      <c r="E226" s="143" t="s">
        <v>313</v>
      </c>
      <c r="F226" s="143" t="s">
        <v>2419</v>
      </c>
      <c r="G226" s="143" t="s">
        <v>2421</v>
      </c>
      <c r="H226" s="143" t="s">
        <v>321</v>
      </c>
      <c r="I226" s="143" t="s">
        <v>917</v>
      </c>
      <c r="J226" s="143" t="s">
        <v>205</v>
      </c>
      <c r="K226" s="143" t="s">
        <v>224</v>
      </c>
      <c r="L226" s="143" t="s">
        <v>325</v>
      </c>
      <c r="M226" s="143" t="s">
        <v>344</v>
      </c>
      <c r="N226" s="143" t="s">
        <v>544</v>
      </c>
      <c r="O226" s="143" t="s">
        <v>339</v>
      </c>
      <c r="P226" s="143" t="s">
        <v>1211</v>
      </c>
      <c r="Q226" s="144">
        <v>17659</v>
      </c>
      <c r="R226" s="143" t="s">
        <v>1212</v>
      </c>
      <c r="S226" s="143" t="s">
        <v>2422</v>
      </c>
      <c r="T226" s="145" t="s">
        <v>3930</v>
      </c>
      <c r="U226" s="144">
        <v>33922.299700000003</v>
      </c>
      <c r="V226" s="146">
        <v>3.7984512798451279E-5</v>
      </c>
      <c r="W226" s="146">
        <v>1.9568250169472414E-2</v>
      </c>
      <c r="X226" s="147">
        <v>4.3299246898834366E-3</v>
      </c>
      <c r="Y226" s="180"/>
    </row>
    <row r="227" spans="1:25" x14ac:dyDescent="0.2">
      <c r="A227" s="142" t="s">
        <v>1220</v>
      </c>
      <c r="B227" s="143" t="s">
        <v>1220</v>
      </c>
      <c r="C227" s="143" t="s">
        <v>2432</v>
      </c>
      <c r="D227" s="143" t="s">
        <v>2433</v>
      </c>
      <c r="E227" s="143" t="s">
        <v>313</v>
      </c>
      <c r="F227" s="143" t="s">
        <v>2432</v>
      </c>
      <c r="G227" s="143" t="s">
        <v>2434</v>
      </c>
      <c r="H227" s="143" t="s">
        <v>321</v>
      </c>
      <c r="I227" s="143" t="s">
        <v>917</v>
      </c>
      <c r="J227" s="143" t="s">
        <v>205</v>
      </c>
      <c r="K227" s="143" t="s">
        <v>224</v>
      </c>
      <c r="L227" s="143" t="s">
        <v>325</v>
      </c>
      <c r="M227" s="143" t="s">
        <v>344</v>
      </c>
      <c r="N227" s="143" t="s">
        <v>546</v>
      </c>
      <c r="O227" s="143" t="s">
        <v>339</v>
      </c>
      <c r="P227" s="143" t="s">
        <v>1211</v>
      </c>
      <c r="Q227" s="144">
        <v>70167</v>
      </c>
      <c r="R227" s="143" t="s">
        <v>1212</v>
      </c>
      <c r="S227" s="143" t="s">
        <v>2435</v>
      </c>
      <c r="T227" s="144">
        <v>0.70169999999999999</v>
      </c>
      <c r="U227" s="144">
        <v>31615.811799999999</v>
      </c>
      <c r="V227" s="146">
        <v>2.8523170731707317E-5</v>
      </c>
      <c r="W227" s="146">
        <v>1.8238145682129989E-2</v>
      </c>
      <c r="X227" s="147">
        <v>4.0356085292666084E-3</v>
      </c>
      <c r="Y227" s="180"/>
    </row>
    <row r="228" spans="1:25" ht="15" x14ac:dyDescent="0.2">
      <c r="A228" s="142" t="s">
        <v>1220</v>
      </c>
      <c r="B228" s="143" t="s">
        <v>1220</v>
      </c>
      <c r="C228" s="143" t="s">
        <v>2423</v>
      </c>
      <c r="D228" s="143" t="s">
        <v>2424</v>
      </c>
      <c r="E228" s="143" t="s">
        <v>313</v>
      </c>
      <c r="F228" s="143" t="s">
        <v>2423</v>
      </c>
      <c r="G228" s="143" t="s">
        <v>2425</v>
      </c>
      <c r="H228" s="143" t="s">
        <v>321</v>
      </c>
      <c r="I228" s="143" t="s">
        <v>917</v>
      </c>
      <c r="J228" s="143" t="s">
        <v>205</v>
      </c>
      <c r="K228" s="143" t="s">
        <v>224</v>
      </c>
      <c r="L228" s="143" t="s">
        <v>325</v>
      </c>
      <c r="M228" s="143" t="s">
        <v>344</v>
      </c>
      <c r="N228" s="143" t="s">
        <v>521</v>
      </c>
      <c r="O228" s="143" t="s">
        <v>339</v>
      </c>
      <c r="P228" s="143" t="s">
        <v>1211</v>
      </c>
      <c r="Q228" s="144">
        <v>44938</v>
      </c>
      <c r="R228" s="143" t="s">
        <v>1212</v>
      </c>
      <c r="S228" s="143" t="s">
        <v>2426</v>
      </c>
      <c r="T228" s="145" t="s">
        <v>3930</v>
      </c>
      <c r="U228" s="144">
        <v>31064.9339</v>
      </c>
      <c r="V228" s="146">
        <v>4.4049719780733598E-6</v>
      </c>
      <c r="W228" s="146">
        <v>1.7919964215773569E-2</v>
      </c>
      <c r="X228" s="147">
        <v>3.9652035735292133E-3</v>
      </c>
      <c r="Y228" s="180"/>
    </row>
    <row r="229" spans="1:25" ht="15" x14ac:dyDescent="0.2">
      <c r="A229" s="142" t="s">
        <v>1220</v>
      </c>
      <c r="B229" s="143" t="s">
        <v>1220</v>
      </c>
      <c r="C229" s="143" t="s">
        <v>2440</v>
      </c>
      <c r="D229" s="143" t="s">
        <v>2441</v>
      </c>
      <c r="E229" s="143" t="s">
        <v>309</v>
      </c>
      <c r="F229" s="143" t="s">
        <v>2442</v>
      </c>
      <c r="G229" s="143" t="s">
        <v>2443</v>
      </c>
      <c r="H229" s="143" t="s">
        <v>321</v>
      </c>
      <c r="I229" s="143" t="s">
        <v>917</v>
      </c>
      <c r="J229" s="143" t="s">
        <v>205</v>
      </c>
      <c r="K229" s="143" t="s">
        <v>224</v>
      </c>
      <c r="L229" s="143" t="s">
        <v>325</v>
      </c>
      <c r="M229" s="143" t="s">
        <v>344</v>
      </c>
      <c r="N229" s="143" t="s">
        <v>544</v>
      </c>
      <c r="O229" s="143" t="s">
        <v>339</v>
      </c>
      <c r="P229" s="143" t="s">
        <v>1211</v>
      </c>
      <c r="Q229" s="144">
        <v>483881</v>
      </c>
      <c r="R229" s="143" t="s">
        <v>1212</v>
      </c>
      <c r="S229" s="143" t="s">
        <v>2444</v>
      </c>
      <c r="T229" s="145" t="s">
        <v>3930</v>
      </c>
      <c r="U229" s="144">
        <v>30231.142899999999</v>
      </c>
      <c r="V229" s="146">
        <v>2.4516689635604555E-3</v>
      </c>
      <c r="W229" s="146">
        <v>1.7438987680715522E-2</v>
      </c>
      <c r="X229" s="147">
        <v>3.8587764706270134E-3</v>
      </c>
      <c r="Y229" s="180"/>
    </row>
    <row r="230" spans="1:25" ht="15" x14ac:dyDescent="0.2">
      <c r="A230" s="142" t="s">
        <v>1220</v>
      </c>
      <c r="B230" s="143" t="s">
        <v>1220</v>
      </c>
      <c r="C230" s="143" t="s">
        <v>2436</v>
      </c>
      <c r="D230" s="143" t="s">
        <v>2437</v>
      </c>
      <c r="E230" s="143" t="s">
        <v>313</v>
      </c>
      <c r="F230" s="143" t="s">
        <v>2436</v>
      </c>
      <c r="G230" s="143" t="s">
        <v>2438</v>
      </c>
      <c r="H230" s="143" t="s">
        <v>321</v>
      </c>
      <c r="I230" s="143" t="s">
        <v>917</v>
      </c>
      <c r="J230" s="143" t="s">
        <v>205</v>
      </c>
      <c r="K230" s="143" t="s">
        <v>224</v>
      </c>
      <c r="L230" s="143" t="s">
        <v>325</v>
      </c>
      <c r="M230" s="143" t="s">
        <v>344</v>
      </c>
      <c r="N230" s="143" t="s">
        <v>546</v>
      </c>
      <c r="O230" s="143" t="s">
        <v>339</v>
      </c>
      <c r="P230" s="143" t="s">
        <v>1211</v>
      </c>
      <c r="Q230" s="144">
        <v>18807</v>
      </c>
      <c r="R230" s="143" t="s">
        <v>1212</v>
      </c>
      <c r="S230" s="143" t="s">
        <v>2439</v>
      </c>
      <c r="T230" s="145" t="s">
        <v>3930</v>
      </c>
      <c r="U230" s="144">
        <v>30023.739300000001</v>
      </c>
      <c r="V230" s="146">
        <v>2.5229147654032687E-6</v>
      </c>
      <c r="W230" s="146">
        <v>1.7319345855074539E-2</v>
      </c>
      <c r="X230" s="147">
        <v>3.8323029694044158E-3</v>
      </c>
      <c r="Y230" s="180"/>
    </row>
    <row r="231" spans="1:25" ht="15" x14ac:dyDescent="0.2">
      <c r="A231" s="142" t="s">
        <v>1220</v>
      </c>
      <c r="B231" s="143" t="s">
        <v>1220</v>
      </c>
      <c r="C231" s="143" t="s">
        <v>2427</v>
      </c>
      <c r="D231" s="143" t="s">
        <v>2428</v>
      </c>
      <c r="E231" s="143" t="s">
        <v>313</v>
      </c>
      <c r="F231" s="143" t="s">
        <v>2429</v>
      </c>
      <c r="G231" s="143" t="s">
        <v>2430</v>
      </c>
      <c r="H231" s="143" t="s">
        <v>321</v>
      </c>
      <c r="I231" s="143" t="s">
        <v>917</v>
      </c>
      <c r="J231" s="143" t="s">
        <v>205</v>
      </c>
      <c r="K231" s="143" t="s">
        <v>224</v>
      </c>
      <c r="L231" s="143" t="s">
        <v>325</v>
      </c>
      <c r="M231" s="143" t="s">
        <v>344</v>
      </c>
      <c r="N231" s="143" t="s">
        <v>539</v>
      </c>
      <c r="O231" s="143" t="s">
        <v>339</v>
      </c>
      <c r="P231" s="143" t="s">
        <v>1211</v>
      </c>
      <c r="Q231" s="144">
        <v>28647</v>
      </c>
      <c r="R231" s="143" t="s">
        <v>1212</v>
      </c>
      <c r="S231" s="143" t="s">
        <v>2431</v>
      </c>
      <c r="T231" s="145" t="s">
        <v>3930</v>
      </c>
      <c r="U231" s="144">
        <v>29221.787700000001</v>
      </c>
      <c r="V231" s="146">
        <v>1.7598026357416795E-5</v>
      </c>
      <c r="W231" s="146">
        <v>1.6856736042106957E-2</v>
      </c>
      <c r="X231" s="147">
        <v>3.7299399255142892E-3</v>
      </c>
      <c r="Y231" s="180"/>
    </row>
    <row r="232" spans="1:25" x14ac:dyDescent="0.2">
      <c r="A232" s="142" t="s">
        <v>1220</v>
      </c>
      <c r="B232" s="143" t="s">
        <v>1220</v>
      </c>
      <c r="C232" s="143" t="s">
        <v>2445</v>
      </c>
      <c r="D232" s="143" t="s">
        <v>2446</v>
      </c>
      <c r="E232" s="143" t="s">
        <v>313</v>
      </c>
      <c r="F232" s="143" t="s">
        <v>2447</v>
      </c>
      <c r="G232" s="143" t="s">
        <v>2448</v>
      </c>
      <c r="H232" s="143" t="s">
        <v>321</v>
      </c>
      <c r="I232" s="143" t="s">
        <v>917</v>
      </c>
      <c r="J232" s="143" t="s">
        <v>205</v>
      </c>
      <c r="K232" s="143" t="s">
        <v>224</v>
      </c>
      <c r="L232" s="143" t="s">
        <v>325</v>
      </c>
      <c r="M232" s="143" t="s">
        <v>344</v>
      </c>
      <c r="N232" s="143" t="s">
        <v>546</v>
      </c>
      <c r="O232" s="143" t="s">
        <v>339</v>
      </c>
      <c r="P232" s="143" t="s">
        <v>1211</v>
      </c>
      <c r="Q232" s="144">
        <v>41440</v>
      </c>
      <c r="R232" s="143" t="s">
        <v>1212</v>
      </c>
      <c r="S232" s="143" t="s">
        <v>2449</v>
      </c>
      <c r="T232" s="144">
        <v>32.584200000000003</v>
      </c>
      <c r="U232" s="144">
        <v>26821.329899999997</v>
      </c>
      <c r="V232" s="146">
        <v>7.99062721024528E-6</v>
      </c>
      <c r="W232" s="146">
        <v>1.5490816159832523E-2</v>
      </c>
      <c r="X232" s="147">
        <v>3.4276987863505306E-3</v>
      </c>
      <c r="Y232" s="180"/>
    </row>
    <row r="233" spans="1:25" ht="15" x14ac:dyDescent="0.2">
      <c r="A233" s="142" t="s">
        <v>1220</v>
      </c>
      <c r="B233" s="143" t="s">
        <v>1220</v>
      </c>
      <c r="C233" s="143" t="s">
        <v>2450</v>
      </c>
      <c r="D233" s="143" t="s">
        <v>2451</v>
      </c>
      <c r="E233" s="143" t="s">
        <v>313</v>
      </c>
      <c r="F233" s="143" t="s">
        <v>2450</v>
      </c>
      <c r="G233" s="143" t="s">
        <v>2452</v>
      </c>
      <c r="H233" s="143" t="s">
        <v>321</v>
      </c>
      <c r="I233" s="143" t="s">
        <v>917</v>
      </c>
      <c r="J233" s="143" t="s">
        <v>205</v>
      </c>
      <c r="K233" s="143" t="s">
        <v>224</v>
      </c>
      <c r="L233" s="143" t="s">
        <v>325</v>
      </c>
      <c r="M233" s="143" t="s">
        <v>344</v>
      </c>
      <c r="N233" s="143" t="s">
        <v>544</v>
      </c>
      <c r="O233" s="143" t="s">
        <v>339</v>
      </c>
      <c r="P233" s="143" t="s">
        <v>1211</v>
      </c>
      <c r="Q233" s="144">
        <v>12546</v>
      </c>
      <c r="R233" s="143" t="s">
        <v>1212</v>
      </c>
      <c r="S233" s="143" t="s">
        <v>2453</v>
      </c>
      <c r="T233" s="145" t="s">
        <v>3930</v>
      </c>
      <c r="U233" s="144">
        <v>26644.597600000001</v>
      </c>
      <c r="V233" s="146">
        <v>5.562844490872918E-6</v>
      </c>
      <c r="W233" s="146">
        <v>1.5370070886611411E-2</v>
      </c>
      <c r="X233" s="147">
        <v>3.400981122012692E-3</v>
      </c>
      <c r="Y233" s="180"/>
    </row>
    <row r="234" spans="1:25" ht="15" x14ac:dyDescent="0.2">
      <c r="A234" s="142" t="s">
        <v>1220</v>
      </c>
      <c r="B234" s="143" t="s">
        <v>1220</v>
      </c>
      <c r="C234" s="143" t="s">
        <v>2454</v>
      </c>
      <c r="D234" s="143" t="s">
        <v>2455</v>
      </c>
      <c r="E234" s="143" t="s">
        <v>313</v>
      </c>
      <c r="F234" s="143" t="s">
        <v>2456</v>
      </c>
      <c r="G234" s="143" t="s">
        <v>2457</v>
      </c>
      <c r="H234" s="143" t="s">
        <v>321</v>
      </c>
      <c r="I234" s="143" t="s">
        <v>917</v>
      </c>
      <c r="J234" s="143" t="s">
        <v>205</v>
      </c>
      <c r="K234" s="143" t="s">
        <v>224</v>
      </c>
      <c r="L234" s="143" t="s">
        <v>325</v>
      </c>
      <c r="M234" s="143" t="s">
        <v>344</v>
      </c>
      <c r="N234" s="143" t="s">
        <v>546</v>
      </c>
      <c r="O234" s="143" t="s">
        <v>339</v>
      </c>
      <c r="P234" s="143" t="s">
        <v>1211</v>
      </c>
      <c r="Q234" s="144">
        <v>42866</v>
      </c>
      <c r="R234" s="143" t="s">
        <v>1212</v>
      </c>
      <c r="S234" s="143" t="s">
        <v>2458</v>
      </c>
      <c r="T234" s="145" t="s">
        <v>3930</v>
      </c>
      <c r="U234" s="144">
        <v>26588.703899999997</v>
      </c>
      <c r="V234" s="146">
        <v>7.0433782451528098E-6</v>
      </c>
      <c r="W234" s="146">
        <v>1.5337828295971835E-2</v>
      </c>
      <c r="X234" s="147">
        <v>3.3938467084567016E-3</v>
      </c>
      <c r="Y234" s="180"/>
    </row>
    <row r="235" spans="1:25" ht="15" x14ac:dyDescent="0.2">
      <c r="A235" s="142" t="s">
        <v>1220</v>
      </c>
      <c r="B235" s="143" t="s">
        <v>1220</v>
      </c>
      <c r="C235" s="143" t="s">
        <v>2459</v>
      </c>
      <c r="D235" s="143" t="s">
        <v>2460</v>
      </c>
      <c r="E235" s="143" t="s">
        <v>313</v>
      </c>
      <c r="F235" s="143" t="s">
        <v>2459</v>
      </c>
      <c r="G235" s="143" t="s">
        <v>2461</v>
      </c>
      <c r="H235" s="143" t="s">
        <v>321</v>
      </c>
      <c r="I235" s="143" t="s">
        <v>917</v>
      </c>
      <c r="J235" s="143" t="s">
        <v>205</v>
      </c>
      <c r="K235" s="143" t="s">
        <v>224</v>
      </c>
      <c r="L235" s="143" t="s">
        <v>325</v>
      </c>
      <c r="M235" s="143" t="s">
        <v>344</v>
      </c>
      <c r="N235" s="143" t="s">
        <v>546</v>
      </c>
      <c r="O235" s="143" t="s">
        <v>339</v>
      </c>
      <c r="P235" s="143" t="s">
        <v>1211</v>
      </c>
      <c r="Q235" s="144">
        <v>28275</v>
      </c>
      <c r="R235" s="143" t="s">
        <v>1212</v>
      </c>
      <c r="S235" s="143" t="s">
        <v>2462</v>
      </c>
      <c r="T235" s="145" t="s">
        <v>3930</v>
      </c>
      <c r="U235" s="144">
        <v>24441.758300000001</v>
      </c>
      <c r="V235" s="146">
        <v>1.7773944095712641E-6</v>
      </c>
      <c r="W235" s="146">
        <v>1.4099351860704625E-2</v>
      </c>
      <c r="X235" s="147">
        <v>3.1198053583891242E-3</v>
      </c>
      <c r="Y235" s="180"/>
    </row>
    <row r="236" spans="1:25" ht="15" x14ac:dyDescent="0.2">
      <c r="A236" s="142" t="s">
        <v>1220</v>
      </c>
      <c r="B236" s="143" t="s">
        <v>1220</v>
      </c>
      <c r="C236" s="143" t="s">
        <v>2463</v>
      </c>
      <c r="D236" s="143" t="s">
        <v>2464</v>
      </c>
      <c r="E236" s="143" t="s">
        <v>313</v>
      </c>
      <c r="F236" s="143" t="s">
        <v>2463</v>
      </c>
      <c r="G236" s="143" t="s">
        <v>2465</v>
      </c>
      <c r="H236" s="143" t="s">
        <v>321</v>
      </c>
      <c r="I236" s="143" t="s">
        <v>917</v>
      </c>
      <c r="J236" s="143" t="s">
        <v>205</v>
      </c>
      <c r="K236" s="143" t="s">
        <v>224</v>
      </c>
      <c r="L236" s="143" t="s">
        <v>325</v>
      </c>
      <c r="M236" s="143" t="s">
        <v>344</v>
      </c>
      <c r="N236" s="143" t="s">
        <v>517</v>
      </c>
      <c r="O236" s="143" t="s">
        <v>339</v>
      </c>
      <c r="P236" s="143" t="s">
        <v>1211</v>
      </c>
      <c r="Q236" s="144">
        <v>24626</v>
      </c>
      <c r="R236" s="143" t="s">
        <v>1212</v>
      </c>
      <c r="S236" s="143" t="s">
        <v>2466</v>
      </c>
      <c r="T236" s="145" t="s">
        <v>3930</v>
      </c>
      <c r="U236" s="144">
        <v>23903.160399999997</v>
      </c>
      <c r="V236" s="146">
        <v>7.798585829412823E-6</v>
      </c>
      <c r="W236" s="146">
        <v>1.3788658972626683E-2</v>
      </c>
      <c r="X236" s="147">
        <v>3.0510574225538298E-3</v>
      </c>
      <c r="Y236" s="180"/>
    </row>
    <row r="237" spans="1:25" ht="15" x14ac:dyDescent="0.2">
      <c r="A237" s="142" t="s">
        <v>1220</v>
      </c>
      <c r="B237" s="143" t="s">
        <v>1220</v>
      </c>
      <c r="C237" s="143" t="s">
        <v>2467</v>
      </c>
      <c r="D237" s="143" t="s">
        <v>2468</v>
      </c>
      <c r="E237" s="143" t="s">
        <v>313</v>
      </c>
      <c r="F237" s="143" t="s">
        <v>2469</v>
      </c>
      <c r="G237" s="143" t="s">
        <v>2470</v>
      </c>
      <c r="H237" s="143" t="s">
        <v>321</v>
      </c>
      <c r="I237" s="143" t="s">
        <v>917</v>
      </c>
      <c r="J237" s="143" t="s">
        <v>205</v>
      </c>
      <c r="K237" s="143" t="s">
        <v>224</v>
      </c>
      <c r="L237" s="143" t="s">
        <v>325</v>
      </c>
      <c r="M237" s="143" t="s">
        <v>344</v>
      </c>
      <c r="N237" s="143" t="s">
        <v>475</v>
      </c>
      <c r="O237" s="143" t="s">
        <v>339</v>
      </c>
      <c r="P237" s="143" t="s">
        <v>1211</v>
      </c>
      <c r="Q237" s="144">
        <v>65635</v>
      </c>
      <c r="R237" s="143" t="s">
        <v>1212</v>
      </c>
      <c r="S237" s="143" t="s">
        <v>2471</v>
      </c>
      <c r="T237" s="145" t="s">
        <v>3930</v>
      </c>
      <c r="U237" s="144">
        <v>23422.827699999998</v>
      </c>
      <c r="V237" s="146">
        <v>3.5992151753243052E-5</v>
      </c>
      <c r="W237" s="146">
        <v>1.3511576626329711E-2</v>
      </c>
      <c r="X237" s="147">
        <v>2.9897465908764139E-3</v>
      </c>
      <c r="Y237" s="180"/>
    </row>
    <row r="238" spans="1:25" ht="15" x14ac:dyDescent="0.2">
      <c r="A238" s="142" t="s">
        <v>1220</v>
      </c>
      <c r="B238" s="143" t="s">
        <v>1220</v>
      </c>
      <c r="C238" s="143" t="s">
        <v>2472</v>
      </c>
      <c r="D238" s="143" t="s">
        <v>2473</v>
      </c>
      <c r="E238" s="143" t="s">
        <v>309</v>
      </c>
      <c r="F238" s="143" t="s">
        <v>2474</v>
      </c>
      <c r="G238" s="143" t="s">
        <v>2475</v>
      </c>
      <c r="H238" s="143" t="s">
        <v>321</v>
      </c>
      <c r="I238" s="143" t="s">
        <v>917</v>
      </c>
      <c r="J238" s="143" t="s">
        <v>205</v>
      </c>
      <c r="K238" s="143" t="s">
        <v>224</v>
      </c>
      <c r="L238" s="143" t="s">
        <v>325</v>
      </c>
      <c r="M238" s="143" t="s">
        <v>344</v>
      </c>
      <c r="N238" s="143" t="s">
        <v>458</v>
      </c>
      <c r="O238" s="143" t="s">
        <v>339</v>
      </c>
      <c r="P238" s="143" t="s">
        <v>1211</v>
      </c>
      <c r="Q238" s="144">
        <v>134589</v>
      </c>
      <c r="R238" s="143" t="s">
        <v>1212</v>
      </c>
      <c r="S238" s="143" t="s">
        <v>2476</v>
      </c>
      <c r="T238" s="145" t="s">
        <v>3930</v>
      </c>
      <c r="U238" s="144">
        <v>22151.100699999999</v>
      </c>
      <c r="V238" s="146">
        <v>1.2108006233236047E-3</v>
      </c>
      <c r="W238" s="146">
        <v>1.2777974440412915E-2</v>
      </c>
      <c r="X238" s="147">
        <v>2.8274202617543025E-3</v>
      </c>
      <c r="Y238" s="180"/>
    </row>
    <row r="239" spans="1:25" ht="15" x14ac:dyDescent="0.2">
      <c r="A239" s="142" t="s">
        <v>1220</v>
      </c>
      <c r="B239" s="143" t="s">
        <v>1220</v>
      </c>
      <c r="C239" s="143" t="s">
        <v>2477</v>
      </c>
      <c r="D239" s="143" t="s">
        <v>2478</v>
      </c>
      <c r="E239" s="143" t="s">
        <v>313</v>
      </c>
      <c r="F239" s="143" t="s">
        <v>2479</v>
      </c>
      <c r="G239" s="143" t="s">
        <v>2480</v>
      </c>
      <c r="H239" s="143" t="s">
        <v>321</v>
      </c>
      <c r="I239" s="143" t="s">
        <v>917</v>
      </c>
      <c r="J239" s="143" t="s">
        <v>205</v>
      </c>
      <c r="K239" s="143" t="s">
        <v>268</v>
      </c>
      <c r="L239" s="143" t="s">
        <v>325</v>
      </c>
      <c r="M239" s="143" t="s">
        <v>344</v>
      </c>
      <c r="N239" s="143" t="s">
        <v>521</v>
      </c>
      <c r="O239" s="143" t="s">
        <v>339</v>
      </c>
      <c r="P239" s="143" t="s">
        <v>1211</v>
      </c>
      <c r="Q239" s="144">
        <v>55320</v>
      </c>
      <c r="R239" s="143" t="s">
        <v>1212</v>
      </c>
      <c r="S239" s="143" t="s">
        <v>2481</v>
      </c>
      <c r="T239" s="145" t="s">
        <v>3930</v>
      </c>
      <c r="U239" s="144">
        <v>21779.771699999998</v>
      </c>
      <c r="V239" s="146">
        <v>2.0894900012691046E-5</v>
      </c>
      <c r="W239" s="146">
        <v>1.2563771435573391E-2</v>
      </c>
      <c r="X239" s="147">
        <v>2.7800229282538957E-3</v>
      </c>
      <c r="Y239" s="180"/>
    </row>
    <row r="240" spans="1:25" ht="15" x14ac:dyDescent="0.2">
      <c r="A240" s="142" t="s">
        <v>1220</v>
      </c>
      <c r="B240" s="143" t="s">
        <v>1220</v>
      </c>
      <c r="C240" s="143" t="s">
        <v>2482</v>
      </c>
      <c r="D240" s="143" t="s">
        <v>2483</v>
      </c>
      <c r="E240" s="143" t="s">
        <v>313</v>
      </c>
      <c r="F240" s="143" t="s">
        <v>2482</v>
      </c>
      <c r="G240" s="143" t="s">
        <v>2484</v>
      </c>
      <c r="H240" s="143" t="s">
        <v>321</v>
      </c>
      <c r="I240" s="143" t="s">
        <v>917</v>
      </c>
      <c r="J240" s="143" t="s">
        <v>205</v>
      </c>
      <c r="K240" s="143" t="s">
        <v>224</v>
      </c>
      <c r="L240" s="143" t="s">
        <v>325</v>
      </c>
      <c r="M240" s="143" t="s">
        <v>344</v>
      </c>
      <c r="N240" s="143" t="s">
        <v>486</v>
      </c>
      <c r="O240" s="143" t="s">
        <v>339</v>
      </c>
      <c r="P240" s="143" t="s">
        <v>1211</v>
      </c>
      <c r="Q240" s="144">
        <v>68948</v>
      </c>
      <c r="R240" s="143" t="s">
        <v>1212</v>
      </c>
      <c r="S240" s="143" t="s">
        <v>2485</v>
      </c>
      <c r="T240" s="145" t="s">
        <v>3930</v>
      </c>
      <c r="U240" s="144">
        <v>21622.5272</v>
      </c>
      <c r="V240" s="146">
        <v>3.469668331350608E-5</v>
      </c>
      <c r="W240" s="146">
        <v>1.2473064155329916E-2</v>
      </c>
      <c r="X240" s="147">
        <v>2.7599518596158261E-3</v>
      </c>
      <c r="Y240" s="180"/>
    </row>
    <row r="241" spans="1:25" ht="15" x14ac:dyDescent="0.2">
      <c r="A241" s="142" t="s">
        <v>1220</v>
      </c>
      <c r="B241" s="143" t="s">
        <v>1220</v>
      </c>
      <c r="C241" s="143" t="s">
        <v>2486</v>
      </c>
      <c r="D241" s="143" t="s">
        <v>2487</v>
      </c>
      <c r="E241" s="143" t="s">
        <v>313</v>
      </c>
      <c r="F241" s="143" t="s">
        <v>2488</v>
      </c>
      <c r="G241" s="143" t="s">
        <v>2489</v>
      </c>
      <c r="H241" s="143" t="s">
        <v>321</v>
      </c>
      <c r="I241" s="143" t="s">
        <v>917</v>
      </c>
      <c r="J241" s="143" t="s">
        <v>205</v>
      </c>
      <c r="K241" s="143" t="s">
        <v>281</v>
      </c>
      <c r="L241" s="143" t="s">
        <v>325</v>
      </c>
      <c r="M241" s="143" t="s">
        <v>364</v>
      </c>
      <c r="N241" s="143" t="s">
        <v>517</v>
      </c>
      <c r="O241" s="143" t="s">
        <v>339</v>
      </c>
      <c r="P241" s="143" t="s">
        <v>1218</v>
      </c>
      <c r="Q241" s="144">
        <v>7199</v>
      </c>
      <c r="R241" s="143" t="s">
        <v>1219</v>
      </c>
      <c r="S241" s="143" t="s">
        <v>2490</v>
      </c>
      <c r="T241" s="145" t="s">
        <v>3930</v>
      </c>
      <c r="U241" s="144">
        <v>20581.418399999999</v>
      </c>
      <c r="V241" s="146">
        <v>1.4339266364969086E-5</v>
      </c>
      <c r="W241" s="146">
        <v>1.1872495267220439E-2</v>
      </c>
      <c r="X241" s="147">
        <v>2.627062202437492E-3</v>
      </c>
      <c r="Y241" s="180"/>
    </row>
    <row r="242" spans="1:25" ht="15" x14ac:dyDescent="0.2">
      <c r="A242" s="142" t="s">
        <v>1220</v>
      </c>
      <c r="B242" s="143" t="s">
        <v>1220</v>
      </c>
      <c r="C242" s="143" t="s">
        <v>2496</v>
      </c>
      <c r="D242" s="143" t="s">
        <v>2497</v>
      </c>
      <c r="E242" s="143" t="s">
        <v>313</v>
      </c>
      <c r="F242" s="143" t="s">
        <v>2496</v>
      </c>
      <c r="G242" s="143" t="s">
        <v>2498</v>
      </c>
      <c r="H242" s="143" t="s">
        <v>321</v>
      </c>
      <c r="I242" s="143" t="s">
        <v>917</v>
      </c>
      <c r="J242" s="143" t="s">
        <v>205</v>
      </c>
      <c r="K242" s="143" t="s">
        <v>224</v>
      </c>
      <c r="L242" s="143" t="s">
        <v>325</v>
      </c>
      <c r="M242" s="143" t="s">
        <v>344</v>
      </c>
      <c r="N242" s="143" t="s">
        <v>497</v>
      </c>
      <c r="O242" s="143" t="s">
        <v>339</v>
      </c>
      <c r="P242" s="143" t="s">
        <v>1211</v>
      </c>
      <c r="Q242" s="144">
        <v>67113</v>
      </c>
      <c r="R242" s="143" t="s">
        <v>1212</v>
      </c>
      <c r="S242" s="143" t="s">
        <v>2499</v>
      </c>
      <c r="T242" s="145" t="s">
        <v>3930</v>
      </c>
      <c r="U242" s="144">
        <v>20041.143100000001</v>
      </c>
      <c r="V242" s="146">
        <v>7.9987175926974288E-5</v>
      </c>
      <c r="W242" s="146">
        <v>1.1560834768410654E-2</v>
      </c>
      <c r="X242" s="147">
        <v>2.5581001605088213E-3</v>
      </c>
      <c r="Y242" s="180"/>
    </row>
    <row r="243" spans="1:25" ht="15" x14ac:dyDescent="0.2">
      <c r="A243" s="142" t="s">
        <v>1220</v>
      </c>
      <c r="B243" s="143" t="s">
        <v>1220</v>
      </c>
      <c r="C243" s="143" t="s">
        <v>2500</v>
      </c>
      <c r="D243" s="143" t="s">
        <v>2501</v>
      </c>
      <c r="E243" s="143" t="s">
        <v>313</v>
      </c>
      <c r="F243" s="143" t="s">
        <v>2502</v>
      </c>
      <c r="G243" s="143" t="s">
        <v>2503</v>
      </c>
      <c r="H243" s="143" t="s">
        <v>321</v>
      </c>
      <c r="I243" s="143" t="s">
        <v>917</v>
      </c>
      <c r="J243" s="143" t="s">
        <v>205</v>
      </c>
      <c r="K243" s="143" t="s">
        <v>224</v>
      </c>
      <c r="L243" s="143" t="s">
        <v>325</v>
      </c>
      <c r="M243" s="143" t="s">
        <v>344</v>
      </c>
      <c r="N243" s="143" t="s">
        <v>539</v>
      </c>
      <c r="O243" s="143" t="s">
        <v>339</v>
      </c>
      <c r="P243" s="143" t="s">
        <v>1211</v>
      </c>
      <c r="Q243" s="144">
        <v>38368</v>
      </c>
      <c r="R243" s="143" t="s">
        <v>1212</v>
      </c>
      <c r="S243" s="143" t="s">
        <v>2504</v>
      </c>
      <c r="T243" s="145" t="s">
        <v>3930</v>
      </c>
      <c r="U243" s="144">
        <v>18587.4467</v>
      </c>
      <c r="V243" s="146">
        <v>4.4556341103131761E-5</v>
      </c>
      <c r="W243" s="146">
        <v>1.0722262613216764E-2</v>
      </c>
      <c r="X243" s="147">
        <v>2.3725468152900808E-3</v>
      </c>
      <c r="Y243" s="180"/>
    </row>
    <row r="244" spans="1:25" ht="15" x14ac:dyDescent="0.2">
      <c r="A244" s="142" t="s">
        <v>1220</v>
      </c>
      <c r="B244" s="143" t="s">
        <v>1220</v>
      </c>
      <c r="C244" s="143" t="s">
        <v>2491</v>
      </c>
      <c r="D244" s="143" t="s">
        <v>2492</v>
      </c>
      <c r="E244" s="143" t="s">
        <v>313</v>
      </c>
      <c r="F244" s="143" t="s">
        <v>2493</v>
      </c>
      <c r="G244" s="143" t="s">
        <v>2494</v>
      </c>
      <c r="H244" s="143" t="s">
        <v>321</v>
      </c>
      <c r="I244" s="143" t="s">
        <v>917</v>
      </c>
      <c r="J244" s="143" t="s">
        <v>205</v>
      </c>
      <c r="K244" s="143" t="s">
        <v>224</v>
      </c>
      <c r="L244" s="143" t="s">
        <v>325</v>
      </c>
      <c r="M244" s="143" t="s">
        <v>344</v>
      </c>
      <c r="N244" s="143" t="s">
        <v>539</v>
      </c>
      <c r="O244" s="143" t="s">
        <v>339</v>
      </c>
      <c r="P244" s="143" t="s">
        <v>1211</v>
      </c>
      <c r="Q244" s="144">
        <v>9982</v>
      </c>
      <c r="R244" s="143" t="s">
        <v>1212</v>
      </c>
      <c r="S244" s="143" t="s">
        <v>2495</v>
      </c>
      <c r="T244" s="145" t="s">
        <v>3930</v>
      </c>
      <c r="U244" s="144">
        <v>18287.004000000001</v>
      </c>
      <c r="V244" s="146">
        <v>1.0465473478275913E-5</v>
      </c>
      <c r="W244" s="146">
        <v>1.0548950764689344E-2</v>
      </c>
      <c r="X244" s="147">
        <v>2.3341975890951439E-3</v>
      </c>
      <c r="Y244" s="180"/>
    </row>
    <row r="245" spans="1:25" x14ac:dyDescent="0.2">
      <c r="A245" s="142" t="s">
        <v>1220</v>
      </c>
      <c r="B245" s="143" t="s">
        <v>1220</v>
      </c>
      <c r="C245" s="143" t="s">
        <v>2505</v>
      </c>
      <c r="D245" s="143" t="s">
        <v>2506</v>
      </c>
      <c r="E245" s="143" t="s">
        <v>313</v>
      </c>
      <c r="F245" s="143" t="s">
        <v>2505</v>
      </c>
      <c r="G245" s="143" t="s">
        <v>2507</v>
      </c>
      <c r="H245" s="143" t="s">
        <v>321</v>
      </c>
      <c r="I245" s="143" t="s">
        <v>917</v>
      </c>
      <c r="J245" s="143" t="s">
        <v>205</v>
      </c>
      <c r="K245" s="143" t="s">
        <v>224</v>
      </c>
      <c r="L245" s="143" t="s">
        <v>325</v>
      </c>
      <c r="M245" s="143" t="s">
        <v>344</v>
      </c>
      <c r="N245" s="143" t="s">
        <v>546</v>
      </c>
      <c r="O245" s="143" t="s">
        <v>339</v>
      </c>
      <c r="P245" s="143" t="s">
        <v>1211</v>
      </c>
      <c r="Q245" s="144">
        <v>28040</v>
      </c>
      <c r="R245" s="143" t="s">
        <v>1212</v>
      </c>
      <c r="S245" s="143" t="s">
        <v>2508</v>
      </c>
      <c r="T245" s="144">
        <v>14.8612</v>
      </c>
      <c r="U245" s="144">
        <v>18000.034100000001</v>
      </c>
      <c r="V245" s="146">
        <v>6.7099639614631742E-5</v>
      </c>
      <c r="W245" s="146">
        <v>1.0391983436448772E-2</v>
      </c>
      <c r="X245" s="147">
        <v>2.2994649633280122E-3</v>
      </c>
      <c r="Y245" s="180"/>
    </row>
    <row r="246" spans="1:25" x14ac:dyDescent="0.2">
      <c r="A246" s="142" t="s">
        <v>1220</v>
      </c>
      <c r="B246" s="143" t="s">
        <v>1220</v>
      </c>
      <c r="C246" s="143" t="s">
        <v>2509</v>
      </c>
      <c r="D246" s="143" t="s">
        <v>2510</v>
      </c>
      <c r="E246" s="143" t="s">
        <v>313</v>
      </c>
      <c r="F246" s="143" t="s">
        <v>2509</v>
      </c>
      <c r="G246" s="143" t="s">
        <v>2511</v>
      </c>
      <c r="H246" s="143" t="s">
        <v>321</v>
      </c>
      <c r="I246" s="143" t="s">
        <v>917</v>
      </c>
      <c r="J246" s="143" t="s">
        <v>205</v>
      </c>
      <c r="K246" s="143" t="s">
        <v>224</v>
      </c>
      <c r="L246" s="143" t="s">
        <v>325</v>
      </c>
      <c r="M246" s="143" t="s">
        <v>344</v>
      </c>
      <c r="N246" s="143" t="s">
        <v>568</v>
      </c>
      <c r="O246" s="143" t="s">
        <v>339</v>
      </c>
      <c r="P246" s="143" t="s">
        <v>1211</v>
      </c>
      <c r="Q246" s="144">
        <v>36760</v>
      </c>
      <c r="R246" s="143" t="s">
        <v>1212</v>
      </c>
      <c r="S246" s="143" t="s">
        <v>2512</v>
      </c>
      <c r="T246" s="144">
        <v>35.2896</v>
      </c>
      <c r="U246" s="144">
        <v>17352.940300000002</v>
      </c>
      <c r="V246" s="146">
        <v>3.9823243731034936E-5</v>
      </c>
      <c r="W246" s="146">
        <v>1.0030488361094979E-2</v>
      </c>
      <c r="X246" s="147">
        <v>2.2194758770024739E-3</v>
      </c>
      <c r="Y246" s="180"/>
    </row>
    <row r="247" spans="1:25" ht="15" x14ac:dyDescent="0.2">
      <c r="A247" s="142" t="s">
        <v>1220</v>
      </c>
      <c r="B247" s="143" t="s">
        <v>1220</v>
      </c>
      <c r="C247" s="143" t="s">
        <v>2517</v>
      </c>
      <c r="D247" s="143" t="s">
        <v>2518</v>
      </c>
      <c r="E247" s="143" t="s">
        <v>313</v>
      </c>
      <c r="F247" s="143" t="s">
        <v>2517</v>
      </c>
      <c r="G247" s="143" t="s">
        <v>2519</v>
      </c>
      <c r="H247" s="143" t="s">
        <v>321</v>
      </c>
      <c r="I247" s="143" t="s">
        <v>917</v>
      </c>
      <c r="J247" s="143" t="s">
        <v>205</v>
      </c>
      <c r="K247" s="143" t="s">
        <v>224</v>
      </c>
      <c r="L247" s="143" t="s">
        <v>325</v>
      </c>
      <c r="M247" s="143" t="s">
        <v>344</v>
      </c>
      <c r="N247" s="143" t="s">
        <v>540</v>
      </c>
      <c r="O247" s="143" t="s">
        <v>339</v>
      </c>
      <c r="P247" s="143" t="s">
        <v>1211</v>
      </c>
      <c r="Q247" s="144">
        <v>13920</v>
      </c>
      <c r="R247" s="143" t="s">
        <v>1212</v>
      </c>
      <c r="S247" s="143" t="s">
        <v>2520</v>
      </c>
      <c r="T247" s="145" t="s">
        <v>3930</v>
      </c>
      <c r="U247" s="144">
        <v>17116.622199999998</v>
      </c>
      <c r="V247" s="146">
        <v>3.4817408704352177E-5</v>
      </c>
      <c r="W247" s="146">
        <v>9.8738100880014605E-3</v>
      </c>
      <c r="X247" s="147">
        <v>2.1848072113241149E-3</v>
      </c>
      <c r="Y247" s="180"/>
    </row>
    <row r="248" spans="1:25" ht="15" x14ac:dyDescent="0.2">
      <c r="A248" s="142" t="s">
        <v>1220</v>
      </c>
      <c r="B248" s="143" t="s">
        <v>1220</v>
      </c>
      <c r="C248" s="143" t="s">
        <v>2521</v>
      </c>
      <c r="D248" s="143" t="s">
        <v>2522</v>
      </c>
      <c r="E248" s="143" t="s">
        <v>309</v>
      </c>
      <c r="F248" s="143" t="s">
        <v>2523</v>
      </c>
      <c r="G248" s="143" t="s">
        <v>2524</v>
      </c>
      <c r="H248" s="143" t="s">
        <v>321</v>
      </c>
      <c r="I248" s="143" t="s">
        <v>917</v>
      </c>
      <c r="J248" s="143" t="s">
        <v>205</v>
      </c>
      <c r="K248" s="143" t="s">
        <v>204</v>
      </c>
      <c r="L248" s="143" t="s">
        <v>325</v>
      </c>
      <c r="M248" s="143" t="s">
        <v>344</v>
      </c>
      <c r="N248" s="143" t="s">
        <v>458</v>
      </c>
      <c r="O248" s="143" t="s">
        <v>339</v>
      </c>
      <c r="P248" s="143" t="s">
        <v>1211</v>
      </c>
      <c r="Q248" s="144">
        <v>20956</v>
      </c>
      <c r="R248" s="143" t="s">
        <v>1212</v>
      </c>
      <c r="S248" s="143" t="s">
        <v>2525</v>
      </c>
      <c r="T248" s="145" t="s">
        <v>3930</v>
      </c>
      <c r="U248" s="144">
        <v>16265.950199999999</v>
      </c>
      <c r="V248" s="146">
        <v>7.2036752906581229E-4</v>
      </c>
      <c r="W248" s="146">
        <v>9.3830956360670507E-3</v>
      </c>
      <c r="X248" s="147">
        <v>2.076225370704142E-3</v>
      </c>
      <c r="Y248" s="180"/>
    </row>
    <row r="249" spans="1:25" ht="15" x14ac:dyDescent="0.2">
      <c r="A249" s="142" t="s">
        <v>1220</v>
      </c>
      <c r="B249" s="143" t="s">
        <v>1220</v>
      </c>
      <c r="C249" s="143" t="s">
        <v>2513</v>
      </c>
      <c r="D249" s="143" t="s">
        <v>2514</v>
      </c>
      <c r="E249" s="143" t="s">
        <v>313</v>
      </c>
      <c r="F249" s="143" t="s">
        <v>2513</v>
      </c>
      <c r="G249" s="143" t="s">
        <v>2515</v>
      </c>
      <c r="H249" s="143" t="s">
        <v>321</v>
      </c>
      <c r="I249" s="143" t="s">
        <v>917</v>
      </c>
      <c r="J249" s="143" t="s">
        <v>205</v>
      </c>
      <c r="K249" s="143" t="s">
        <v>224</v>
      </c>
      <c r="L249" s="143" t="s">
        <v>325</v>
      </c>
      <c r="M249" s="143" t="s">
        <v>344</v>
      </c>
      <c r="N249" s="143" t="s">
        <v>533</v>
      </c>
      <c r="O249" s="143" t="s">
        <v>339</v>
      </c>
      <c r="P249" s="143" t="s">
        <v>1211</v>
      </c>
      <c r="Q249" s="144">
        <v>4495</v>
      </c>
      <c r="R249" s="143" t="s">
        <v>1212</v>
      </c>
      <c r="S249" s="143" t="s">
        <v>2516</v>
      </c>
      <c r="T249" s="145" t="s">
        <v>3930</v>
      </c>
      <c r="U249" s="144">
        <v>14774.3341</v>
      </c>
      <c r="V249" s="146">
        <v>4.7306925649720372E-6</v>
      </c>
      <c r="W249" s="146">
        <v>8.5226493542786916E-3</v>
      </c>
      <c r="X249" s="147">
        <v>1.8858318726873353E-3</v>
      </c>
      <c r="Y249" s="180"/>
    </row>
    <row r="250" spans="1:25" ht="15" x14ac:dyDescent="0.2">
      <c r="A250" s="142" t="s">
        <v>1220</v>
      </c>
      <c r="B250" s="143" t="s">
        <v>1220</v>
      </c>
      <c r="C250" s="143" t="s">
        <v>2530</v>
      </c>
      <c r="D250" s="143" t="s">
        <v>2531</v>
      </c>
      <c r="E250" s="143" t="s">
        <v>313</v>
      </c>
      <c r="F250" s="143" t="s">
        <v>2530</v>
      </c>
      <c r="G250" s="143" t="s">
        <v>2532</v>
      </c>
      <c r="H250" s="143" t="s">
        <v>321</v>
      </c>
      <c r="I250" s="143" t="s">
        <v>917</v>
      </c>
      <c r="J250" s="143" t="s">
        <v>205</v>
      </c>
      <c r="K250" s="143" t="s">
        <v>224</v>
      </c>
      <c r="L250" s="143" t="s">
        <v>325</v>
      </c>
      <c r="M250" s="143" t="s">
        <v>344</v>
      </c>
      <c r="N250" s="143" t="s">
        <v>544</v>
      </c>
      <c r="O250" s="143" t="s">
        <v>339</v>
      </c>
      <c r="P250" s="143" t="s">
        <v>1211</v>
      </c>
      <c r="Q250" s="144">
        <v>11497</v>
      </c>
      <c r="R250" s="143" t="s">
        <v>1212</v>
      </c>
      <c r="S250" s="143" t="s">
        <v>2533</v>
      </c>
      <c r="T250" s="145" t="s">
        <v>3930</v>
      </c>
      <c r="U250" s="144">
        <v>14579.0928</v>
      </c>
      <c r="V250" s="146">
        <v>3.8024586829476411E-5</v>
      </c>
      <c r="W250" s="146">
        <v>8.4100233958286294E-3</v>
      </c>
      <c r="X250" s="147">
        <v>1.8609107931839934E-3</v>
      </c>
      <c r="Y250" s="180"/>
    </row>
    <row r="251" spans="1:25" ht="15" x14ac:dyDescent="0.2">
      <c r="A251" s="142" t="s">
        <v>1220</v>
      </c>
      <c r="B251" s="143" t="s">
        <v>1220</v>
      </c>
      <c r="C251" s="143" t="s">
        <v>2534</v>
      </c>
      <c r="D251" s="143" t="s">
        <v>2535</v>
      </c>
      <c r="E251" s="143" t="s">
        <v>313</v>
      </c>
      <c r="F251" s="143" t="s">
        <v>2534</v>
      </c>
      <c r="G251" s="143" t="s">
        <v>2536</v>
      </c>
      <c r="H251" s="143" t="s">
        <v>321</v>
      </c>
      <c r="I251" s="143" t="s">
        <v>917</v>
      </c>
      <c r="J251" s="143" t="s">
        <v>205</v>
      </c>
      <c r="K251" s="143" t="s">
        <v>241</v>
      </c>
      <c r="L251" s="143" t="s">
        <v>325</v>
      </c>
      <c r="M251" s="143" t="s">
        <v>344</v>
      </c>
      <c r="N251" s="143" t="s">
        <v>533</v>
      </c>
      <c r="O251" s="143" t="s">
        <v>339</v>
      </c>
      <c r="P251" s="143" t="s">
        <v>1211</v>
      </c>
      <c r="Q251" s="144">
        <v>31821</v>
      </c>
      <c r="R251" s="143" t="s">
        <v>1212</v>
      </c>
      <c r="S251" s="143" t="s">
        <v>2537</v>
      </c>
      <c r="T251" s="145" t="s">
        <v>3930</v>
      </c>
      <c r="U251" s="144">
        <v>14056.9172</v>
      </c>
      <c r="V251" s="146">
        <v>1.8261022263744688E-5</v>
      </c>
      <c r="W251" s="146">
        <v>8.1088037818129732E-3</v>
      </c>
      <c r="X251" s="147">
        <v>1.7942590367669446E-3</v>
      </c>
      <c r="Y251" s="180"/>
    </row>
    <row r="252" spans="1:25" ht="15" x14ac:dyDescent="0.2">
      <c r="A252" s="142" t="s">
        <v>1220</v>
      </c>
      <c r="B252" s="143" t="s">
        <v>1220</v>
      </c>
      <c r="C252" s="143" t="s">
        <v>2526</v>
      </c>
      <c r="D252" s="143" t="s">
        <v>2527</v>
      </c>
      <c r="E252" s="143" t="s">
        <v>313</v>
      </c>
      <c r="F252" s="143" t="s">
        <v>2526</v>
      </c>
      <c r="G252" s="143" t="s">
        <v>2528</v>
      </c>
      <c r="H252" s="143" t="s">
        <v>321</v>
      </c>
      <c r="I252" s="143" t="s">
        <v>917</v>
      </c>
      <c r="J252" s="143" t="s">
        <v>205</v>
      </c>
      <c r="K252" s="143" t="s">
        <v>224</v>
      </c>
      <c r="L252" s="143" t="s">
        <v>325</v>
      </c>
      <c r="M252" s="143" t="s">
        <v>344</v>
      </c>
      <c r="N252" s="143" t="s">
        <v>521</v>
      </c>
      <c r="O252" s="143" t="s">
        <v>339</v>
      </c>
      <c r="P252" s="143" t="s">
        <v>1211</v>
      </c>
      <c r="Q252" s="144">
        <v>4086</v>
      </c>
      <c r="R252" s="143" t="s">
        <v>1212</v>
      </c>
      <c r="S252" s="143" t="s">
        <v>2529</v>
      </c>
      <c r="T252" s="145" t="s">
        <v>3930</v>
      </c>
      <c r="U252" s="144">
        <v>13438.8099</v>
      </c>
      <c r="V252" s="146">
        <v>9.2059994457474634E-6</v>
      </c>
      <c r="W252" s="146">
        <v>7.7522454409825201E-3</v>
      </c>
      <c r="X252" s="147">
        <v>1.7153623163154563E-3</v>
      </c>
      <c r="Y252" s="180"/>
    </row>
    <row r="253" spans="1:25" x14ac:dyDescent="0.2">
      <c r="A253" s="142" t="s">
        <v>1220</v>
      </c>
      <c r="B253" s="143" t="s">
        <v>1220</v>
      </c>
      <c r="C253" s="143" t="s">
        <v>2538</v>
      </c>
      <c r="D253" s="143" t="s">
        <v>2539</v>
      </c>
      <c r="E253" s="143" t="s">
        <v>313</v>
      </c>
      <c r="F253" s="143" t="s">
        <v>2538</v>
      </c>
      <c r="G253" s="143" t="s">
        <v>2540</v>
      </c>
      <c r="H253" s="143" t="s">
        <v>321</v>
      </c>
      <c r="I253" s="143" t="s">
        <v>917</v>
      </c>
      <c r="J253" s="143" t="s">
        <v>205</v>
      </c>
      <c r="K253" s="143" t="s">
        <v>224</v>
      </c>
      <c r="L253" s="143" t="s">
        <v>325</v>
      </c>
      <c r="M253" s="143" t="s">
        <v>344</v>
      </c>
      <c r="N253" s="143" t="s">
        <v>544</v>
      </c>
      <c r="O253" s="143" t="s">
        <v>339</v>
      </c>
      <c r="P253" s="143" t="s">
        <v>1211</v>
      </c>
      <c r="Q253" s="144">
        <v>13010</v>
      </c>
      <c r="R253" s="143" t="s">
        <v>1212</v>
      </c>
      <c r="S253" s="143" t="s">
        <v>2541</v>
      </c>
      <c r="T253" s="144">
        <v>5.2039999999999997</v>
      </c>
      <c r="U253" s="144">
        <v>13230.4948</v>
      </c>
      <c r="V253" s="146">
        <v>1.4125950054288816E-5</v>
      </c>
      <c r="W253" s="146">
        <v>7.6350797813663131E-3</v>
      </c>
      <c r="X253" s="147">
        <v>1.6894367236853019E-3</v>
      </c>
      <c r="Y253" s="180"/>
    </row>
    <row r="254" spans="1:25" ht="15" x14ac:dyDescent="0.2">
      <c r="A254" s="142" t="s">
        <v>1220</v>
      </c>
      <c r="B254" s="143" t="s">
        <v>1220</v>
      </c>
      <c r="C254" s="143" t="s">
        <v>2542</v>
      </c>
      <c r="D254" s="143" t="s">
        <v>2543</v>
      </c>
      <c r="E254" s="143" t="s">
        <v>313</v>
      </c>
      <c r="F254" s="143" t="s">
        <v>2542</v>
      </c>
      <c r="G254" s="143" t="s">
        <v>2544</v>
      </c>
      <c r="H254" s="143" t="s">
        <v>321</v>
      </c>
      <c r="I254" s="143" t="s">
        <v>917</v>
      </c>
      <c r="J254" s="143" t="s">
        <v>205</v>
      </c>
      <c r="K254" s="143" t="s">
        <v>281</v>
      </c>
      <c r="L254" s="143" t="s">
        <v>325</v>
      </c>
      <c r="M254" s="143" t="s">
        <v>364</v>
      </c>
      <c r="N254" s="143" t="s">
        <v>515</v>
      </c>
      <c r="O254" s="143" t="s">
        <v>339</v>
      </c>
      <c r="P254" s="143" t="s">
        <v>1218</v>
      </c>
      <c r="Q254" s="144">
        <v>1415</v>
      </c>
      <c r="R254" s="143" t="s">
        <v>1219</v>
      </c>
      <c r="S254" s="143" t="s">
        <v>2545</v>
      </c>
      <c r="T254" s="145" t="s">
        <v>3930</v>
      </c>
      <c r="U254" s="144">
        <v>12961.6751</v>
      </c>
      <c r="V254" s="146">
        <v>1.3403555968134584E-5</v>
      </c>
      <c r="W254" s="146">
        <v>7.477007821262178E-3</v>
      </c>
      <c r="X254" s="147">
        <v>1.6544596727530254E-3</v>
      </c>
      <c r="Y254" s="180"/>
    </row>
    <row r="255" spans="1:25" ht="15" x14ac:dyDescent="0.2">
      <c r="A255" s="142" t="s">
        <v>1220</v>
      </c>
      <c r="B255" s="143" t="s">
        <v>1220</v>
      </c>
      <c r="C255" s="143" t="s">
        <v>2551</v>
      </c>
      <c r="D255" s="143" t="s">
        <v>2552</v>
      </c>
      <c r="E255" s="143" t="s">
        <v>313</v>
      </c>
      <c r="F255" s="143" t="s">
        <v>2551</v>
      </c>
      <c r="G255" s="143" t="s">
        <v>2553</v>
      </c>
      <c r="H255" s="143" t="s">
        <v>321</v>
      </c>
      <c r="I255" s="143" t="s">
        <v>917</v>
      </c>
      <c r="J255" s="143" t="s">
        <v>205</v>
      </c>
      <c r="K255" s="143" t="s">
        <v>224</v>
      </c>
      <c r="L255" s="143" t="s">
        <v>325</v>
      </c>
      <c r="M255" s="143" t="s">
        <v>340</v>
      </c>
      <c r="N255" s="143" t="s">
        <v>516</v>
      </c>
      <c r="O255" s="143" t="s">
        <v>339</v>
      </c>
      <c r="P255" s="143" t="s">
        <v>1211</v>
      </c>
      <c r="Q255" s="144">
        <v>26105</v>
      </c>
      <c r="R255" s="143" t="s">
        <v>1212</v>
      </c>
      <c r="S255" s="143" t="s">
        <v>2554</v>
      </c>
      <c r="T255" s="145" t="s">
        <v>3930</v>
      </c>
      <c r="U255" s="144">
        <v>12281.491400000001</v>
      </c>
      <c r="V255" s="146">
        <v>5.9329275776019202E-5</v>
      </c>
      <c r="W255" s="146">
        <v>7.0846404482109975E-3</v>
      </c>
      <c r="X255" s="147">
        <v>1.5676393816505829E-3</v>
      </c>
      <c r="Y255" s="180"/>
    </row>
    <row r="256" spans="1:25" ht="15" x14ac:dyDescent="0.2">
      <c r="A256" s="142" t="s">
        <v>1220</v>
      </c>
      <c r="B256" s="143" t="s">
        <v>1220</v>
      </c>
      <c r="C256" s="143" t="s">
        <v>2555</v>
      </c>
      <c r="D256" s="143" t="s">
        <v>2556</v>
      </c>
      <c r="E256" s="143" t="s">
        <v>313</v>
      </c>
      <c r="F256" s="143" t="s">
        <v>2557</v>
      </c>
      <c r="G256" s="143" t="s">
        <v>2558</v>
      </c>
      <c r="H256" s="143" t="s">
        <v>321</v>
      </c>
      <c r="I256" s="143" t="s">
        <v>917</v>
      </c>
      <c r="J256" s="143" t="s">
        <v>205</v>
      </c>
      <c r="K256" s="143" t="s">
        <v>243</v>
      </c>
      <c r="L256" s="143" t="s">
        <v>325</v>
      </c>
      <c r="M256" s="143" t="s">
        <v>380</v>
      </c>
      <c r="N256" s="143" t="s">
        <v>546</v>
      </c>
      <c r="O256" s="143" t="s">
        <v>339</v>
      </c>
      <c r="P256" s="143" t="s">
        <v>1211</v>
      </c>
      <c r="Q256" s="144">
        <v>2722</v>
      </c>
      <c r="R256" s="143" t="s">
        <v>1212</v>
      </c>
      <c r="S256" s="143" t="s">
        <v>2559</v>
      </c>
      <c r="T256" s="145" t="s">
        <v>3930</v>
      </c>
      <c r="U256" s="144">
        <v>11805.2868</v>
      </c>
      <c r="V256" s="146">
        <v>1.1399089580428072E-5</v>
      </c>
      <c r="W256" s="146">
        <v>6.8099393842807818E-3</v>
      </c>
      <c r="X256" s="147">
        <v>1.5068554633774879E-3</v>
      </c>
      <c r="Y256" s="180"/>
    </row>
    <row r="257" spans="1:25" ht="15" x14ac:dyDescent="0.2">
      <c r="A257" s="142" t="s">
        <v>1220</v>
      </c>
      <c r="B257" s="143" t="s">
        <v>1220</v>
      </c>
      <c r="C257" s="143" t="s">
        <v>2546</v>
      </c>
      <c r="D257" s="143" t="s">
        <v>2547</v>
      </c>
      <c r="E257" s="143" t="s">
        <v>313</v>
      </c>
      <c r="F257" s="143" t="s">
        <v>2548</v>
      </c>
      <c r="G257" s="143" t="s">
        <v>2549</v>
      </c>
      <c r="H257" s="143" t="s">
        <v>321</v>
      </c>
      <c r="I257" s="143" t="s">
        <v>917</v>
      </c>
      <c r="J257" s="143" t="s">
        <v>205</v>
      </c>
      <c r="K257" s="143" t="s">
        <v>224</v>
      </c>
      <c r="L257" s="143" t="s">
        <v>325</v>
      </c>
      <c r="M257" s="143" t="s">
        <v>344</v>
      </c>
      <c r="N257" s="143" t="s">
        <v>517</v>
      </c>
      <c r="O257" s="143" t="s">
        <v>339</v>
      </c>
      <c r="P257" s="143" t="s">
        <v>1211</v>
      </c>
      <c r="Q257" s="144">
        <v>37662</v>
      </c>
      <c r="R257" s="143" t="s">
        <v>1212</v>
      </c>
      <c r="S257" s="143" t="s">
        <v>2550</v>
      </c>
      <c r="T257" s="145" t="s">
        <v>3930</v>
      </c>
      <c r="U257" s="144">
        <v>11282.876099999999</v>
      </c>
      <c r="V257" s="146">
        <v>1.3965440522100266E-5</v>
      </c>
      <c r="W257" s="146">
        <v>6.5085841500835979E-3</v>
      </c>
      <c r="X257" s="147">
        <v>1.4401736978810705E-3</v>
      </c>
      <c r="Y257" s="180"/>
    </row>
    <row r="258" spans="1:25" x14ac:dyDescent="0.2">
      <c r="A258" s="142" t="s">
        <v>1220</v>
      </c>
      <c r="B258" s="143" t="s">
        <v>1220</v>
      </c>
      <c r="C258" s="143" t="s">
        <v>2560</v>
      </c>
      <c r="D258" s="143" t="s">
        <v>2561</v>
      </c>
      <c r="E258" s="143" t="s">
        <v>313</v>
      </c>
      <c r="F258" s="143" t="s">
        <v>2562</v>
      </c>
      <c r="G258" s="143" t="s">
        <v>2563</v>
      </c>
      <c r="H258" s="143" t="s">
        <v>321</v>
      </c>
      <c r="I258" s="143" t="s">
        <v>917</v>
      </c>
      <c r="J258" s="143" t="s">
        <v>205</v>
      </c>
      <c r="K258" s="143" t="s">
        <v>224</v>
      </c>
      <c r="L258" s="143" t="s">
        <v>325</v>
      </c>
      <c r="M258" s="143" t="s">
        <v>344</v>
      </c>
      <c r="N258" s="143" t="s">
        <v>497</v>
      </c>
      <c r="O258" s="143" t="s">
        <v>339</v>
      </c>
      <c r="P258" s="143" t="s">
        <v>1211</v>
      </c>
      <c r="Q258" s="144">
        <v>7232</v>
      </c>
      <c r="R258" s="143" t="s">
        <v>1212</v>
      </c>
      <c r="S258" s="143" t="s">
        <v>2564</v>
      </c>
      <c r="T258" s="144">
        <v>10.631</v>
      </c>
      <c r="U258" s="144">
        <v>11236.7055</v>
      </c>
      <c r="V258" s="146">
        <v>2.424917096134953E-5</v>
      </c>
      <c r="W258" s="146">
        <v>6.48808298727023E-3</v>
      </c>
      <c r="X258" s="147">
        <v>1.4356373448465305E-3</v>
      </c>
      <c r="Y258" s="180"/>
    </row>
    <row r="259" spans="1:25" ht="15" x14ac:dyDescent="0.2">
      <c r="A259" s="142" t="s">
        <v>1220</v>
      </c>
      <c r="B259" s="143" t="s">
        <v>1220</v>
      </c>
      <c r="C259" s="143" t="s">
        <v>2569</v>
      </c>
      <c r="D259" s="143" t="s">
        <v>2570</v>
      </c>
      <c r="E259" s="143" t="s">
        <v>313</v>
      </c>
      <c r="F259" s="143" t="s">
        <v>2569</v>
      </c>
      <c r="G259" s="143" t="s">
        <v>2571</v>
      </c>
      <c r="H259" s="143" t="s">
        <v>321</v>
      </c>
      <c r="I259" s="143" t="s">
        <v>917</v>
      </c>
      <c r="J259" s="143" t="s">
        <v>205</v>
      </c>
      <c r="K259" s="143" t="s">
        <v>268</v>
      </c>
      <c r="L259" s="143" t="s">
        <v>325</v>
      </c>
      <c r="M259" s="143" t="s">
        <v>344</v>
      </c>
      <c r="N259" s="143" t="s">
        <v>489</v>
      </c>
      <c r="O259" s="143" t="s">
        <v>339</v>
      </c>
      <c r="P259" s="143" t="s">
        <v>1211</v>
      </c>
      <c r="Q259" s="144">
        <v>7757</v>
      </c>
      <c r="R259" s="143" t="s">
        <v>1212</v>
      </c>
      <c r="S259" s="143" t="s">
        <v>2572</v>
      </c>
      <c r="T259" s="145" t="s">
        <v>3930</v>
      </c>
      <c r="U259" s="144">
        <v>11198.278199999999</v>
      </c>
      <c r="V259" s="146">
        <v>1.3801017684944667E-4</v>
      </c>
      <c r="W259" s="146">
        <v>6.4597834417279686E-3</v>
      </c>
      <c r="X259" s="147">
        <v>1.4293754205612881E-3</v>
      </c>
      <c r="Y259" s="180"/>
    </row>
    <row r="260" spans="1:25" ht="15" x14ac:dyDescent="0.2">
      <c r="A260" s="142" t="s">
        <v>1220</v>
      </c>
      <c r="B260" s="143" t="s">
        <v>1220</v>
      </c>
      <c r="C260" s="143" t="s">
        <v>2454</v>
      </c>
      <c r="D260" s="143" t="s">
        <v>2455</v>
      </c>
      <c r="E260" s="143" t="s">
        <v>313</v>
      </c>
      <c r="F260" s="143" t="s">
        <v>2573</v>
      </c>
      <c r="G260" s="143" t="s">
        <v>2574</v>
      </c>
      <c r="H260" s="143" t="s">
        <v>321</v>
      </c>
      <c r="I260" s="143" t="s">
        <v>917</v>
      </c>
      <c r="J260" s="143" t="s">
        <v>205</v>
      </c>
      <c r="K260" s="143" t="s">
        <v>224</v>
      </c>
      <c r="L260" s="143" t="s">
        <v>325</v>
      </c>
      <c r="M260" s="143" t="s">
        <v>344</v>
      </c>
      <c r="N260" s="143" t="s">
        <v>546</v>
      </c>
      <c r="O260" s="143" t="s">
        <v>339</v>
      </c>
      <c r="P260" s="143" t="s">
        <v>1211</v>
      </c>
      <c r="Q260" s="144">
        <v>16714</v>
      </c>
      <c r="R260" s="143" t="s">
        <v>1212</v>
      </c>
      <c r="S260" s="143" t="s">
        <v>2575</v>
      </c>
      <c r="T260" s="145" t="s">
        <v>3930</v>
      </c>
      <c r="U260" s="144">
        <v>10284.182699999999</v>
      </c>
      <c r="V260" s="146">
        <v>2.7982588314080029E-6</v>
      </c>
      <c r="W260" s="146">
        <v>5.9324828021720555E-3</v>
      </c>
      <c r="X260" s="147">
        <v>1.3126980458123517E-3</v>
      </c>
      <c r="Y260" s="180"/>
    </row>
    <row r="261" spans="1:25" x14ac:dyDescent="0.2">
      <c r="A261" s="142" t="s">
        <v>1220</v>
      </c>
      <c r="B261" s="143" t="s">
        <v>1220</v>
      </c>
      <c r="C261" s="143" t="s">
        <v>2565</v>
      </c>
      <c r="D261" s="143" t="s">
        <v>2566</v>
      </c>
      <c r="E261" s="143" t="s">
        <v>313</v>
      </c>
      <c r="F261" s="143" t="s">
        <v>2565</v>
      </c>
      <c r="G261" s="143" t="s">
        <v>2567</v>
      </c>
      <c r="H261" s="143" t="s">
        <v>321</v>
      </c>
      <c r="I261" s="143" t="s">
        <v>917</v>
      </c>
      <c r="J261" s="143" t="s">
        <v>205</v>
      </c>
      <c r="K261" s="143" t="s">
        <v>224</v>
      </c>
      <c r="L261" s="143" t="s">
        <v>325</v>
      </c>
      <c r="M261" s="143" t="s">
        <v>344</v>
      </c>
      <c r="N261" s="143" t="s">
        <v>515</v>
      </c>
      <c r="O261" s="143" t="s">
        <v>339</v>
      </c>
      <c r="P261" s="143" t="s">
        <v>1211</v>
      </c>
      <c r="Q261" s="144">
        <v>30779</v>
      </c>
      <c r="R261" s="143" t="s">
        <v>1212</v>
      </c>
      <c r="S261" s="143" t="s">
        <v>2568</v>
      </c>
      <c r="T261" s="144">
        <v>11.388200000000001</v>
      </c>
      <c r="U261" s="144">
        <v>10136.6543</v>
      </c>
      <c r="V261" s="146">
        <v>2.4433828059011437E-5</v>
      </c>
      <c r="W261" s="146">
        <v>5.8539496509831535E-3</v>
      </c>
      <c r="X261" s="147">
        <v>1.2953207827784978E-3</v>
      </c>
      <c r="Y261" s="180"/>
    </row>
    <row r="262" spans="1:25" ht="15" x14ac:dyDescent="0.2">
      <c r="A262" s="142" t="s">
        <v>1220</v>
      </c>
      <c r="B262" s="143" t="s">
        <v>1220</v>
      </c>
      <c r="C262" s="143" t="s">
        <v>2581</v>
      </c>
      <c r="D262" s="143" t="s">
        <v>2582</v>
      </c>
      <c r="E262" s="143" t="s">
        <v>313</v>
      </c>
      <c r="F262" s="143" t="s">
        <v>2581</v>
      </c>
      <c r="G262" s="143" t="s">
        <v>2583</v>
      </c>
      <c r="H262" s="143" t="s">
        <v>321</v>
      </c>
      <c r="I262" s="143" t="s">
        <v>917</v>
      </c>
      <c r="J262" s="143" t="s">
        <v>205</v>
      </c>
      <c r="K262" s="143" t="s">
        <v>224</v>
      </c>
      <c r="L262" s="143" t="s">
        <v>325</v>
      </c>
      <c r="M262" s="143" t="s">
        <v>344</v>
      </c>
      <c r="N262" s="143" t="s">
        <v>533</v>
      </c>
      <c r="O262" s="143" t="s">
        <v>339</v>
      </c>
      <c r="P262" s="143" t="s">
        <v>1211</v>
      </c>
      <c r="Q262" s="144">
        <v>40721</v>
      </c>
      <c r="R262" s="143" t="s">
        <v>1212</v>
      </c>
      <c r="S262" s="143" t="s">
        <v>2584</v>
      </c>
      <c r="T262" s="145" t="s">
        <v>3930</v>
      </c>
      <c r="U262" s="144">
        <v>10096.3362</v>
      </c>
      <c r="V262" s="146">
        <v>1.0599458587120621E-4</v>
      </c>
      <c r="W262" s="146">
        <v>5.8241226195532222E-3</v>
      </c>
      <c r="X262" s="147">
        <v>1.288720867165406E-3</v>
      </c>
      <c r="Y262" s="180"/>
    </row>
    <row r="263" spans="1:25" ht="15" x14ac:dyDescent="0.2">
      <c r="A263" s="142" t="s">
        <v>1220</v>
      </c>
      <c r="B263" s="143" t="s">
        <v>1220</v>
      </c>
      <c r="C263" s="143" t="s">
        <v>2576</v>
      </c>
      <c r="D263" s="143" t="s">
        <v>2577</v>
      </c>
      <c r="E263" s="143" t="s">
        <v>313</v>
      </c>
      <c r="F263" s="143" t="s">
        <v>2578</v>
      </c>
      <c r="G263" s="143" t="s">
        <v>2579</v>
      </c>
      <c r="H263" s="143" t="s">
        <v>321</v>
      </c>
      <c r="I263" s="143" t="s">
        <v>917</v>
      </c>
      <c r="J263" s="143" t="s">
        <v>205</v>
      </c>
      <c r="K263" s="143" t="s">
        <v>238</v>
      </c>
      <c r="L263" s="143" t="s">
        <v>325</v>
      </c>
      <c r="M263" s="143" t="s">
        <v>368</v>
      </c>
      <c r="N263" s="143" t="s">
        <v>544</v>
      </c>
      <c r="O263" s="143" t="s">
        <v>339</v>
      </c>
      <c r="P263" s="143" t="s">
        <v>1218</v>
      </c>
      <c r="Q263" s="144">
        <v>11655</v>
      </c>
      <c r="R263" s="143" t="s">
        <v>1219</v>
      </c>
      <c r="S263" s="143" t="s">
        <v>2580</v>
      </c>
      <c r="T263" s="145" t="s">
        <v>3930</v>
      </c>
      <c r="U263" s="144">
        <v>9892.1878000000015</v>
      </c>
      <c r="V263" s="146">
        <v>9.4871485969927657E-6</v>
      </c>
      <c r="W263" s="146">
        <v>5.7063585487866705E-3</v>
      </c>
      <c r="X263" s="147">
        <v>1.2626628623271011E-3</v>
      </c>
      <c r="Y263" s="180"/>
    </row>
    <row r="264" spans="1:25" ht="15" x14ac:dyDescent="0.2">
      <c r="A264" s="142" t="s">
        <v>1220</v>
      </c>
      <c r="B264" s="143" t="s">
        <v>1220</v>
      </c>
      <c r="C264" s="143" t="s">
        <v>2585</v>
      </c>
      <c r="D264" s="143" t="s">
        <v>2586</v>
      </c>
      <c r="E264" s="143" t="s">
        <v>309</v>
      </c>
      <c r="F264" s="143" t="s">
        <v>2585</v>
      </c>
      <c r="G264" s="143" t="s">
        <v>2587</v>
      </c>
      <c r="H264" s="143" t="s">
        <v>321</v>
      </c>
      <c r="I264" s="143" t="s">
        <v>917</v>
      </c>
      <c r="J264" s="143" t="s">
        <v>205</v>
      </c>
      <c r="K264" s="143" t="s">
        <v>204</v>
      </c>
      <c r="L264" s="143" t="s">
        <v>325</v>
      </c>
      <c r="M264" s="143" t="s">
        <v>344</v>
      </c>
      <c r="N264" s="143" t="s">
        <v>476</v>
      </c>
      <c r="O264" s="143" t="s">
        <v>339</v>
      </c>
      <c r="P264" s="143" t="s">
        <v>1211</v>
      </c>
      <c r="Q264" s="144">
        <v>8485</v>
      </c>
      <c r="R264" s="143" t="s">
        <v>1212</v>
      </c>
      <c r="S264" s="143" t="s">
        <v>2588</v>
      </c>
      <c r="T264" s="145" t="s">
        <v>3930</v>
      </c>
      <c r="U264" s="144">
        <v>9179.6933000000008</v>
      </c>
      <c r="V264" s="146">
        <v>2.0839473425680321E-4</v>
      </c>
      <c r="W264" s="146">
        <v>5.2953524795800204E-3</v>
      </c>
      <c r="X264" s="147">
        <v>1.1717183317054448E-3</v>
      </c>
      <c r="Y264" s="180"/>
    </row>
    <row r="265" spans="1:25" ht="15" x14ac:dyDescent="0.2">
      <c r="A265" s="142" t="s">
        <v>1220</v>
      </c>
      <c r="B265" s="143" t="s">
        <v>1220</v>
      </c>
      <c r="C265" s="143" t="s">
        <v>2598</v>
      </c>
      <c r="D265" s="143" t="s">
        <v>2599</v>
      </c>
      <c r="E265" s="143" t="s">
        <v>309</v>
      </c>
      <c r="F265" s="143" t="s">
        <v>2600</v>
      </c>
      <c r="G265" s="143" t="s">
        <v>2601</v>
      </c>
      <c r="H265" s="143" t="s">
        <v>321</v>
      </c>
      <c r="I265" s="143" t="s">
        <v>917</v>
      </c>
      <c r="J265" s="143" t="s">
        <v>205</v>
      </c>
      <c r="K265" s="143" t="s">
        <v>204</v>
      </c>
      <c r="L265" s="143" t="s">
        <v>325</v>
      </c>
      <c r="M265" s="143" t="s">
        <v>344</v>
      </c>
      <c r="N265" s="143" t="s">
        <v>544</v>
      </c>
      <c r="O265" s="143" t="s">
        <v>339</v>
      </c>
      <c r="P265" s="143" t="s">
        <v>1211</v>
      </c>
      <c r="Q265" s="144">
        <v>14438</v>
      </c>
      <c r="R265" s="143" t="s">
        <v>1212</v>
      </c>
      <c r="S265" s="143" t="s">
        <v>2602</v>
      </c>
      <c r="T265" s="145" t="s">
        <v>3930</v>
      </c>
      <c r="U265" s="144">
        <v>8954.457699999999</v>
      </c>
      <c r="V265" s="146">
        <v>2.4559851667885755E-4</v>
      </c>
      <c r="W265" s="146">
        <v>5.1654242152219792E-3</v>
      </c>
      <c r="X265" s="147">
        <v>1.1429687197122764E-3</v>
      </c>
      <c r="Y265" s="180"/>
    </row>
    <row r="266" spans="1:25" ht="15" x14ac:dyDescent="0.2">
      <c r="A266" s="142" t="s">
        <v>1220</v>
      </c>
      <c r="B266" s="143" t="s">
        <v>1220</v>
      </c>
      <c r="C266" s="143" t="s">
        <v>2589</v>
      </c>
      <c r="D266" s="143" t="s">
        <v>2590</v>
      </c>
      <c r="E266" s="143" t="s">
        <v>313</v>
      </c>
      <c r="F266" s="143" t="s">
        <v>2589</v>
      </c>
      <c r="G266" s="143" t="s">
        <v>2591</v>
      </c>
      <c r="H266" s="143" t="s">
        <v>321</v>
      </c>
      <c r="I266" s="143" t="s">
        <v>917</v>
      </c>
      <c r="J266" s="143" t="s">
        <v>205</v>
      </c>
      <c r="K266" s="143" t="s">
        <v>268</v>
      </c>
      <c r="L266" s="143" t="s">
        <v>325</v>
      </c>
      <c r="M266" s="143" t="s">
        <v>344</v>
      </c>
      <c r="N266" s="143" t="s">
        <v>544</v>
      </c>
      <c r="O266" s="143" t="s">
        <v>339</v>
      </c>
      <c r="P266" s="143" t="s">
        <v>1211</v>
      </c>
      <c r="Q266" s="144">
        <v>56965</v>
      </c>
      <c r="R266" s="143" t="s">
        <v>1212</v>
      </c>
      <c r="S266" s="143" t="s">
        <v>2592</v>
      </c>
      <c r="T266" s="145" t="s">
        <v>3930</v>
      </c>
      <c r="U266" s="144">
        <v>8453.6059999999998</v>
      </c>
      <c r="V266" s="146">
        <v>4.226495336498475E-5</v>
      </c>
      <c r="W266" s="146">
        <v>4.8765053752122672E-3</v>
      </c>
      <c r="X266" s="147">
        <v>1.0790387920030446E-3</v>
      </c>
      <c r="Y266" s="180"/>
    </row>
    <row r="267" spans="1:25" ht="15" x14ac:dyDescent="0.2">
      <c r="A267" s="142" t="s">
        <v>1220</v>
      </c>
      <c r="B267" s="143" t="s">
        <v>1220</v>
      </c>
      <c r="C267" s="143" t="s">
        <v>2593</v>
      </c>
      <c r="D267" s="143" t="s">
        <v>2594</v>
      </c>
      <c r="E267" s="143" t="s">
        <v>313</v>
      </c>
      <c r="F267" s="143" t="s">
        <v>2595</v>
      </c>
      <c r="G267" s="143" t="s">
        <v>2596</v>
      </c>
      <c r="H267" s="143" t="s">
        <v>321</v>
      </c>
      <c r="I267" s="143" t="s">
        <v>917</v>
      </c>
      <c r="J267" s="143" t="s">
        <v>205</v>
      </c>
      <c r="K267" s="143" t="s">
        <v>281</v>
      </c>
      <c r="L267" s="143" t="s">
        <v>325</v>
      </c>
      <c r="M267" s="143" t="s">
        <v>364</v>
      </c>
      <c r="N267" s="143" t="s">
        <v>517</v>
      </c>
      <c r="O267" s="143" t="s">
        <v>339</v>
      </c>
      <c r="P267" s="143" t="s">
        <v>1218</v>
      </c>
      <c r="Q267" s="144">
        <v>5049</v>
      </c>
      <c r="R267" s="143" t="s">
        <v>1219</v>
      </c>
      <c r="S267" s="143" t="s">
        <v>2597</v>
      </c>
      <c r="T267" s="145" t="s">
        <v>3930</v>
      </c>
      <c r="U267" s="144">
        <v>8429.1661999999997</v>
      </c>
      <c r="V267" s="146">
        <v>9.4069819219755218E-6</v>
      </c>
      <c r="W267" s="146">
        <v>4.8624071810015974E-3</v>
      </c>
      <c r="X267" s="147">
        <v>1.0759192428013084E-3</v>
      </c>
      <c r="Y267" s="180"/>
    </row>
    <row r="268" spans="1:25" ht="15" x14ac:dyDescent="0.2">
      <c r="A268" s="142" t="s">
        <v>1220</v>
      </c>
      <c r="B268" s="143" t="s">
        <v>1220</v>
      </c>
      <c r="C268" s="143" t="s">
        <v>2603</v>
      </c>
      <c r="D268" s="143" t="s">
        <v>2604</v>
      </c>
      <c r="E268" s="143" t="s">
        <v>313</v>
      </c>
      <c r="F268" s="143" t="s">
        <v>2605</v>
      </c>
      <c r="G268" s="143" t="s">
        <v>2606</v>
      </c>
      <c r="H268" s="143" t="s">
        <v>321</v>
      </c>
      <c r="I268" s="143" t="s">
        <v>917</v>
      </c>
      <c r="J268" s="143" t="s">
        <v>205</v>
      </c>
      <c r="K268" s="143" t="s">
        <v>224</v>
      </c>
      <c r="L268" s="143" t="s">
        <v>325</v>
      </c>
      <c r="M268" s="143" t="s">
        <v>344</v>
      </c>
      <c r="N268" s="143" t="s">
        <v>539</v>
      </c>
      <c r="O268" s="143" t="s">
        <v>339</v>
      </c>
      <c r="P268" s="143" t="s">
        <v>1211</v>
      </c>
      <c r="Q268" s="144">
        <v>4590</v>
      </c>
      <c r="R268" s="143" t="s">
        <v>1212</v>
      </c>
      <c r="S268" s="143" t="s">
        <v>2607</v>
      </c>
      <c r="T268" s="145" t="s">
        <v>3930</v>
      </c>
      <c r="U268" s="144">
        <v>7837.7214999999997</v>
      </c>
      <c r="V268" s="146">
        <v>3.4380116757572988E-6</v>
      </c>
      <c r="W268" s="146">
        <v>4.5212292946273849E-3</v>
      </c>
      <c r="X268" s="147">
        <v>1.0004258010750482E-3</v>
      </c>
      <c r="Y268" s="180"/>
    </row>
    <row r="269" spans="1:25" ht="15" x14ac:dyDescent="0.2">
      <c r="A269" s="142" t="s">
        <v>1220</v>
      </c>
      <c r="B269" s="143" t="s">
        <v>1220</v>
      </c>
      <c r="C269" s="143" t="s">
        <v>2613</v>
      </c>
      <c r="D269" s="143" t="s">
        <v>2614</v>
      </c>
      <c r="E269" s="143" t="s">
        <v>309</v>
      </c>
      <c r="F269" s="143" t="s">
        <v>2613</v>
      </c>
      <c r="G269" s="143" t="s">
        <v>2615</v>
      </c>
      <c r="H269" s="143" t="s">
        <v>321</v>
      </c>
      <c r="I269" s="143" t="s">
        <v>917</v>
      </c>
      <c r="J269" s="143" t="s">
        <v>205</v>
      </c>
      <c r="K269" s="143" t="s">
        <v>224</v>
      </c>
      <c r="L269" s="143" t="s">
        <v>325</v>
      </c>
      <c r="M269" s="143" t="s">
        <v>344</v>
      </c>
      <c r="N269" s="143" t="s">
        <v>544</v>
      </c>
      <c r="O269" s="143" t="s">
        <v>339</v>
      </c>
      <c r="P269" s="143" t="s">
        <v>1211</v>
      </c>
      <c r="Q269" s="144">
        <v>55700</v>
      </c>
      <c r="R269" s="143" t="s">
        <v>1212</v>
      </c>
      <c r="S269" s="143" t="s">
        <v>2616</v>
      </c>
      <c r="T269" s="145" t="s">
        <v>3930</v>
      </c>
      <c r="U269" s="144">
        <v>6001.0289000000002</v>
      </c>
      <c r="V269" s="146">
        <v>5.5538937082460864E-4</v>
      </c>
      <c r="W269" s="146">
        <v>3.4617238596315056E-3</v>
      </c>
      <c r="X269" s="147">
        <v>7.6598589447516056E-4</v>
      </c>
      <c r="Y269" s="180"/>
    </row>
    <row r="270" spans="1:25" ht="15" x14ac:dyDescent="0.2">
      <c r="A270" s="142" t="s">
        <v>1220</v>
      </c>
      <c r="B270" s="143" t="s">
        <v>1220</v>
      </c>
      <c r="C270" s="143" t="s">
        <v>2608</v>
      </c>
      <c r="D270" s="143" t="s">
        <v>2609</v>
      </c>
      <c r="E270" s="143" t="s">
        <v>313</v>
      </c>
      <c r="F270" s="143" t="s">
        <v>2610</v>
      </c>
      <c r="G270" s="143" t="s">
        <v>2611</v>
      </c>
      <c r="H270" s="143" t="s">
        <v>321</v>
      </c>
      <c r="I270" s="143" t="s">
        <v>917</v>
      </c>
      <c r="J270" s="143" t="s">
        <v>205</v>
      </c>
      <c r="K270" s="143" t="s">
        <v>268</v>
      </c>
      <c r="L270" s="143" t="s">
        <v>325</v>
      </c>
      <c r="M270" s="143" t="s">
        <v>344</v>
      </c>
      <c r="N270" s="143" t="s">
        <v>546</v>
      </c>
      <c r="O270" s="143" t="s">
        <v>339</v>
      </c>
      <c r="P270" s="143" t="s">
        <v>1211</v>
      </c>
      <c r="Q270" s="144">
        <v>15038</v>
      </c>
      <c r="R270" s="143" t="s">
        <v>1212</v>
      </c>
      <c r="S270" s="143" t="s">
        <v>2612</v>
      </c>
      <c r="T270" s="145" t="s">
        <v>3930</v>
      </c>
      <c r="U270" s="144">
        <v>5874.2322999999997</v>
      </c>
      <c r="V270" s="146">
        <v>5.4557063975213866E-5</v>
      </c>
      <c r="W270" s="146">
        <v>3.3885806020704933E-3</v>
      </c>
      <c r="X270" s="147">
        <v>7.4980126917299598E-4</v>
      </c>
      <c r="Y270" s="180"/>
    </row>
    <row r="271" spans="1:25" ht="15" x14ac:dyDescent="0.2">
      <c r="A271" s="142" t="s">
        <v>1220</v>
      </c>
      <c r="B271" s="143" t="s">
        <v>1220</v>
      </c>
      <c r="C271" s="143" t="s">
        <v>2617</v>
      </c>
      <c r="D271" s="143" t="s">
        <v>2618</v>
      </c>
      <c r="E271" s="143" t="s">
        <v>313</v>
      </c>
      <c r="F271" s="143" t="s">
        <v>2619</v>
      </c>
      <c r="G271" s="143" t="s">
        <v>2620</v>
      </c>
      <c r="H271" s="143" t="s">
        <v>321</v>
      </c>
      <c r="I271" s="143" t="s">
        <v>917</v>
      </c>
      <c r="J271" s="143" t="s">
        <v>205</v>
      </c>
      <c r="K271" s="143" t="s">
        <v>224</v>
      </c>
      <c r="L271" s="143" t="s">
        <v>325</v>
      </c>
      <c r="M271" s="143" t="s">
        <v>344</v>
      </c>
      <c r="N271" s="143" t="s">
        <v>544</v>
      </c>
      <c r="O271" s="143" t="s">
        <v>339</v>
      </c>
      <c r="P271" s="143" t="s">
        <v>1211</v>
      </c>
      <c r="Q271" s="144">
        <v>11259</v>
      </c>
      <c r="R271" s="143" t="s">
        <v>1212</v>
      </c>
      <c r="S271" s="143" t="s">
        <v>2621</v>
      </c>
      <c r="T271" s="145" t="s">
        <v>3930</v>
      </c>
      <c r="U271" s="144">
        <v>4797.8044</v>
      </c>
      <c r="V271" s="146">
        <v>3.4190707561494079E-5</v>
      </c>
      <c r="W271" s="146">
        <v>2.7676377476878273E-3</v>
      </c>
      <c r="X271" s="147">
        <v>6.1240340411541276E-4</v>
      </c>
      <c r="Y271" s="180"/>
    </row>
    <row r="272" spans="1:25" ht="15" x14ac:dyDescent="0.2">
      <c r="A272" s="142" t="s">
        <v>1220</v>
      </c>
      <c r="B272" s="143" t="s">
        <v>1220</v>
      </c>
      <c r="C272" s="143" t="s">
        <v>2622</v>
      </c>
      <c r="D272" s="143" t="s">
        <v>2623</v>
      </c>
      <c r="E272" s="143" t="s">
        <v>313</v>
      </c>
      <c r="F272" s="143" t="s">
        <v>2624</v>
      </c>
      <c r="G272" s="143" t="s">
        <v>2625</v>
      </c>
      <c r="H272" s="143" t="s">
        <v>321</v>
      </c>
      <c r="I272" s="143" t="s">
        <v>917</v>
      </c>
      <c r="J272" s="143" t="s">
        <v>205</v>
      </c>
      <c r="K272" s="143" t="s">
        <v>224</v>
      </c>
      <c r="L272" s="143" t="s">
        <v>325</v>
      </c>
      <c r="M272" s="143" t="s">
        <v>344</v>
      </c>
      <c r="N272" s="143" t="s">
        <v>489</v>
      </c>
      <c r="O272" s="143" t="s">
        <v>339</v>
      </c>
      <c r="P272" s="143" t="s">
        <v>1211</v>
      </c>
      <c r="Q272" s="144">
        <v>180000</v>
      </c>
      <c r="R272" s="143" t="s">
        <v>1212</v>
      </c>
      <c r="S272" s="143" t="s">
        <v>2626</v>
      </c>
      <c r="T272" s="145" t="s">
        <v>3930</v>
      </c>
      <c r="U272" s="144">
        <v>4006.8</v>
      </c>
      <c r="V272" s="146">
        <v>1.7307692307692309E-2</v>
      </c>
      <c r="W272" s="146">
        <v>2.3113428443909631E-3</v>
      </c>
      <c r="X272" s="147">
        <v>5.1143767899731768E-4</v>
      </c>
      <c r="Y272" s="180"/>
    </row>
    <row r="273" spans="1:25" ht="15" x14ac:dyDescent="0.2">
      <c r="A273" s="142" t="s">
        <v>1220</v>
      </c>
      <c r="B273" s="143" t="s">
        <v>1220</v>
      </c>
      <c r="C273" s="143" t="s">
        <v>2627</v>
      </c>
      <c r="D273" s="143" t="s">
        <v>2628</v>
      </c>
      <c r="E273" s="143" t="s">
        <v>313</v>
      </c>
      <c r="F273" s="143" t="s">
        <v>2629</v>
      </c>
      <c r="G273" s="143" t="s">
        <v>2630</v>
      </c>
      <c r="H273" s="143" t="s">
        <v>321</v>
      </c>
      <c r="I273" s="143" t="s">
        <v>917</v>
      </c>
      <c r="J273" s="143" t="s">
        <v>205</v>
      </c>
      <c r="K273" s="143" t="s">
        <v>224</v>
      </c>
      <c r="L273" s="143" t="s">
        <v>325</v>
      </c>
      <c r="M273" s="143" t="s">
        <v>344</v>
      </c>
      <c r="N273" s="143" t="s">
        <v>548</v>
      </c>
      <c r="O273" s="143" t="s">
        <v>339</v>
      </c>
      <c r="P273" s="143" t="s">
        <v>1211</v>
      </c>
      <c r="Q273" s="144">
        <v>36066</v>
      </c>
      <c r="R273" s="143" t="s">
        <v>1212</v>
      </c>
      <c r="S273" s="143" t="s">
        <v>2631</v>
      </c>
      <c r="T273" s="145" t="s">
        <v>3930</v>
      </c>
      <c r="U273" s="144">
        <v>3065.4692999999997</v>
      </c>
      <c r="V273" s="146">
        <v>6.4524554969138564E-4</v>
      </c>
      <c r="W273" s="146">
        <v>1.768331493889982E-3</v>
      </c>
      <c r="X273" s="147">
        <v>3.9128394869141896E-4</v>
      </c>
      <c r="Y273" s="180"/>
    </row>
    <row r="274" spans="1:25" ht="15" x14ac:dyDescent="0.2">
      <c r="A274" s="142" t="s">
        <v>1220</v>
      </c>
      <c r="B274" s="143" t="s">
        <v>1220</v>
      </c>
      <c r="C274" s="143" t="s">
        <v>2632</v>
      </c>
      <c r="D274" s="143" t="s">
        <v>2633</v>
      </c>
      <c r="E274" s="143" t="s">
        <v>313</v>
      </c>
      <c r="F274" s="143" t="s">
        <v>2632</v>
      </c>
      <c r="G274" s="143" t="s">
        <v>2634</v>
      </c>
      <c r="H274" s="143" t="s">
        <v>321</v>
      </c>
      <c r="I274" s="143" t="s">
        <v>917</v>
      </c>
      <c r="J274" s="143" t="s">
        <v>205</v>
      </c>
      <c r="K274" s="143" t="s">
        <v>272</v>
      </c>
      <c r="L274" s="143" t="s">
        <v>325</v>
      </c>
      <c r="M274" s="143" t="s">
        <v>394</v>
      </c>
      <c r="N274" s="143" t="s">
        <v>568</v>
      </c>
      <c r="O274" s="143" t="s">
        <v>339</v>
      </c>
      <c r="P274" s="143" t="s">
        <v>1218</v>
      </c>
      <c r="Q274" s="144">
        <v>76833</v>
      </c>
      <c r="R274" s="143" t="s">
        <v>1219</v>
      </c>
      <c r="S274" s="143" t="s">
        <v>2635</v>
      </c>
      <c r="T274" s="145" t="s">
        <v>3930</v>
      </c>
      <c r="U274" s="144">
        <v>2057.8166999999999</v>
      </c>
      <c r="V274" s="146">
        <v>2.1283379501385043E-2</v>
      </c>
      <c r="W274" s="146">
        <v>1.1870619721527822E-3</v>
      </c>
      <c r="X274" s="147">
        <v>2.6266471948854043E-4</v>
      </c>
      <c r="Y274" s="180"/>
    </row>
    <row r="275" spans="1:25" ht="15" x14ac:dyDescent="0.2">
      <c r="A275" s="142" t="s">
        <v>1220</v>
      </c>
      <c r="B275" s="143" t="s">
        <v>1220</v>
      </c>
      <c r="C275" s="143" t="s">
        <v>2636</v>
      </c>
      <c r="D275" s="143" t="s">
        <v>2637</v>
      </c>
      <c r="E275" s="143" t="s">
        <v>309</v>
      </c>
      <c r="F275" s="143" t="s">
        <v>2638</v>
      </c>
      <c r="G275" s="143" t="s">
        <v>2639</v>
      </c>
      <c r="H275" s="143" t="s">
        <v>321</v>
      </c>
      <c r="I275" s="143" t="s">
        <v>917</v>
      </c>
      <c r="J275" s="143" t="s">
        <v>205</v>
      </c>
      <c r="K275" s="143" t="s">
        <v>204</v>
      </c>
      <c r="L275" s="143" t="s">
        <v>325</v>
      </c>
      <c r="M275" s="143" t="s">
        <v>344</v>
      </c>
      <c r="N275" s="143" t="s">
        <v>533</v>
      </c>
      <c r="O275" s="143" t="s">
        <v>339</v>
      </c>
      <c r="P275" s="143" t="s">
        <v>1211</v>
      </c>
      <c r="Q275" s="144">
        <v>19851</v>
      </c>
      <c r="R275" s="143" t="s">
        <v>1212</v>
      </c>
      <c r="S275" s="143" t="s">
        <v>2640</v>
      </c>
      <c r="T275" s="145" t="s">
        <v>3930</v>
      </c>
      <c r="U275" s="144">
        <v>935.31959999999992</v>
      </c>
      <c r="V275" s="146">
        <v>8.5972282373321786E-4</v>
      </c>
      <c r="W275" s="146">
        <v>5.3954382260265154E-4</v>
      </c>
      <c r="X275" s="147">
        <v>1.1938646013458526E-4</v>
      </c>
      <c r="Y275" s="180"/>
    </row>
    <row r="276" spans="1:25" ht="15" x14ac:dyDescent="0.2">
      <c r="A276" s="142" t="s">
        <v>1220</v>
      </c>
      <c r="B276" s="143" t="s">
        <v>1220</v>
      </c>
      <c r="C276" s="143" t="s">
        <v>2641</v>
      </c>
      <c r="D276" s="143" t="s">
        <v>2642</v>
      </c>
      <c r="E276" s="143" t="s">
        <v>313</v>
      </c>
      <c r="F276" s="143" t="s">
        <v>2641</v>
      </c>
      <c r="G276" s="143" t="s">
        <v>2643</v>
      </c>
      <c r="H276" s="143" t="s">
        <v>321</v>
      </c>
      <c r="I276" s="143" t="s">
        <v>917</v>
      </c>
      <c r="J276" s="143" t="s">
        <v>205</v>
      </c>
      <c r="K276" s="143" t="s">
        <v>224</v>
      </c>
      <c r="L276" s="143" t="s">
        <v>325</v>
      </c>
      <c r="M276" s="143" t="s">
        <v>344</v>
      </c>
      <c r="N276" s="143" t="s">
        <v>544</v>
      </c>
      <c r="O276" s="143" t="s">
        <v>339</v>
      </c>
      <c r="P276" s="143" t="s">
        <v>1211</v>
      </c>
      <c r="Q276" s="144">
        <v>431</v>
      </c>
      <c r="R276" s="143" t="s">
        <v>1212</v>
      </c>
      <c r="S276" s="143" t="s">
        <v>2644</v>
      </c>
      <c r="T276" s="145" t="s">
        <v>3930</v>
      </c>
      <c r="U276" s="144">
        <v>50.512699999999995</v>
      </c>
      <c r="V276" s="146">
        <v>3.7735188281954525E-6</v>
      </c>
      <c r="W276" s="146">
        <v>2.9138521403525774E-5</v>
      </c>
      <c r="X276" s="147">
        <v>6.4475669596994349E-6</v>
      </c>
      <c r="Y276" s="180"/>
    </row>
    <row r="277" spans="1:25" ht="15" x14ac:dyDescent="0.2">
      <c r="A277" s="142" t="s">
        <v>1220</v>
      </c>
      <c r="B277" s="143" t="s">
        <v>1220</v>
      </c>
      <c r="C277" s="143" t="s">
        <v>2645</v>
      </c>
      <c r="D277" s="143" t="s">
        <v>2646</v>
      </c>
      <c r="E277" s="143" t="s">
        <v>309</v>
      </c>
      <c r="F277" s="143" t="s">
        <v>2645</v>
      </c>
      <c r="G277" s="143" t="s">
        <v>2647</v>
      </c>
      <c r="H277" s="143" t="s">
        <v>321</v>
      </c>
      <c r="I277" s="143" t="s">
        <v>917</v>
      </c>
      <c r="J277" s="143" t="s">
        <v>205</v>
      </c>
      <c r="K277" s="143" t="s">
        <v>204</v>
      </c>
      <c r="L277" s="143" t="s">
        <v>325</v>
      </c>
      <c r="M277" s="143" t="s">
        <v>344</v>
      </c>
      <c r="N277" s="143" t="s">
        <v>533</v>
      </c>
      <c r="O277" s="143" t="s">
        <v>339</v>
      </c>
      <c r="P277" s="143" t="s">
        <v>1211</v>
      </c>
      <c r="Q277" s="144">
        <v>737327</v>
      </c>
      <c r="R277" s="143" t="s">
        <v>1212</v>
      </c>
      <c r="S277" s="143" t="s">
        <v>2648</v>
      </c>
      <c r="T277" s="145" t="s">
        <v>3930</v>
      </c>
      <c r="U277" s="144">
        <v>46.5032</v>
      </c>
      <c r="V277" s="146">
        <v>9.9128406447883191E-3</v>
      </c>
      <c r="W277" s="146">
        <v>2.6825614122450323E-5</v>
      </c>
      <c r="X277" s="147">
        <v>5.9357831131619815E-6</v>
      </c>
      <c r="Y277" s="180"/>
    </row>
    <row r="278" spans="1:25" ht="15" x14ac:dyDescent="0.2">
      <c r="A278" s="142" t="s">
        <v>1220</v>
      </c>
      <c r="B278" s="143" t="s">
        <v>1220</v>
      </c>
      <c r="C278" s="143" t="s">
        <v>2649</v>
      </c>
      <c r="D278" s="143" t="s">
        <v>2650</v>
      </c>
      <c r="E278" s="143" t="s">
        <v>313</v>
      </c>
      <c r="F278" s="143" t="s">
        <v>2649</v>
      </c>
      <c r="G278" s="143" t="s">
        <v>2651</v>
      </c>
      <c r="H278" s="143" t="s">
        <v>321</v>
      </c>
      <c r="I278" s="143" t="s">
        <v>917</v>
      </c>
      <c r="J278" s="143" t="s">
        <v>205</v>
      </c>
      <c r="K278" s="143" t="s">
        <v>224</v>
      </c>
      <c r="L278" s="143" t="s">
        <v>325</v>
      </c>
      <c r="M278" s="143" t="s">
        <v>344</v>
      </c>
      <c r="N278" s="143" t="s">
        <v>544</v>
      </c>
      <c r="O278" s="143" t="s">
        <v>339</v>
      </c>
      <c r="P278" s="143" t="s">
        <v>1211</v>
      </c>
      <c r="Q278" s="144">
        <v>38</v>
      </c>
      <c r="R278" s="143" t="s">
        <v>1212</v>
      </c>
      <c r="S278" s="143" t="s">
        <v>2652</v>
      </c>
      <c r="T278" s="145" t="s">
        <v>3930</v>
      </c>
      <c r="U278" s="144">
        <v>1.0489000000000002</v>
      </c>
      <c r="V278" s="146">
        <v>3.063034015798807E-7</v>
      </c>
      <c r="W278" s="146">
        <v>6.0505819348723432E-7</v>
      </c>
      <c r="X278" s="147">
        <v>1.3388301907974227E-7</v>
      </c>
      <c r="Y278" s="180"/>
    </row>
    <row r="279" spans="1:25" ht="15" x14ac:dyDescent="0.2">
      <c r="A279" s="154" t="s">
        <v>1205</v>
      </c>
      <c r="B279" s="155" t="s">
        <v>1206</v>
      </c>
      <c r="C279" s="145" t="s">
        <v>3930</v>
      </c>
      <c r="D279" s="145" t="s">
        <v>3930</v>
      </c>
      <c r="E279" s="145" t="s">
        <v>3930</v>
      </c>
      <c r="F279" s="145" t="s">
        <v>3930</v>
      </c>
      <c r="G279" s="145" t="s">
        <v>3930</v>
      </c>
      <c r="H279" s="145" t="s">
        <v>3930</v>
      </c>
      <c r="I279" s="145" t="s">
        <v>3930</v>
      </c>
      <c r="J279" s="145" t="s">
        <v>3930</v>
      </c>
      <c r="K279" s="145" t="s">
        <v>3930</v>
      </c>
      <c r="L279" s="145" t="s">
        <v>3930</v>
      </c>
      <c r="M279" s="145" t="s">
        <v>3930</v>
      </c>
      <c r="N279" s="145" t="s">
        <v>3930</v>
      </c>
      <c r="O279" s="145" t="s">
        <v>3930</v>
      </c>
      <c r="P279" s="145" t="s">
        <v>3930</v>
      </c>
      <c r="Q279" s="145" t="s">
        <v>3930</v>
      </c>
      <c r="R279" s="145" t="s">
        <v>3930</v>
      </c>
      <c r="S279" s="145" t="s">
        <v>3930</v>
      </c>
      <c r="T279" s="145" t="s">
        <v>3930</v>
      </c>
      <c r="U279" s="145" t="s">
        <v>3930</v>
      </c>
      <c r="V279" s="145" t="s">
        <v>3930</v>
      </c>
      <c r="W279" s="145" t="s">
        <v>3930</v>
      </c>
      <c r="X279" s="156" t="s">
        <v>3930</v>
      </c>
      <c r="Y279" s="180"/>
    </row>
    <row r="280" spans="1:25" ht="15" x14ac:dyDescent="0.2">
      <c r="A280" s="154" t="s">
        <v>1205</v>
      </c>
      <c r="B280" s="155" t="s">
        <v>1215</v>
      </c>
      <c r="C280" s="145" t="s">
        <v>3930</v>
      </c>
      <c r="D280" s="145" t="s">
        <v>3930</v>
      </c>
      <c r="E280" s="145" t="s">
        <v>3930</v>
      </c>
      <c r="F280" s="145" t="s">
        <v>3930</v>
      </c>
      <c r="G280" s="145" t="s">
        <v>3930</v>
      </c>
      <c r="H280" s="145" t="s">
        <v>3930</v>
      </c>
      <c r="I280" s="145" t="s">
        <v>3930</v>
      </c>
      <c r="J280" s="145" t="s">
        <v>3930</v>
      </c>
      <c r="K280" s="145" t="s">
        <v>3930</v>
      </c>
      <c r="L280" s="145" t="s">
        <v>3930</v>
      </c>
      <c r="M280" s="145" t="s">
        <v>3930</v>
      </c>
      <c r="N280" s="145" t="s">
        <v>3930</v>
      </c>
      <c r="O280" s="145" t="s">
        <v>3930</v>
      </c>
      <c r="P280" s="145" t="s">
        <v>3930</v>
      </c>
      <c r="Q280" s="145" t="s">
        <v>3930</v>
      </c>
      <c r="R280" s="145" t="s">
        <v>3930</v>
      </c>
      <c r="S280" s="145" t="s">
        <v>3930</v>
      </c>
      <c r="T280" s="145" t="s">
        <v>3930</v>
      </c>
      <c r="U280" s="145" t="s">
        <v>3930</v>
      </c>
      <c r="V280" s="145" t="s">
        <v>3930</v>
      </c>
      <c r="W280" s="145" t="s">
        <v>3930</v>
      </c>
      <c r="X280" s="156" t="s">
        <v>3930</v>
      </c>
      <c r="Y280" s="180"/>
    </row>
    <row r="281" spans="1:25" ht="15" x14ac:dyDescent="0.2">
      <c r="A281" s="154" t="s">
        <v>1220</v>
      </c>
      <c r="B281" s="155" t="s">
        <v>1221</v>
      </c>
      <c r="C281" s="145" t="s">
        <v>3930</v>
      </c>
      <c r="D281" s="145" t="s">
        <v>3930</v>
      </c>
      <c r="E281" s="145" t="s">
        <v>3930</v>
      </c>
      <c r="F281" s="145" t="s">
        <v>3930</v>
      </c>
      <c r="G281" s="145" t="s">
        <v>3930</v>
      </c>
      <c r="H281" s="145" t="s">
        <v>3930</v>
      </c>
      <c r="I281" s="145" t="s">
        <v>3930</v>
      </c>
      <c r="J281" s="145" t="s">
        <v>3930</v>
      </c>
      <c r="K281" s="145" t="s">
        <v>3930</v>
      </c>
      <c r="L281" s="145" t="s">
        <v>3930</v>
      </c>
      <c r="M281" s="145" t="s">
        <v>3930</v>
      </c>
      <c r="N281" s="145" t="s">
        <v>3930</v>
      </c>
      <c r="O281" s="145" t="s">
        <v>3930</v>
      </c>
      <c r="P281" s="145" t="s">
        <v>3930</v>
      </c>
      <c r="Q281" s="145" t="s">
        <v>3930</v>
      </c>
      <c r="R281" s="145" t="s">
        <v>3930</v>
      </c>
      <c r="S281" s="145" t="s">
        <v>3930</v>
      </c>
      <c r="T281" s="145" t="s">
        <v>3930</v>
      </c>
      <c r="U281" s="145" t="s">
        <v>3930</v>
      </c>
      <c r="V281" s="145" t="s">
        <v>3930</v>
      </c>
      <c r="W281" s="145" t="s">
        <v>3930</v>
      </c>
      <c r="X281" s="156" t="s">
        <v>3930</v>
      </c>
      <c r="Y281" s="180"/>
    </row>
    <row r="282" spans="1:25" ht="15" x14ac:dyDescent="0.2">
      <c r="A282" s="157" t="s">
        <v>1220</v>
      </c>
      <c r="B282" s="158" t="s">
        <v>1222</v>
      </c>
      <c r="C282" s="151" t="s">
        <v>3930</v>
      </c>
      <c r="D282" s="151" t="s">
        <v>3930</v>
      </c>
      <c r="E282" s="151" t="s">
        <v>3930</v>
      </c>
      <c r="F282" s="151" t="s">
        <v>3930</v>
      </c>
      <c r="G282" s="151" t="s">
        <v>3930</v>
      </c>
      <c r="H282" s="151" t="s">
        <v>3930</v>
      </c>
      <c r="I282" s="151" t="s">
        <v>3930</v>
      </c>
      <c r="J282" s="151" t="s">
        <v>3930</v>
      </c>
      <c r="K282" s="151" t="s">
        <v>3930</v>
      </c>
      <c r="L282" s="151" t="s">
        <v>3930</v>
      </c>
      <c r="M282" s="151" t="s">
        <v>3930</v>
      </c>
      <c r="N282" s="151" t="s">
        <v>3930</v>
      </c>
      <c r="O282" s="151" t="s">
        <v>3930</v>
      </c>
      <c r="P282" s="151" t="s">
        <v>3930</v>
      </c>
      <c r="Q282" s="151" t="s">
        <v>3930</v>
      </c>
      <c r="R282" s="151" t="s">
        <v>3930</v>
      </c>
      <c r="S282" s="151" t="s">
        <v>3930</v>
      </c>
      <c r="T282" s="151" t="s">
        <v>3930</v>
      </c>
      <c r="U282" s="151" t="s">
        <v>3930</v>
      </c>
      <c r="V282" s="151" t="s">
        <v>3930</v>
      </c>
      <c r="W282" s="151" t="s">
        <v>3930</v>
      </c>
      <c r="X282" s="159" t="s">
        <v>3930</v>
      </c>
      <c r="Y282" s="180"/>
    </row>
    <row r="283" spans="1:25" x14ac:dyDescent="0.2">
      <c r="A283" s="180" t="s">
        <v>3946</v>
      </c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</row>
    <row r="284" spans="1:25" x14ac:dyDescent="0.2">
      <c r="A284" s="4" t="s">
        <v>3945</v>
      </c>
    </row>
    <row r="285" spans="1:25" x14ac:dyDescent="0.2">
      <c r="A285" s="18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3:X283"/>
    <mergeCell ref="Y2:Y282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35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6.375" style="2" bestFit="1" customWidth="1"/>
    <col min="5" max="5" width="18.125" style="4" customWidth="1"/>
    <col min="6" max="6" width="47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1" style="2" bestFit="1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3955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90</v>
      </c>
      <c r="N2" s="140" t="s">
        <v>56</v>
      </c>
      <c r="O2" s="140" t="s">
        <v>59</v>
      </c>
      <c r="P2" s="140" t="s">
        <v>76</v>
      </c>
      <c r="Q2" s="140" t="s">
        <v>61</v>
      </c>
      <c r="R2" s="140" t="s">
        <v>77</v>
      </c>
      <c r="S2" s="140" t="s">
        <v>75</v>
      </c>
      <c r="T2" s="140" t="s">
        <v>63</v>
      </c>
      <c r="U2" s="140" t="s">
        <v>79</v>
      </c>
      <c r="V2" s="140" t="s">
        <v>64</v>
      </c>
      <c r="W2" s="141" t="s">
        <v>65</v>
      </c>
      <c r="X2" s="177" t="s">
        <v>3947</v>
      </c>
    </row>
    <row r="3" spans="1:24" ht="15" x14ac:dyDescent="0.2">
      <c r="A3" s="142" t="s">
        <v>1205</v>
      </c>
      <c r="B3" s="143" t="s">
        <v>1206</v>
      </c>
      <c r="C3" s="143" t="s">
        <v>2653</v>
      </c>
      <c r="D3" s="143" t="s">
        <v>2654</v>
      </c>
      <c r="E3" s="143" t="s">
        <v>309</v>
      </c>
      <c r="F3" s="143" t="s">
        <v>2655</v>
      </c>
      <c r="G3" s="143" t="s">
        <v>2656</v>
      </c>
      <c r="H3" s="143" t="s">
        <v>321</v>
      </c>
      <c r="I3" s="143" t="s">
        <v>964</v>
      </c>
      <c r="J3" s="143" t="s">
        <v>204</v>
      </c>
      <c r="K3" s="143" t="s">
        <v>204</v>
      </c>
      <c r="L3" s="143" t="s">
        <v>340</v>
      </c>
      <c r="M3" s="143" t="s">
        <v>572</v>
      </c>
      <c r="N3" s="143" t="s">
        <v>339</v>
      </c>
      <c r="O3" s="143" t="s">
        <v>1210</v>
      </c>
      <c r="P3" s="144">
        <v>4193</v>
      </c>
      <c r="Q3" s="145" t="s">
        <v>3930</v>
      </c>
      <c r="R3" s="143" t="s">
        <v>2657</v>
      </c>
      <c r="S3" s="144" t="s">
        <v>3928</v>
      </c>
      <c r="T3" s="144">
        <v>868.37030000000004</v>
      </c>
      <c r="U3" s="146">
        <v>1.9966666666666666E-3</v>
      </c>
      <c r="V3" s="146">
        <v>9.293578019658405E-2</v>
      </c>
      <c r="W3" s="147">
        <v>5.6489115439358924E-2</v>
      </c>
      <c r="X3" s="177"/>
    </row>
    <row r="4" spans="1:24" ht="15" x14ac:dyDescent="0.2">
      <c r="A4" s="142" t="s">
        <v>1205</v>
      </c>
      <c r="B4" s="143" t="s">
        <v>1206</v>
      </c>
      <c r="C4" s="143" t="s">
        <v>2658</v>
      </c>
      <c r="D4" s="143" t="s">
        <v>2659</v>
      </c>
      <c r="E4" s="143" t="s">
        <v>309</v>
      </c>
      <c r="F4" s="143" t="s">
        <v>2660</v>
      </c>
      <c r="G4" s="143" t="s">
        <v>2661</v>
      </c>
      <c r="H4" s="143" t="s">
        <v>321</v>
      </c>
      <c r="I4" s="143" t="s">
        <v>964</v>
      </c>
      <c r="J4" s="143" t="s">
        <v>204</v>
      </c>
      <c r="K4" s="143" t="s">
        <v>204</v>
      </c>
      <c r="L4" s="143" t="s">
        <v>340</v>
      </c>
      <c r="M4" s="143" t="s">
        <v>572</v>
      </c>
      <c r="N4" s="143" t="s">
        <v>339</v>
      </c>
      <c r="O4" s="143" t="s">
        <v>1210</v>
      </c>
      <c r="P4" s="144">
        <v>32425</v>
      </c>
      <c r="Q4" s="145" t="s">
        <v>3930</v>
      </c>
      <c r="R4" s="143" t="s">
        <v>2662</v>
      </c>
      <c r="S4" s="144" t="s">
        <v>3928</v>
      </c>
      <c r="T4" s="144">
        <v>669.57630000000006</v>
      </c>
      <c r="U4" s="146">
        <v>1.706578947368421E-3</v>
      </c>
      <c r="V4" s="146">
        <v>7.1660202099096446E-2</v>
      </c>
      <c r="W4" s="147">
        <v>4.3557189924278907E-2</v>
      </c>
      <c r="X4" s="177"/>
    </row>
    <row r="5" spans="1:24" ht="15" x14ac:dyDescent="0.2">
      <c r="A5" s="142" t="s">
        <v>1205</v>
      </c>
      <c r="B5" s="143" t="s">
        <v>1206</v>
      </c>
      <c r="C5" s="143" t="s">
        <v>2663</v>
      </c>
      <c r="D5" s="143" t="s">
        <v>2664</v>
      </c>
      <c r="E5" s="143" t="s">
        <v>309</v>
      </c>
      <c r="F5" s="143" t="s">
        <v>2665</v>
      </c>
      <c r="G5" s="143" t="s">
        <v>2666</v>
      </c>
      <c r="H5" s="143" t="s">
        <v>321</v>
      </c>
      <c r="I5" s="143" t="s">
        <v>964</v>
      </c>
      <c r="J5" s="143" t="s">
        <v>204</v>
      </c>
      <c r="K5" s="143" t="s">
        <v>204</v>
      </c>
      <c r="L5" s="143" t="s">
        <v>340</v>
      </c>
      <c r="M5" s="143" t="s">
        <v>572</v>
      </c>
      <c r="N5" s="143" t="s">
        <v>339</v>
      </c>
      <c r="O5" s="143" t="s">
        <v>1210</v>
      </c>
      <c r="P5" s="144">
        <v>10208</v>
      </c>
      <c r="Q5" s="145" t="s">
        <v>3930</v>
      </c>
      <c r="R5" s="143" t="s">
        <v>2667</v>
      </c>
      <c r="S5" s="144" t="s">
        <v>3928</v>
      </c>
      <c r="T5" s="144">
        <v>211.50979999999998</v>
      </c>
      <c r="U5" s="146">
        <v>5.0039608153789445E-4</v>
      </c>
      <c r="V5" s="146">
        <v>2.2636454246295901E-2</v>
      </c>
      <c r="W5" s="147">
        <v>1.3759106281261693E-2</v>
      </c>
      <c r="X5" s="177"/>
    </row>
    <row r="6" spans="1:24" ht="15" x14ac:dyDescent="0.2">
      <c r="A6" s="142" t="s">
        <v>1205</v>
      </c>
      <c r="B6" s="143" t="s">
        <v>1206</v>
      </c>
      <c r="C6" s="143" t="s">
        <v>2668</v>
      </c>
      <c r="D6" s="143" t="s">
        <v>2669</v>
      </c>
      <c r="E6" s="143" t="s">
        <v>309</v>
      </c>
      <c r="F6" s="143" t="s">
        <v>2670</v>
      </c>
      <c r="G6" s="143" t="s">
        <v>2671</v>
      </c>
      <c r="H6" s="143" t="s">
        <v>321</v>
      </c>
      <c r="I6" s="143" t="s">
        <v>964</v>
      </c>
      <c r="J6" s="143" t="s">
        <v>204</v>
      </c>
      <c r="K6" s="143" t="s">
        <v>204</v>
      </c>
      <c r="L6" s="143" t="s">
        <v>340</v>
      </c>
      <c r="M6" s="143" t="s">
        <v>572</v>
      </c>
      <c r="N6" s="143" t="s">
        <v>339</v>
      </c>
      <c r="O6" s="143" t="s">
        <v>1210</v>
      </c>
      <c r="P6" s="144">
        <v>1480</v>
      </c>
      <c r="Q6" s="145" t="s">
        <v>3930</v>
      </c>
      <c r="R6" s="143" t="s">
        <v>2672</v>
      </c>
      <c r="S6" s="144" t="s">
        <v>3928</v>
      </c>
      <c r="T6" s="144">
        <v>47.996400000000001</v>
      </c>
      <c r="U6" s="146">
        <v>1.6444444444444444E-4</v>
      </c>
      <c r="V6" s="146">
        <v>5.1367289745254145E-3</v>
      </c>
      <c r="W6" s="147">
        <v>3.1222557706932709E-3</v>
      </c>
      <c r="X6" s="177"/>
    </row>
    <row r="7" spans="1:24" ht="15" x14ac:dyDescent="0.2">
      <c r="A7" s="142" t="s">
        <v>1205</v>
      </c>
      <c r="B7" s="143" t="s">
        <v>1206</v>
      </c>
      <c r="C7" s="143" t="s">
        <v>2658</v>
      </c>
      <c r="D7" s="143" t="s">
        <v>2659</v>
      </c>
      <c r="E7" s="143" t="s">
        <v>309</v>
      </c>
      <c r="F7" s="143" t="s">
        <v>2673</v>
      </c>
      <c r="G7" s="143" t="s">
        <v>2674</v>
      </c>
      <c r="H7" s="143" t="s">
        <v>321</v>
      </c>
      <c r="I7" s="143" t="s">
        <v>965</v>
      </c>
      <c r="J7" s="143" t="s">
        <v>204</v>
      </c>
      <c r="K7" s="143" t="s">
        <v>224</v>
      </c>
      <c r="L7" s="143" t="s">
        <v>340</v>
      </c>
      <c r="M7" s="143" t="s">
        <v>604</v>
      </c>
      <c r="N7" s="143" t="s">
        <v>339</v>
      </c>
      <c r="O7" s="143" t="s">
        <v>1210</v>
      </c>
      <c r="P7" s="144">
        <v>15698</v>
      </c>
      <c r="Q7" s="145" t="s">
        <v>3930</v>
      </c>
      <c r="R7" s="143" t="s">
        <v>2675</v>
      </c>
      <c r="S7" s="144" t="s">
        <v>3928</v>
      </c>
      <c r="T7" s="144">
        <v>387.74059999999997</v>
      </c>
      <c r="U7" s="146">
        <v>4.1442736388115674E-5</v>
      </c>
      <c r="V7" s="146">
        <v>4.1497245097962952E-2</v>
      </c>
      <c r="W7" s="147">
        <v>2.5223252699828971E-2</v>
      </c>
      <c r="X7" s="177"/>
    </row>
    <row r="8" spans="1:24" ht="15" x14ac:dyDescent="0.2">
      <c r="A8" s="142" t="s">
        <v>1205</v>
      </c>
      <c r="B8" s="143" t="s">
        <v>1206</v>
      </c>
      <c r="C8" s="143" t="s">
        <v>2658</v>
      </c>
      <c r="D8" s="143" t="s">
        <v>2659</v>
      </c>
      <c r="E8" s="143" t="s">
        <v>309</v>
      </c>
      <c r="F8" s="143" t="s">
        <v>2676</v>
      </c>
      <c r="G8" s="143" t="s">
        <v>2677</v>
      </c>
      <c r="H8" s="143" t="s">
        <v>321</v>
      </c>
      <c r="I8" s="143" t="s">
        <v>965</v>
      </c>
      <c r="J8" s="143" t="s">
        <v>204</v>
      </c>
      <c r="K8" s="143" t="s">
        <v>224</v>
      </c>
      <c r="L8" s="143" t="s">
        <v>340</v>
      </c>
      <c r="M8" s="143" t="s">
        <v>611</v>
      </c>
      <c r="N8" s="143" t="s">
        <v>339</v>
      </c>
      <c r="O8" s="143" t="s">
        <v>1210</v>
      </c>
      <c r="P8" s="144">
        <v>2464</v>
      </c>
      <c r="Q8" s="145" t="s">
        <v>3930</v>
      </c>
      <c r="R8" s="143" t="s">
        <v>2678</v>
      </c>
      <c r="S8" s="144" t="s">
        <v>3928</v>
      </c>
      <c r="T8" s="144">
        <v>218.28579999999999</v>
      </c>
      <c r="U8" s="146">
        <v>6.0012811176411849E-5</v>
      </c>
      <c r="V8" s="146">
        <v>2.3361643542396945E-2</v>
      </c>
      <c r="W8" s="147">
        <v>1.4199897780253651E-2</v>
      </c>
      <c r="X8" s="177"/>
    </row>
    <row r="9" spans="1:24" ht="15" x14ac:dyDescent="0.2">
      <c r="A9" s="142" t="s">
        <v>1205</v>
      </c>
      <c r="B9" s="143" t="s">
        <v>1206</v>
      </c>
      <c r="C9" s="143" t="s">
        <v>2653</v>
      </c>
      <c r="D9" s="143" t="s">
        <v>2654</v>
      </c>
      <c r="E9" s="143" t="s">
        <v>309</v>
      </c>
      <c r="F9" s="143" t="s">
        <v>2679</v>
      </c>
      <c r="G9" s="143" t="s">
        <v>2680</v>
      </c>
      <c r="H9" s="143" t="s">
        <v>321</v>
      </c>
      <c r="I9" s="143" t="s">
        <v>965</v>
      </c>
      <c r="J9" s="143" t="s">
        <v>204</v>
      </c>
      <c r="K9" s="143" t="s">
        <v>224</v>
      </c>
      <c r="L9" s="143" t="s">
        <v>340</v>
      </c>
      <c r="M9" s="143" t="s">
        <v>595</v>
      </c>
      <c r="N9" s="143" t="s">
        <v>339</v>
      </c>
      <c r="O9" s="143" t="s">
        <v>1210</v>
      </c>
      <c r="P9" s="144">
        <v>9330</v>
      </c>
      <c r="Q9" s="145" t="s">
        <v>3930</v>
      </c>
      <c r="R9" s="143" t="s">
        <v>2681</v>
      </c>
      <c r="S9" s="144" t="s">
        <v>3928</v>
      </c>
      <c r="T9" s="144">
        <v>140.41650000000001</v>
      </c>
      <c r="U9" s="146">
        <v>1.3799940735688597E-4</v>
      </c>
      <c r="V9" s="146">
        <v>1.5027825087953427E-2</v>
      </c>
      <c r="W9" s="147">
        <v>9.1343564814350998E-3</v>
      </c>
      <c r="X9" s="177"/>
    </row>
    <row r="10" spans="1:24" ht="15" x14ac:dyDescent="0.2">
      <c r="A10" s="142" t="s">
        <v>1205</v>
      </c>
      <c r="B10" s="143" t="s">
        <v>1206</v>
      </c>
      <c r="C10" s="143" t="s">
        <v>2658</v>
      </c>
      <c r="D10" s="143" t="s">
        <v>2659</v>
      </c>
      <c r="E10" s="143" t="s">
        <v>309</v>
      </c>
      <c r="F10" s="143" t="s">
        <v>2682</v>
      </c>
      <c r="G10" s="143" t="s">
        <v>2683</v>
      </c>
      <c r="H10" s="143" t="s">
        <v>321</v>
      </c>
      <c r="I10" s="143" t="s">
        <v>965</v>
      </c>
      <c r="J10" s="143" t="s">
        <v>204</v>
      </c>
      <c r="K10" s="143" t="s">
        <v>224</v>
      </c>
      <c r="L10" s="143" t="s">
        <v>340</v>
      </c>
      <c r="M10" s="143" t="s">
        <v>597</v>
      </c>
      <c r="N10" s="143" t="s">
        <v>339</v>
      </c>
      <c r="O10" s="143" t="s">
        <v>1210</v>
      </c>
      <c r="P10" s="144">
        <v>1277</v>
      </c>
      <c r="Q10" s="145" t="s">
        <v>3930</v>
      </c>
      <c r="R10" s="143" t="s">
        <v>2684</v>
      </c>
      <c r="S10" s="144" t="s">
        <v>3928</v>
      </c>
      <c r="T10" s="144">
        <v>100.43610000000001</v>
      </c>
      <c r="U10" s="146">
        <v>1.2873357743383657E-5</v>
      </c>
      <c r="V10" s="146">
        <v>1.0748988843369153E-2</v>
      </c>
      <c r="W10" s="147">
        <v>6.5335532810406171E-3</v>
      </c>
      <c r="X10" s="177"/>
    </row>
    <row r="11" spans="1:24" x14ac:dyDescent="0.2">
      <c r="A11" s="142" t="s">
        <v>1205</v>
      </c>
      <c r="B11" s="143" t="s">
        <v>1206</v>
      </c>
      <c r="C11" s="143" t="s">
        <v>2685</v>
      </c>
      <c r="D11" s="143" t="s">
        <v>2686</v>
      </c>
      <c r="E11" s="143" t="s">
        <v>313</v>
      </c>
      <c r="F11" s="143" t="s">
        <v>2687</v>
      </c>
      <c r="G11" s="143" t="s">
        <v>2688</v>
      </c>
      <c r="H11" s="143" t="s">
        <v>321</v>
      </c>
      <c r="I11" s="143" t="s">
        <v>965</v>
      </c>
      <c r="J11" s="143" t="s">
        <v>205</v>
      </c>
      <c r="K11" s="143" t="s">
        <v>224</v>
      </c>
      <c r="L11" s="143" t="s">
        <v>344</v>
      </c>
      <c r="M11" s="143" t="s">
        <v>604</v>
      </c>
      <c r="N11" s="143" t="s">
        <v>339</v>
      </c>
      <c r="O11" s="143" t="s">
        <v>1211</v>
      </c>
      <c r="P11" s="144">
        <v>454</v>
      </c>
      <c r="Q11" s="143" t="s">
        <v>1212</v>
      </c>
      <c r="R11" s="143" t="s">
        <v>2689</v>
      </c>
      <c r="S11" s="144">
        <v>0.79247000000000001</v>
      </c>
      <c r="T11" s="144">
        <v>969.34699999999998</v>
      </c>
      <c r="U11" s="146">
        <v>4.8147692516533534E-7</v>
      </c>
      <c r="V11" s="146">
        <v>0.10382744191089915</v>
      </c>
      <c r="W11" s="147">
        <v>6.3109389510388969E-2</v>
      </c>
      <c r="X11" s="177"/>
    </row>
    <row r="12" spans="1:24" x14ac:dyDescent="0.2">
      <c r="A12" s="142" t="s">
        <v>1205</v>
      </c>
      <c r="B12" s="143" t="s">
        <v>1206</v>
      </c>
      <c r="C12" s="143" t="s">
        <v>2690</v>
      </c>
      <c r="D12" s="143" t="s">
        <v>2691</v>
      </c>
      <c r="E12" s="143" t="s">
        <v>313</v>
      </c>
      <c r="F12" s="143" t="s">
        <v>2692</v>
      </c>
      <c r="G12" s="143" t="s">
        <v>2693</v>
      </c>
      <c r="H12" s="143" t="s">
        <v>321</v>
      </c>
      <c r="I12" s="143" t="s">
        <v>965</v>
      </c>
      <c r="J12" s="143" t="s">
        <v>205</v>
      </c>
      <c r="K12" s="143" t="s">
        <v>224</v>
      </c>
      <c r="L12" s="143" t="s">
        <v>344</v>
      </c>
      <c r="M12" s="143" t="s">
        <v>597</v>
      </c>
      <c r="N12" s="143" t="s">
        <v>339</v>
      </c>
      <c r="O12" s="143" t="s">
        <v>1211</v>
      </c>
      <c r="P12" s="144">
        <v>412</v>
      </c>
      <c r="Q12" s="143" t="s">
        <v>1212</v>
      </c>
      <c r="R12" s="143" t="s">
        <v>2694</v>
      </c>
      <c r="S12" s="144">
        <v>0.27887000000000001</v>
      </c>
      <c r="T12" s="144">
        <v>747.05939999999998</v>
      </c>
      <c r="U12" s="146">
        <v>7.6246877024151017E-7</v>
      </c>
      <c r="V12" s="146">
        <v>7.9982539541968295E-2</v>
      </c>
      <c r="W12" s="147">
        <v>4.8615752724755261E-2</v>
      </c>
      <c r="X12" s="177"/>
    </row>
    <row r="13" spans="1:24" x14ac:dyDescent="0.2">
      <c r="A13" s="142" t="s">
        <v>1205</v>
      </c>
      <c r="B13" s="143" t="s">
        <v>1206</v>
      </c>
      <c r="C13" s="143" t="s">
        <v>2695</v>
      </c>
      <c r="D13" s="143" t="s">
        <v>2696</v>
      </c>
      <c r="E13" s="143" t="s">
        <v>313</v>
      </c>
      <c r="F13" s="143" t="s">
        <v>2695</v>
      </c>
      <c r="G13" s="143" t="s">
        <v>2697</v>
      </c>
      <c r="H13" s="143" t="s">
        <v>321</v>
      </c>
      <c r="I13" s="143" t="s">
        <v>965</v>
      </c>
      <c r="J13" s="143" t="s">
        <v>205</v>
      </c>
      <c r="K13" s="143" t="s">
        <v>224</v>
      </c>
      <c r="L13" s="143" t="s">
        <v>344</v>
      </c>
      <c r="M13" s="143" t="s">
        <v>586</v>
      </c>
      <c r="N13" s="143" t="s">
        <v>339</v>
      </c>
      <c r="O13" s="143" t="s">
        <v>1211</v>
      </c>
      <c r="P13" s="144">
        <v>2152</v>
      </c>
      <c r="Q13" s="143" t="s">
        <v>1212</v>
      </c>
      <c r="R13" s="143" t="s">
        <v>2698</v>
      </c>
      <c r="S13" s="144" t="s">
        <v>3928</v>
      </c>
      <c r="T13" s="144">
        <v>361.8313</v>
      </c>
      <c r="U13" s="146">
        <v>2.3218553264030125E-6</v>
      </c>
      <c r="V13" s="146">
        <v>3.8724343666719931E-2</v>
      </c>
      <c r="W13" s="147">
        <v>2.3537801211498881E-2</v>
      </c>
      <c r="X13" s="177"/>
    </row>
    <row r="14" spans="1:24" x14ac:dyDescent="0.2">
      <c r="A14" s="142" t="s">
        <v>1205</v>
      </c>
      <c r="B14" s="143" t="s">
        <v>1206</v>
      </c>
      <c r="C14" s="143" t="s">
        <v>2699</v>
      </c>
      <c r="D14" s="143" t="s">
        <v>2700</v>
      </c>
      <c r="E14" s="143" t="s">
        <v>313</v>
      </c>
      <c r="F14" s="143" t="s">
        <v>2699</v>
      </c>
      <c r="G14" s="143" t="s">
        <v>2701</v>
      </c>
      <c r="H14" s="143" t="s">
        <v>321</v>
      </c>
      <c r="I14" s="143" t="s">
        <v>965</v>
      </c>
      <c r="J14" s="143" t="s">
        <v>205</v>
      </c>
      <c r="K14" s="143" t="s">
        <v>268</v>
      </c>
      <c r="L14" s="143" t="s">
        <v>344</v>
      </c>
      <c r="M14" s="143" t="s">
        <v>707</v>
      </c>
      <c r="N14" s="143" t="s">
        <v>339</v>
      </c>
      <c r="O14" s="143" t="s">
        <v>1211</v>
      </c>
      <c r="P14" s="144">
        <v>650</v>
      </c>
      <c r="Q14" s="143" t="s">
        <v>1212</v>
      </c>
      <c r="R14" s="143" t="s">
        <v>2702</v>
      </c>
      <c r="S14" s="144" t="s">
        <v>3928</v>
      </c>
      <c r="T14" s="144">
        <v>189.18220000000002</v>
      </c>
      <c r="U14" s="146">
        <v>1.1690647482014388E-5</v>
      </c>
      <c r="V14" s="146">
        <v>2.0246884345205839E-2</v>
      </c>
      <c r="W14" s="147">
        <v>1.2306655032586907E-2</v>
      </c>
      <c r="X14" s="177"/>
    </row>
    <row r="15" spans="1:24" x14ac:dyDescent="0.2">
      <c r="A15" s="142" t="s">
        <v>1205</v>
      </c>
      <c r="B15" s="143" t="s">
        <v>1206</v>
      </c>
      <c r="C15" s="143" t="s">
        <v>2703</v>
      </c>
      <c r="D15" s="143" t="s">
        <v>2704</v>
      </c>
      <c r="E15" s="143" t="s">
        <v>313</v>
      </c>
      <c r="F15" s="143" t="s">
        <v>2705</v>
      </c>
      <c r="G15" s="143" t="s">
        <v>2706</v>
      </c>
      <c r="H15" s="143" t="s">
        <v>321</v>
      </c>
      <c r="I15" s="143" t="s">
        <v>965</v>
      </c>
      <c r="J15" s="143" t="s">
        <v>205</v>
      </c>
      <c r="K15" s="143" t="s">
        <v>224</v>
      </c>
      <c r="L15" s="143" t="s">
        <v>344</v>
      </c>
      <c r="M15" s="143" t="s">
        <v>583</v>
      </c>
      <c r="N15" s="143" t="s">
        <v>339</v>
      </c>
      <c r="O15" s="143" t="s">
        <v>1211</v>
      </c>
      <c r="P15" s="144">
        <v>320</v>
      </c>
      <c r="Q15" s="143" t="s">
        <v>1212</v>
      </c>
      <c r="R15" s="143" t="s">
        <v>2707</v>
      </c>
      <c r="S15" s="144" t="s">
        <v>3928</v>
      </c>
      <c r="T15" s="144">
        <v>160.7944</v>
      </c>
      <c r="U15" s="146">
        <v>2.3251420516472176E-6</v>
      </c>
      <c r="V15" s="146">
        <v>1.7208730009877868E-2</v>
      </c>
      <c r="W15" s="147">
        <v>1.0459974985269257E-2</v>
      </c>
      <c r="X15" s="177"/>
    </row>
    <row r="16" spans="1:24" x14ac:dyDescent="0.2">
      <c r="A16" s="142" t="s">
        <v>1205</v>
      </c>
      <c r="B16" s="143" t="s">
        <v>1206</v>
      </c>
      <c r="C16" s="143" t="s">
        <v>2708</v>
      </c>
      <c r="D16" s="143" t="s">
        <v>2709</v>
      </c>
      <c r="E16" s="143" t="s">
        <v>313</v>
      </c>
      <c r="F16" s="143" t="s">
        <v>2710</v>
      </c>
      <c r="G16" s="143" t="s">
        <v>2711</v>
      </c>
      <c r="H16" s="143" t="s">
        <v>321</v>
      </c>
      <c r="I16" s="143" t="s">
        <v>965</v>
      </c>
      <c r="J16" s="143" t="s">
        <v>205</v>
      </c>
      <c r="K16" s="143" t="s">
        <v>224</v>
      </c>
      <c r="L16" s="143" t="s">
        <v>344</v>
      </c>
      <c r="M16" s="143" t="s">
        <v>604</v>
      </c>
      <c r="N16" s="143" t="s">
        <v>339</v>
      </c>
      <c r="O16" s="143" t="s">
        <v>1211</v>
      </c>
      <c r="P16" s="144">
        <v>233</v>
      </c>
      <c r="Q16" s="143" t="s">
        <v>1212</v>
      </c>
      <c r="R16" s="143" t="s">
        <v>2712</v>
      </c>
      <c r="S16" s="144" t="s">
        <v>3928</v>
      </c>
      <c r="T16" s="144">
        <v>154.87129999999999</v>
      </c>
      <c r="U16" s="146">
        <v>1.0117545908907348E-6</v>
      </c>
      <c r="V16" s="146">
        <v>1.6574821968601054E-2</v>
      </c>
      <c r="W16" s="147">
        <v>1.0074666932268803E-2</v>
      </c>
      <c r="X16" s="177"/>
    </row>
    <row r="17" spans="1:24" x14ac:dyDescent="0.2">
      <c r="A17" s="142" t="s">
        <v>1205</v>
      </c>
      <c r="B17" s="143" t="s">
        <v>1206</v>
      </c>
      <c r="C17" s="143" t="s">
        <v>2713</v>
      </c>
      <c r="D17" s="143" t="s">
        <v>2714</v>
      </c>
      <c r="E17" s="143" t="s">
        <v>313</v>
      </c>
      <c r="F17" s="143" t="s">
        <v>2713</v>
      </c>
      <c r="G17" s="143" t="s">
        <v>2715</v>
      </c>
      <c r="H17" s="143" t="s">
        <v>321</v>
      </c>
      <c r="I17" s="143" t="s">
        <v>965</v>
      </c>
      <c r="J17" s="143" t="s">
        <v>205</v>
      </c>
      <c r="K17" s="143" t="s">
        <v>224</v>
      </c>
      <c r="L17" s="143" t="s">
        <v>344</v>
      </c>
      <c r="M17" s="143" t="s">
        <v>604</v>
      </c>
      <c r="N17" s="143" t="s">
        <v>339</v>
      </c>
      <c r="O17" s="143" t="s">
        <v>1211</v>
      </c>
      <c r="P17" s="144">
        <v>77</v>
      </c>
      <c r="Q17" s="143" t="s">
        <v>1212</v>
      </c>
      <c r="R17" s="143" t="s">
        <v>2716</v>
      </c>
      <c r="S17" s="144">
        <v>0.12617</v>
      </c>
      <c r="T17" s="144">
        <v>151.20760000000001</v>
      </c>
      <c r="U17" s="146">
        <v>1.03151616801121E-7</v>
      </c>
      <c r="V17" s="146">
        <v>1.6196224225022999E-2</v>
      </c>
      <c r="W17" s="147">
        <v>9.8445440280781563E-3</v>
      </c>
      <c r="X17" s="177"/>
    </row>
    <row r="18" spans="1:24" x14ac:dyDescent="0.2">
      <c r="A18" s="142" t="s">
        <v>1205</v>
      </c>
      <c r="B18" s="143" t="s">
        <v>1206</v>
      </c>
      <c r="C18" s="143" t="s">
        <v>2717</v>
      </c>
      <c r="D18" s="143" t="s">
        <v>2718</v>
      </c>
      <c r="E18" s="143" t="s">
        <v>313</v>
      </c>
      <c r="F18" s="143" t="s">
        <v>2719</v>
      </c>
      <c r="G18" s="143" t="s">
        <v>2720</v>
      </c>
      <c r="H18" s="143" t="s">
        <v>321</v>
      </c>
      <c r="I18" s="143" t="s">
        <v>965</v>
      </c>
      <c r="J18" s="143" t="s">
        <v>205</v>
      </c>
      <c r="K18" s="143" t="s">
        <v>238</v>
      </c>
      <c r="L18" s="143" t="s">
        <v>368</v>
      </c>
      <c r="M18" s="143" t="s">
        <v>581</v>
      </c>
      <c r="N18" s="143" t="s">
        <v>339</v>
      </c>
      <c r="O18" s="143" t="s">
        <v>1218</v>
      </c>
      <c r="P18" s="144">
        <v>225</v>
      </c>
      <c r="Q18" s="143" t="s">
        <v>1219</v>
      </c>
      <c r="R18" s="143" t="s">
        <v>2721</v>
      </c>
      <c r="S18" s="144" t="s">
        <v>3928</v>
      </c>
      <c r="T18" s="144">
        <v>150.40199999999999</v>
      </c>
      <c r="U18" s="146">
        <v>5.1264524948735474E-6</v>
      </c>
      <c r="V18" s="146">
        <v>1.6096505837955202E-2</v>
      </c>
      <c r="W18" s="147">
        <v>9.7839322436116781E-3</v>
      </c>
      <c r="X18" s="177"/>
    </row>
    <row r="19" spans="1:24" x14ac:dyDescent="0.2">
      <c r="A19" s="142" t="s">
        <v>1205</v>
      </c>
      <c r="B19" s="143" t="s">
        <v>1206</v>
      </c>
      <c r="C19" s="143" t="s">
        <v>2722</v>
      </c>
      <c r="D19" s="143" t="s">
        <v>2723</v>
      </c>
      <c r="E19" s="143" t="s">
        <v>313</v>
      </c>
      <c r="F19" s="143" t="s">
        <v>2722</v>
      </c>
      <c r="G19" s="143" t="s">
        <v>2724</v>
      </c>
      <c r="H19" s="143" t="s">
        <v>321</v>
      </c>
      <c r="I19" s="143" t="s">
        <v>965</v>
      </c>
      <c r="J19" s="143" t="s">
        <v>205</v>
      </c>
      <c r="K19" s="143" t="s">
        <v>224</v>
      </c>
      <c r="L19" s="143" t="s">
        <v>344</v>
      </c>
      <c r="M19" s="143" t="s">
        <v>611</v>
      </c>
      <c r="N19" s="143" t="s">
        <v>339</v>
      </c>
      <c r="O19" s="143" t="s">
        <v>1211</v>
      </c>
      <c r="P19" s="144">
        <v>148</v>
      </c>
      <c r="Q19" s="143" t="s">
        <v>1212</v>
      </c>
      <c r="R19" s="143" t="s">
        <v>2725</v>
      </c>
      <c r="S19" s="144" t="s">
        <v>3928</v>
      </c>
      <c r="T19" s="144">
        <v>123.9603</v>
      </c>
      <c r="U19" s="146">
        <v>4.8468017658077785E-7</v>
      </c>
      <c r="V19" s="146">
        <v>1.3266629764112432E-2</v>
      </c>
      <c r="W19" s="147">
        <v>8.0638498826927363E-3</v>
      </c>
      <c r="X19" s="177"/>
    </row>
    <row r="20" spans="1:24" x14ac:dyDescent="0.2">
      <c r="A20" s="142" t="s">
        <v>1205</v>
      </c>
      <c r="B20" s="143" t="s">
        <v>1206</v>
      </c>
      <c r="C20" s="143" t="s">
        <v>2726</v>
      </c>
      <c r="D20" s="143" t="s">
        <v>2727</v>
      </c>
      <c r="E20" s="143" t="s">
        <v>313</v>
      </c>
      <c r="F20" s="143" t="s">
        <v>2726</v>
      </c>
      <c r="G20" s="143" t="s">
        <v>2728</v>
      </c>
      <c r="H20" s="143" t="s">
        <v>321</v>
      </c>
      <c r="I20" s="143" t="s">
        <v>965</v>
      </c>
      <c r="J20" s="143" t="s">
        <v>205</v>
      </c>
      <c r="K20" s="143" t="s">
        <v>268</v>
      </c>
      <c r="L20" s="143" t="s">
        <v>344</v>
      </c>
      <c r="M20" s="143" t="s">
        <v>588</v>
      </c>
      <c r="N20" s="143" t="s">
        <v>339</v>
      </c>
      <c r="O20" s="143" t="s">
        <v>1211</v>
      </c>
      <c r="P20" s="144">
        <v>786</v>
      </c>
      <c r="Q20" s="143" t="s">
        <v>1212</v>
      </c>
      <c r="R20" s="143" t="s">
        <v>2729</v>
      </c>
      <c r="S20" s="144" t="s">
        <v>3928</v>
      </c>
      <c r="T20" s="144">
        <v>99.204399999999993</v>
      </c>
      <c r="U20" s="146">
        <v>3.6617749825296996E-6</v>
      </c>
      <c r="V20" s="146">
        <v>1.0617169549702161E-2</v>
      </c>
      <c r="W20" s="147">
        <v>6.4534296162762125E-3</v>
      </c>
      <c r="X20" s="177"/>
    </row>
    <row r="21" spans="1:24" x14ac:dyDescent="0.2">
      <c r="A21" s="142" t="s">
        <v>1205</v>
      </c>
      <c r="B21" s="143" t="s">
        <v>1206</v>
      </c>
      <c r="C21" s="143" t="s">
        <v>2730</v>
      </c>
      <c r="D21" s="143" t="s">
        <v>2731</v>
      </c>
      <c r="E21" s="143" t="s">
        <v>313</v>
      </c>
      <c r="F21" s="143" t="s">
        <v>2730</v>
      </c>
      <c r="G21" s="143" t="s">
        <v>2732</v>
      </c>
      <c r="H21" s="143" t="s">
        <v>321</v>
      </c>
      <c r="I21" s="143" t="s">
        <v>965</v>
      </c>
      <c r="J21" s="143" t="s">
        <v>205</v>
      </c>
      <c r="K21" s="143" t="s">
        <v>224</v>
      </c>
      <c r="L21" s="143" t="s">
        <v>344</v>
      </c>
      <c r="M21" s="143" t="s">
        <v>589</v>
      </c>
      <c r="N21" s="143" t="s">
        <v>339</v>
      </c>
      <c r="O21" s="143" t="s">
        <v>1211</v>
      </c>
      <c r="P21" s="144">
        <v>160</v>
      </c>
      <c r="Q21" s="143" t="s">
        <v>1212</v>
      </c>
      <c r="R21" s="143" t="s">
        <v>2733</v>
      </c>
      <c r="S21" s="144" t="s">
        <v>3928</v>
      </c>
      <c r="T21" s="144">
        <v>91.426299999999998</v>
      </c>
      <c r="U21" s="146">
        <v>5.1660397462182973E-7</v>
      </c>
      <c r="V21" s="146">
        <v>9.7847334469927244E-3</v>
      </c>
      <c r="W21" s="147">
        <v>5.947450336795522E-3</v>
      </c>
      <c r="X21" s="177"/>
    </row>
    <row r="22" spans="1:24" x14ac:dyDescent="0.2">
      <c r="A22" s="142" t="s">
        <v>1205</v>
      </c>
      <c r="B22" s="143" t="s">
        <v>1206</v>
      </c>
      <c r="C22" s="143" t="s">
        <v>2734</v>
      </c>
      <c r="D22" s="143" t="s">
        <v>2735</v>
      </c>
      <c r="E22" s="143" t="s">
        <v>313</v>
      </c>
      <c r="F22" s="143" t="s">
        <v>2736</v>
      </c>
      <c r="G22" s="143" t="s">
        <v>2737</v>
      </c>
      <c r="H22" s="143" t="s">
        <v>321</v>
      </c>
      <c r="I22" s="143" t="s">
        <v>965</v>
      </c>
      <c r="J22" s="143" t="s">
        <v>205</v>
      </c>
      <c r="K22" s="143" t="s">
        <v>224</v>
      </c>
      <c r="L22" s="143" t="s">
        <v>344</v>
      </c>
      <c r="M22" s="143" t="s">
        <v>580</v>
      </c>
      <c r="N22" s="143" t="s">
        <v>339</v>
      </c>
      <c r="O22" s="143" t="s">
        <v>1211</v>
      </c>
      <c r="P22" s="144">
        <v>478</v>
      </c>
      <c r="Q22" s="143" t="s">
        <v>1212</v>
      </c>
      <c r="R22" s="143" t="s">
        <v>2738</v>
      </c>
      <c r="S22" s="144" t="s">
        <v>3928</v>
      </c>
      <c r="T22" s="144">
        <v>89.484899999999996</v>
      </c>
      <c r="U22" s="146">
        <v>2.0964912280701754E-5</v>
      </c>
      <c r="V22" s="146">
        <v>9.5769712407417149E-3</v>
      </c>
      <c r="W22" s="147">
        <v>5.8211663240286017E-3</v>
      </c>
      <c r="X22" s="177"/>
    </row>
    <row r="23" spans="1:24" x14ac:dyDescent="0.2">
      <c r="A23" s="142" t="s">
        <v>1205</v>
      </c>
      <c r="B23" s="143" t="s">
        <v>1206</v>
      </c>
      <c r="C23" s="143" t="s">
        <v>2739</v>
      </c>
      <c r="D23" s="143" t="s">
        <v>2740</v>
      </c>
      <c r="E23" s="143" t="s">
        <v>313</v>
      </c>
      <c r="F23" s="143" t="s">
        <v>2739</v>
      </c>
      <c r="G23" s="143" t="s">
        <v>2741</v>
      </c>
      <c r="H23" s="143" t="s">
        <v>321</v>
      </c>
      <c r="I23" s="143" t="s">
        <v>965</v>
      </c>
      <c r="J23" s="143" t="s">
        <v>205</v>
      </c>
      <c r="K23" s="143" t="s">
        <v>251</v>
      </c>
      <c r="L23" s="143" t="s">
        <v>344</v>
      </c>
      <c r="M23" s="143" t="s">
        <v>599</v>
      </c>
      <c r="N23" s="143" t="s">
        <v>339</v>
      </c>
      <c r="O23" s="143" t="s">
        <v>1211</v>
      </c>
      <c r="P23" s="144">
        <v>337</v>
      </c>
      <c r="Q23" s="143" t="s">
        <v>1212</v>
      </c>
      <c r="R23" s="143" t="s">
        <v>2742</v>
      </c>
      <c r="S23" s="144" t="s">
        <v>3928</v>
      </c>
      <c r="T23" s="144">
        <v>89.444299999999998</v>
      </c>
      <c r="U23" s="146">
        <v>1.9707602339181285E-6</v>
      </c>
      <c r="V23" s="146">
        <v>9.5726181250356552E-3</v>
      </c>
      <c r="W23" s="147">
        <v>5.8185203715749789E-3</v>
      </c>
      <c r="X23" s="177"/>
    </row>
    <row r="24" spans="1:24" x14ac:dyDescent="0.2">
      <c r="A24" s="142" t="s">
        <v>1205</v>
      </c>
      <c r="B24" s="143" t="s">
        <v>1206</v>
      </c>
      <c r="C24" s="143" t="s">
        <v>2743</v>
      </c>
      <c r="D24" s="143" t="s">
        <v>2744</v>
      </c>
      <c r="E24" s="143" t="s">
        <v>313</v>
      </c>
      <c r="F24" s="143" t="s">
        <v>2743</v>
      </c>
      <c r="G24" s="143" t="s">
        <v>2745</v>
      </c>
      <c r="H24" s="143" t="s">
        <v>321</v>
      </c>
      <c r="I24" s="143" t="s">
        <v>965</v>
      </c>
      <c r="J24" s="143" t="s">
        <v>205</v>
      </c>
      <c r="K24" s="143" t="s">
        <v>253</v>
      </c>
      <c r="L24" s="143" t="s">
        <v>314</v>
      </c>
      <c r="M24" s="143" t="s">
        <v>610</v>
      </c>
      <c r="N24" s="143" t="s">
        <v>339</v>
      </c>
      <c r="O24" s="143" t="s">
        <v>1218</v>
      </c>
      <c r="P24" s="144">
        <v>87</v>
      </c>
      <c r="Q24" s="143" t="s">
        <v>1219</v>
      </c>
      <c r="R24" s="143" t="s">
        <v>2746</v>
      </c>
      <c r="S24" s="144" t="s">
        <v>3928</v>
      </c>
      <c r="T24" s="144">
        <v>88.024299999999997</v>
      </c>
      <c r="U24" s="146">
        <v>8.6215439500545048E-6</v>
      </c>
      <c r="V24" s="146">
        <v>9.4206455263021304E-3</v>
      </c>
      <c r="W24" s="147">
        <v>5.7261469320308298E-3</v>
      </c>
      <c r="X24" s="177"/>
    </row>
    <row r="25" spans="1:24" x14ac:dyDescent="0.2">
      <c r="A25" s="142" t="s">
        <v>1205</v>
      </c>
      <c r="B25" s="143" t="s">
        <v>1206</v>
      </c>
      <c r="C25" s="143" t="s">
        <v>2747</v>
      </c>
      <c r="D25" s="143" t="s">
        <v>2748</v>
      </c>
      <c r="E25" s="143" t="s">
        <v>313</v>
      </c>
      <c r="F25" s="143" t="s">
        <v>2749</v>
      </c>
      <c r="G25" s="143" t="s">
        <v>2750</v>
      </c>
      <c r="H25" s="143" t="s">
        <v>321</v>
      </c>
      <c r="I25" s="143" t="s">
        <v>965</v>
      </c>
      <c r="J25" s="143" t="s">
        <v>205</v>
      </c>
      <c r="K25" s="143" t="s">
        <v>224</v>
      </c>
      <c r="L25" s="143" t="s">
        <v>344</v>
      </c>
      <c r="M25" s="143" t="s">
        <v>597</v>
      </c>
      <c r="N25" s="143" t="s">
        <v>339</v>
      </c>
      <c r="O25" s="143" t="s">
        <v>1211</v>
      </c>
      <c r="P25" s="144">
        <v>117</v>
      </c>
      <c r="Q25" s="143" t="s">
        <v>1212</v>
      </c>
      <c r="R25" s="143" t="s">
        <v>2751</v>
      </c>
      <c r="S25" s="144" t="s">
        <v>3928</v>
      </c>
      <c r="T25" s="144">
        <v>83.041899999999998</v>
      </c>
      <c r="U25" s="146">
        <v>8.8301886792452828E-6</v>
      </c>
      <c r="V25" s="146">
        <v>8.8874144032458791E-3</v>
      </c>
      <c r="W25" s="147">
        <v>5.402033287076561E-3</v>
      </c>
      <c r="X25" s="177"/>
    </row>
    <row r="26" spans="1:24" x14ac:dyDescent="0.2">
      <c r="A26" s="142" t="s">
        <v>1205</v>
      </c>
      <c r="B26" s="143" t="s">
        <v>1206</v>
      </c>
      <c r="C26" s="143" t="s">
        <v>2752</v>
      </c>
      <c r="D26" s="143" t="s">
        <v>2753</v>
      </c>
      <c r="E26" s="143" t="s">
        <v>313</v>
      </c>
      <c r="F26" s="143" t="s">
        <v>2752</v>
      </c>
      <c r="G26" s="143" t="s">
        <v>2754</v>
      </c>
      <c r="H26" s="143" t="s">
        <v>321</v>
      </c>
      <c r="I26" s="143" t="s">
        <v>965</v>
      </c>
      <c r="J26" s="143" t="s">
        <v>205</v>
      </c>
      <c r="K26" s="143" t="s">
        <v>224</v>
      </c>
      <c r="L26" s="143" t="s">
        <v>344</v>
      </c>
      <c r="M26" s="143" t="s">
        <v>708</v>
      </c>
      <c r="N26" s="143" t="s">
        <v>339</v>
      </c>
      <c r="O26" s="143" t="s">
        <v>1211</v>
      </c>
      <c r="P26" s="144">
        <v>244</v>
      </c>
      <c r="Q26" s="143" t="s">
        <v>1212</v>
      </c>
      <c r="R26" s="143" t="s">
        <v>2755</v>
      </c>
      <c r="S26" s="144" t="s">
        <v>3928</v>
      </c>
      <c r="T26" s="144">
        <v>79.480100000000007</v>
      </c>
      <c r="U26" s="146">
        <v>5.2793969370843014E-7</v>
      </c>
      <c r="V26" s="146">
        <v>8.5062127313666469E-3</v>
      </c>
      <c r="W26" s="147">
        <v>5.1703276382628E-3</v>
      </c>
      <c r="X26" s="177"/>
    </row>
    <row r="27" spans="1:24" x14ac:dyDescent="0.2">
      <c r="A27" s="142" t="s">
        <v>1205</v>
      </c>
      <c r="B27" s="143" t="s">
        <v>1206</v>
      </c>
      <c r="C27" s="143" t="s">
        <v>2756</v>
      </c>
      <c r="D27" s="143" t="s">
        <v>2757</v>
      </c>
      <c r="E27" s="143" t="s">
        <v>313</v>
      </c>
      <c r="F27" s="143" t="s">
        <v>2758</v>
      </c>
      <c r="G27" s="143" t="s">
        <v>2759</v>
      </c>
      <c r="H27" s="143" t="s">
        <v>321</v>
      </c>
      <c r="I27" s="143" t="s">
        <v>965</v>
      </c>
      <c r="J27" s="143" t="s">
        <v>205</v>
      </c>
      <c r="K27" s="143" t="s">
        <v>268</v>
      </c>
      <c r="L27" s="143" t="s">
        <v>344</v>
      </c>
      <c r="M27" s="143" t="s">
        <v>588</v>
      </c>
      <c r="N27" s="143" t="s">
        <v>339</v>
      </c>
      <c r="O27" s="143" t="s">
        <v>1211</v>
      </c>
      <c r="P27" s="144">
        <v>382</v>
      </c>
      <c r="Q27" s="143" t="s">
        <v>1212</v>
      </c>
      <c r="R27" s="143" t="s">
        <v>2760</v>
      </c>
      <c r="S27" s="144" t="s">
        <v>3928</v>
      </c>
      <c r="T27" s="144">
        <v>72.150700000000001</v>
      </c>
      <c r="U27" s="146">
        <v>2.3726708074534161E-6</v>
      </c>
      <c r="V27" s="146">
        <v>7.7217965961565325E-3</v>
      </c>
      <c r="W27" s="147">
        <v>4.6935363150431494E-3</v>
      </c>
      <c r="X27" s="177"/>
    </row>
    <row r="28" spans="1:24" x14ac:dyDescent="0.2">
      <c r="A28" s="142" t="s">
        <v>1205</v>
      </c>
      <c r="B28" s="143" t="s">
        <v>1206</v>
      </c>
      <c r="C28" s="143" t="s">
        <v>2761</v>
      </c>
      <c r="D28" s="143" t="s">
        <v>2762</v>
      </c>
      <c r="E28" s="143" t="s">
        <v>313</v>
      </c>
      <c r="F28" s="143" t="s">
        <v>2761</v>
      </c>
      <c r="G28" s="143" t="s">
        <v>2763</v>
      </c>
      <c r="H28" s="143" t="s">
        <v>321</v>
      </c>
      <c r="I28" s="143" t="s">
        <v>965</v>
      </c>
      <c r="J28" s="143" t="s">
        <v>205</v>
      </c>
      <c r="K28" s="143" t="s">
        <v>224</v>
      </c>
      <c r="L28" s="143" t="s">
        <v>344</v>
      </c>
      <c r="M28" s="143" t="s">
        <v>708</v>
      </c>
      <c r="N28" s="143" t="s">
        <v>339</v>
      </c>
      <c r="O28" s="143" t="s">
        <v>1211</v>
      </c>
      <c r="P28" s="144">
        <v>215</v>
      </c>
      <c r="Q28" s="143" t="s">
        <v>1212</v>
      </c>
      <c r="R28" s="143" t="s">
        <v>2764</v>
      </c>
      <c r="S28" s="144" t="s">
        <v>3928</v>
      </c>
      <c r="T28" s="144">
        <v>72.107600000000005</v>
      </c>
      <c r="U28" s="146">
        <v>1.2928442573662057E-6</v>
      </c>
      <c r="V28" s="146">
        <v>7.7171828040088382E-3</v>
      </c>
      <c r="W28" s="147">
        <v>4.6907319157397489E-3</v>
      </c>
      <c r="X28" s="177"/>
    </row>
    <row r="29" spans="1:24" x14ac:dyDescent="0.2">
      <c r="A29" s="142" t="s">
        <v>1205</v>
      </c>
      <c r="B29" s="143" t="s">
        <v>1206</v>
      </c>
      <c r="C29" s="143" t="s">
        <v>2765</v>
      </c>
      <c r="D29" s="143" t="s">
        <v>2766</v>
      </c>
      <c r="E29" s="143" t="s">
        <v>313</v>
      </c>
      <c r="F29" s="143" t="s">
        <v>2767</v>
      </c>
      <c r="G29" s="143" t="s">
        <v>2768</v>
      </c>
      <c r="H29" s="143" t="s">
        <v>321</v>
      </c>
      <c r="I29" s="143" t="s">
        <v>965</v>
      </c>
      <c r="J29" s="143" t="s">
        <v>205</v>
      </c>
      <c r="K29" s="143" t="s">
        <v>224</v>
      </c>
      <c r="L29" s="143" t="s">
        <v>344</v>
      </c>
      <c r="M29" s="143" t="s">
        <v>708</v>
      </c>
      <c r="N29" s="143" t="s">
        <v>339</v>
      </c>
      <c r="O29" s="143" t="s">
        <v>1211</v>
      </c>
      <c r="P29" s="144">
        <v>42</v>
      </c>
      <c r="Q29" s="143" t="s">
        <v>1212</v>
      </c>
      <c r="R29" s="143" t="s">
        <v>2769</v>
      </c>
      <c r="S29" s="144">
        <v>5.2409999999999998E-2</v>
      </c>
      <c r="T29" s="144">
        <v>66.125</v>
      </c>
      <c r="U29" s="146">
        <v>4.7595843296352116E-7</v>
      </c>
      <c r="V29" s="146">
        <v>7.0825190397130495E-3</v>
      </c>
      <c r="W29" s="147">
        <v>4.304964511940618E-3</v>
      </c>
      <c r="X29" s="177"/>
    </row>
    <row r="30" spans="1:24" x14ac:dyDescent="0.2">
      <c r="A30" s="142" t="s">
        <v>1205</v>
      </c>
      <c r="B30" s="143" t="s">
        <v>1206</v>
      </c>
      <c r="C30" s="143" t="s">
        <v>2770</v>
      </c>
      <c r="D30" s="143" t="s">
        <v>2771</v>
      </c>
      <c r="E30" s="143" t="s">
        <v>313</v>
      </c>
      <c r="F30" s="143" t="s">
        <v>2770</v>
      </c>
      <c r="G30" s="143" t="s">
        <v>2772</v>
      </c>
      <c r="H30" s="143" t="s">
        <v>321</v>
      </c>
      <c r="I30" s="143" t="s">
        <v>965</v>
      </c>
      <c r="J30" s="143" t="s">
        <v>205</v>
      </c>
      <c r="K30" s="143" t="s">
        <v>244</v>
      </c>
      <c r="L30" s="143" t="s">
        <v>344</v>
      </c>
      <c r="M30" s="143" t="s">
        <v>580</v>
      </c>
      <c r="N30" s="143" t="s">
        <v>339</v>
      </c>
      <c r="O30" s="143" t="s">
        <v>1211</v>
      </c>
      <c r="P30" s="144">
        <v>294</v>
      </c>
      <c r="Q30" s="143" t="s">
        <v>1212</v>
      </c>
      <c r="R30" s="143" t="s">
        <v>2773</v>
      </c>
      <c r="S30" s="144" t="s">
        <v>3928</v>
      </c>
      <c r="T30" s="144">
        <v>63.841000000000001</v>
      </c>
      <c r="U30" s="146">
        <v>2.7071823204419889E-6</v>
      </c>
      <c r="V30" s="146">
        <v>6.8324702921629633E-3</v>
      </c>
      <c r="W30" s="147">
        <v>4.1529774889022819E-3</v>
      </c>
      <c r="X30" s="177"/>
    </row>
    <row r="31" spans="1:24" x14ac:dyDescent="0.2">
      <c r="A31" s="142" t="s">
        <v>1205</v>
      </c>
      <c r="B31" s="143" t="s">
        <v>1206</v>
      </c>
      <c r="C31" s="143" t="s">
        <v>2774</v>
      </c>
      <c r="D31" s="143" t="s">
        <v>2775</v>
      </c>
      <c r="E31" s="143" t="s">
        <v>313</v>
      </c>
      <c r="F31" s="143" t="s">
        <v>2776</v>
      </c>
      <c r="G31" s="143" t="s">
        <v>2777</v>
      </c>
      <c r="H31" s="143" t="s">
        <v>321</v>
      </c>
      <c r="I31" s="143" t="s">
        <v>965</v>
      </c>
      <c r="J31" s="143" t="s">
        <v>205</v>
      </c>
      <c r="K31" s="143" t="s">
        <v>224</v>
      </c>
      <c r="L31" s="143" t="s">
        <v>344</v>
      </c>
      <c r="M31" s="143" t="s">
        <v>611</v>
      </c>
      <c r="N31" s="143" t="s">
        <v>339</v>
      </c>
      <c r="O31" s="143" t="s">
        <v>1211</v>
      </c>
      <c r="P31" s="144">
        <v>70</v>
      </c>
      <c r="Q31" s="143" t="s">
        <v>1212</v>
      </c>
      <c r="R31" s="143" t="s">
        <v>2778</v>
      </c>
      <c r="S31" s="144" t="s">
        <v>3928</v>
      </c>
      <c r="T31" s="144">
        <v>63.743400000000001</v>
      </c>
      <c r="U31" s="146">
        <v>2.2349222566329299E-6</v>
      </c>
      <c r="V31" s="146">
        <v>6.822019775009151E-3</v>
      </c>
      <c r="W31" s="147">
        <v>4.1466253555403629E-3</v>
      </c>
      <c r="X31" s="177"/>
    </row>
    <row r="32" spans="1:24" x14ac:dyDescent="0.2">
      <c r="A32" s="142" t="s">
        <v>1205</v>
      </c>
      <c r="B32" s="143" t="s">
        <v>1206</v>
      </c>
      <c r="C32" s="143" t="s">
        <v>2779</v>
      </c>
      <c r="D32" s="143" t="s">
        <v>2780</v>
      </c>
      <c r="E32" s="143" t="s">
        <v>313</v>
      </c>
      <c r="F32" s="143" t="s">
        <v>2781</v>
      </c>
      <c r="G32" s="143" t="s">
        <v>2782</v>
      </c>
      <c r="H32" s="143" t="s">
        <v>321</v>
      </c>
      <c r="I32" s="143" t="s">
        <v>965</v>
      </c>
      <c r="J32" s="143" t="s">
        <v>205</v>
      </c>
      <c r="K32" s="143" t="s">
        <v>224</v>
      </c>
      <c r="L32" s="143" t="s">
        <v>344</v>
      </c>
      <c r="M32" s="143" t="s">
        <v>602</v>
      </c>
      <c r="N32" s="143" t="s">
        <v>339</v>
      </c>
      <c r="O32" s="143" t="s">
        <v>1211</v>
      </c>
      <c r="P32" s="144">
        <v>75</v>
      </c>
      <c r="Q32" s="143" t="s">
        <v>1212</v>
      </c>
      <c r="R32" s="143" t="s">
        <v>2783</v>
      </c>
      <c r="S32" s="144">
        <v>5.6409999999999995E-2</v>
      </c>
      <c r="T32" s="144">
        <v>61.671900000000001</v>
      </c>
      <c r="U32" s="146">
        <v>2.4654832347140041E-7</v>
      </c>
      <c r="V32" s="146">
        <v>6.6063646388539697E-3</v>
      </c>
      <c r="W32" s="147">
        <v>4.0155437865731459E-3</v>
      </c>
      <c r="X32" s="177"/>
    </row>
    <row r="33" spans="1:24" x14ac:dyDescent="0.2">
      <c r="A33" s="142" t="s">
        <v>1205</v>
      </c>
      <c r="B33" s="143" t="s">
        <v>1206</v>
      </c>
      <c r="C33" s="143" t="s">
        <v>2784</v>
      </c>
      <c r="D33" s="143" t="s">
        <v>2785</v>
      </c>
      <c r="E33" s="143" t="s">
        <v>313</v>
      </c>
      <c r="F33" s="143" t="s">
        <v>2784</v>
      </c>
      <c r="G33" s="143" t="s">
        <v>2786</v>
      </c>
      <c r="H33" s="143" t="s">
        <v>321</v>
      </c>
      <c r="I33" s="143" t="s">
        <v>965</v>
      </c>
      <c r="J33" s="143" t="s">
        <v>205</v>
      </c>
      <c r="K33" s="143" t="s">
        <v>224</v>
      </c>
      <c r="L33" s="143" t="s">
        <v>344</v>
      </c>
      <c r="M33" s="143" t="s">
        <v>708</v>
      </c>
      <c r="N33" s="143" t="s">
        <v>339</v>
      </c>
      <c r="O33" s="143" t="s">
        <v>1211</v>
      </c>
      <c r="P33" s="144">
        <v>67</v>
      </c>
      <c r="Q33" s="143" t="s">
        <v>1212</v>
      </c>
      <c r="R33" s="143" t="s">
        <v>2787</v>
      </c>
      <c r="S33" s="144" t="s">
        <v>3928</v>
      </c>
      <c r="T33" s="144">
        <v>49.805999999999997</v>
      </c>
      <c r="U33" s="146">
        <v>6.7777406856645725E-7</v>
      </c>
      <c r="V33" s="146">
        <v>5.3303950676800681E-3</v>
      </c>
      <c r="W33" s="147">
        <v>3.2399717490792252E-3</v>
      </c>
      <c r="X33" s="177"/>
    </row>
    <row r="34" spans="1:24" x14ac:dyDescent="0.2">
      <c r="A34" s="142" t="s">
        <v>1205</v>
      </c>
      <c r="B34" s="143" t="s">
        <v>1206</v>
      </c>
      <c r="C34" s="143" t="s">
        <v>2788</v>
      </c>
      <c r="D34" s="143" t="s">
        <v>2789</v>
      </c>
      <c r="E34" s="143" t="s">
        <v>313</v>
      </c>
      <c r="F34" s="143" t="s">
        <v>2788</v>
      </c>
      <c r="G34" s="143" t="s">
        <v>2790</v>
      </c>
      <c r="H34" s="143" t="s">
        <v>321</v>
      </c>
      <c r="I34" s="143" t="s">
        <v>965</v>
      </c>
      <c r="J34" s="143" t="s">
        <v>205</v>
      </c>
      <c r="K34" s="143" t="s">
        <v>224</v>
      </c>
      <c r="L34" s="143" t="s">
        <v>344</v>
      </c>
      <c r="M34" s="143" t="s">
        <v>586</v>
      </c>
      <c r="N34" s="143" t="s">
        <v>339</v>
      </c>
      <c r="O34" s="143" t="s">
        <v>1211</v>
      </c>
      <c r="P34" s="144">
        <v>102</v>
      </c>
      <c r="Q34" s="143" t="s">
        <v>1212</v>
      </c>
      <c r="R34" s="143" t="s">
        <v>2791</v>
      </c>
      <c r="S34" s="144">
        <v>3.6859999999999997E-2</v>
      </c>
      <c r="T34" s="144">
        <v>48.7864</v>
      </c>
      <c r="U34" s="146">
        <v>1.1860465116279071E-5</v>
      </c>
      <c r="V34" s="146">
        <v>5.2252249502128334E-3</v>
      </c>
      <c r="W34" s="147">
        <v>3.1760462416609752E-3</v>
      </c>
      <c r="X34" s="177"/>
    </row>
    <row r="35" spans="1:24" x14ac:dyDescent="0.2">
      <c r="A35" s="142" t="s">
        <v>1205</v>
      </c>
      <c r="B35" s="143" t="s">
        <v>1206</v>
      </c>
      <c r="C35" s="143" t="s">
        <v>2792</v>
      </c>
      <c r="D35" s="143" t="s">
        <v>2793</v>
      </c>
      <c r="E35" s="143" t="s">
        <v>313</v>
      </c>
      <c r="F35" s="143" t="s">
        <v>2794</v>
      </c>
      <c r="G35" s="143" t="s">
        <v>2795</v>
      </c>
      <c r="H35" s="143" t="s">
        <v>321</v>
      </c>
      <c r="I35" s="143" t="s">
        <v>965</v>
      </c>
      <c r="J35" s="143" t="s">
        <v>205</v>
      </c>
      <c r="K35" s="143" t="s">
        <v>243</v>
      </c>
      <c r="L35" s="143" t="s">
        <v>344</v>
      </c>
      <c r="M35" s="143" t="s">
        <v>707</v>
      </c>
      <c r="N35" s="143" t="s">
        <v>339</v>
      </c>
      <c r="O35" s="143" t="s">
        <v>1211</v>
      </c>
      <c r="P35" s="144">
        <v>172</v>
      </c>
      <c r="Q35" s="143" t="s">
        <v>1212</v>
      </c>
      <c r="R35" s="143" t="s">
        <v>2796</v>
      </c>
      <c r="S35" s="144" t="s">
        <v>3928</v>
      </c>
      <c r="T35" s="144">
        <v>40.8142</v>
      </c>
      <c r="U35" s="146">
        <v>3.0255057167985929E-6</v>
      </c>
      <c r="V35" s="146">
        <v>4.368062054375268E-3</v>
      </c>
      <c r="W35" s="147">
        <v>2.6550372861125159E-3</v>
      </c>
      <c r="X35" s="177"/>
    </row>
    <row r="36" spans="1:24" x14ac:dyDescent="0.2">
      <c r="A36" s="142" t="s">
        <v>1205</v>
      </c>
      <c r="B36" s="143" t="s">
        <v>1206</v>
      </c>
      <c r="C36" s="143" t="s">
        <v>2797</v>
      </c>
      <c r="D36" s="143" t="s">
        <v>2798</v>
      </c>
      <c r="E36" s="143" t="s">
        <v>313</v>
      </c>
      <c r="F36" s="143" t="s">
        <v>2799</v>
      </c>
      <c r="G36" s="143" t="s">
        <v>2800</v>
      </c>
      <c r="H36" s="143" t="s">
        <v>321</v>
      </c>
      <c r="I36" s="143" t="s">
        <v>965</v>
      </c>
      <c r="J36" s="143" t="s">
        <v>205</v>
      </c>
      <c r="K36" s="143" t="s">
        <v>224</v>
      </c>
      <c r="L36" s="143" t="s">
        <v>344</v>
      </c>
      <c r="M36" s="143" t="s">
        <v>703</v>
      </c>
      <c r="N36" s="143" t="s">
        <v>339</v>
      </c>
      <c r="O36" s="143" t="s">
        <v>1211</v>
      </c>
      <c r="P36" s="144">
        <v>89</v>
      </c>
      <c r="Q36" s="143" t="s">
        <v>1212</v>
      </c>
      <c r="R36" s="143" t="s">
        <v>2801</v>
      </c>
      <c r="S36" s="144" t="s">
        <v>3928</v>
      </c>
      <c r="T36" s="144">
        <v>37.9619</v>
      </c>
      <c r="U36" s="146">
        <v>3.9696699375557535E-6</v>
      </c>
      <c r="V36" s="146">
        <v>4.0628092776776991E-3</v>
      </c>
      <c r="W36" s="147">
        <v>2.4694956217010343E-3</v>
      </c>
      <c r="X36" s="177"/>
    </row>
    <row r="37" spans="1:24" x14ac:dyDescent="0.2">
      <c r="A37" s="142" t="s">
        <v>1205</v>
      </c>
      <c r="B37" s="143" t="s">
        <v>1206</v>
      </c>
      <c r="C37" s="143" t="s">
        <v>2802</v>
      </c>
      <c r="D37" s="143" t="s">
        <v>2803</v>
      </c>
      <c r="E37" s="143" t="s">
        <v>313</v>
      </c>
      <c r="F37" s="143" t="s">
        <v>2804</v>
      </c>
      <c r="G37" s="143" t="s">
        <v>2805</v>
      </c>
      <c r="H37" s="143" t="s">
        <v>321</v>
      </c>
      <c r="I37" s="143" t="s">
        <v>965</v>
      </c>
      <c r="J37" s="143" t="s">
        <v>205</v>
      </c>
      <c r="K37" s="143" t="s">
        <v>224</v>
      </c>
      <c r="L37" s="143" t="s">
        <v>344</v>
      </c>
      <c r="M37" s="143" t="s">
        <v>708</v>
      </c>
      <c r="N37" s="143" t="s">
        <v>339</v>
      </c>
      <c r="O37" s="143" t="s">
        <v>1211</v>
      </c>
      <c r="P37" s="144">
        <v>66</v>
      </c>
      <c r="Q37" s="143" t="s">
        <v>1212</v>
      </c>
      <c r="R37" s="143" t="s">
        <v>2806</v>
      </c>
      <c r="S37" s="144">
        <v>1.4999999999999999E-2</v>
      </c>
      <c r="T37" s="144">
        <v>36.6965</v>
      </c>
      <c r="U37" s="146">
        <v>1.6019417475728156E-6</v>
      </c>
      <c r="V37" s="146">
        <v>3.9289827529352481E-3</v>
      </c>
      <c r="W37" s="147">
        <v>2.3881519025324466E-3</v>
      </c>
      <c r="X37" s="177"/>
    </row>
    <row r="38" spans="1:24" x14ac:dyDescent="0.2">
      <c r="A38" s="142" t="s">
        <v>1205</v>
      </c>
      <c r="B38" s="143" t="s">
        <v>1206</v>
      </c>
      <c r="C38" s="143" t="s">
        <v>2807</v>
      </c>
      <c r="D38" s="143" t="s">
        <v>2714</v>
      </c>
      <c r="E38" s="143" t="s">
        <v>313</v>
      </c>
      <c r="F38" s="143" t="s">
        <v>2807</v>
      </c>
      <c r="G38" s="143" t="s">
        <v>2808</v>
      </c>
      <c r="H38" s="143" t="s">
        <v>321</v>
      </c>
      <c r="I38" s="143" t="s">
        <v>965</v>
      </c>
      <c r="J38" s="143" t="s">
        <v>205</v>
      </c>
      <c r="K38" s="143" t="s">
        <v>301</v>
      </c>
      <c r="L38" s="143" t="s">
        <v>314</v>
      </c>
      <c r="M38" s="143" t="s">
        <v>596</v>
      </c>
      <c r="N38" s="143" t="s">
        <v>339</v>
      </c>
      <c r="O38" s="143" t="s">
        <v>1218</v>
      </c>
      <c r="P38" s="144">
        <v>154</v>
      </c>
      <c r="Q38" s="143" t="s">
        <v>1219</v>
      </c>
      <c r="R38" s="143" t="s">
        <v>2809</v>
      </c>
      <c r="S38" s="144" t="s">
        <v>3928</v>
      </c>
      <c r="T38" s="144">
        <v>29.953400000000002</v>
      </c>
      <c r="U38" s="146">
        <v>5.2920962199312717E-6</v>
      </c>
      <c r="V38" s="146">
        <v>3.2057086515418502E-3</v>
      </c>
      <c r="W38" s="147">
        <v>1.9485245155186773E-3</v>
      </c>
      <c r="X38" s="177"/>
    </row>
    <row r="39" spans="1:24" x14ac:dyDescent="0.2">
      <c r="A39" s="142" t="s">
        <v>1205</v>
      </c>
      <c r="B39" s="143" t="s">
        <v>1206</v>
      </c>
      <c r="C39" s="143" t="s">
        <v>2810</v>
      </c>
      <c r="D39" s="143" t="s">
        <v>2811</v>
      </c>
      <c r="E39" s="143" t="s">
        <v>313</v>
      </c>
      <c r="F39" s="143" t="s">
        <v>2812</v>
      </c>
      <c r="G39" s="143" t="s">
        <v>2813</v>
      </c>
      <c r="H39" s="143" t="s">
        <v>321</v>
      </c>
      <c r="I39" s="143" t="s">
        <v>965</v>
      </c>
      <c r="J39" s="143" t="s">
        <v>205</v>
      </c>
      <c r="K39" s="143" t="s">
        <v>224</v>
      </c>
      <c r="L39" s="143" t="s">
        <v>344</v>
      </c>
      <c r="M39" s="143" t="s">
        <v>612</v>
      </c>
      <c r="N39" s="143" t="s">
        <v>339</v>
      </c>
      <c r="O39" s="143" t="s">
        <v>1211</v>
      </c>
      <c r="P39" s="144">
        <v>90</v>
      </c>
      <c r="Q39" s="143" t="s">
        <v>1212</v>
      </c>
      <c r="R39" s="143" t="s">
        <v>2814</v>
      </c>
      <c r="S39" s="144" t="s">
        <v>3928</v>
      </c>
      <c r="T39" s="144">
        <v>29.840599999999998</v>
      </c>
      <c r="U39" s="146">
        <v>5.2478134110787169E-6</v>
      </c>
      <c r="V39" s="146">
        <v>3.1936415130419987E-3</v>
      </c>
      <c r="W39" s="147">
        <v>1.9411897518969705E-3</v>
      </c>
      <c r="X39" s="177"/>
    </row>
    <row r="40" spans="1:24" x14ac:dyDescent="0.2">
      <c r="A40" s="142" t="s">
        <v>1205</v>
      </c>
      <c r="B40" s="143" t="s">
        <v>1206</v>
      </c>
      <c r="C40" s="143" t="s">
        <v>2815</v>
      </c>
      <c r="D40" s="143" t="s">
        <v>2816</v>
      </c>
      <c r="E40" s="143" t="s">
        <v>313</v>
      </c>
      <c r="F40" s="143" t="s">
        <v>2815</v>
      </c>
      <c r="G40" s="143" t="s">
        <v>2817</v>
      </c>
      <c r="H40" s="143" t="s">
        <v>321</v>
      </c>
      <c r="I40" s="143" t="s">
        <v>965</v>
      </c>
      <c r="J40" s="143" t="s">
        <v>205</v>
      </c>
      <c r="K40" s="143" t="s">
        <v>246</v>
      </c>
      <c r="L40" s="143" t="s">
        <v>370</v>
      </c>
      <c r="M40" s="143" t="s">
        <v>707</v>
      </c>
      <c r="N40" s="143" t="s">
        <v>339</v>
      </c>
      <c r="O40" s="143" t="s">
        <v>1213</v>
      </c>
      <c r="P40" s="144">
        <v>5860</v>
      </c>
      <c r="Q40" s="143" t="s">
        <v>1214</v>
      </c>
      <c r="R40" s="143" t="s">
        <v>2818</v>
      </c>
      <c r="S40" s="144" t="s">
        <v>3928</v>
      </c>
      <c r="T40" s="144">
        <v>27.9711</v>
      </c>
      <c r="U40" s="146">
        <v>4.0694444444444444E-5</v>
      </c>
      <c r="V40" s="146">
        <v>2.9935549710094714E-3</v>
      </c>
      <c r="W40" s="147">
        <v>1.8195712348217459E-3</v>
      </c>
      <c r="X40" s="177"/>
    </row>
    <row r="41" spans="1:24" x14ac:dyDescent="0.2">
      <c r="A41" s="142" t="s">
        <v>1205</v>
      </c>
      <c r="B41" s="143" t="s">
        <v>1206</v>
      </c>
      <c r="C41" s="143" t="s">
        <v>2819</v>
      </c>
      <c r="D41" s="143" t="s">
        <v>2820</v>
      </c>
      <c r="E41" s="143" t="s">
        <v>313</v>
      </c>
      <c r="F41" s="143" t="s">
        <v>2819</v>
      </c>
      <c r="G41" s="143" t="s">
        <v>2821</v>
      </c>
      <c r="H41" s="143" t="s">
        <v>321</v>
      </c>
      <c r="I41" s="143" t="s">
        <v>965</v>
      </c>
      <c r="J41" s="143" t="s">
        <v>205</v>
      </c>
      <c r="K41" s="143" t="s">
        <v>224</v>
      </c>
      <c r="L41" s="143" t="s">
        <v>344</v>
      </c>
      <c r="M41" s="143" t="s">
        <v>703</v>
      </c>
      <c r="N41" s="143" t="s">
        <v>339</v>
      </c>
      <c r="O41" s="143" t="s">
        <v>1211</v>
      </c>
      <c r="P41" s="144">
        <v>152</v>
      </c>
      <c r="Q41" s="143" t="s">
        <v>1212</v>
      </c>
      <c r="R41" s="143" t="s">
        <v>2822</v>
      </c>
      <c r="S41" s="144" t="s">
        <v>3928</v>
      </c>
      <c r="T41" s="144">
        <v>24.310599999999997</v>
      </c>
      <c r="U41" s="146">
        <v>4.5882637044192223E-6</v>
      </c>
      <c r="V41" s="146">
        <v>2.6017975974215266E-3</v>
      </c>
      <c r="W41" s="147">
        <v>1.581449518363149E-3</v>
      </c>
      <c r="X41" s="177"/>
    </row>
    <row r="42" spans="1:24" x14ac:dyDescent="0.2">
      <c r="A42" s="142" t="s">
        <v>1205</v>
      </c>
      <c r="B42" s="143" t="s">
        <v>1206</v>
      </c>
      <c r="C42" s="143" t="s">
        <v>2802</v>
      </c>
      <c r="D42" s="143" t="s">
        <v>2803</v>
      </c>
      <c r="E42" s="143" t="s">
        <v>313</v>
      </c>
      <c r="F42" s="143" t="s">
        <v>2823</v>
      </c>
      <c r="G42" s="143" t="s">
        <v>2824</v>
      </c>
      <c r="H42" s="143" t="s">
        <v>321</v>
      </c>
      <c r="I42" s="143" t="s">
        <v>965</v>
      </c>
      <c r="J42" s="143" t="s">
        <v>205</v>
      </c>
      <c r="K42" s="143" t="s">
        <v>224</v>
      </c>
      <c r="L42" s="143" t="s">
        <v>344</v>
      </c>
      <c r="M42" s="143" t="s">
        <v>707</v>
      </c>
      <c r="N42" s="143" t="s">
        <v>339</v>
      </c>
      <c r="O42" s="143" t="s">
        <v>1211</v>
      </c>
      <c r="P42" s="144">
        <v>121</v>
      </c>
      <c r="Q42" s="143" t="s">
        <v>1212</v>
      </c>
      <c r="R42" s="143" t="s">
        <v>2825</v>
      </c>
      <c r="S42" s="144" t="s">
        <v>3928</v>
      </c>
      <c r="T42" s="144">
        <v>24.1828</v>
      </c>
      <c r="U42" s="146">
        <v>1.4404761904761905E-6</v>
      </c>
      <c r="V42" s="146">
        <v>2.5881190139888191E-3</v>
      </c>
      <c r="W42" s="147">
        <v>1.5731352708586608E-3</v>
      </c>
      <c r="X42" s="177"/>
    </row>
    <row r="43" spans="1:24" x14ac:dyDescent="0.2">
      <c r="A43" s="142" t="s">
        <v>1205</v>
      </c>
      <c r="B43" s="143" t="s">
        <v>1206</v>
      </c>
      <c r="C43" s="143" t="s">
        <v>2826</v>
      </c>
      <c r="D43" s="143" t="s">
        <v>2827</v>
      </c>
      <c r="E43" s="143" t="s">
        <v>313</v>
      </c>
      <c r="F43" s="143" t="s">
        <v>2828</v>
      </c>
      <c r="G43" s="143" t="s">
        <v>2829</v>
      </c>
      <c r="H43" s="143" t="s">
        <v>321</v>
      </c>
      <c r="I43" s="143" t="s">
        <v>965</v>
      </c>
      <c r="J43" s="143" t="s">
        <v>205</v>
      </c>
      <c r="K43" s="143" t="s">
        <v>224</v>
      </c>
      <c r="L43" s="143" t="s">
        <v>344</v>
      </c>
      <c r="M43" s="143" t="s">
        <v>708</v>
      </c>
      <c r="N43" s="143" t="s">
        <v>339</v>
      </c>
      <c r="O43" s="143" t="s">
        <v>1211</v>
      </c>
      <c r="P43" s="144">
        <v>134</v>
      </c>
      <c r="Q43" s="143" t="s">
        <v>1212</v>
      </c>
      <c r="R43" s="143" t="s">
        <v>2830</v>
      </c>
      <c r="S43" s="144" t="s">
        <v>3928</v>
      </c>
      <c r="T43" s="144">
        <v>22.2072</v>
      </c>
      <c r="U43" s="146">
        <v>1.0178503608051651E-6</v>
      </c>
      <c r="V43" s="146">
        <v>2.3766905991243065E-3</v>
      </c>
      <c r="W43" s="147">
        <v>1.4446228280817386E-3</v>
      </c>
      <c r="X43" s="177"/>
    </row>
    <row r="44" spans="1:24" x14ac:dyDescent="0.2">
      <c r="A44" s="142" t="s">
        <v>1205</v>
      </c>
      <c r="B44" s="143" t="s">
        <v>1206</v>
      </c>
      <c r="C44" s="143" t="s">
        <v>2802</v>
      </c>
      <c r="D44" s="143" t="s">
        <v>2803</v>
      </c>
      <c r="E44" s="143" t="s">
        <v>313</v>
      </c>
      <c r="F44" s="143" t="s">
        <v>2831</v>
      </c>
      <c r="G44" s="143" t="s">
        <v>2832</v>
      </c>
      <c r="H44" s="143" t="s">
        <v>321</v>
      </c>
      <c r="I44" s="143" t="s">
        <v>965</v>
      </c>
      <c r="J44" s="143" t="s">
        <v>205</v>
      </c>
      <c r="K44" s="143" t="s">
        <v>224</v>
      </c>
      <c r="L44" s="143" t="s">
        <v>344</v>
      </c>
      <c r="M44" s="143" t="s">
        <v>708</v>
      </c>
      <c r="N44" s="143" t="s">
        <v>339</v>
      </c>
      <c r="O44" s="143" t="s">
        <v>1211</v>
      </c>
      <c r="P44" s="144">
        <v>74</v>
      </c>
      <c r="Q44" s="143" t="s">
        <v>1212</v>
      </c>
      <c r="R44" s="143" t="s">
        <v>2833</v>
      </c>
      <c r="S44" s="144">
        <v>5.8899999999999994E-3</v>
      </c>
      <c r="T44" s="144">
        <v>16.280100000000001</v>
      </c>
      <c r="U44" s="146">
        <v>6.1743846474760122E-7</v>
      </c>
      <c r="V44" s="146">
        <v>1.7429801334023214E-3</v>
      </c>
      <c r="W44" s="147">
        <v>1.0594348673460853E-3</v>
      </c>
      <c r="X44" s="177"/>
    </row>
    <row r="45" spans="1:24" x14ac:dyDescent="0.2">
      <c r="A45" s="142" t="s">
        <v>1205</v>
      </c>
      <c r="B45" s="143" t="s">
        <v>1206</v>
      </c>
      <c r="C45" s="143" t="s">
        <v>2834</v>
      </c>
      <c r="D45" s="143" t="s">
        <v>2835</v>
      </c>
      <c r="E45" s="143" t="s">
        <v>313</v>
      </c>
      <c r="F45" s="143" t="s">
        <v>2836</v>
      </c>
      <c r="G45" s="143" t="s">
        <v>2837</v>
      </c>
      <c r="H45" s="143" t="s">
        <v>321</v>
      </c>
      <c r="I45" s="143" t="s">
        <v>965</v>
      </c>
      <c r="J45" s="143" t="s">
        <v>205</v>
      </c>
      <c r="K45" s="143" t="s">
        <v>268</v>
      </c>
      <c r="L45" s="143" t="s">
        <v>344</v>
      </c>
      <c r="M45" s="143" t="s">
        <v>588</v>
      </c>
      <c r="N45" s="143" t="s">
        <v>339</v>
      </c>
      <c r="O45" s="143" t="s">
        <v>1211</v>
      </c>
      <c r="P45" s="144">
        <v>99</v>
      </c>
      <c r="Q45" s="143" t="s">
        <v>1212</v>
      </c>
      <c r="R45" s="143" t="s">
        <v>2838</v>
      </c>
      <c r="S45" s="144" t="s">
        <v>3928</v>
      </c>
      <c r="T45" s="144">
        <v>11.672499999999999</v>
      </c>
      <c r="U45" s="146">
        <v>5.3614947197400491E-7</v>
      </c>
      <c r="V45" s="146">
        <v>1.2492259148810807E-3</v>
      </c>
      <c r="W45" s="147">
        <v>7.593164523532986E-4</v>
      </c>
      <c r="X45" s="177"/>
    </row>
    <row r="46" spans="1:24" ht="15" x14ac:dyDescent="0.2">
      <c r="A46" s="142" t="s">
        <v>1205</v>
      </c>
      <c r="B46" s="143" t="s">
        <v>1206</v>
      </c>
      <c r="C46" s="143" t="s">
        <v>2668</v>
      </c>
      <c r="D46" s="143" t="s">
        <v>2669</v>
      </c>
      <c r="E46" s="143" t="s">
        <v>309</v>
      </c>
      <c r="F46" s="143" t="s">
        <v>2839</v>
      </c>
      <c r="G46" s="143" t="s">
        <v>2840</v>
      </c>
      <c r="H46" s="143" t="s">
        <v>321</v>
      </c>
      <c r="I46" s="143" t="s">
        <v>966</v>
      </c>
      <c r="J46" s="143" t="s">
        <v>204</v>
      </c>
      <c r="K46" s="143" t="s">
        <v>204</v>
      </c>
      <c r="L46" s="143" t="s">
        <v>340</v>
      </c>
      <c r="M46" s="143" t="s">
        <v>576</v>
      </c>
      <c r="N46" s="143" t="s">
        <v>339</v>
      </c>
      <c r="O46" s="143" t="s">
        <v>1210</v>
      </c>
      <c r="P46" s="144">
        <v>117894</v>
      </c>
      <c r="Q46" s="145" t="s">
        <v>3930</v>
      </c>
      <c r="R46" s="143" t="s">
        <v>2841</v>
      </c>
      <c r="S46" s="144" t="s">
        <v>3928</v>
      </c>
      <c r="T46" s="144">
        <v>548.49</v>
      </c>
      <c r="U46" s="146">
        <v>2.9473500000000001E-3</v>
      </c>
      <c r="V46" s="146">
        <v>5.8701167368225241E-2</v>
      </c>
      <c r="W46" s="147">
        <v>3.568030539878856E-2</v>
      </c>
      <c r="X46" s="177"/>
    </row>
    <row r="47" spans="1:24" ht="15" x14ac:dyDescent="0.2">
      <c r="A47" s="142" t="s">
        <v>1205</v>
      </c>
      <c r="B47" s="143" t="s">
        <v>1206</v>
      </c>
      <c r="C47" s="143" t="s">
        <v>2668</v>
      </c>
      <c r="D47" s="143" t="s">
        <v>2669</v>
      </c>
      <c r="E47" s="143" t="s">
        <v>309</v>
      </c>
      <c r="F47" s="143" t="s">
        <v>2842</v>
      </c>
      <c r="G47" s="143" t="s">
        <v>2843</v>
      </c>
      <c r="H47" s="143" t="s">
        <v>321</v>
      </c>
      <c r="I47" s="143" t="s">
        <v>966</v>
      </c>
      <c r="J47" s="143" t="s">
        <v>204</v>
      </c>
      <c r="K47" s="143" t="s">
        <v>204</v>
      </c>
      <c r="L47" s="143" t="s">
        <v>340</v>
      </c>
      <c r="M47" s="143" t="s">
        <v>632</v>
      </c>
      <c r="N47" s="143" t="s">
        <v>339</v>
      </c>
      <c r="O47" s="143" t="s">
        <v>1210</v>
      </c>
      <c r="P47" s="144">
        <v>89519</v>
      </c>
      <c r="Q47" s="145" t="s">
        <v>3930</v>
      </c>
      <c r="R47" s="143" t="s">
        <v>2844</v>
      </c>
      <c r="S47" s="144" t="s">
        <v>3928</v>
      </c>
      <c r="T47" s="144">
        <v>405.08240000000001</v>
      </c>
      <c r="U47" s="146">
        <v>2.5311795634938867E-3</v>
      </c>
      <c r="V47" s="146">
        <v>4.3353223144408815E-2</v>
      </c>
      <c r="W47" s="147">
        <v>2.6351371040223018E-2</v>
      </c>
      <c r="X47" s="177"/>
    </row>
    <row r="48" spans="1:24" ht="15" x14ac:dyDescent="0.2">
      <c r="A48" s="142" t="s">
        <v>1205</v>
      </c>
      <c r="B48" s="143" t="s">
        <v>1206</v>
      </c>
      <c r="C48" s="143" t="s">
        <v>2658</v>
      </c>
      <c r="D48" s="143" t="s">
        <v>2659</v>
      </c>
      <c r="E48" s="143" t="s">
        <v>309</v>
      </c>
      <c r="F48" s="143" t="s">
        <v>2845</v>
      </c>
      <c r="G48" s="143" t="s">
        <v>2846</v>
      </c>
      <c r="H48" s="143" t="s">
        <v>321</v>
      </c>
      <c r="I48" s="143" t="s">
        <v>966</v>
      </c>
      <c r="J48" s="143" t="s">
        <v>204</v>
      </c>
      <c r="K48" s="143" t="s">
        <v>204</v>
      </c>
      <c r="L48" s="143" t="s">
        <v>340</v>
      </c>
      <c r="M48" s="143" t="s">
        <v>632</v>
      </c>
      <c r="N48" s="143" t="s">
        <v>339</v>
      </c>
      <c r="O48" s="143" t="s">
        <v>1210</v>
      </c>
      <c r="P48" s="144">
        <v>87609</v>
      </c>
      <c r="Q48" s="145" t="s">
        <v>3930</v>
      </c>
      <c r="R48" s="143" t="s">
        <v>2847</v>
      </c>
      <c r="S48" s="144" t="s">
        <v>3928</v>
      </c>
      <c r="T48" s="144">
        <v>340.65009999999995</v>
      </c>
      <c r="U48" s="146">
        <v>1.1681199999999999E-3</v>
      </c>
      <c r="V48" s="146">
        <v>3.6457465745050398E-2</v>
      </c>
      <c r="W48" s="147">
        <v>2.2159925776082556E-2</v>
      </c>
      <c r="X48" s="177"/>
    </row>
    <row r="49" spans="1:24" ht="15" x14ac:dyDescent="0.2">
      <c r="A49" s="142" t="s">
        <v>1205</v>
      </c>
      <c r="B49" s="143" t="s">
        <v>1206</v>
      </c>
      <c r="C49" s="143" t="s">
        <v>2658</v>
      </c>
      <c r="D49" s="143" t="s">
        <v>2659</v>
      </c>
      <c r="E49" s="143" t="s">
        <v>309</v>
      </c>
      <c r="F49" s="143" t="s">
        <v>2848</v>
      </c>
      <c r="G49" s="143" t="s">
        <v>2849</v>
      </c>
      <c r="H49" s="143" t="s">
        <v>321</v>
      </c>
      <c r="I49" s="143" t="s">
        <v>966</v>
      </c>
      <c r="J49" s="143" t="s">
        <v>204</v>
      </c>
      <c r="K49" s="143" t="s">
        <v>204</v>
      </c>
      <c r="L49" s="143" t="s">
        <v>340</v>
      </c>
      <c r="M49" s="143" t="s">
        <v>576</v>
      </c>
      <c r="N49" s="143" t="s">
        <v>339</v>
      </c>
      <c r="O49" s="143" t="s">
        <v>1210</v>
      </c>
      <c r="P49" s="144">
        <v>85249</v>
      </c>
      <c r="Q49" s="145" t="s">
        <v>3930</v>
      </c>
      <c r="R49" s="143" t="s">
        <v>2850</v>
      </c>
      <c r="S49" s="144" t="s">
        <v>3928</v>
      </c>
      <c r="T49" s="144">
        <v>319.5985</v>
      </c>
      <c r="U49" s="146">
        <v>6.680956112852665E-4</v>
      </c>
      <c r="V49" s="146">
        <v>3.4204458674017002E-2</v>
      </c>
      <c r="W49" s="147">
        <v>2.0790481453862562E-2</v>
      </c>
      <c r="X49" s="177"/>
    </row>
    <row r="50" spans="1:24" ht="15" x14ac:dyDescent="0.2">
      <c r="A50" s="142" t="s">
        <v>1205</v>
      </c>
      <c r="B50" s="143" t="s">
        <v>1206</v>
      </c>
      <c r="C50" s="143" t="s">
        <v>2653</v>
      </c>
      <c r="D50" s="143" t="s">
        <v>2654</v>
      </c>
      <c r="E50" s="143" t="s">
        <v>309</v>
      </c>
      <c r="F50" s="143" t="s">
        <v>2851</v>
      </c>
      <c r="G50" s="143" t="s">
        <v>2852</v>
      </c>
      <c r="H50" s="143" t="s">
        <v>321</v>
      </c>
      <c r="I50" s="143" t="s">
        <v>966</v>
      </c>
      <c r="J50" s="143" t="s">
        <v>204</v>
      </c>
      <c r="K50" s="143" t="s">
        <v>204</v>
      </c>
      <c r="L50" s="143" t="s">
        <v>340</v>
      </c>
      <c r="M50" s="143" t="s">
        <v>576</v>
      </c>
      <c r="N50" s="143" t="s">
        <v>339</v>
      </c>
      <c r="O50" s="143" t="s">
        <v>1210</v>
      </c>
      <c r="P50" s="144">
        <v>257230</v>
      </c>
      <c r="Q50" s="145" t="s">
        <v>3930</v>
      </c>
      <c r="R50" s="143" t="s">
        <v>2853</v>
      </c>
      <c r="S50" s="144" t="s">
        <v>3928</v>
      </c>
      <c r="T50" s="144">
        <v>286.68279999999999</v>
      </c>
      <c r="U50" s="146">
        <v>6.4307500000000001E-4</v>
      </c>
      <c r="V50" s="146">
        <v>3.0681718317281892E-2</v>
      </c>
      <c r="W50" s="147">
        <v>1.864925569287398E-2</v>
      </c>
      <c r="X50" s="177"/>
    </row>
    <row r="51" spans="1:24" ht="15" x14ac:dyDescent="0.2">
      <c r="A51" s="142" t="s">
        <v>1205</v>
      </c>
      <c r="B51" s="143" t="s">
        <v>1206</v>
      </c>
      <c r="C51" s="143" t="s">
        <v>2653</v>
      </c>
      <c r="D51" s="143" t="s">
        <v>2654</v>
      </c>
      <c r="E51" s="143" t="s">
        <v>309</v>
      </c>
      <c r="F51" s="143" t="s">
        <v>2854</v>
      </c>
      <c r="G51" s="143" t="s">
        <v>2855</v>
      </c>
      <c r="H51" s="143" t="s">
        <v>321</v>
      </c>
      <c r="I51" s="143" t="s">
        <v>966</v>
      </c>
      <c r="J51" s="143" t="s">
        <v>204</v>
      </c>
      <c r="K51" s="143" t="s">
        <v>204</v>
      </c>
      <c r="L51" s="143" t="s">
        <v>340</v>
      </c>
      <c r="M51" s="143" t="s">
        <v>632</v>
      </c>
      <c r="N51" s="143" t="s">
        <v>339</v>
      </c>
      <c r="O51" s="143" t="s">
        <v>1210</v>
      </c>
      <c r="P51" s="144">
        <v>810.24</v>
      </c>
      <c r="Q51" s="145" t="s">
        <v>3930</v>
      </c>
      <c r="R51" s="143" t="s">
        <v>2856</v>
      </c>
      <c r="S51" s="144" t="s">
        <v>3928</v>
      </c>
      <c r="T51" s="144">
        <v>31.4435</v>
      </c>
      <c r="U51" s="146">
        <v>9.2133860182910002E-5</v>
      </c>
      <c r="V51" s="146">
        <v>3.3651811907675646E-3</v>
      </c>
      <c r="W51" s="147">
        <v>2.0454566406772953E-3</v>
      </c>
      <c r="X51" s="177"/>
    </row>
    <row r="52" spans="1:24" x14ac:dyDescent="0.2">
      <c r="A52" s="142" t="s">
        <v>1205</v>
      </c>
      <c r="B52" s="143" t="s">
        <v>1206</v>
      </c>
      <c r="C52" s="143" t="s">
        <v>2857</v>
      </c>
      <c r="D52" s="143" t="s">
        <v>2858</v>
      </c>
      <c r="E52" s="143" t="s">
        <v>313</v>
      </c>
      <c r="F52" s="143" t="s">
        <v>2857</v>
      </c>
      <c r="G52" s="143" t="s">
        <v>2859</v>
      </c>
      <c r="H52" s="143" t="s">
        <v>321</v>
      </c>
      <c r="I52" s="143" t="s">
        <v>967</v>
      </c>
      <c r="J52" s="143" t="s">
        <v>205</v>
      </c>
      <c r="K52" s="143" t="s">
        <v>224</v>
      </c>
      <c r="L52" s="143" t="s">
        <v>314</v>
      </c>
      <c r="M52" s="143" t="s">
        <v>677</v>
      </c>
      <c r="N52" s="143" t="s">
        <v>339</v>
      </c>
      <c r="O52" s="143" t="s">
        <v>1211</v>
      </c>
      <c r="P52" s="144">
        <v>252</v>
      </c>
      <c r="Q52" s="143" t="s">
        <v>1212</v>
      </c>
      <c r="R52" s="143" t="s">
        <v>2860</v>
      </c>
      <c r="S52" s="144" t="s">
        <v>3928</v>
      </c>
      <c r="T52" s="144">
        <v>90.257199999999997</v>
      </c>
      <c r="U52" s="146">
        <v>1.6667769032343409E-5</v>
      </c>
      <c r="V52" s="146">
        <v>9.6596131215554298E-3</v>
      </c>
      <c r="W52" s="147">
        <v>5.871398503018618E-3</v>
      </c>
      <c r="X52" s="177"/>
    </row>
    <row r="53" spans="1:24" x14ac:dyDescent="0.2">
      <c r="A53" s="142" t="s">
        <v>1205</v>
      </c>
      <c r="B53" s="143" t="s">
        <v>1206</v>
      </c>
      <c r="C53" s="143" t="s">
        <v>2861</v>
      </c>
      <c r="D53" s="143" t="s">
        <v>2862</v>
      </c>
      <c r="E53" s="143" t="s">
        <v>313</v>
      </c>
      <c r="F53" s="143" t="s">
        <v>2861</v>
      </c>
      <c r="G53" s="143" t="s">
        <v>2863</v>
      </c>
      <c r="H53" s="143" t="s">
        <v>321</v>
      </c>
      <c r="I53" s="143" t="s">
        <v>967</v>
      </c>
      <c r="J53" s="143" t="s">
        <v>205</v>
      </c>
      <c r="K53" s="143" t="s">
        <v>224</v>
      </c>
      <c r="L53" s="143" t="s">
        <v>380</v>
      </c>
      <c r="M53" s="143" t="s">
        <v>592</v>
      </c>
      <c r="N53" s="143" t="s">
        <v>339</v>
      </c>
      <c r="O53" s="143" t="s">
        <v>1211</v>
      </c>
      <c r="P53" s="144">
        <v>3298</v>
      </c>
      <c r="Q53" s="143" t="s">
        <v>1212</v>
      </c>
      <c r="R53" s="143" t="s">
        <v>2864</v>
      </c>
      <c r="S53" s="144" t="s">
        <v>3928</v>
      </c>
      <c r="T53" s="144">
        <v>74.502399999999994</v>
      </c>
      <c r="U53" s="146">
        <v>1.0859400724399078E-5</v>
      </c>
      <c r="V53" s="146">
        <v>7.9734912665530549E-3</v>
      </c>
      <c r="W53" s="147">
        <v>4.8465237786596985E-3</v>
      </c>
      <c r="X53" s="177"/>
    </row>
    <row r="54" spans="1:24" x14ac:dyDescent="0.2">
      <c r="A54" s="142" t="s">
        <v>1205</v>
      </c>
      <c r="B54" s="143" t="s">
        <v>1206</v>
      </c>
      <c r="C54" s="143" t="s">
        <v>2865</v>
      </c>
      <c r="D54" s="143" t="s">
        <v>2789</v>
      </c>
      <c r="E54" s="143" t="s">
        <v>313</v>
      </c>
      <c r="F54" s="143" t="s">
        <v>2865</v>
      </c>
      <c r="G54" s="143" t="s">
        <v>2866</v>
      </c>
      <c r="H54" s="143" t="s">
        <v>321</v>
      </c>
      <c r="I54" s="143" t="s">
        <v>967</v>
      </c>
      <c r="J54" s="143" t="s">
        <v>205</v>
      </c>
      <c r="K54" s="143" t="s">
        <v>224</v>
      </c>
      <c r="L54" s="143" t="s">
        <v>344</v>
      </c>
      <c r="M54" s="143" t="s">
        <v>592</v>
      </c>
      <c r="N54" s="143" t="s">
        <v>339</v>
      </c>
      <c r="O54" s="143" t="s">
        <v>1211</v>
      </c>
      <c r="P54" s="144">
        <v>2837</v>
      </c>
      <c r="Q54" s="143" t="s">
        <v>1212</v>
      </c>
      <c r="R54" s="143" t="s">
        <v>2867</v>
      </c>
      <c r="S54" s="144" t="s">
        <v>3928</v>
      </c>
      <c r="T54" s="144">
        <v>62.688499999999998</v>
      </c>
      <c r="U54" s="146">
        <v>4.1647093364650619E-6</v>
      </c>
      <c r="V54" s="146">
        <v>6.7091256017071223E-3</v>
      </c>
      <c r="W54" s="147">
        <v>4.0780049385750177E-3</v>
      </c>
      <c r="X54" s="177"/>
    </row>
    <row r="55" spans="1:24" x14ac:dyDescent="0.2">
      <c r="A55" s="142" t="s">
        <v>1205</v>
      </c>
      <c r="B55" s="143" t="s">
        <v>1206</v>
      </c>
      <c r="C55" s="143" t="s">
        <v>2868</v>
      </c>
      <c r="D55" s="143" t="s">
        <v>2869</v>
      </c>
      <c r="E55" s="143" t="s">
        <v>313</v>
      </c>
      <c r="F55" s="143" t="s">
        <v>2868</v>
      </c>
      <c r="G55" s="143" t="s">
        <v>2870</v>
      </c>
      <c r="H55" s="143" t="s">
        <v>321</v>
      </c>
      <c r="I55" s="143" t="s">
        <v>967</v>
      </c>
      <c r="J55" s="143" t="s">
        <v>205</v>
      </c>
      <c r="K55" s="143" t="s">
        <v>233</v>
      </c>
      <c r="L55" s="143" t="s">
        <v>380</v>
      </c>
      <c r="M55" s="143" t="s">
        <v>677</v>
      </c>
      <c r="N55" s="143" t="s">
        <v>339</v>
      </c>
      <c r="O55" s="143" t="s">
        <v>1211</v>
      </c>
      <c r="P55" s="144">
        <v>148</v>
      </c>
      <c r="Q55" s="143" t="s">
        <v>1212</v>
      </c>
      <c r="R55" s="143" t="s">
        <v>2871</v>
      </c>
      <c r="S55" s="144" t="s">
        <v>3928</v>
      </c>
      <c r="T55" s="144">
        <v>53.260800000000003</v>
      </c>
      <c r="U55" s="146">
        <v>4.6284713535151362E-6</v>
      </c>
      <c r="V55" s="146">
        <v>5.7001376998534097E-3</v>
      </c>
      <c r="W55" s="147">
        <v>3.4647122547005471E-3</v>
      </c>
      <c r="X55" s="177"/>
    </row>
    <row r="56" spans="1:24" x14ac:dyDescent="0.2">
      <c r="A56" s="142" t="s">
        <v>1205</v>
      </c>
      <c r="B56" s="143" t="s">
        <v>1206</v>
      </c>
      <c r="C56" s="143" t="s">
        <v>2872</v>
      </c>
      <c r="D56" s="143" t="s">
        <v>2873</v>
      </c>
      <c r="E56" s="143" t="s">
        <v>313</v>
      </c>
      <c r="F56" s="143" t="s">
        <v>2872</v>
      </c>
      <c r="G56" s="143" t="s">
        <v>2874</v>
      </c>
      <c r="H56" s="143" t="s">
        <v>321</v>
      </c>
      <c r="I56" s="143" t="s">
        <v>967</v>
      </c>
      <c r="J56" s="143" t="s">
        <v>205</v>
      </c>
      <c r="K56" s="143" t="s">
        <v>224</v>
      </c>
      <c r="L56" s="143" t="s">
        <v>380</v>
      </c>
      <c r="M56" s="143" t="s">
        <v>677</v>
      </c>
      <c r="N56" s="143" t="s">
        <v>339</v>
      </c>
      <c r="O56" s="143" t="s">
        <v>1211</v>
      </c>
      <c r="P56" s="144">
        <v>297</v>
      </c>
      <c r="Q56" s="143" t="s">
        <v>1212</v>
      </c>
      <c r="R56" s="143" t="s">
        <v>2875</v>
      </c>
      <c r="S56" s="144" t="s">
        <v>3928</v>
      </c>
      <c r="T56" s="144">
        <v>31.8523</v>
      </c>
      <c r="U56" s="146">
        <v>1.2913043478260868E-4</v>
      </c>
      <c r="V56" s="146">
        <v>3.4089362619029117E-3</v>
      </c>
      <c r="W56" s="147">
        <v>2.0720522668095953E-3</v>
      </c>
      <c r="X56" s="177"/>
    </row>
    <row r="57" spans="1:24" x14ac:dyDescent="0.2">
      <c r="A57" s="142" t="s">
        <v>1205</v>
      </c>
      <c r="B57" s="143" t="s">
        <v>1206</v>
      </c>
      <c r="C57" s="143" t="s">
        <v>2876</v>
      </c>
      <c r="D57" s="143" t="s">
        <v>2873</v>
      </c>
      <c r="E57" s="143" t="s">
        <v>313</v>
      </c>
      <c r="F57" s="143" t="s">
        <v>2876</v>
      </c>
      <c r="G57" s="143" t="s">
        <v>2877</v>
      </c>
      <c r="H57" s="143" t="s">
        <v>321</v>
      </c>
      <c r="I57" s="143" t="s">
        <v>967</v>
      </c>
      <c r="J57" s="143" t="s">
        <v>205</v>
      </c>
      <c r="K57" s="143" t="s">
        <v>224</v>
      </c>
      <c r="L57" s="143" t="s">
        <v>380</v>
      </c>
      <c r="M57" s="143" t="s">
        <v>677</v>
      </c>
      <c r="N57" s="143" t="s">
        <v>339</v>
      </c>
      <c r="O57" s="143" t="s">
        <v>1211</v>
      </c>
      <c r="P57" s="144">
        <v>322</v>
      </c>
      <c r="Q57" s="143" t="s">
        <v>1212</v>
      </c>
      <c r="R57" s="143" t="s">
        <v>2878</v>
      </c>
      <c r="S57" s="144" t="s">
        <v>3928</v>
      </c>
      <c r="T57" s="144">
        <v>26.0427</v>
      </c>
      <c r="U57" s="146">
        <v>5.7500000000000002E-5</v>
      </c>
      <c r="V57" s="146">
        <v>2.7871751600648509E-3</v>
      </c>
      <c r="W57" s="147">
        <v>1.6941274828013346E-3</v>
      </c>
      <c r="X57" s="177"/>
    </row>
    <row r="58" spans="1:24" ht="15" x14ac:dyDescent="0.2">
      <c r="A58" s="142" t="s">
        <v>1205</v>
      </c>
      <c r="B58" s="143" t="s">
        <v>1215</v>
      </c>
      <c r="C58" s="143" t="s">
        <v>2658</v>
      </c>
      <c r="D58" s="143" t="s">
        <v>2659</v>
      </c>
      <c r="E58" s="143" t="s">
        <v>309</v>
      </c>
      <c r="F58" s="143" t="s">
        <v>2879</v>
      </c>
      <c r="G58" s="143" t="s">
        <v>2880</v>
      </c>
      <c r="H58" s="143" t="s">
        <v>321</v>
      </c>
      <c r="I58" s="143" t="s">
        <v>966</v>
      </c>
      <c r="J58" s="143" t="s">
        <v>204</v>
      </c>
      <c r="K58" s="143" t="s">
        <v>204</v>
      </c>
      <c r="L58" s="143" t="s">
        <v>340</v>
      </c>
      <c r="M58" s="143" t="s">
        <v>632</v>
      </c>
      <c r="N58" s="143" t="s">
        <v>339</v>
      </c>
      <c r="O58" s="143" t="s">
        <v>1210</v>
      </c>
      <c r="P58" s="144">
        <v>68992</v>
      </c>
      <c r="Q58" s="145" t="s">
        <v>3930</v>
      </c>
      <c r="R58" s="143" t="s">
        <v>2881</v>
      </c>
      <c r="S58" s="144" t="s">
        <v>3928</v>
      </c>
      <c r="T58" s="144">
        <v>268.50309999999996</v>
      </c>
      <c r="U58" s="146">
        <v>2.527710482302013E-4</v>
      </c>
      <c r="V58" s="146">
        <v>0.26644924282509214</v>
      </c>
      <c r="W58" s="147">
        <v>7.6590302042050293E-2</v>
      </c>
      <c r="X58" s="177"/>
    </row>
    <row r="59" spans="1:24" ht="15" x14ac:dyDescent="0.2">
      <c r="A59" s="142" t="s">
        <v>1205</v>
      </c>
      <c r="B59" s="143" t="s">
        <v>1215</v>
      </c>
      <c r="C59" s="143" t="s">
        <v>2653</v>
      </c>
      <c r="D59" s="143" t="s">
        <v>2654</v>
      </c>
      <c r="E59" s="143" t="s">
        <v>309</v>
      </c>
      <c r="F59" s="143" t="s">
        <v>2882</v>
      </c>
      <c r="G59" s="143" t="s">
        <v>2883</v>
      </c>
      <c r="H59" s="143" t="s">
        <v>321</v>
      </c>
      <c r="I59" s="143" t="s">
        <v>966</v>
      </c>
      <c r="J59" s="143" t="s">
        <v>204</v>
      </c>
      <c r="K59" s="143" t="s">
        <v>204</v>
      </c>
      <c r="L59" s="143" t="s">
        <v>340</v>
      </c>
      <c r="M59" s="143" t="s">
        <v>576</v>
      </c>
      <c r="N59" s="143" t="s">
        <v>339</v>
      </c>
      <c r="O59" s="143" t="s">
        <v>1210</v>
      </c>
      <c r="P59" s="144">
        <v>5747</v>
      </c>
      <c r="Q59" s="145" t="s">
        <v>3930</v>
      </c>
      <c r="R59" s="143" t="s">
        <v>2884</v>
      </c>
      <c r="S59" s="144" t="s">
        <v>3928</v>
      </c>
      <c r="T59" s="144">
        <v>209.04079999999999</v>
      </c>
      <c r="U59" s="146">
        <v>4.1050000000000002E-5</v>
      </c>
      <c r="V59" s="146">
        <v>0.20744181685363233</v>
      </c>
      <c r="W59" s="147">
        <v>5.9628735441372267E-2</v>
      </c>
      <c r="X59" s="177"/>
    </row>
    <row r="60" spans="1:24" ht="15" x14ac:dyDescent="0.2">
      <c r="A60" s="142" t="s">
        <v>1205</v>
      </c>
      <c r="B60" s="143" t="s">
        <v>1215</v>
      </c>
      <c r="C60" s="143" t="s">
        <v>2668</v>
      </c>
      <c r="D60" s="143" t="s">
        <v>2669</v>
      </c>
      <c r="E60" s="143" t="s">
        <v>309</v>
      </c>
      <c r="F60" s="143" t="s">
        <v>2885</v>
      </c>
      <c r="G60" s="143" t="s">
        <v>2886</v>
      </c>
      <c r="H60" s="143" t="s">
        <v>321</v>
      </c>
      <c r="I60" s="143" t="s">
        <v>966</v>
      </c>
      <c r="J60" s="143" t="s">
        <v>204</v>
      </c>
      <c r="K60" s="143" t="s">
        <v>204</v>
      </c>
      <c r="L60" s="143" t="s">
        <v>340</v>
      </c>
      <c r="M60" s="143" t="s">
        <v>632</v>
      </c>
      <c r="N60" s="143" t="s">
        <v>339</v>
      </c>
      <c r="O60" s="143" t="s">
        <v>1210</v>
      </c>
      <c r="P60" s="144">
        <v>44759</v>
      </c>
      <c r="Q60" s="145" t="s">
        <v>3930</v>
      </c>
      <c r="R60" s="143" t="s">
        <v>2887</v>
      </c>
      <c r="S60" s="144" t="s">
        <v>3928</v>
      </c>
      <c r="T60" s="144">
        <v>202.33750000000001</v>
      </c>
      <c r="U60" s="146">
        <v>1.8176899204230793E-4</v>
      </c>
      <c r="V60" s="146">
        <v>0.20078982331896802</v>
      </c>
      <c r="W60" s="147">
        <v>5.7716633201561639E-2</v>
      </c>
      <c r="X60" s="177"/>
    </row>
    <row r="61" spans="1:24" ht="15" x14ac:dyDescent="0.2">
      <c r="A61" s="142" t="s">
        <v>1205</v>
      </c>
      <c r="B61" s="143" t="s">
        <v>1215</v>
      </c>
      <c r="C61" s="143" t="s">
        <v>2668</v>
      </c>
      <c r="D61" s="143" t="s">
        <v>2669</v>
      </c>
      <c r="E61" s="143" t="s">
        <v>309</v>
      </c>
      <c r="F61" s="143" t="s">
        <v>2888</v>
      </c>
      <c r="G61" s="143" t="s">
        <v>2889</v>
      </c>
      <c r="H61" s="143" t="s">
        <v>321</v>
      </c>
      <c r="I61" s="143" t="s">
        <v>966</v>
      </c>
      <c r="J61" s="143" t="s">
        <v>204</v>
      </c>
      <c r="K61" s="143" t="s">
        <v>204</v>
      </c>
      <c r="L61" s="143" t="s">
        <v>340</v>
      </c>
      <c r="M61" s="143" t="s">
        <v>576</v>
      </c>
      <c r="N61" s="143" t="s">
        <v>339</v>
      </c>
      <c r="O61" s="143" t="s">
        <v>1210</v>
      </c>
      <c r="P61" s="144">
        <v>25837</v>
      </c>
      <c r="Q61" s="145" t="s">
        <v>3930</v>
      </c>
      <c r="R61" s="143" t="s">
        <v>2890</v>
      </c>
      <c r="S61" s="144" t="s">
        <v>3928</v>
      </c>
      <c r="T61" s="144">
        <v>120.3823</v>
      </c>
      <c r="U61" s="146">
        <v>1.7837997552803755E-4</v>
      </c>
      <c r="V61" s="146">
        <v>0.11946151042553411</v>
      </c>
      <c r="W61" s="147">
        <v>3.4338972289357769E-2</v>
      </c>
      <c r="X61" s="177"/>
    </row>
    <row r="62" spans="1:24" ht="15" x14ac:dyDescent="0.2">
      <c r="A62" s="142" t="s">
        <v>1205</v>
      </c>
      <c r="B62" s="143" t="s">
        <v>1215</v>
      </c>
      <c r="C62" s="143" t="s">
        <v>2658</v>
      </c>
      <c r="D62" s="143" t="s">
        <v>2659</v>
      </c>
      <c r="E62" s="143" t="s">
        <v>309</v>
      </c>
      <c r="F62" s="143" t="s">
        <v>2891</v>
      </c>
      <c r="G62" s="143" t="s">
        <v>2892</v>
      </c>
      <c r="H62" s="143" t="s">
        <v>321</v>
      </c>
      <c r="I62" s="143" t="s">
        <v>966</v>
      </c>
      <c r="J62" s="143" t="s">
        <v>204</v>
      </c>
      <c r="K62" s="143" t="s">
        <v>204</v>
      </c>
      <c r="L62" s="143" t="s">
        <v>340</v>
      </c>
      <c r="M62" s="143" t="s">
        <v>576</v>
      </c>
      <c r="N62" s="143" t="s">
        <v>339</v>
      </c>
      <c r="O62" s="143" t="s">
        <v>1210</v>
      </c>
      <c r="P62" s="144">
        <v>27008</v>
      </c>
      <c r="Q62" s="145" t="s">
        <v>3930</v>
      </c>
      <c r="R62" s="143" t="s">
        <v>2893</v>
      </c>
      <c r="S62" s="144" t="s">
        <v>3928</v>
      </c>
      <c r="T62" s="144">
        <v>98.419899999999998</v>
      </c>
      <c r="U62" s="146">
        <v>8.7417852489501225E-5</v>
      </c>
      <c r="V62" s="146">
        <v>9.7667023648004961E-2</v>
      </c>
      <c r="W62" s="147">
        <v>2.8074190646731032E-2</v>
      </c>
      <c r="X62" s="177"/>
    </row>
    <row r="63" spans="1:24" ht="15" x14ac:dyDescent="0.2">
      <c r="A63" s="142" t="s">
        <v>1205</v>
      </c>
      <c r="B63" s="143" t="s">
        <v>1215</v>
      </c>
      <c r="C63" s="143" t="s">
        <v>2653</v>
      </c>
      <c r="D63" s="143" t="s">
        <v>2654</v>
      </c>
      <c r="E63" s="143" t="s">
        <v>309</v>
      </c>
      <c r="F63" s="143" t="s">
        <v>2894</v>
      </c>
      <c r="G63" s="143" t="s">
        <v>2895</v>
      </c>
      <c r="H63" s="143" t="s">
        <v>321</v>
      </c>
      <c r="I63" s="143" t="s">
        <v>966</v>
      </c>
      <c r="J63" s="143" t="s">
        <v>204</v>
      </c>
      <c r="K63" s="143" t="s">
        <v>204</v>
      </c>
      <c r="L63" s="143" t="s">
        <v>340</v>
      </c>
      <c r="M63" s="143" t="s">
        <v>634</v>
      </c>
      <c r="N63" s="143" t="s">
        <v>339</v>
      </c>
      <c r="O63" s="143" t="s">
        <v>1210</v>
      </c>
      <c r="P63" s="144">
        <v>895</v>
      </c>
      <c r="Q63" s="145" t="s">
        <v>3930</v>
      </c>
      <c r="R63" s="143" t="s">
        <v>2896</v>
      </c>
      <c r="S63" s="144" t="s">
        <v>3928</v>
      </c>
      <c r="T63" s="144">
        <v>34.927599999999998</v>
      </c>
      <c r="U63" s="146">
        <v>2.2938870115324592E-5</v>
      </c>
      <c r="V63" s="146">
        <v>3.4660387568522862E-2</v>
      </c>
      <c r="W63" s="147">
        <v>9.9630590975644407E-3</v>
      </c>
      <c r="X63" s="177"/>
    </row>
    <row r="64" spans="1:24" ht="15" x14ac:dyDescent="0.2">
      <c r="A64" s="142" t="s">
        <v>1205</v>
      </c>
      <c r="B64" s="143" t="s">
        <v>1215</v>
      </c>
      <c r="C64" s="143" t="s">
        <v>2658</v>
      </c>
      <c r="D64" s="143" t="s">
        <v>2659</v>
      </c>
      <c r="E64" s="143" t="s">
        <v>309</v>
      </c>
      <c r="F64" s="143" t="s">
        <v>2897</v>
      </c>
      <c r="G64" s="143" t="s">
        <v>2898</v>
      </c>
      <c r="H64" s="143" t="s">
        <v>321</v>
      </c>
      <c r="I64" s="143" t="s">
        <v>966</v>
      </c>
      <c r="J64" s="143" t="s">
        <v>204</v>
      </c>
      <c r="K64" s="143" t="s">
        <v>204</v>
      </c>
      <c r="L64" s="143" t="s">
        <v>340</v>
      </c>
      <c r="M64" s="143" t="s">
        <v>634</v>
      </c>
      <c r="N64" s="143" t="s">
        <v>339</v>
      </c>
      <c r="O64" s="143" t="s">
        <v>1210</v>
      </c>
      <c r="P64" s="144">
        <v>7800</v>
      </c>
      <c r="Q64" s="145" t="s">
        <v>3930</v>
      </c>
      <c r="R64" s="143" t="s">
        <v>2899</v>
      </c>
      <c r="S64" s="144" t="s">
        <v>3928</v>
      </c>
      <c r="T64" s="144">
        <v>30.285799999999998</v>
      </c>
      <c r="U64" s="146">
        <v>5.8455909192072563E-5</v>
      </c>
      <c r="V64" s="146">
        <v>3.0054178779260421E-2</v>
      </c>
      <c r="W64" s="147">
        <v>8.6390135919446592E-3</v>
      </c>
      <c r="X64" s="177"/>
    </row>
    <row r="65" spans="1:24" ht="15" x14ac:dyDescent="0.2">
      <c r="A65" s="142" t="s">
        <v>1205</v>
      </c>
      <c r="B65" s="143" t="s">
        <v>1215</v>
      </c>
      <c r="C65" s="143" t="s">
        <v>2653</v>
      </c>
      <c r="D65" s="143" t="s">
        <v>2654</v>
      </c>
      <c r="E65" s="143" t="s">
        <v>309</v>
      </c>
      <c r="F65" s="143" t="s">
        <v>2900</v>
      </c>
      <c r="G65" s="143" t="s">
        <v>2901</v>
      </c>
      <c r="H65" s="143" t="s">
        <v>321</v>
      </c>
      <c r="I65" s="143" t="s">
        <v>966</v>
      </c>
      <c r="J65" s="143" t="s">
        <v>204</v>
      </c>
      <c r="K65" s="143" t="s">
        <v>204</v>
      </c>
      <c r="L65" s="143" t="s">
        <v>340</v>
      </c>
      <c r="M65" s="143" t="s">
        <v>632</v>
      </c>
      <c r="N65" s="143" t="s">
        <v>339</v>
      </c>
      <c r="O65" s="143" t="s">
        <v>1210</v>
      </c>
      <c r="P65" s="144">
        <v>674.6</v>
      </c>
      <c r="Q65" s="145" t="s">
        <v>3930</v>
      </c>
      <c r="R65" s="143" t="s">
        <v>2902</v>
      </c>
      <c r="S65" s="144" t="s">
        <v>3928</v>
      </c>
      <c r="T65" s="144">
        <v>26.177900000000001</v>
      </c>
      <c r="U65" s="146">
        <v>1.2492175261404231E-5</v>
      </c>
      <c r="V65" s="146">
        <v>2.5977681371033436E-2</v>
      </c>
      <c r="W65" s="147">
        <v>7.4672325635606008E-3</v>
      </c>
      <c r="X65" s="177"/>
    </row>
    <row r="66" spans="1:24" x14ac:dyDescent="0.2">
      <c r="A66" s="142" t="s">
        <v>1205</v>
      </c>
      <c r="B66" s="143" t="s">
        <v>1215</v>
      </c>
      <c r="C66" s="143" t="s">
        <v>2865</v>
      </c>
      <c r="D66" s="143" t="s">
        <v>2789</v>
      </c>
      <c r="E66" s="143" t="s">
        <v>313</v>
      </c>
      <c r="F66" s="143" t="s">
        <v>2865</v>
      </c>
      <c r="G66" s="143" t="s">
        <v>2866</v>
      </c>
      <c r="H66" s="143" t="s">
        <v>321</v>
      </c>
      <c r="I66" s="143" t="s">
        <v>967</v>
      </c>
      <c r="J66" s="143" t="s">
        <v>205</v>
      </c>
      <c r="K66" s="143" t="s">
        <v>224</v>
      </c>
      <c r="L66" s="143" t="s">
        <v>344</v>
      </c>
      <c r="M66" s="143" t="s">
        <v>592</v>
      </c>
      <c r="N66" s="143" t="s">
        <v>339</v>
      </c>
      <c r="O66" s="143" t="s">
        <v>1211</v>
      </c>
      <c r="P66" s="144">
        <v>798</v>
      </c>
      <c r="Q66" s="143" t="s">
        <v>1212</v>
      </c>
      <c r="R66" s="143" t="s">
        <v>2867</v>
      </c>
      <c r="S66" s="144" t="s">
        <v>3928</v>
      </c>
      <c r="T66" s="144">
        <v>17.633200000000002</v>
      </c>
      <c r="U66" s="146">
        <v>1.1714621256605989E-6</v>
      </c>
      <c r="V66" s="146">
        <v>1.7498335209951699E-2</v>
      </c>
      <c r="W66" s="147">
        <v>5.0298614653711228E-3</v>
      </c>
      <c r="X66" s="177"/>
    </row>
    <row r="67" spans="1:24" ht="15" x14ac:dyDescent="0.2">
      <c r="A67" s="142" t="s">
        <v>1205</v>
      </c>
      <c r="B67" s="143" t="s">
        <v>1205</v>
      </c>
      <c r="C67" s="143" t="s">
        <v>2653</v>
      </c>
      <c r="D67" s="143" t="s">
        <v>2654</v>
      </c>
      <c r="E67" s="143" t="s">
        <v>309</v>
      </c>
      <c r="F67" s="143" t="s">
        <v>2903</v>
      </c>
      <c r="G67" s="143" t="s">
        <v>2904</v>
      </c>
      <c r="H67" s="143" t="s">
        <v>321</v>
      </c>
      <c r="I67" s="143" t="s">
        <v>965</v>
      </c>
      <c r="J67" s="143" t="s">
        <v>204</v>
      </c>
      <c r="K67" s="143" t="s">
        <v>244</v>
      </c>
      <c r="L67" s="143" t="s">
        <v>340</v>
      </c>
      <c r="M67" s="143" t="s">
        <v>580</v>
      </c>
      <c r="N67" s="143" t="s">
        <v>339</v>
      </c>
      <c r="O67" s="143" t="s">
        <v>1210</v>
      </c>
      <c r="P67" s="144">
        <v>20500</v>
      </c>
      <c r="Q67" s="145" t="s">
        <v>3930</v>
      </c>
      <c r="R67" s="143" t="s">
        <v>2905</v>
      </c>
      <c r="S67" s="144" t="s">
        <v>3928</v>
      </c>
      <c r="T67" s="144">
        <v>2359.5500000000002</v>
      </c>
      <c r="U67" s="146">
        <v>1.8668393508243736E-3</v>
      </c>
      <c r="V67" s="146">
        <v>1.6303154717435177E-2</v>
      </c>
      <c r="W67" s="147">
        <v>3.4229709391900686E-3</v>
      </c>
      <c r="X67" s="177"/>
    </row>
    <row r="68" spans="1:24" ht="15" x14ac:dyDescent="0.2">
      <c r="A68" s="142" t="s">
        <v>1205</v>
      </c>
      <c r="B68" s="143" t="s">
        <v>1205</v>
      </c>
      <c r="C68" s="143" t="s">
        <v>2653</v>
      </c>
      <c r="D68" s="143" t="s">
        <v>2654</v>
      </c>
      <c r="E68" s="143" t="s">
        <v>309</v>
      </c>
      <c r="F68" s="143" t="s">
        <v>2906</v>
      </c>
      <c r="G68" s="143" t="s">
        <v>2907</v>
      </c>
      <c r="H68" s="143" t="s">
        <v>321</v>
      </c>
      <c r="I68" s="143" t="s">
        <v>965</v>
      </c>
      <c r="J68" s="143" t="s">
        <v>204</v>
      </c>
      <c r="K68" s="143" t="s">
        <v>224</v>
      </c>
      <c r="L68" s="143" t="s">
        <v>340</v>
      </c>
      <c r="M68" s="143" t="s">
        <v>708</v>
      </c>
      <c r="N68" s="143" t="s">
        <v>339</v>
      </c>
      <c r="O68" s="143" t="s">
        <v>1210</v>
      </c>
      <c r="P68" s="144">
        <v>5023</v>
      </c>
      <c r="Q68" s="145" t="s">
        <v>3930</v>
      </c>
      <c r="R68" s="143" t="s">
        <v>2908</v>
      </c>
      <c r="S68" s="144" t="s">
        <v>3928</v>
      </c>
      <c r="T68" s="144">
        <v>1022.6828</v>
      </c>
      <c r="U68" s="146">
        <v>1.5830943301081029E-3</v>
      </c>
      <c r="V68" s="146">
        <v>7.0661591893623E-3</v>
      </c>
      <c r="W68" s="147">
        <v>1.483593695581585E-3</v>
      </c>
      <c r="X68" s="177"/>
    </row>
    <row r="69" spans="1:24" ht="15" x14ac:dyDescent="0.2">
      <c r="A69" s="142" t="s">
        <v>1205</v>
      </c>
      <c r="B69" s="143" t="s">
        <v>1205</v>
      </c>
      <c r="C69" s="143" t="s">
        <v>2653</v>
      </c>
      <c r="D69" s="143" t="s">
        <v>2654</v>
      </c>
      <c r="E69" s="143" t="s">
        <v>309</v>
      </c>
      <c r="F69" s="143" t="s">
        <v>2909</v>
      </c>
      <c r="G69" s="143" t="s">
        <v>2910</v>
      </c>
      <c r="H69" s="143" t="s">
        <v>321</v>
      </c>
      <c r="I69" s="143" t="s">
        <v>965</v>
      </c>
      <c r="J69" s="143" t="s">
        <v>204</v>
      </c>
      <c r="K69" s="143" t="s">
        <v>224</v>
      </c>
      <c r="L69" s="143" t="s">
        <v>340</v>
      </c>
      <c r="M69" s="143" t="s">
        <v>698</v>
      </c>
      <c r="N69" s="143" t="s">
        <v>339</v>
      </c>
      <c r="O69" s="143" t="s">
        <v>1210</v>
      </c>
      <c r="P69" s="144">
        <v>3508</v>
      </c>
      <c r="Q69" s="145" t="s">
        <v>3930</v>
      </c>
      <c r="R69" s="143" t="s">
        <v>2911</v>
      </c>
      <c r="S69" s="144" t="s">
        <v>3928</v>
      </c>
      <c r="T69" s="144">
        <v>524.09519999999998</v>
      </c>
      <c r="U69" s="146">
        <v>3.4972634013578316E-4</v>
      </c>
      <c r="V69" s="146">
        <v>3.6212011325316828E-3</v>
      </c>
      <c r="W69" s="147">
        <v>7.6029863277701543E-4</v>
      </c>
      <c r="X69" s="177"/>
    </row>
    <row r="70" spans="1:24" x14ac:dyDescent="0.2">
      <c r="A70" s="142" t="s">
        <v>1205</v>
      </c>
      <c r="B70" s="143" t="s">
        <v>1205</v>
      </c>
      <c r="C70" s="143" t="s">
        <v>2690</v>
      </c>
      <c r="D70" s="143" t="s">
        <v>2691</v>
      </c>
      <c r="E70" s="143" t="s">
        <v>313</v>
      </c>
      <c r="F70" s="143" t="s">
        <v>2692</v>
      </c>
      <c r="G70" s="143" t="s">
        <v>2693</v>
      </c>
      <c r="H70" s="143" t="s">
        <v>321</v>
      </c>
      <c r="I70" s="143" t="s">
        <v>965</v>
      </c>
      <c r="J70" s="143" t="s">
        <v>205</v>
      </c>
      <c r="K70" s="143" t="s">
        <v>224</v>
      </c>
      <c r="L70" s="143" t="s">
        <v>344</v>
      </c>
      <c r="M70" s="143" t="s">
        <v>597</v>
      </c>
      <c r="N70" s="143" t="s">
        <v>339</v>
      </c>
      <c r="O70" s="143" t="s">
        <v>1211</v>
      </c>
      <c r="P70" s="144">
        <v>6092</v>
      </c>
      <c r="Q70" s="143" t="s">
        <v>1212</v>
      </c>
      <c r="R70" s="143" t="s">
        <v>2694</v>
      </c>
      <c r="S70" s="144">
        <v>4.3806400000000005</v>
      </c>
      <c r="T70" s="144">
        <v>11047.278400000001</v>
      </c>
      <c r="U70" s="146">
        <v>1.1274174146386601E-5</v>
      </c>
      <c r="V70" s="146">
        <v>7.6360707613903359E-2</v>
      </c>
      <c r="W70" s="147">
        <v>1.6032509510496847E-2</v>
      </c>
      <c r="X70" s="177"/>
    </row>
    <row r="71" spans="1:24" x14ac:dyDescent="0.2">
      <c r="A71" s="142" t="s">
        <v>1205</v>
      </c>
      <c r="B71" s="143" t="s">
        <v>1205</v>
      </c>
      <c r="C71" s="143" t="s">
        <v>2685</v>
      </c>
      <c r="D71" s="143" t="s">
        <v>2686</v>
      </c>
      <c r="E71" s="143" t="s">
        <v>313</v>
      </c>
      <c r="F71" s="143" t="s">
        <v>2687</v>
      </c>
      <c r="G71" s="143" t="s">
        <v>2688</v>
      </c>
      <c r="H71" s="143" t="s">
        <v>321</v>
      </c>
      <c r="I71" s="143" t="s">
        <v>965</v>
      </c>
      <c r="J71" s="143" t="s">
        <v>205</v>
      </c>
      <c r="K71" s="143" t="s">
        <v>224</v>
      </c>
      <c r="L71" s="143" t="s">
        <v>344</v>
      </c>
      <c r="M71" s="143" t="s">
        <v>604</v>
      </c>
      <c r="N71" s="143" t="s">
        <v>339</v>
      </c>
      <c r="O71" s="143" t="s">
        <v>1211</v>
      </c>
      <c r="P71" s="144">
        <v>4335</v>
      </c>
      <c r="Q71" s="143" t="s">
        <v>1212</v>
      </c>
      <c r="R71" s="143" t="s">
        <v>2689</v>
      </c>
      <c r="S71" s="144">
        <v>7.5668800000000003</v>
      </c>
      <c r="T71" s="144">
        <v>9255.7690999999995</v>
      </c>
      <c r="U71" s="146">
        <v>4.5973622700258345E-6</v>
      </c>
      <c r="V71" s="146">
        <v>6.4004407767028759E-2</v>
      </c>
      <c r="W71" s="147">
        <v>1.3438210675404618E-2</v>
      </c>
      <c r="X71" s="177"/>
    </row>
    <row r="72" spans="1:24" x14ac:dyDescent="0.2">
      <c r="A72" s="142" t="s">
        <v>1205</v>
      </c>
      <c r="B72" s="143" t="s">
        <v>1205</v>
      </c>
      <c r="C72" s="143" t="s">
        <v>2695</v>
      </c>
      <c r="D72" s="143" t="s">
        <v>2696</v>
      </c>
      <c r="E72" s="143" t="s">
        <v>313</v>
      </c>
      <c r="F72" s="143" t="s">
        <v>2695</v>
      </c>
      <c r="G72" s="143" t="s">
        <v>2697</v>
      </c>
      <c r="H72" s="143" t="s">
        <v>321</v>
      </c>
      <c r="I72" s="143" t="s">
        <v>965</v>
      </c>
      <c r="J72" s="143" t="s">
        <v>205</v>
      </c>
      <c r="K72" s="143" t="s">
        <v>224</v>
      </c>
      <c r="L72" s="143" t="s">
        <v>344</v>
      </c>
      <c r="M72" s="143" t="s">
        <v>586</v>
      </c>
      <c r="N72" s="143" t="s">
        <v>339</v>
      </c>
      <c r="O72" s="143" t="s">
        <v>1211</v>
      </c>
      <c r="P72" s="144">
        <v>44141</v>
      </c>
      <c r="Q72" s="143" t="s">
        <v>1212</v>
      </c>
      <c r="R72" s="143" t="s">
        <v>2698</v>
      </c>
      <c r="S72" s="144" t="s">
        <v>3928</v>
      </c>
      <c r="T72" s="144">
        <v>7421.7440999999999</v>
      </c>
      <c r="U72" s="146">
        <v>4.7625007417637257E-5</v>
      </c>
      <c r="V72" s="146">
        <v>5.1280050464035207E-2</v>
      </c>
      <c r="W72" s="147">
        <v>1.0766635386884634E-2</v>
      </c>
      <c r="X72" s="177"/>
    </row>
    <row r="73" spans="1:24" x14ac:dyDescent="0.2">
      <c r="A73" s="142" t="s">
        <v>1205</v>
      </c>
      <c r="B73" s="143" t="s">
        <v>1205</v>
      </c>
      <c r="C73" s="143" t="s">
        <v>2713</v>
      </c>
      <c r="D73" s="143" t="s">
        <v>2714</v>
      </c>
      <c r="E73" s="143" t="s">
        <v>313</v>
      </c>
      <c r="F73" s="143" t="s">
        <v>2713</v>
      </c>
      <c r="G73" s="143" t="s">
        <v>2715</v>
      </c>
      <c r="H73" s="143" t="s">
        <v>321</v>
      </c>
      <c r="I73" s="143" t="s">
        <v>965</v>
      </c>
      <c r="J73" s="143" t="s">
        <v>205</v>
      </c>
      <c r="K73" s="143" t="s">
        <v>224</v>
      </c>
      <c r="L73" s="143" t="s">
        <v>344</v>
      </c>
      <c r="M73" s="143" t="s">
        <v>604</v>
      </c>
      <c r="N73" s="143" t="s">
        <v>339</v>
      </c>
      <c r="O73" s="143" t="s">
        <v>1211</v>
      </c>
      <c r="P73" s="144">
        <v>3552</v>
      </c>
      <c r="Q73" s="143" t="s">
        <v>1212</v>
      </c>
      <c r="R73" s="143" t="s">
        <v>2716</v>
      </c>
      <c r="S73" s="144">
        <v>5.8203100000000001</v>
      </c>
      <c r="T73" s="144">
        <v>6975.1864000000005</v>
      </c>
      <c r="U73" s="146">
        <v>4.7583706867218413E-6</v>
      </c>
      <c r="V73" s="146">
        <v>4.8234804271798472E-2</v>
      </c>
      <c r="W73" s="147">
        <v>1.0127262860562595E-2</v>
      </c>
      <c r="X73" s="177"/>
    </row>
    <row r="74" spans="1:24" x14ac:dyDescent="0.2">
      <c r="A74" s="142" t="s">
        <v>1205</v>
      </c>
      <c r="B74" s="143" t="s">
        <v>1205</v>
      </c>
      <c r="C74" s="143" t="s">
        <v>2703</v>
      </c>
      <c r="D74" s="143" t="s">
        <v>2704</v>
      </c>
      <c r="E74" s="143" t="s">
        <v>313</v>
      </c>
      <c r="F74" s="143" t="s">
        <v>2705</v>
      </c>
      <c r="G74" s="143" t="s">
        <v>2706</v>
      </c>
      <c r="H74" s="143" t="s">
        <v>321</v>
      </c>
      <c r="I74" s="143" t="s">
        <v>965</v>
      </c>
      <c r="J74" s="143" t="s">
        <v>205</v>
      </c>
      <c r="K74" s="143" t="s">
        <v>224</v>
      </c>
      <c r="L74" s="143" t="s">
        <v>344</v>
      </c>
      <c r="M74" s="143" t="s">
        <v>583</v>
      </c>
      <c r="N74" s="143" t="s">
        <v>339</v>
      </c>
      <c r="O74" s="143" t="s">
        <v>1211</v>
      </c>
      <c r="P74" s="144">
        <v>13135</v>
      </c>
      <c r="Q74" s="143" t="s">
        <v>1212</v>
      </c>
      <c r="R74" s="143" t="s">
        <v>2707</v>
      </c>
      <c r="S74" s="144" t="s">
        <v>3928</v>
      </c>
      <c r="T74" s="144">
        <v>6600.1062999999995</v>
      </c>
      <c r="U74" s="146">
        <v>9.5439815151206889E-5</v>
      </c>
      <c r="V74" s="146">
        <v>4.5602998263098618E-2</v>
      </c>
      <c r="W74" s="147">
        <v>9.5746952353697058E-3</v>
      </c>
      <c r="X74" s="177"/>
    </row>
    <row r="75" spans="1:24" x14ac:dyDescent="0.2">
      <c r="A75" s="142" t="s">
        <v>1205</v>
      </c>
      <c r="B75" s="143" t="s">
        <v>1205</v>
      </c>
      <c r="C75" s="143" t="s">
        <v>2730</v>
      </c>
      <c r="D75" s="143" t="s">
        <v>2731</v>
      </c>
      <c r="E75" s="143" t="s">
        <v>313</v>
      </c>
      <c r="F75" s="143" t="s">
        <v>2730</v>
      </c>
      <c r="G75" s="143" t="s">
        <v>2732</v>
      </c>
      <c r="H75" s="143" t="s">
        <v>321</v>
      </c>
      <c r="I75" s="143" t="s">
        <v>965</v>
      </c>
      <c r="J75" s="143" t="s">
        <v>205</v>
      </c>
      <c r="K75" s="143" t="s">
        <v>224</v>
      </c>
      <c r="L75" s="143" t="s">
        <v>344</v>
      </c>
      <c r="M75" s="143" t="s">
        <v>589</v>
      </c>
      <c r="N75" s="143" t="s">
        <v>339</v>
      </c>
      <c r="O75" s="143" t="s">
        <v>1211</v>
      </c>
      <c r="P75" s="144">
        <v>10564</v>
      </c>
      <c r="Q75" s="143" t="s">
        <v>1212</v>
      </c>
      <c r="R75" s="143" t="s">
        <v>2733</v>
      </c>
      <c r="S75" s="144" t="s">
        <v>3928</v>
      </c>
      <c r="T75" s="144">
        <v>6036.4195999999993</v>
      </c>
      <c r="U75" s="146">
        <v>3.410877742440631E-5</v>
      </c>
      <c r="V75" s="146">
        <v>4.1708242173984833E-2</v>
      </c>
      <c r="W75" s="147">
        <v>8.7569616654359864E-3</v>
      </c>
      <c r="X75" s="177"/>
    </row>
    <row r="76" spans="1:24" x14ac:dyDescent="0.2">
      <c r="A76" s="142" t="s">
        <v>1205</v>
      </c>
      <c r="B76" s="143" t="s">
        <v>1205</v>
      </c>
      <c r="C76" s="143" t="s">
        <v>2743</v>
      </c>
      <c r="D76" s="143" t="s">
        <v>2744</v>
      </c>
      <c r="E76" s="143" t="s">
        <v>313</v>
      </c>
      <c r="F76" s="143" t="s">
        <v>2743</v>
      </c>
      <c r="G76" s="143" t="s">
        <v>2745</v>
      </c>
      <c r="H76" s="143" t="s">
        <v>321</v>
      </c>
      <c r="I76" s="143" t="s">
        <v>965</v>
      </c>
      <c r="J76" s="143" t="s">
        <v>205</v>
      </c>
      <c r="K76" s="143" t="s">
        <v>253</v>
      </c>
      <c r="L76" s="143" t="s">
        <v>314</v>
      </c>
      <c r="M76" s="143" t="s">
        <v>610</v>
      </c>
      <c r="N76" s="143" t="s">
        <v>339</v>
      </c>
      <c r="O76" s="143" t="s">
        <v>1218</v>
      </c>
      <c r="P76" s="144">
        <v>4819</v>
      </c>
      <c r="Q76" s="143" t="s">
        <v>1219</v>
      </c>
      <c r="R76" s="143" t="s">
        <v>2746</v>
      </c>
      <c r="S76" s="144" t="s">
        <v>3928</v>
      </c>
      <c r="T76" s="144">
        <v>4875.7379000000001</v>
      </c>
      <c r="U76" s="146">
        <v>4.7755425626796154E-4</v>
      </c>
      <c r="V76" s="146">
        <v>3.3688588407245944E-2</v>
      </c>
      <c r="W76" s="147">
        <v>7.0731745541871265E-3</v>
      </c>
      <c r="X76" s="177"/>
    </row>
    <row r="77" spans="1:24" x14ac:dyDescent="0.2">
      <c r="A77" s="142" t="s">
        <v>1205</v>
      </c>
      <c r="B77" s="143" t="s">
        <v>1205</v>
      </c>
      <c r="C77" s="143" t="s">
        <v>2747</v>
      </c>
      <c r="D77" s="143" t="s">
        <v>2748</v>
      </c>
      <c r="E77" s="143" t="s">
        <v>313</v>
      </c>
      <c r="F77" s="143" t="s">
        <v>2749</v>
      </c>
      <c r="G77" s="143" t="s">
        <v>2750</v>
      </c>
      <c r="H77" s="143" t="s">
        <v>321</v>
      </c>
      <c r="I77" s="143" t="s">
        <v>965</v>
      </c>
      <c r="J77" s="143" t="s">
        <v>205</v>
      </c>
      <c r="K77" s="143" t="s">
        <v>224</v>
      </c>
      <c r="L77" s="143" t="s">
        <v>344</v>
      </c>
      <c r="M77" s="143" t="s">
        <v>597</v>
      </c>
      <c r="N77" s="143" t="s">
        <v>339</v>
      </c>
      <c r="O77" s="143" t="s">
        <v>1211</v>
      </c>
      <c r="P77" s="144">
        <v>6630</v>
      </c>
      <c r="Q77" s="143" t="s">
        <v>1212</v>
      </c>
      <c r="R77" s="143" t="s">
        <v>2751</v>
      </c>
      <c r="S77" s="144" t="s">
        <v>3928</v>
      </c>
      <c r="T77" s="144">
        <v>4705.7094999999999</v>
      </c>
      <c r="U77" s="146">
        <v>5.0037735849056599E-4</v>
      </c>
      <c r="V77" s="146">
        <v>3.2513788404817785E-2</v>
      </c>
      <c r="W77" s="147">
        <v>6.8265163866502946E-3</v>
      </c>
      <c r="X77" s="177"/>
    </row>
    <row r="78" spans="1:24" x14ac:dyDescent="0.2">
      <c r="A78" s="142" t="s">
        <v>1205</v>
      </c>
      <c r="B78" s="143" t="s">
        <v>1205</v>
      </c>
      <c r="C78" s="143" t="s">
        <v>2699</v>
      </c>
      <c r="D78" s="143" t="s">
        <v>2700</v>
      </c>
      <c r="E78" s="143" t="s">
        <v>313</v>
      </c>
      <c r="F78" s="143" t="s">
        <v>2699</v>
      </c>
      <c r="G78" s="143" t="s">
        <v>2701</v>
      </c>
      <c r="H78" s="143" t="s">
        <v>321</v>
      </c>
      <c r="I78" s="143" t="s">
        <v>965</v>
      </c>
      <c r="J78" s="143" t="s">
        <v>205</v>
      </c>
      <c r="K78" s="143" t="s">
        <v>268</v>
      </c>
      <c r="L78" s="143" t="s">
        <v>344</v>
      </c>
      <c r="M78" s="143" t="s">
        <v>707</v>
      </c>
      <c r="N78" s="143" t="s">
        <v>339</v>
      </c>
      <c r="O78" s="143" t="s">
        <v>1211</v>
      </c>
      <c r="P78" s="144">
        <v>11608</v>
      </c>
      <c r="Q78" s="143" t="s">
        <v>1212</v>
      </c>
      <c r="R78" s="143" t="s">
        <v>2702</v>
      </c>
      <c r="S78" s="144" t="s">
        <v>3928</v>
      </c>
      <c r="T78" s="144">
        <v>3378.5026000000003</v>
      </c>
      <c r="U78" s="146">
        <v>2.0877697841726619E-4</v>
      </c>
      <c r="V78" s="146">
        <v>2.3343540308891266E-2</v>
      </c>
      <c r="W78" s="147">
        <v>4.9011532724825514E-3</v>
      </c>
      <c r="X78" s="177"/>
    </row>
    <row r="79" spans="1:24" x14ac:dyDescent="0.2">
      <c r="A79" s="142" t="s">
        <v>1205</v>
      </c>
      <c r="B79" s="143" t="s">
        <v>1205</v>
      </c>
      <c r="C79" s="143" t="s">
        <v>2710</v>
      </c>
      <c r="D79" s="143" t="s">
        <v>2912</v>
      </c>
      <c r="E79" s="143" t="s">
        <v>313</v>
      </c>
      <c r="F79" s="143" t="s">
        <v>2710</v>
      </c>
      <c r="G79" s="143" t="s">
        <v>2913</v>
      </c>
      <c r="H79" s="143" t="s">
        <v>321</v>
      </c>
      <c r="I79" s="143" t="s">
        <v>965</v>
      </c>
      <c r="J79" s="143" t="s">
        <v>205</v>
      </c>
      <c r="K79" s="143" t="s">
        <v>224</v>
      </c>
      <c r="L79" s="143" t="s">
        <v>344</v>
      </c>
      <c r="M79" s="143" t="s">
        <v>604</v>
      </c>
      <c r="N79" s="143" t="s">
        <v>339</v>
      </c>
      <c r="O79" s="143" t="s">
        <v>1211</v>
      </c>
      <c r="P79" s="144">
        <v>17167</v>
      </c>
      <c r="Q79" s="143" t="s">
        <v>1212</v>
      </c>
      <c r="R79" s="143" t="s">
        <v>2914</v>
      </c>
      <c r="S79" s="144" t="s">
        <v>3928</v>
      </c>
      <c r="T79" s="144">
        <v>3261.5428999999999</v>
      </c>
      <c r="U79" s="146">
        <v>8.3741463414634138E-3</v>
      </c>
      <c r="V79" s="146">
        <v>2.2535414882201336E-2</v>
      </c>
      <c r="W79" s="147">
        <v>4.7314812121529064E-3</v>
      </c>
      <c r="X79" s="177"/>
    </row>
    <row r="80" spans="1:24" x14ac:dyDescent="0.2">
      <c r="A80" s="142" t="s">
        <v>1205</v>
      </c>
      <c r="B80" s="143" t="s">
        <v>1205</v>
      </c>
      <c r="C80" s="143" t="s">
        <v>2784</v>
      </c>
      <c r="D80" s="143" t="s">
        <v>2785</v>
      </c>
      <c r="E80" s="143" t="s">
        <v>313</v>
      </c>
      <c r="F80" s="143" t="s">
        <v>2784</v>
      </c>
      <c r="G80" s="143" t="s">
        <v>2786</v>
      </c>
      <c r="H80" s="143" t="s">
        <v>321</v>
      </c>
      <c r="I80" s="143" t="s">
        <v>965</v>
      </c>
      <c r="J80" s="143" t="s">
        <v>205</v>
      </c>
      <c r="K80" s="143" t="s">
        <v>224</v>
      </c>
      <c r="L80" s="143" t="s">
        <v>344</v>
      </c>
      <c r="M80" s="143" t="s">
        <v>708</v>
      </c>
      <c r="N80" s="143" t="s">
        <v>339</v>
      </c>
      <c r="O80" s="143" t="s">
        <v>1211</v>
      </c>
      <c r="P80" s="144">
        <v>4279</v>
      </c>
      <c r="Q80" s="143" t="s">
        <v>1212</v>
      </c>
      <c r="R80" s="143" t="s">
        <v>2787</v>
      </c>
      <c r="S80" s="144" t="s">
        <v>3928</v>
      </c>
      <c r="T80" s="144">
        <v>3180.8917999999999</v>
      </c>
      <c r="U80" s="146">
        <v>4.3286496110386129E-5</v>
      </c>
      <c r="V80" s="146">
        <v>2.1978161464075007E-2</v>
      </c>
      <c r="W80" s="147">
        <v>4.6144816320672893E-3</v>
      </c>
      <c r="X80" s="177"/>
    </row>
    <row r="81" spans="1:24" x14ac:dyDescent="0.2">
      <c r="A81" s="142" t="s">
        <v>1205</v>
      </c>
      <c r="B81" s="143" t="s">
        <v>1205</v>
      </c>
      <c r="C81" s="143" t="s">
        <v>2774</v>
      </c>
      <c r="D81" s="143" t="s">
        <v>2775</v>
      </c>
      <c r="E81" s="143" t="s">
        <v>313</v>
      </c>
      <c r="F81" s="143" t="s">
        <v>2776</v>
      </c>
      <c r="G81" s="143" t="s">
        <v>2777</v>
      </c>
      <c r="H81" s="143" t="s">
        <v>321</v>
      </c>
      <c r="I81" s="143" t="s">
        <v>965</v>
      </c>
      <c r="J81" s="143" t="s">
        <v>205</v>
      </c>
      <c r="K81" s="143" t="s">
        <v>224</v>
      </c>
      <c r="L81" s="143" t="s">
        <v>344</v>
      </c>
      <c r="M81" s="143" t="s">
        <v>611</v>
      </c>
      <c r="N81" s="143" t="s">
        <v>339</v>
      </c>
      <c r="O81" s="143" t="s">
        <v>1211</v>
      </c>
      <c r="P81" s="144">
        <v>3350</v>
      </c>
      <c r="Q81" s="143" t="s">
        <v>1212</v>
      </c>
      <c r="R81" s="143" t="s">
        <v>2778</v>
      </c>
      <c r="S81" s="144" t="s">
        <v>3928</v>
      </c>
      <c r="T81" s="144">
        <v>3050.5753</v>
      </c>
      <c r="U81" s="146">
        <v>1.0695699371029023E-4</v>
      </c>
      <c r="V81" s="146">
        <v>2.1077748511650566E-2</v>
      </c>
      <c r="W81" s="147">
        <v>4.4254331060097473E-3</v>
      </c>
      <c r="X81" s="177"/>
    </row>
    <row r="82" spans="1:24" x14ac:dyDescent="0.2">
      <c r="A82" s="142" t="s">
        <v>1205</v>
      </c>
      <c r="B82" s="143" t="s">
        <v>1205</v>
      </c>
      <c r="C82" s="143" t="s">
        <v>2756</v>
      </c>
      <c r="D82" s="143" t="s">
        <v>2757</v>
      </c>
      <c r="E82" s="143" t="s">
        <v>313</v>
      </c>
      <c r="F82" s="143" t="s">
        <v>2758</v>
      </c>
      <c r="G82" s="143" t="s">
        <v>2759</v>
      </c>
      <c r="H82" s="143" t="s">
        <v>321</v>
      </c>
      <c r="I82" s="143" t="s">
        <v>965</v>
      </c>
      <c r="J82" s="143" t="s">
        <v>205</v>
      </c>
      <c r="K82" s="143" t="s">
        <v>268</v>
      </c>
      <c r="L82" s="143" t="s">
        <v>344</v>
      </c>
      <c r="M82" s="143" t="s">
        <v>588</v>
      </c>
      <c r="N82" s="143" t="s">
        <v>339</v>
      </c>
      <c r="O82" s="143" t="s">
        <v>1211</v>
      </c>
      <c r="P82" s="144">
        <v>15894</v>
      </c>
      <c r="Q82" s="143" t="s">
        <v>1212</v>
      </c>
      <c r="R82" s="143" t="s">
        <v>2760</v>
      </c>
      <c r="S82" s="144" t="s">
        <v>3928</v>
      </c>
      <c r="T82" s="144">
        <v>3001.9967000000001</v>
      </c>
      <c r="U82" s="146">
        <v>9.872049689440994E-5</v>
      </c>
      <c r="V82" s="146">
        <v>2.0742097944885761E-2</v>
      </c>
      <c r="W82" s="147">
        <v>4.3549607247024714E-3</v>
      </c>
      <c r="X82" s="177"/>
    </row>
    <row r="83" spans="1:24" x14ac:dyDescent="0.2">
      <c r="A83" s="142" t="s">
        <v>1205</v>
      </c>
      <c r="B83" s="143" t="s">
        <v>1205</v>
      </c>
      <c r="C83" s="143" t="s">
        <v>2915</v>
      </c>
      <c r="D83" s="143" t="s">
        <v>2916</v>
      </c>
      <c r="E83" s="143" t="s">
        <v>313</v>
      </c>
      <c r="F83" s="143" t="s">
        <v>2915</v>
      </c>
      <c r="G83" s="143" t="s">
        <v>2917</v>
      </c>
      <c r="H83" s="143" t="s">
        <v>321</v>
      </c>
      <c r="I83" s="143" t="s">
        <v>965</v>
      </c>
      <c r="J83" s="143" t="s">
        <v>205</v>
      </c>
      <c r="K83" s="143" t="s">
        <v>224</v>
      </c>
      <c r="L83" s="143" t="s">
        <v>344</v>
      </c>
      <c r="M83" s="143" t="s">
        <v>703</v>
      </c>
      <c r="N83" s="143" t="s">
        <v>339</v>
      </c>
      <c r="O83" s="143" t="s">
        <v>1211</v>
      </c>
      <c r="P83" s="144">
        <v>19648</v>
      </c>
      <c r="Q83" s="143" t="s">
        <v>1212</v>
      </c>
      <c r="R83" s="143" t="s">
        <v>2918</v>
      </c>
      <c r="S83" s="144" t="s">
        <v>3928</v>
      </c>
      <c r="T83" s="144">
        <v>3000.3202999999999</v>
      </c>
      <c r="U83" s="146">
        <v>1.4652845104034604E-4</v>
      </c>
      <c r="V83" s="146">
        <v>2.073051496577949E-2</v>
      </c>
      <c r="W83" s="147">
        <v>4.3525287904199843E-3</v>
      </c>
      <c r="X83" s="177"/>
    </row>
    <row r="84" spans="1:24" x14ac:dyDescent="0.2">
      <c r="A84" s="142" t="s">
        <v>1205</v>
      </c>
      <c r="B84" s="143" t="s">
        <v>1205</v>
      </c>
      <c r="C84" s="143" t="s">
        <v>2726</v>
      </c>
      <c r="D84" s="143" t="s">
        <v>2727</v>
      </c>
      <c r="E84" s="143" t="s">
        <v>313</v>
      </c>
      <c r="F84" s="143" t="s">
        <v>2726</v>
      </c>
      <c r="G84" s="143" t="s">
        <v>2728</v>
      </c>
      <c r="H84" s="143" t="s">
        <v>321</v>
      </c>
      <c r="I84" s="143" t="s">
        <v>965</v>
      </c>
      <c r="J84" s="143" t="s">
        <v>205</v>
      </c>
      <c r="K84" s="143" t="s">
        <v>268</v>
      </c>
      <c r="L84" s="143" t="s">
        <v>344</v>
      </c>
      <c r="M84" s="143" t="s">
        <v>588</v>
      </c>
      <c r="N84" s="143" t="s">
        <v>339</v>
      </c>
      <c r="O84" s="143" t="s">
        <v>1211</v>
      </c>
      <c r="P84" s="144">
        <v>23616</v>
      </c>
      <c r="Q84" s="143" t="s">
        <v>1212</v>
      </c>
      <c r="R84" s="143" t="s">
        <v>2729</v>
      </c>
      <c r="S84" s="144" t="s">
        <v>3928</v>
      </c>
      <c r="T84" s="144">
        <v>2980.6745000000001</v>
      </c>
      <c r="U84" s="146">
        <v>1.10020964360587E-4</v>
      </c>
      <c r="V84" s="146">
        <v>2.0594773709106666E-2</v>
      </c>
      <c r="W84" s="147">
        <v>4.3240288844267408E-3</v>
      </c>
      <c r="X84" s="177"/>
    </row>
    <row r="85" spans="1:24" x14ac:dyDescent="0.2">
      <c r="A85" s="142" t="s">
        <v>1205</v>
      </c>
      <c r="B85" s="143" t="s">
        <v>1205</v>
      </c>
      <c r="C85" s="143" t="s">
        <v>2810</v>
      </c>
      <c r="D85" s="143" t="s">
        <v>2811</v>
      </c>
      <c r="E85" s="143" t="s">
        <v>313</v>
      </c>
      <c r="F85" s="143" t="s">
        <v>2812</v>
      </c>
      <c r="G85" s="143" t="s">
        <v>2813</v>
      </c>
      <c r="H85" s="143" t="s">
        <v>321</v>
      </c>
      <c r="I85" s="143" t="s">
        <v>965</v>
      </c>
      <c r="J85" s="143" t="s">
        <v>205</v>
      </c>
      <c r="K85" s="143" t="s">
        <v>224</v>
      </c>
      <c r="L85" s="143" t="s">
        <v>344</v>
      </c>
      <c r="M85" s="143" t="s">
        <v>612</v>
      </c>
      <c r="N85" s="143" t="s">
        <v>339</v>
      </c>
      <c r="O85" s="143" t="s">
        <v>1211</v>
      </c>
      <c r="P85" s="144">
        <v>8415</v>
      </c>
      <c r="Q85" s="143" t="s">
        <v>1212</v>
      </c>
      <c r="R85" s="143" t="s">
        <v>2814</v>
      </c>
      <c r="S85" s="144" t="s">
        <v>3928</v>
      </c>
      <c r="T85" s="144">
        <v>2790.1001000000001</v>
      </c>
      <c r="U85" s="146">
        <v>4.9067055393586009E-4</v>
      </c>
      <c r="V85" s="146">
        <v>1.9278012308129103E-2</v>
      </c>
      <c r="W85" s="147">
        <v>4.0475648449501845E-3</v>
      </c>
      <c r="X85" s="177"/>
    </row>
    <row r="86" spans="1:24" x14ac:dyDescent="0.2">
      <c r="A86" s="142" t="s">
        <v>1205</v>
      </c>
      <c r="B86" s="143" t="s">
        <v>1205</v>
      </c>
      <c r="C86" s="143" t="s">
        <v>2919</v>
      </c>
      <c r="D86" s="143" t="s">
        <v>2920</v>
      </c>
      <c r="E86" s="143" t="s">
        <v>313</v>
      </c>
      <c r="F86" s="143" t="s">
        <v>2919</v>
      </c>
      <c r="G86" s="143" t="s">
        <v>2921</v>
      </c>
      <c r="H86" s="143" t="s">
        <v>321</v>
      </c>
      <c r="I86" s="143" t="s">
        <v>965</v>
      </c>
      <c r="J86" s="143" t="s">
        <v>205</v>
      </c>
      <c r="K86" s="143" t="s">
        <v>293</v>
      </c>
      <c r="L86" s="143" t="s">
        <v>364</v>
      </c>
      <c r="M86" s="143" t="s">
        <v>584</v>
      </c>
      <c r="N86" s="143" t="s">
        <v>339</v>
      </c>
      <c r="O86" s="143" t="s">
        <v>1218</v>
      </c>
      <c r="P86" s="144">
        <v>42371</v>
      </c>
      <c r="Q86" s="143" t="s">
        <v>1219</v>
      </c>
      <c r="R86" s="143" t="s">
        <v>2922</v>
      </c>
      <c r="S86" s="144" t="s">
        <v>3928</v>
      </c>
      <c r="T86" s="144">
        <v>2748.9074999999998</v>
      </c>
      <c r="U86" s="146">
        <v>1.4699902858728838E-3</v>
      </c>
      <c r="V86" s="146">
        <v>1.8993394636986721E-2</v>
      </c>
      <c r="W86" s="147">
        <v>3.9878072069969329E-3</v>
      </c>
      <c r="X86" s="177"/>
    </row>
    <row r="87" spans="1:24" x14ac:dyDescent="0.2">
      <c r="A87" s="142" t="s">
        <v>1205</v>
      </c>
      <c r="B87" s="143" t="s">
        <v>1205</v>
      </c>
      <c r="C87" s="143" t="s">
        <v>2734</v>
      </c>
      <c r="D87" s="143" t="s">
        <v>2735</v>
      </c>
      <c r="E87" s="143" t="s">
        <v>313</v>
      </c>
      <c r="F87" s="143" t="s">
        <v>2736</v>
      </c>
      <c r="G87" s="143" t="s">
        <v>2737</v>
      </c>
      <c r="H87" s="143" t="s">
        <v>321</v>
      </c>
      <c r="I87" s="143" t="s">
        <v>965</v>
      </c>
      <c r="J87" s="143" t="s">
        <v>205</v>
      </c>
      <c r="K87" s="143" t="s">
        <v>224</v>
      </c>
      <c r="L87" s="143" t="s">
        <v>344</v>
      </c>
      <c r="M87" s="143" t="s">
        <v>580</v>
      </c>
      <c r="N87" s="143" t="s">
        <v>339</v>
      </c>
      <c r="O87" s="143" t="s">
        <v>1211</v>
      </c>
      <c r="P87" s="144">
        <v>14488</v>
      </c>
      <c r="Q87" s="143" t="s">
        <v>1212</v>
      </c>
      <c r="R87" s="143" t="s">
        <v>2738</v>
      </c>
      <c r="S87" s="144" t="s">
        <v>3928</v>
      </c>
      <c r="T87" s="144">
        <v>2712.2546000000002</v>
      </c>
      <c r="U87" s="146">
        <v>6.3543859649122804E-4</v>
      </c>
      <c r="V87" s="146">
        <v>1.8740153851938099E-2</v>
      </c>
      <c r="W87" s="147">
        <v>3.9346373841704294E-3</v>
      </c>
      <c r="X87" s="177"/>
    </row>
    <row r="88" spans="1:24" x14ac:dyDescent="0.2">
      <c r="A88" s="142" t="s">
        <v>1205</v>
      </c>
      <c r="B88" s="143" t="s">
        <v>1205</v>
      </c>
      <c r="C88" s="143" t="s">
        <v>2761</v>
      </c>
      <c r="D88" s="143" t="s">
        <v>2762</v>
      </c>
      <c r="E88" s="143" t="s">
        <v>313</v>
      </c>
      <c r="F88" s="143" t="s">
        <v>2761</v>
      </c>
      <c r="G88" s="143" t="s">
        <v>2763</v>
      </c>
      <c r="H88" s="143" t="s">
        <v>321</v>
      </c>
      <c r="I88" s="143" t="s">
        <v>965</v>
      </c>
      <c r="J88" s="143" t="s">
        <v>205</v>
      </c>
      <c r="K88" s="143" t="s">
        <v>224</v>
      </c>
      <c r="L88" s="143" t="s">
        <v>344</v>
      </c>
      <c r="M88" s="143" t="s">
        <v>708</v>
      </c>
      <c r="N88" s="143" t="s">
        <v>339</v>
      </c>
      <c r="O88" s="143" t="s">
        <v>1211</v>
      </c>
      <c r="P88" s="144">
        <v>7624</v>
      </c>
      <c r="Q88" s="143" t="s">
        <v>1212</v>
      </c>
      <c r="R88" s="143" t="s">
        <v>2764</v>
      </c>
      <c r="S88" s="144" t="s">
        <v>3928</v>
      </c>
      <c r="T88" s="144">
        <v>2556.9675999999999</v>
      </c>
      <c r="U88" s="146">
        <v>4.5844858689116052E-5</v>
      </c>
      <c r="V88" s="146">
        <v>1.7667198682426468E-2</v>
      </c>
      <c r="W88" s="147">
        <v>3.7093623114653686E-3</v>
      </c>
      <c r="X88" s="177"/>
    </row>
    <row r="89" spans="1:24" x14ac:dyDescent="0.2">
      <c r="A89" s="142" t="s">
        <v>1205</v>
      </c>
      <c r="B89" s="143" t="s">
        <v>1205</v>
      </c>
      <c r="C89" s="143" t="s">
        <v>2923</v>
      </c>
      <c r="D89" s="143" t="s">
        <v>2714</v>
      </c>
      <c r="E89" s="143" t="s">
        <v>313</v>
      </c>
      <c r="F89" s="143" t="s">
        <v>2923</v>
      </c>
      <c r="G89" s="143" t="s">
        <v>2924</v>
      </c>
      <c r="H89" s="143" t="s">
        <v>321</v>
      </c>
      <c r="I89" s="143" t="s">
        <v>965</v>
      </c>
      <c r="J89" s="143" t="s">
        <v>205</v>
      </c>
      <c r="K89" s="143" t="s">
        <v>224</v>
      </c>
      <c r="L89" s="143" t="s">
        <v>344</v>
      </c>
      <c r="M89" s="143" t="s">
        <v>708</v>
      </c>
      <c r="N89" s="143" t="s">
        <v>339</v>
      </c>
      <c r="O89" s="143" t="s">
        <v>1211</v>
      </c>
      <c r="P89" s="144">
        <v>6490</v>
      </c>
      <c r="Q89" s="143" t="s">
        <v>1212</v>
      </c>
      <c r="R89" s="143" t="s">
        <v>2925</v>
      </c>
      <c r="S89" s="144">
        <v>2.339</v>
      </c>
      <c r="T89" s="144">
        <v>2552.0263</v>
      </c>
      <c r="U89" s="146">
        <v>1.0816666666666668E-3</v>
      </c>
      <c r="V89" s="146">
        <v>1.76492179240718E-2</v>
      </c>
      <c r="W89" s="147">
        <v>3.7055871149233879E-3</v>
      </c>
      <c r="X89" s="177"/>
    </row>
    <row r="90" spans="1:24" x14ac:dyDescent="0.2">
      <c r="A90" s="142" t="s">
        <v>1205</v>
      </c>
      <c r="B90" s="143" t="s">
        <v>1205</v>
      </c>
      <c r="C90" s="143" t="s">
        <v>2788</v>
      </c>
      <c r="D90" s="143" t="s">
        <v>2789</v>
      </c>
      <c r="E90" s="143" t="s">
        <v>313</v>
      </c>
      <c r="F90" s="143" t="s">
        <v>2788</v>
      </c>
      <c r="G90" s="143" t="s">
        <v>2790</v>
      </c>
      <c r="H90" s="143" t="s">
        <v>321</v>
      </c>
      <c r="I90" s="143" t="s">
        <v>965</v>
      </c>
      <c r="J90" s="143" t="s">
        <v>205</v>
      </c>
      <c r="K90" s="143" t="s">
        <v>224</v>
      </c>
      <c r="L90" s="143" t="s">
        <v>344</v>
      </c>
      <c r="M90" s="143" t="s">
        <v>586</v>
      </c>
      <c r="N90" s="143" t="s">
        <v>339</v>
      </c>
      <c r="O90" s="143" t="s">
        <v>1211</v>
      </c>
      <c r="P90" s="144">
        <v>5189</v>
      </c>
      <c r="Q90" s="143" t="s">
        <v>1212</v>
      </c>
      <c r="R90" s="143" t="s">
        <v>2791</v>
      </c>
      <c r="S90" s="144">
        <v>1.8752</v>
      </c>
      <c r="T90" s="144">
        <v>2481.89</v>
      </c>
      <c r="U90" s="146">
        <v>6.0337209302325579E-4</v>
      </c>
      <c r="V90" s="146">
        <v>1.7161411279791986E-2</v>
      </c>
      <c r="W90" s="147">
        <v>3.6031684115341639E-3</v>
      </c>
      <c r="X90" s="177"/>
    </row>
    <row r="91" spans="1:24" x14ac:dyDescent="0.2">
      <c r="A91" s="142" t="s">
        <v>1205</v>
      </c>
      <c r="B91" s="143" t="s">
        <v>1205</v>
      </c>
      <c r="C91" s="143" t="s">
        <v>2797</v>
      </c>
      <c r="D91" s="143" t="s">
        <v>2798</v>
      </c>
      <c r="E91" s="143" t="s">
        <v>313</v>
      </c>
      <c r="F91" s="143" t="s">
        <v>2799</v>
      </c>
      <c r="G91" s="143" t="s">
        <v>2800</v>
      </c>
      <c r="H91" s="143" t="s">
        <v>321</v>
      </c>
      <c r="I91" s="143" t="s">
        <v>965</v>
      </c>
      <c r="J91" s="143" t="s">
        <v>205</v>
      </c>
      <c r="K91" s="143" t="s">
        <v>224</v>
      </c>
      <c r="L91" s="143" t="s">
        <v>344</v>
      </c>
      <c r="M91" s="143" t="s">
        <v>703</v>
      </c>
      <c r="N91" s="143" t="s">
        <v>339</v>
      </c>
      <c r="O91" s="143" t="s">
        <v>1211</v>
      </c>
      <c r="P91" s="144">
        <v>5113</v>
      </c>
      <c r="Q91" s="143" t="s">
        <v>1212</v>
      </c>
      <c r="R91" s="143" t="s">
        <v>2801</v>
      </c>
      <c r="S91" s="144" t="s">
        <v>3928</v>
      </c>
      <c r="T91" s="144">
        <v>2180.8923999999997</v>
      </c>
      <c r="U91" s="146">
        <v>2.2805530776092776E-4</v>
      </c>
      <c r="V91" s="146">
        <v>1.5068731656766613E-2</v>
      </c>
      <c r="W91" s="147">
        <v>3.1637944585291961E-3</v>
      </c>
      <c r="X91" s="177"/>
    </row>
    <row r="92" spans="1:24" x14ac:dyDescent="0.2">
      <c r="A92" s="142" t="s">
        <v>1205</v>
      </c>
      <c r="B92" s="143" t="s">
        <v>1205</v>
      </c>
      <c r="C92" s="143" t="s">
        <v>2815</v>
      </c>
      <c r="D92" s="143" t="s">
        <v>2816</v>
      </c>
      <c r="E92" s="143" t="s">
        <v>313</v>
      </c>
      <c r="F92" s="143" t="s">
        <v>2815</v>
      </c>
      <c r="G92" s="143" t="s">
        <v>2817</v>
      </c>
      <c r="H92" s="143" t="s">
        <v>321</v>
      </c>
      <c r="I92" s="143" t="s">
        <v>965</v>
      </c>
      <c r="J92" s="143" t="s">
        <v>205</v>
      </c>
      <c r="K92" s="143" t="s">
        <v>246</v>
      </c>
      <c r="L92" s="143" t="s">
        <v>370</v>
      </c>
      <c r="M92" s="143" t="s">
        <v>707</v>
      </c>
      <c r="N92" s="143" t="s">
        <v>339</v>
      </c>
      <c r="O92" s="143" t="s">
        <v>1213</v>
      </c>
      <c r="P92" s="144">
        <v>454273</v>
      </c>
      <c r="Q92" s="143" t="s">
        <v>1214</v>
      </c>
      <c r="R92" s="143" t="s">
        <v>2818</v>
      </c>
      <c r="S92" s="144" t="s">
        <v>3928</v>
      </c>
      <c r="T92" s="144">
        <v>2168.3458999999998</v>
      </c>
      <c r="U92" s="146">
        <v>3.1546736111111111E-3</v>
      </c>
      <c r="V92" s="146">
        <v>1.4982042475693829E-2</v>
      </c>
      <c r="W92" s="147">
        <v>3.1455934077082169E-3</v>
      </c>
      <c r="X92" s="177"/>
    </row>
    <row r="93" spans="1:24" x14ac:dyDescent="0.2">
      <c r="A93" s="142" t="s">
        <v>1205</v>
      </c>
      <c r="B93" s="143" t="s">
        <v>1205</v>
      </c>
      <c r="C93" s="143" t="s">
        <v>2722</v>
      </c>
      <c r="D93" s="143" t="s">
        <v>2723</v>
      </c>
      <c r="E93" s="143" t="s">
        <v>313</v>
      </c>
      <c r="F93" s="143" t="s">
        <v>2722</v>
      </c>
      <c r="G93" s="143" t="s">
        <v>2724</v>
      </c>
      <c r="H93" s="143" t="s">
        <v>321</v>
      </c>
      <c r="I93" s="143" t="s">
        <v>965</v>
      </c>
      <c r="J93" s="143" t="s">
        <v>205</v>
      </c>
      <c r="K93" s="143" t="s">
        <v>224</v>
      </c>
      <c r="L93" s="143" t="s">
        <v>344</v>
      </c>
      <c r="M93" s="143" t="s">
        <v>611</v>
      </c>
      <c r="N93" s="143" t="s">
        <v>339</v>
      </c>
      <c r="O93" s="143" t="s">
        <v>1211</v>
      </c>
      <c r="P93" s="144">
        <v>2555</v>
      </c>
      <c r="Q93" s="143" t="s">
        <v>1212</v>
      </c>
      <c r="R93" s="143" t="s">
        <v>2725</v>
      </c>
      <c r="S93" s="144" t="s">
        <v>3928</v>
      </c>
      <c r="T93" s="144">
        <v>2139.9902999999999</v>
      </c>
      <c r="U93" s="146">
        <v>8.3672827781343736E-6</v>
      </c>
      <c r="V93" s="146">
        <v>1.4786121680489437E-2</v>
      </c>
      <c r="W93" s="147">
        <v>3.1044583513347131E-3</v>
      </c>
      <c r="X93" s="177"/>
    </row>
    <row r="94" spans="1:24" x14ac:dyDescent="0.2">
      <c r="A94" s="142" t="s">
        <v>1205</v>
      </c>
      <c r="B94" s="143" t="s">
        <v>1205</v>
      </c>
      <c r="C94" s="143" t="s">
        <v>2802</v>
      </c>
      <c r="D94" s="143" t="s">
        <v>2803</v>
      </c>
      <c r="E94" s="143" t="s">
        <v>313</v>
      </c>
      <c r="F94" s="143" t="s">
        <v>2804</v>
      </c>
      <c r="G94" s="143" t="s">
        <v>2805</v>
      </c>
      <c r="H94" s="143" t="s">
        <v>321</v>
      </c>
      <c r="I94" s="143" t="s">
        <v>965</v>
      </c>
      <c r="J94" s="143" t="s">
        <v>205</v>
      </c>
      <c r="K94" s="143" t="s">
        <v>224</v>
      </c>
      <c r="L94" s="143" t="s">
        <v>344</v>
      </c>
      <c r="M94" s="143" t="s">
        <v>708</v>
      </c>
      <c r="N94" s="143" t="s">
        <v>339</v>
      </c>
      <c r="O94" s="143" t="s">
        <v>1211</v>
      </c>
      <c r="P94" s="144">
        <v>3804</v>
      </c>
      <c r="Q94" s="143" t="s">
        <v>1212</v>
      </c>
      <c r="R94" s="143" t="s">
        <v>2806</v>
      </c>
      <c r="S94" s="144">
        <v>0.86465000000000003</v>
      </c>
      <c r="T94" s="144">
        <v>2115.0532000000003</v>
      </c>
      <c r="U94" s="146">
        <v>9.2330097087378642E-5</v>
      </c>
      <c r="V94" s="146">
        <v>1.4619794686425207E-2</v>
      </c>
      <c r="W94" s="147">
        <v>3.0695367378830644E-3</v>
      </c>
      <c r="X94" s="177"/>
    </row>
    <row r="95" spans="1:24" x14ac:dyDescent="0.2">
      <c r="A95" s="142" t="s">
        <v>1205</v>
      </c>
      <c r="B95" s="143" t="s">
        <v>1205</v>
      </c>
      <c r="C95" s="143" t="s">
        <v>2792</v>
      </c>
      <c r="D95" s="143" t="s">
        <v>2793</v>
      </c>
      <c r="E95" s="143" t="s">
        <v>313</v>
      </c>
      <c r="F95" s="143" t="s">
        <v>2794</v>
      </c>
      <c r="G95" s="143" t="s">
        <v>2795</v>
      </c>
      <c r="H95" s="143" t="s">
        <v>321</v>
      </c>
      <c r="I95" s="143" t="s">
        <v>965</v>
      </c>
      <c r="J95" s="143" t="s">
        <v>205</v>
      </c>
      <c r="K95" s="143" t="s">
        <v>243</v>
      </c>
      <c r="L95" s="143" t="s">
        <v>344</v>
      </c>
      <c r="M95" s="143" t="s">
        <v>707</v>
      </c>
      <c r="N95" s="143" t="s">
        <v>339</v>
      </c>
      <c r="O95" s="143" t="s">
        <v>1211</v>
      </c>
      <c r="P95" s="144">
        <v>8829</v>
      </c>
      <c r="Q95" s="143" t="s">
        <v>1212</v>
      </c>
      <c r="R95" s="143" t="s">
        <v>2796</v>
      </c>
      <c r="S95" s="144" t="s">
        <v>3928</v>
      </c>
      <c r="T95" s="144">
        <v>2095.0475000000001</v>
      </c>
      <c r="U95" s="146">
        <v>1.5530343007915567E-4</v>
      </c>
      <c r="V95" s="146">
        <v>1.4475592433434598E-2</v>
      </c>
      <c r="W95" s="147">
        <v>3.039260381563835E-3</v>
      </c>
      <c r="X95" s="177"/>
    </row>
    <row r="96" spans="1:24" x14ac:dyDescent="0.2">
      <c r="A96" s="142" t="s">
        <v>1205</v>
      </c>
      <c r="B96" s="143" t="s">
        <v>1205</v>
      </c>
      <c r="C96" s="143" t="s">
        <v>2926</v>
      </c>
      <c r="D96" s="143" t="s">
        <v>2927</v>
      </c>
      <c r="E96" s="143" t="s">
        <v>313</v>
      </c>
      <c r="F96" s="143" t="s">
        <v>2926</v>
      </c>
      <c r="G96" s="143" t="s">
        <v>2928</v>
      </c>
      <c r="H96" s="143" t="s">
        <v>321</v>
      </c>
      <c r="I96" s="143" t="s">
        <v>965</v>
      </c>
      <c r="J96" s="143" t="s">
        <v>205</v>
      </c>
      <c r="K96" s="143" t="s">
        <v>293</v>
      </c>
      <c r="L96" s="143" t="s">
        <v>368</v>
      </c>
      <c r="M96" s="143" t="s">
        <v>610</v>
      </c>
      <c r="N96" s="143" t="s">
        <v>339</v>
      </c>
      <c r="O96" s="143" t="s">
        <v>1218</v>
      </c>
      <c r="P96" s="144">
        <v>5012</v>
      </c>
      <c r="Q96" s="143" t="s">
        <v>1219</v>
      </c>
      <c r="R96" s="143" t="s">
        <v>2929</v>
      </c>
      <c r="S96" s="144" t="s">
        <v>3928</v>
      </c>
      <c r="T96" s="144">
        <v>1846.2173</v>
      </c>
      <c r="U96" s="146">
        <v>1.8305332359386413E-3</v>
      </c>
      <c r="V96" s="146">
        <v>1.2756316594024902E-2</v>
      </c>
      <c r="W96" s="147">
        <v>2.6782853839790221E-3</v>
      </c>
      <c r="X96" s="177"/>
    </row>
    <row r="97" spans="1:24" x14ac:dyDescent="0.2">
      <c r="A97" s="142" t="s">
        <v>1205</v>
      </c>
      <c r="B97" s="143" t="s">
        <v>1205</v>
      </c>
      <c r="C97" s="143" t="s">
        <v>2930</v>
      </c>
      <c r="D97" s="143" t="s">
        <v>2931</v>
      </c>
      <c r="E97" s="143" t="s">
        <v>313</v>
      </c>
      <c r="F97" s="143" t="s">
        <v>2932</v>
      </c>
      <c r="G97" s="143" t="s">
        <v>2933</v>
      </c>
      <c r="H97" s="143" t="s">
        <v>321</v>
      </c>
      <c r="I97" s="143" t="s">
        <v>965</v>
      </c>
      <c r="J97" s="143" t="s">
        <v>205</v>
      </c>
      <c r="K97" s="143" t="s">
        <v>224</v>
      </c>
      <c r="L97" s="143" t="s">
        <v>380</v>
      </c>
      <c r="M97" s="143" t="s">
        <v>604</v>
      </c>
      <c r="N97" s="143" t="s">
        <v>339</v>
      </c>
      <c r="O97" s="143" t="s">
        <v>1211</v>
      </c>
      <c r="P97" s="144">
        <v>1087</v>
      </c>
      <c r="Q97" s="143" t="s">
        <v>1212</v>
      </c>
      <c r="R97" s="143" t="s">
        <v>2934</v>
      </c>
      <c r="S97" s="144" t="s">
        <v>3928</v>
      </c>
      <c r="T97" s="144">
        <v>1647.0236</v>
      </c>
      <c r="U97" s="146">
        <v>1.4576907603593939E-4</v>
      </c>
      <c r="V97" s="146">
        <v>1.1380000637394206E-2</v>
      </c>
      <c r="W97" s="147">
        <v>2.3893174140159914E-3</v>
      </c>
      <c r="X97" s="177"/>
    </row>
    <row r="98" spans="1:24" x14ac:dyDescent="0.2">
      <c r="A98" s="142" t="s">
        <v>1205</v>
      </c>
      <c r="B98" s="143" t="s">
        <v>1205</v>
      </c>
      <c r="C98" s="143" t="s">
        <v>2935</v>
      </c>
      <c r="D98" s="143" t="s">
        <v>2936</v>
      </c>
      <c r="E98" s="143" t="s">
        <v>313</v>
      </c>
      <c r="F98" s="143" t="s">
        <v>2935</v>
      </c>
      <c r="G98" s="143" t="s">
        <v>2937</v>
      </c>
      <c r="H98" s="143" t="s">
        <v>321</v>
      </c>
      <c r="I98" s="143" t="s">
        <v>965</v>
      </c>
      <c r="J98" s="143" t="s">
        <v>205</v>
      </c>
      <c r="K98" s="143" t="s">
        <v>293</v>
      </c>
      <c r="L98" s="143" t="s">
        <v>364</v>
      </c>
      <c r="M98" s="143" t="s">
        <v>610</v>
      </c>
      <c r="N98" s="143" t="s">
        <v>339</v>
      </c>
      <c r="O98" s="143" t="s">
        <v>1218</v>
      </c>
      <c r="P98" s="144">
        <v>2482</v>
      </c>
      <c r="Q98" s="143" t="s">
        <v>1219</v>
      </c>
      <c r="R98" s="143" t="s">
        <v>2938</v>
      </c>
      <c r="S98" s="144" t="s">
        <v>3928</v>
      </c>
      <c r="T98" s="144">
        <v>1612.7437</v>
      </c>
      <c r="U98" s="146">
        <v>9.1994069681245372E-4</v>
      </c>
      <c r="V98" s="146">
        <v>1.1143145802720794E-2</v>
      </c>
      <c r="W98" s="147">
        <v>2.3395879457047621E-3</v>
      </c>
      <c r="X98" s="177"/>
    </row>
    <row r="99" spans="1:24" x14ac:dyDescent="0.2">
      <c r="A99" s="142" t="s">
        <v>1205</v>
      </c>
      <c r="B99" s="143" t="s">
        <v>1205</v>
      </c>
      <c r="C99" s="143" t="s">
        <v>2779</v>
      </c>
      <c r="D99" s="143" t="s">
        <v>2780</v>
      </c>
      <c r="E99" s="143" t="s">
        <v>313</v>
      </c>
      <c r="F99" s="143" t="s">
        <v>2781</v>
      </c>
      <c r="G99" s="143" t="s">
        <v>2782</v>
      </c>
      <c r="H99" s="143" t="s">
        <v>321</v>
      </c>
      <c r="I99" s="143" t="s">
        <v>965</v>
      </c>
      <c r="J99" s="143" t="s">
        <v>205</v>
      </c>
      <c r="K99" s="143" t="s">
        <v>224</v>
      </c>
      <c r="L99" s="143" t="s">
        <v>344</v>
      </c>
      <c r="M99" s="143" t="s">
        <v>602</v>
      </c>
      <c r="N99" s="143" t="s">
        <v>339</v>
      </c>
      <c r="O99" s="143" t="s">
        <v>1211</v>
      </c>
      <c r="P99" s="144">
        <v>1908</v>
      </c>
      <c r="Q99" s="143" t="s">
        <v>1212</v>
      </c>
      <c r="R99" s="143" t="s">
        <v>2783</v>
      </c>
      <c r="S99" s="144">
        <v>1.4351800000000001</v>
      </c>
      <c r="T99" s="144">
        <v>1568.9341000000002</v>
      </c>
      <c r="U99" s="146">
        <v>6.2721893491124259E-6</v>
      </c>
      <c r="V99" s="146">
        <v>1.0850363008363006E-2</v>
      </c>
      <c r="W99" s="147">
        <v>2.2781159782266033E-3</v>
      </c>
      <c r="X99" s="177"/>
    </row>
    <row r="100" spans="1:24" x14ac:dyDescent="0.2">
      <c r="A100" s="142" t="s">
        <v>1205</v>
      </c>
      <c r="B100" s="143" t="s">
        <v>1205</v>
      </c>
      <c r="C100" s="143" t="s">
        <v>2939</v>
      </c>
      <c r="D100" s="143" t="s">
        <v>2940</v>
      </c>
      <c r="E100" s="143" t="s">
        <v>313</v>
      </c>
      <c r="F100" s="143" t="s">
        <v>2941</v>
      </c>
      <c r="G100" s="143" t="s">
        <v>2942</v>
      </c>
      <c r="H100" s="143" t="s">
        <v>321</v>
      </c>
      <c r="I100" s="143" t="s">
        <v>965</v>
      </c>
      <c r="J100" s="143" t="s">
        <v>205</v>
      </c>
      <c r="K100" s="143" t="s">
        <v>233</v>
      </c>
      <c r="L100" s="143" t="s">
        <v>380</v>
      </c>
      <c r="M100" s="143" t="s">
        <v>587</v>
      </c>
      <c r="N100" s="143" t="s">
        <v>339</v>
      </c>
      <c r="O100" s="143" t="s">
        <v>1216</v>
      </c>
      <c r="P100" s="144">
        <v>36655</v>
      </c>
      <c r="Q100" s="143" t="s">
        <v>1217</v>
      </c>
      <c r="R100" s="143" t="s">
        <v>2943</v>
      </c>
      <c r="S100" s="144" t="s">
        <v>3928</v>
      </c>
      <c r="T100" s="144">
        <v>1457.5338999999999</v>
      </c>
      <c r="U100" s="146">
        <v>2.639977125719953E-5</v>
      </c>
      <c r="V100" s="146">
        <v>1.0070734064774649E-2</v>
      </c>
      <c r="W100" s="147">
        <v>2.1144269705770315E-3</v>
      </c>
      <c r="X100" s="177"/>
    </row>
    <row r="101" spans="1:24" x14ac:dyDescent="0.2">
      <c r="A101" s="142" t="s">
        <v>1205</v>
      </c>
      <c r="B101" s="143" t="s">
        <v>1205</v>
      </c>
      <c r="C101" s="143" t="s">
        <v>2802</v>
      </c>
      <c r="D101" s="143" t="s">
        <v>2803</v>
      </c>
      <c r="E101" s="143" t="s">
        <v>313</v>
      </c>
      <c r="F101" s="143" t="s">
        <v>2823</v>
      </c>
      <c r="G101" s="143" t="s">
        <v>2824</v>
      </c>
      <c r="H101" s="143" t="s">
        <v>321</v>
      </c>
      <c r="I101" s="143" t="s">
        <v>965</v>
      </c>
      <c r="J101" s="143" t="s">
        <v>205</v>
      </c>
      <c r="K101" s="143" t="s">
        <v>224</v>
      </c>
      <c r="L101" s="143" t="s">
        <v>344</v>
      </c>
      <c r="M101" s="143" t="s">
        <v>707</v>
      </c>
      <c r="N101" s="143" t="s">
        <v>339</v>
      </c>
      <c r="O101" s="143" t="s">
        <v>1211</v>
      </c>
      <c r="P101" s="144">
        <v>7012</v>
      </c>
      <c r="Q101" s="143" t="s">
        <v>1212</v>
      </c>
      <c r="R101" s="143" t="s">
        <v>2825</v>
      </c>
      <c r="S101" s="144" t="s">
        <v>3928</v>
      </c>
      <c r="T101" s="144">
        <v>1401.4022</v>
      </c>
      <c r="U101" s="146">
        <v>8.3476190476190483E-5</v>
      </c>
      <c r="V101" s="146">
        <v>9.6828957911678313E-3</v>
      </c>
      <c r="W101" s="147">
        <v>2.0329973845447011E-3</v>
      </c>
      <c r="X101" s="177"/>
    </row>
    <row r="102" spans="1:24" x14ac:dyDescent="0.2">
      <c r="A102" s="142" t="s">
        <v>1205</v>
      </c>
      <c r="B102" s="143" t="s">
        <v>1205</v>
      </c>
      <c r="C102" s="143" t="s">
        <v>2807</v>
      </c>
      <c r="D102" s="143" t="s">
        <v>2714</v>
      </c>
      <c r="E102" s="143" t="s">
        <v>313</v>
      </c>
      <c r="F102" s="143" t="s">
        <v>2807</v>
      </c>
      <c r="G102" s="143" t="s">
        <v>2808</v>
      </c>
      <c r="H102" s="143" t="s">
        <v>321</v>
      </c>
      <c r="I102" s="143" t="s">
        <v>965</v>
      </c>
      <c r="J102" s="143" t="s">
        <v>205</v>
      </c>
      <c r="K102" s="143" t="s">
        <v>301</v>
      </c>
      <c r="L102" s="143" t="s">
        <v>314</v>
      </c>
      <c r="M102" s="143" t="s">
        <v>596</v>
      </c>
      <c r="N102" s="143" t="s">
        <v>339</v>
      </c>
      <c r="O102" s="143" t="s">
        <v>1218</v>
      </c>
      <c r="P102" s="144">
        <v>7203</v>
      </c>
      <c r="Q102" s="143" t="s">
        <v>1219</v>
      </c>
      <c r="R102" s="143" t="s">
        <v>2809</v>
      </c>
      <c r="S102" s="144" t="s">
        <v>3928</v>
      </c>
      <c r="T102" s="144">
        <v>1401.002</v>
      </c>
      <c r="U102" s="146">
        <v>2.4752577319587632E-4</v>
      </c>
      <c r="V102" s="146">
        <v>9.6801306895193829E-3</v>
      </c>
      <c r="W102" s="147">
        <v>2.0324168304893301E-3</v>
      </c>
      <c r="X102" s="177"/>
    </row>
    <row r="103" spans="1:24" x14ac:dyDescent="0.2">
      <c r="A103" s="142" t="s">
        <v>1205</v>
      </c>
      <c r="B103" s="143" t="s">
        <v>1205</v>
      </c>
      <c r="C103" s="143" t="s">
        <v>2944</v>
      </c>
      <c r="D103" s="143" t="s">
        <v>2945</v>
      </c>
      <c r="E103" s="143" t="s">
        <v>313</v>
      </c>
      <c r="F103" s="143" t="s">
        <v>2944</v>
      </c>
      <c r="G103" s="143" t="s">
        <v>2946</v>
      </c>
      <c r="H103" s="143" t="s">
        <v>321</v>
      </c>
      <c r="I103" s="143" t="s">
        <v>965</v>
      </c>
      <c r="J103" s="143" t="s">
        <v>205</v>
      </c>
      <c r="K103" s="143" t="s">
        <v>224</v>
      </c>
      <c r="L103" s="143" t="s">
        <v>344</v>
      </c>
      <c r="M103" s="143" t="s">
        <v>708</v>
      </c>
      <c r="N103" s="143" t="s">
        <v>339</v>
      </c>
      <c r="O103" s="143" t="s">
        <v>1211</v>
      </c>
      <c r="P103" s="144">
        <v>2995</v>
      </c>
      <c r="Q103" s="143" t="s">
        <v>1212</v>
      </c>
      <c r="R103" s="143" t="s">
        <v>2947</v>
      </c>
      <c r="S103" s="144" t="s">
        <v>3928</v>
      </c>
      <c r="T103" s="144">
        <v>1384.0421999999999</v>
      </c>
      <c r="U103" s="146">
        <v>2.1861313868613139E-4</v>
      </c>
      <c r="V103" s="146">
        <v>9.562948154392667E-3</v>
      </c>
      <c r="W103" s="147">
        <v>2.0078134687920748E-3</v>
      </c>
      <c r="X103" s="177"/>
    </row>
    <row r="104" spans="1:24" x14ac:dyDescent="0.2">
      <c r="A104" s="142" t="s">
        <v>1205</v>
      </c>
      <c r="B104" s="143" t="s">
        <v>1205</v>
      </c>
      <c r="C104" s="143" t="s">
        <v>2826</v>
      </c>
      <c r="D104" s="143" t="s">
        <v>2827</v>
      </c>
      <c r="E104" s="143" t="s">
        <v>313</v>
      </c>
      <c r="F104" s="143" t="s">
        <v>2828</v>
      </c>
      <c r="G104" s="143" t="s">
        <v>2829</v>
      </c>
      <c r="H104" s="143" t="s">
        <v>321</v>
      </c>
      <c r="I104" s="143" t="s">
        <v>965</v>
      </c>
      <c r="J104" s="143" t="s">
        <v>205</v>
      </c>
      <c r="K104" s="143" t="s">
        <v>224</v>
      </c>
      <c r="L104" s="143" t="s">
        <v>344</v>
      </c>
      <c r="M104" s="143" t="s">
        <v>708</v>
      </c>
      <c r="N104" s="143" t="s">
        <v>339</v>
      </c>
      <c r="O104" s="143" t="s">
        <v>1211</v>
      </c>
      <c r="P104" s="144">
        <v>8325</v>
      </c>
      <c r="Q104" s="143" t="s">
        <v>1212</v>
      </c>
      <c r="R104" s="143" t="s">
        <v>2830</v>
      </c>
      <c r="S104" s="144" t="s">
        <v>3928</v>
      </c>
      <c r="T104" s="144">
        <v>1379.6665</v>
      </c>
      <c r="U104" s="146">
        <v>6.3235852639574627E-5</v>
      </c>
      <c r="V104" s="146">
        <v>9.5327141334417276E-3</v>
      </c>
      <c r="W104" s="147">
        <v>2.0014656068669682E-3</v>
      </c>
      <c r="X104" s="177"/>
    </row>
    <row r="105" spans="1:24" x14ac:dyDescent="0.2">
      <c r="A105" s="142" t="s">
        <v>1205</v>
      </c>
      <c r="B105" s="143" t="s">
        <v>1205</v>
      </c>
      <c r="C105" s="143" t="s">
        <v>2948</v>
      </c>
      <c r="D105" s="143" t="s">
        <v>2949</v>
      </c>
      <c r="E105" s="143" t="s">
        <v>313</v>
      </c>
      <c r="F105" s="143" t="s">
        <v>2948</v>
      </c>
      <c r="G105" s="143" t="s">
        <v>2950</v>
      </c>
      <c r="H105" s="143" t="s">
        <v>321</v>
      </c>
      <c r="I105" s="143" t="s">
        <v>965</v>
      </c>
      <c r="J105" s="143" t="s">
        <v>205</v>
      </c>
      <c r="K105" s="143" t="s">
        <v>224</v>
      </c>
      <c r="L105" s="143" t="s">
        <v>314</v>
      </c>
      <c r="M105" s="143" t="s">
        <v>708</v>
      </c>
      <c r="N105" s="143" t="s">
        <v>339</v>
      </c>
      <c r="O105" s="143" t="s">
        <v>1211</v>
      </c>
      <c r="P105" s="144">
        <v>2507</v>
      </c>
      <c r="Q105" s="143" t="s">
        <v>1212</v>
      </c>
      <c r="R105" s="143" t="s">
        <v>2951</v>
      </c>
      <c r="S105" s="144" t="s">
        <v>3928</v>
      </c>
      <c r="T105" s="144">
        <v>1161.5051000000001</v>
      </c>
      <c r="U105" s="146">
        <v>8.6448275862068967E-4</v>
      </c>
      <c r="V105" s="146">
        <v>8.025342924784816E-3</v>
      </c>
      <c r="W105" s="147">
        <v>1.6849815931143134E-3</v>
      </c>
      <c r="X105" s="177"/>
    </row>
    <row r="106" spans="1:24" ht="15" x14ac:dyDescent="0.2">
      <c r="A106" s="142" t="s">
        <v>1205</v>
      </c>
      <c r="B106" s="143" t="s">
        <v>1205</v>
      </c>
      <c r="C106" s="143" t="s">
        <v>2668</v>
      </c>
      <c r="D106" s="143" t="s">
        <v>2669</v>
      </c>
      <c r="E106" s="143" t="s">
        <v>309</v>
      </c>
      <c r="F106" s="143" t="s">
        <v>2952</v>
      </c>
      <c r="G106" s="143" t="s">
        <v>2953</v>
      </c>
      <c r="H106" s="143" t="s">
        <v>321</v>
      </c>
      <c r="I106" s="143" t="s">
        <v>965</v>
      </c>
      <c r="J106" s="143" t="s">
        <v>205</v>
      </c>
      <c r="K106" s="143" t="s">
        <v>224</v>
      </c>
      <c r="L106" s="143" t="s">
        <v>340</v>
      </c>
      <c r="M106" s="143" t="s">
        <v>708</v>
      </c>
      <c r="N106" s="143" t="s">
        <v>339</v>
      </c>
      <c r="O106" s="143" t="s">
        <v>1210</v>
      </c>
      <c r="P106" s="144">
        <v>44480</v>
      </c>
      <c r="Q106" s="145" t="s">
        <v>3930</v>
      </c>
      <c r="R106" s="143" t="s">
        <v>2954</v>
      </c>
      <c r="S106" s="144" t="s">
        <v>3928</v>
      </c>
      <c r="T106" s="144">
        <v>1131.5711999999999</v>
      </c>
      <c r="U106" s="146">
        <v>9.884444444444444E-3</v>
      </c>
      <c r="V106" s="146">
        <v>7.8185163897326968E-3</v>
      </c>
      <c r="W106" s="147">
        <v>1.6415567939753058E-3</v>
      </c>
      <c r="X106" s="177"/>
    </row>
    <row r="107" spans="1:24" x14ac:dyDescent="0.2">
      <c r="A107" s="142" t="s">
        <v>1205</v>
      </c>
      <c r="B107" s="143" t="s">
        <v>1205</v>
      </c>
      <c r="C107" s="143" t="s">
        <v>2819</v>
      </c>
      <c r="D107" s="143" t="s">
        <v>2820</v>
      </c>
      <c r="E107" s="143" t="s">
        <v>313</v>
      </c>
      <c r="F107" s="143" t="s">
        <v>2819</v>
      </c>
      <c r="G107" s="143" t="s">
        <v>2821</v>
      </c>
      <c r="H107" s="143" t="s">
        <v>321</v>
      </c>
      <c r="I107" s="143" t="s">
        <v>965</v>
      </c>
      <c r="J107" s="143" t="s">
        <v>205</v>
      </c>
      <c r="K107" s="143" t="s">
        <v>224</v>
      </c>
      <c r="L107" s="143" t="s">
        <v>344</v>
      </c>
      <c r="M107" s="143" t="s">
        <v>703</v>
      </c>
      <c r="N107" s="143" t="s">
        <v>339</v>
      </c>
      <c r="O107" s="143" t="s">
        <v>1211</v>
      </c>
      <c r="P107" s="144">
        <v>5478</v>
      </c>
      <c r="Q107" s="143" t="s">
        <v>1212</v>
      </c>
      <c r="R107" s="143" t="s">
        <v>2822</v>
      </c>
      <c r="S107" s="144" t="s">
        <v>3928</v>
      </c>
      <c r="T107" s="144">
        <v>876.14089999999999</v>
      </c>
      <c r="U107" s="146">
        <v>1.6535860903163488E-4</v>
      </c>
      <c r="V107" s="146">
        <v>6.0536377018287919E-3</v>
      </c>
      <c r="W107" s="147">
        <v>1.271007132600237E-3</v>
      </c>
      <c r="X107" s="177"/>
    </row>
    <row r="108" spans="1:24" x14ac:dyDescent="0.2">
      <c r="A108" s="142" t="s">
        <v>1205</v>
      </c>
      <c r="B108" s="143" t="s">
        <v>1205</v>
      </c>
      <c r="C108" s="143" t="s">
        <v>2955</v>
      </c>
      <c r="D108" s="143" t="s">
        <v>2956</v>
      </c>
      <c r="E108" s="143" t="s">
        <v>313</v>
      </c>
      <c r="F108" s="143" t="s">
        <v>2955</v>
      </c>
      <c r="G108" s="143" t="s">
        <v>2957</v>
      </c>
      <c r="H108" s="143" t="s">
        <v>321</v>
      </c>
      <c r="I108" s="143" t="s">
        <v>965</v>
      </c>
      <c r="J108" s="143" t="s">
        <v>205</v>
      </c>
      <c r="K108" s="143" t="s">
        <v>224</v>
      </c>
      <c r="L108" s="143" t="s">
        <v>344</v>
      </c>
      <c r="M108" s="143" t="s">
        <v>708</v>
      </c>
      <c r="N108" s="143" t="s">
        <v>339</v>
      </c>
      <c r="O108" s="143" t="s">
        <v>1211</v>
      </c>
      <c r="P108" s="144">
        <v>2591</v>
      </c>
      <c r="Q108" s="143" t="s">
        <v>1212</v>
      </c>
      <c r="R108" s="143" t="s">
        <v>2958</v>
      </c>
      <c r="S108" s="144" t="s">
        <v>3928</v>
      </c>
      <c r="T108" s="144">
        <v>776.50659999999993</v>
      </c>
      <c r="U108" s="146">
        <v>1.1040848155313329E-5</v>
      </c>
      <c r="V108" s="146">
        <v>5.365221259376783E-3</v>
      </c>
      <c r="W108" s="147">
        <v>1.1264688811136218E-3</v>
      </c>
      <c r="X108" s="177"/>
    </row>
    <row r="109" spans="1:24" x14ac:dyDescent="0.2">
      <c r="A109" s="142" t="s">
        <v>1205</v>
      </c>
      <c r="B109" s="143" t="s">
        <v>1205</v>
      </c>
      <c r="C109" s="143" t="s">
        <v>2802</v>
      </c>
      <c r="D109" s="143" t="s">
        <v>2803</v>
      </c>
      <c r="E109" s="143" t="s">
        <v>313</v>
      </c>
      <c r="F109" s="143" t="s">
        <v>2831</v>
      </c>
      <c r="G109" s="143" t="s">
        <v>2832</v>
      </c>
      <c r="H109" s="143" t="s">
        <v>321</v>
      </c>
      <c r="I109" s="143" t="s">
        <v>965</v>
      </c>
      <c r="J109" s="143" t="s">
        <v>205</v>
      </c>
      <c r="K109" s="143" t="s">
        <v>224</v>
      </c>
      <c r="L109" s="143" t="s">
        <v>344</v>
      </c>
      <c r="M109" s="143" t="s">
        <v>708</v>
      </c>
      <c r="N109" s="143" t="s">
        <v>339</v>
      </c>
      <c r="O109" s="143" t="s">
        <v>1211</v>
      </c>
      <c r="P109" s="144">
        <v>3294</v>
      </c>
      <c r="Q109" s="143" t="s">
        <v>1212</v>
      </c>
      <c r="R109" s="143" t="s">
        <v>2833</v>
      </c>
      <c r="S109" s="144">
        <v>0.26236999999999999</v>
      </c>
      <c r="T109" s="144">
        <v>724.68560000000002</v>
      </c>
      <c r="U109" s="146">
        <v>2.748435544430538E-5</v>
      </c>
      <c r="V109" s="146">
        <v>5.0089801740583811E-3</v>
      </c>
      <c r="W109" s="147">
        <v>1.0516733643240802E-3</v>
      </c>
      <c r="X109" s="177"/>
    </row>
    <row r="110" spans="1:24" x14ac:dyDescent="0.2">
      <c r="A110" s="142" t="s">
        <v>1205</v>
      </c>
      <c r="B110" s="143" t="s">
        <v>1205</v>
      </c>
      <c r="C110" s="143" t="s">
        <v>2959</v>
      </c>
      <c r="D110" s="143" t="s">
        <v>2960</v>
      </c>
      <c r="E110" s="143" t="s">
        <v>313</v>
      </c>
      <c r="F110" s="143" t="s">
        <v>2961</v>
      </c>
      <c r="G110" s="143" t="s">
        <v>2962</v>
      </c>
      <c r="H110" s="143" t="s">
        <v>321</v>
      </c>
      <c r="I110" s="143" t="s">
        <v>965</v>
      </c>
      <c r="J110" s="143" t="s">
        <v>205</v>
      </c>
      <c r="K110" s="143" t="s">
        <v>224</v>
      </c>
      <c r="L110" s="143" t="s">
        <v>344</v>
      </c>
      <c r="M110" s="143" t="s">
        <v>589</v>
      </c>
      <c r="N110" s="143" t="s">
        <v>339</v>
      </c>
      <c r="O110" s="143" t="s">
        <v>1211</v>
      </c>
      <c r="P110" s="144">
        <v>1888</v>
      </c>
      <c r="Q110" s="143" t="s">
        <v>1212</v>
      </c>
      <c r="R110" s="143" t="s">
        <v>2963</v>
      </c>
      <c r="S110" s="144" t="s">
        <v>3928</v>
      </c>
      <c r="T110" s="144">
        <v>633.97550000000001</v>
      </c>
      <c r="U110" s="146">
        <v>4.3154285714285716E-4</v>
      </c>
      <c r="V110" s="146">
        <v>4.380411695346728E-3</v>
      </c>
      <c r="W110" s="147">
        <v>9.1970064657639591E-4</v>
      </c>
      <c r="X110" s="177"/>
    </row>
    <row r="111" spans="1:24" x14ac:dyDescent="0.2">
      <c r="A111" s="142" t="s">
        <v>1205</v>
      </c>
      <c r="B111" s="143" t="s">
        <v>1205</v>
      </c>
      <c r="C111" s="143" t="s">
        <v>2857</v>
      </c>
      <c r="D111" s="143" t="s">
        <v>2858</v>
      </c>
      <c r="E111" s="143" t="s">
        <v>313</v>
      </c>
      <c r="F111" s="143" t="s">
        <v>2857</v>
      </c>
      <c r="G111" s="143" t="s">
        <v>2859</v>
      </c>
      <c r="H111" s="143" t="s">
        <v>321</v>
      </c>
      <c r="I111" s="143" t="s">
        <v>967</v>
      </c>
      <c r="J111" s="143" t="s">
        <v>205</v>
      </c>
      <c r="K111" s="143" t="s">
        <v>224</v>
      </c>
      <c r="L111" s="143" t="s">
        <v>314</v>
      </c>
      <c r="M111" s="143" t="s">
        <v>677</v>
      </c>
      <c r="N111" s="143" t="s">
        <v>339</v>
      </c>
      <c r="O111" s="143" t="s">
        <v>1211</v>
      </c>
      <c r="P111" s="144">
        <v>11787</v>
      </c>
      <c r="Q111" s="143" t="s">
        <v>1212</v>
      </c>
      <c r="R111" s="143" t="s">
        <v>2860</v>
      </c>
      <c r="S111" s="144" t="s">
        <v>3928</v>
      </c>
      <c r="T111" s="144">
        <v>4221.6719999999996</v>
      </c>
      <c r="U111" s="146">
        <v>7.7961505390568156E-4</v>
      </c>
      <c r="V111" s="146">
        <v>2.9169363528550252E-2</v>
      </c>
      <c r="W111" s="147">
        <v>6.1243290273212845E-3</v>
      </c>
      <c r="X111" s="177"/>
    </row>
    <row r="112" spans="1:24" x14ac:dyDescent="0.2">
      <c r="A112" s="142" t="s">
        <v>1205</v>
      </c>
      <c r="B112" s="143" t="s">
        <v>1205</v>
      </c>
      <c r="C112" s="143" t="s">
        <v>2868</v>
      </c>
      <c r="D112" s="143" t="s">
        <v>2869</v>
      </c>
      <c r="E112" s="143" t="s">
        <v>313</v>
      </c>
      <c r="F112" s="143" t="s">
        <v>2868</v>
      </c>
      <c r="G112" s="143" t="s">
        <v>2870</v>
      </c>
      <c r="H112" s="143" t="s">
        <v>321</v>
      </c>
      <c r="I112" s="143" t="s">
        <v>967</v>
      </c>
      <c r="J112" s="143" t="s">
        <v>205</v>
      </c>
      <c r="K112" s="143" t="s">
        <v>233</v>
      </c>
      <c r="L112" s="143" t="s">
        <v>380</v>
      </c>
      <c r="M112" s="143" t="s">
        <v>677</v>
      </c>
      <c r="N112" s="143" t="s">
        <v>339</v>
      </c>
      <c r="O112" s="143" t="s">
        <v>1211</v>
      </c>
      <c r="P112" s="144">
        <v>9685</v>
      </c>
      <c r="Q112" s="143" t="s">
        <v>1212</v>
      </c>
      <c r="R112" s="143" t="s">
        <v>2871</v>
      </c>
      <c r="S112" s="144" t="s">
        <v>3928</v>
      </c>
      <c r="T112" s="144">
        <v>3485.3409999999999</v>
      </c>
      <c r="U112" s="146">
        <v>3.0288341255941956E-4</v>
      </c>
      <c r="V112" s="146">
        <v>2.4081732851968594E-2</v>
      </c>
      <c r="W112" s="147">
        <v>5.0561423936848577E-3</v>
      </c>
      <c r="X112" s="177"/>
    </row>
    <row r="113" spans="1:24" x14ac:dyDescent="0.2">
      <c r="A113" s="142" t="s">
        <v>1205</v>
      </c>
      <c r="B113" s="143" t="s">
        <v>1205</v>
      </c>
      <c r="C113" s="143" t="s">
        <v>2861</v>
      </c>
      <c r="D113" s="143" t="s">
        <v>2862</v>
      </c>
      <c r="E113" s="143" t="s">
        <v>313</v>
      </c>
      <c r="F113" s="143" t="s">
        <v>2861</v>
      </c>
      <c r="G113" s="143" t="s">
        <v>2863</v>
      </c>
      <c r="H113" s="143" t="s">
        <v>321</v>
      </c>
      <c r="I113" s="143" t="s">
        <v>967</v>
      </c>
      <c r="J113" s="143" t="s">
        <v>205</v>
      </c>
      <c r="K113" s="143" t="s">
        <v>224</v>
      </c>
      <c r="L113" s="143" t="s">
        <v>380</v>
      </c>
      <c r="M113" s="143" t="s">
        <v>592</v>
      </c>
      <c r="N113" s="143" t="s">
        <v>339</v>
      </c>
      <c r="O113" s="143" t="s">
        <v>1211</v>
      </c>
      <c r="P113" s="144">
        <v>147597</v>
      </c>
      <c r="Q113" s="143" t="s">
        <v>1212</v>
      </c>
      <c r="R113" s="143" t="s">
        <v>2864</v>
      </c>
      <c r="S113" s="144" t="s">
        <v>3928</v>
      </c>
      <c r="T113" s="144">
        <v>3334.2442999999998</v>
      </c>
      <c r="U113" s="146">
        <v>4.859960487323016E-4</v>
      </c>
      <c r="V113" s="146">
        <v>2.3037740355343825E-2</v>
      </c>
      <c r="W113" s="147">
        <v>4.8369482537398206E-3</v>
      </c>
      <c r="X113" s="177"/>
    </row>
    <row r="114" spans="1:24" x14ac:dyDescent="0.2">
      <c r="A114" s="142" t="s">
        <v>1205</v>
      </c>
      <c r="B114" s="143" t="s">
        <v>1205</v>
      </c>
      <c r="C114" s="143" t="s">
        <v>2865</v>
      </c>
      <c r="D114" s="143" t="s">
        <v>2789</v>
      </c>
      <c r="E114" s="143" t="s">
        <v>313</v>
      </c>
      <c r="F114" s="143" t="s">
        <v>2865</v>
      </c>
      <c r="G114" s="143" t="s">
        <v>2866</v>
      </c>
      <c r="H114" s="143" t="s">
        <v>321</v>
      </c>
      <c r="I114" s="143" t="s">
        <v>967</v>
      </c>
      <c r="J114" s="143" t="s">
        <v>205</v>
      </c>
      <c r="K114" s="143" t="s">
        <v>224</v>
      </c>
      <c r="L114" s="143" t="s">
        <v>344</v>
      </c>
      <c r="M114" s="143" t="s">
        <v>592</v>
      </c>
      <c r="N114" s="143" t="s">
        <v>339</v>
      </c>
      <c r="O114" s="143" t="s">
        <v>1211</v>
      </c>
      <c r="P114" s="144">
        <v>126128</v>
      </c>
      <c r="Q114" s="143" t="s">
        <v>1212</v>
      </c>
      <c r="R114" s="143" t="s">
        <v>2867</v>
      </c>
      <c r="S114" s="144" t="s">
        <v>3928</v>
      </c>
      <c r="T114" s="144">
        <v>2787.0201000000002</v>
      </c>
      <c r="U114" s="146">
        <v>1.8515560775102759E-4</v>
      </c>
      <c r="V114" s="146">
        <v>1.9256731422986798E-2</v>
      </c>
      <c r="W114" s="147">
        <v>4.0430967617684404E-3</v>
      </c>
      <c r="X114" s="177"/>
    </row>
    <row r="115" spans="1:24" x14ac:dyDescent="0.2">
      <c r="A115" s="142" t="s">
        <v>1205</v>
      </c>
      <c r="B115" s="143" t="s">
        <v>1205</v>
      </c>
      <c r="C115" s="143" t="s">
        <v>2872</v>
      </c>
      <c r="D115" s="143" t="s">
        <v>2873</v>
      </c>
      <c r="E115" s="143" t="s">
        <v>313</v>
      </c>
      <c r="F115" s="143" t="s">
        <v>2872</v>
      </c>
      <c r="G115" s="143" t="s">
        <v>2874</v>
      </c>
      <c r="H115" s="143" t="s">
        <v>321</v>
      </c>
      <c r="I115" s="143" t="s">
        <v>967</v>
      </c>
      <c r="J115" s="143" t="s">
        <v>205</v>
      </c>
      <c r="K115" s="143" t="s">
        <v>224</v>
      </c>
      <c r="L115" s="143" t="s">
        <v>380</v>
      </c>
      <c r="M115" s="143" t="s">
        <v>677</v>
      </c>
      <c r="N115" s="143" t="s">
        <v>339</v>
      </c>
      <c r="O115" s="143" t="s">
        <v>1211</v>
      </c>
      <c r="P115" s="144">
        <v>13188</v>
      </c>
      <c r="Q115" s="143" t="s">
        <v>1212</v>
      </c>
      <c r="R115" s="143" t="s">
        <v>2875</v>
      </c>
      <c r="S115" s="144" t="s">
        <v>3928</v>
      </c>
      <c r="T115" s="144">
        <v>1414.3711000000001</v>
      </c>
      <c r="U115" s="146">
        <v>5.7339130434782611E-3</v>
      </c>
      <c r="V115" s="146">
        <v>9.7725037949132794E-3</v>
      </c>
      <c r="W115" s="147">
        <v>2.0518112643155575E-3</v>
      </c>
      <c r="X115" s="177"/>
    </row>
    <row r="116" spans="1:24" x14ac:dyDescent="0.2">
      <c r="A116" s="142" t="s">
        <v>1205</v>
      </c>
      <c r="B116" s="143" t="s">
        <v>1205</v>
      </c>
      <c r="C116" s="143" t="s">
        <v>2876</v>
      </c>
      <c r="D116" s="143" t="s">
        <v>2873</v>
      </c>
      <c r="E116" s="143" t="s">
        <v>313</v>
      </c>
      <c r="F116" s="143" t="s">
        <v>2876</v>
      </c>
      <c r="G116" s="143" t="s">
        <v>2877</v>
      </c>
      <c r="H116" s="143" t="s">
        <v>321</v>
      </c>
      <c r="I116" s="143" t="s">
        <v>967</v>
      </c>
      <c r="J116" s="143" t="s">
        <v>205</v>
      </c>
      <c r="K116" s="143" t="s">
        <v>224</v>
      </c>
      <c r="L116" s="143" t="s">
        <v>380</v>
      </c>
      <c r="M116" s="143" t="s">
        <v>677</v>
      </c>
      <c r="N116" s="143" t="s">
        <v>339</v>
      </c>
      <c r="O116" s="143" t="s">
        <v>1211</v>
      </c>
      <c r="P116" s="144">
        <v>15626</v>
      </c>
      <c r="Q116" s="143" t="s">
        <v>1212</v>
      </c>
      <c r="R116" s="143" t="s">
        <v>2878</v>
      </c>
      <c r="S116" s="144" t="s">
        <v>3928</v>
      </c>
      <c r="T116" s="144">
        <v>1263.7996000000001</v>
      </c>
      <c r="U116" s="146">
        <v>2.790357142857143E-3</v>
      </c>
      <c r="V116" s="146">
        <v>8.7321399703846163E-3</v>
      </c>
      <c r="W116" s="147">
        <v>1.8333789915887433E-3</v>
      </c>
      <c r="X116" s="177"/>
    </row>
    <row r="117" spans="1:24" ht="15" x14ac:dyDescent="0.2">
      <c r="A117" s="142" t="s">
        <v>1220</v>
      </c>
      <c r="B117" s="143" t="s">
        <v>1221</v>
      </c>
      <c r="C117" s="143" t="s">
        <v>2653</v>
      </c>
      <c r="D117" s="143" t="s">
        <v>2654</v>
      </c>
      <c r="E117" s="143" t="s">
        <v>309</v>
      </c>
      <c r="F117" s="143" t="s">
        <v>2655</v>
      </c>
      <c r="G117" s="143" t="s">
        <v>2656</v>
      </c>
      <c r="H117" s="143" t="s">
        <v>321</v>
      </c>
      <c r="I117" s="143" t="s">
        <v>964</v>
      </c>
      <c r="J117" s="143" t="s">
        <v>204</v>
      </c>
      <c r="K117" s="143" t="s">
        <v>204</v>
      </c>
      <c r="L117" s="143" t="s">
        <v>340</v>
      </c>
      <c r="M117" s="143" t="s">
        <v>572</v>
      </c>
      <c r="N117" s="143" t="s">
        <v>339</v>
      </c>
      <c r="O117" s="143" t="s">
        <v>1210</v>
      </c>
      <c r="P117" s="144">
        <v>76284</v>
      </c>
      <c r="Q117" s="145" t="s">
        <v>3930</v>
      </c>
      <c r="R117" s="143" t="s">
        <v>2657</v>
      </c>
      <c r="S117" s="144" t="s">
        <v>3928</v>
      </c>
      <c r="T117" s="144">
        <v>15798.4164</v>
      </c>
      <c r="U117" s="146">
        <v>3.6325714285714288E-2</v>
      </c>
      <c r="V117" s="146">
        <v>8.4793105833031887E-2</v>
      </c>
      <c r="W117" s="147">
        <v>5.2307253229007734E-2</v>
      </c>
      <c r="X117" s="177"/>
    </row>
    <row r="118" spans="1:24" ht="15" x14ac:dyDescent="0.2">
      <c r="A118" s="142" t="s">
        <v>1220</v>
      </c>
      <c r="B118" s="143" t="s">
        <v>1221</v>
      </c>
      <c r="C118" s="143" t="s">
        <v>2658</v>
      </c>
      <c r="D118" s="143" t="s">
        <v>2659</v>
      </c>
      <c r="E118" s="143" t="s">
        <v>309</v>
      </c>
      <c r="F118" s="143" t="s">
        <v>2660</v>
      </c>
      <c r="G118" s="143" t="s">
        <v>2661</v>
      </c>
      <c r="H118" s="143" t="s">
        <v>321</v>
      </c>
      <c r="I118" s="143" t="s">
        <v>964</v>
      </c>
      <c r="J118" s="143" t="s">
        <v>204</v>
      </c>
      <c r="K118" s="143" t="s">
        <v>204</v>
      </c>
      <c r="L118" s="143" t="s">
        <v>340</v>
      </c>
      <c r="M118" s="143" t="s">
        <v>572</v>
      </c>
      <c r="N118" s="143" t="s">
        <v>339</v>
      </c>
      <c r="O118" s="143" t="s">
        <v>1210</v>
      </c>
      <c r="P118" s="144">
        <v>752355</v>
      </c>
      <c r="Q118" s="145" t="s">
        <v>3930</v>
      </c>
      <c r="R118" s="143" t="s">
        <v>2662</v>
      </c>
      <c r="S118" s="144" t="s">
        <v>3928</v>
      </c>
      <c r="T118" s="144">
        <v>15536.130800000001</v>
      </c>
      <c r="U118" s="146">
        <v>3.959763157894737E-2</v>
      </c>
      <c r="V118" s="146">
        <v>8.3385368860170755E-2</v>
      </c>
      <c r="W118" s="147">
        <v>5.1438847082117919E-2</v>
      </c>
      <c r="X118" s="177"/>
    </row>
    <row r="119" spans="1:24" ht="15" x14ac:dyDescent="0.2">
      <c r="A119" s="142" t="s">
        <v>1220</v>
      </c>
      <c r="B119" s="143" t="s">
        <v>1221</v>
      </c>
      <c r="C119" s="143" t="s">
        <v>2668</v>
      </c>
      <c r="D119" s="143" t="s">
        <v>2669</v>
      </c>
      <c r="E119" s="143" t="s">
        <v>309</v>
      </c>
      <c r="F119" s="143" t="s">
        <v>2670</v>
      </c>
      <c r="G119" s="143" t="s">
        <v>2671</v>
      </c>
      <c r="H119" s="143" t="s">
        <v>321</v>
      </c>
      <c r="I119" s="143" t="s">
        <v>964</v>
      </c>
      <c r="J119" s="143" t="s">
        <v>204</v>
      </c>
      <c r="K119" s="143" t="s">
        <v>204</v>
      </c>
      <c r="L119" s="143" t="s">
        <v>340</v>
      </c>
      <c r="M119" s="143" t="s">
        <v>572</v>
      </c>
      <c r="N119" s="143" t="s">
        <v>339</v>
      </c>
      <c r="O119" s="143" t="s">
        <v>1210</v>
      </c>
      <c r="P119" s="144">
        <v>56222</v>
      </c>
      <c r="Q119" s="145" t="s">
        <v>3930</v>
      </c>
      <c r="R119" s="143" t="s">
        <v>2672</v>
      </c>
      <c r="S119" s="144" t="s">
        <v>3928</v>
      </c>
      <c r="T119" s="144">
        <v>1823.2795000000001</v>
      </c>
      <c r="U119" s="146">
        <v>6.2468888888888886E-3</v>
      </c>
      <c r="V119" s="146">
        <v>9.7858876675116137E-3</v>
      </c>
      <c r="W119" s="147">
        <v>6.0367278597283002E-3</v>
      </c>
      <c r="X119" s="177"/>
    </row>
    <row r="120" spans="1:24" ht="15" x14ac:dyDescent="0.2">
      <c r="A120" s="142" t="s">
        <v>1220</v>
      </c>
      <c r="B120" s="143" t="s">
        <v>1221</v>
      </c>
      <c r="C120" s="143" t="s">
        <v>2653</v>
      </c>
      <c r="D120" s="143" t="s">
        <v>2654</v>
      </c>
      <c r="E120" s="143" t="s">
        <v>309</v>
      </c>
      <c r="F120" s="143" t="s">
        <v>2964</v>
      </c>
      <c r="G120" s="143" t="s">
        <v>2965</v>
      </c>
      <c r="H120" s="143" t="s">
        <v>321</v>
      </c>
      <c r="I120" s="143" t="s">
        <v>965</v>
      </c>
      <c r="J120" s="143" t="s">
        <v>204</v>
      </c>
      <c r="K120" s="143" t="s">
        <v>224</v>
      </c>
      <c r="L120" s="143" t="s">
        <v>340</v>
      </c>
      <c r="M120" s="143" t="s">
        <v>611</v>
      </c>
      <c r="N120" s="143" t="s">
        <v>339</v>
      </c>
      <c r="O120" s="143" t="s">
        <v>1210</v>
      </c>
      <c r="P120" s="144">
        <v>46487</v>
      </c>
      <c r="Q120" s="145" t="s">
        <v>3930</v>
      </c>
      <c r="R120" s="143" t="s">
        <v>2966</v>
      </c>
      <c r="S120" s="144" t="s">
        <v>3928</v>
      </c>
      <c r="T120" s="144">
        <v>4081.0937000000004</v>
      </c>
      <c r="U120" s="146">
        <v>2.7056729324682382E-3</v>
      </c>
      <c r="V120" s="146">
        <v>2.1904006313089256E-2</v>
      </c>
      <c r="W120" s="147">
        <v>1.351216462343819E-2</v>
      </c>
      <c r="X120" s="177"/>
    </row>
    <row r="121" spans="1:24" ht="15" x14ac:dyDescent="0.2">
      <c r="A121" s="142" t="s">
        <v>1220</v>
      </c>
      <c r="B121" s="143" t="s">
        <v>1221</v>
      </c>
      <c r="C121" s="143" t="s">
        <v>2653</v>
      </c>
      <c r="D121" s="143" t="s">
        <v>2654</v>
      </c>
      <c r="E121" s="143" t="s">
        <v>309</v>
      </c>
      <c r="F121" s="143" t="s">
        <v>2679</v>
      </c>
      <c r="G121" s="143" t="s">
        <v>2680</v>
      </c>
      <c r="H121" s="143" t="s">
        <v>321</v>
      </c>
      <c r="I121" s="143" t="s">
        <v>965</v>
      </c>
      <c r="J121" s="143" t="s">
        <v>204</v>
      </c>
      <c r="K121" s="143" t="s">
        <v>224</v>
      </c>
      <c r="L121" s="143" t="s">
        <v>340</v>
      </c>
      <c r="M121" s="143" t="s">
        <v>595</v>
      </c>
      <c r="N121" s="143" t="s">
        <v>339</v>
      </c>
      <c r="O121" s="143" t="s">
        <v>1210</v>
      </c>
      <c r="P121" s="144">
        <v>244820</v>
      </c>
      <c r="Q121" s="145" t="s">
        <v>3930</v>
      </c>
      <c r="R121" s="143" t="s">
        <v>2681</v>
      </c>
      <c r="S121" s="144" t="s">
        <v>3928</v>
      </c>
      <c r="T121" s="144">
        <v>3684.5410000000002</v>
      </c>
      <c r="U121" s="146">
        <v>3.6211162817912992E-3</v>
      </c>
      <c r="V121" s="146">
        <v>1.9775632382948528E-2</v>
      </c>
      <c r="W121" s="147">
        <v>1.219921125256968E-2</v>
      </c>
      <c r="X121" s="177"/>
    </row>
    <row r="122" spans="1:24" ht="15" x14ac:dyDescent="0.2">
      <c r="A122" s="142" t="s">
        <v>1220</v>
      </c>
      <c r="B122" s="143" t="s">
        <v>1221</v>
      </c>
      <c r="C122" s="143" t="s">
        <v>2658</v>
      </c>
      <c r="D122" s="143" t="s">
        <v>2659</v>
      </c>
      <c r="E122" s="143" t="s">
        <v>309</v>
      </c>
      <c r="F122" s="143" t="s">
        <v>2682</v>
      </c>
      <c r="G122" s="143" t="s">
        <v>2683</v>
      </c>
      <c r="H122" s="143" t="s">
        <v>321</v>
      </c>
      <c r="I122" s="143" t="s">
        <v>965</v>
      </c>
      <c r="J122" s="143" t="s">
        <v>204</v>
      </c>
      <c r="K122" s="143" t="s">
        <v>224</v>
      </c>
      <c r="L122" s="143" t="s">
        <v>340</v>
      </c>
      <c r="M122" s="143" t="s">
        <v>597</v>
      </c>
      <c r="N122" s="143" t="s">
        <v>339</v>
      </c>
      <c r="O122" s="143" t="s">
        <v>1210</v>
      </c>
      <c r="P122" s="144">
        <v>39722</v>
      </c>
      <c r="Q122" s="145" t="s">
        <v>3930</v>
      </c>
      <c r="R122" s="143" t="s">
        <v>2684</v>
      </c>
      <c r="S122" s="144" t="s">
        <v>3928</v>
      </c>
      <c r="T122" s="144">
        <v>3124.1352999999999</v>
      </c>
      <c r="U122" s="146">
        <v>4.0043501666615943E-4</v>
      </c>
      <c r="V122" s="146">
        <v>1.6767828396370841E-2</v>
      </c>
      <c r="W122" s="147">
        <v>1.0343754216959496E-2</v>
      </c>
      <c r="X122" s="177"/>
    </row>
    <row r="123" spans="1:24" ht="15" x14ac:dyDescent="0.2">
      <c r="A123" s="142" t="s">
        <v>1220</v>
      </c>
      <c r="B123" s="143" t="s">
        <v>1221</v>
      </c>
      <c r="C123" s="143" t="s">
        <v>2658</v>
      </c>
      <c r="D123" s="143" t="s">
        <v>2659</v>
      </c>
      <c r="E123" s="143" t="s">
        <v>309</v>
      </c>
      <c r="F123" s="143" t="s">
        <v>2673</v>
      </c>
      <c r="G123" s="143" t="s">
        <v>2674</v>
      </c>
      <c r="H123" s="143" t="s">
        <v>321</v>
      </c>
      <c r="I123" s="143" t="s">
        <v>965</v>
      </c>
      <c r="J123" s="143" t="s">
        <v>204</v>
      </c>
      <c r="K123" s="143" t="s">
        <v>224</v>
      </c>
      <c r="L123" s="143" t="s">
        <v>340</v>
      </c>
      <c r="M123" s="143" t="s">
        <v>604</v>
      </c>
      <c r="N123" s="143" t="s">
        <v>339</v>
      </c>
      <c r="O123" s="143" t="s">
        <v>1210</v>
      </c>
      <c r="P123" s="144">
        <v>94537</v>
      </c>
      <c r="Q123" s="145" t="s">
        <v>3930</v>
      </c>
      <c r="R123" s="143" t="s">
        <v>2675</v>
      </c>
      <c r="S123" s="144" t="s">
        <v>3928</v>
      </c>
      <c r="T123" s="144">
        <v>2335.0639000000001</v>
      </c>
      <c r="U123" s="146">
        <v>2.4957777869303682E-4</v>
      </c>
      <c r="V123" s="146">
        <v>1.2532732103427289E-2</v>
      </c>
      <c r="W123" s="147">
        <v>7.7312039150464725E-3</v>
      </c>
      <c r="X123" s="177"/>
    </row>
    <row r="124" spans="1:24" ht="15" x14ac:dyDescent="0.2">
      <c r="A124" s="142" t="s">
        <v>1220</v>
      </c>
      <c r="B124" s="143" t="s">
        <v>1221</v>
      </c>
      <c r="C124" s="143" t="s">
        <v>2653</v>
      </c>
      <c r="D124" s="143" t="s">
        <v>2654</v>
      </c>
      <c r="E124" s="143" t="s">
        <v>309</v>
      </c>
      <c r="F124" s="143" t="s">
        <v>2967</v>
      </c>
      <c r="G124" s="143" t="s">
        <v>2968</v>
      </c>
      <c r="H124" s="143" t="s">
        <v>321</v>
      </c>
      <c r="I124" s="143" t="s">
        <v>965</v>
      </c>
      <c r="J124" s="143" t="s">
        <v>204</v>
      </c>
      <c r="K124" s="143" t="s">
        <v>224</v>
      </c>
      <c r="L124" s="143" t="s">
        <v>340</v>
      </c>
      <c r="M124" s="143" t="s">
        <v>708</v>
      </c>
      <c r="N124" s="143" t="s">
        <v>339</v>
      </c>
      <c r="O124" s="143" t="s">
        <v>1210</v>
      </c>
      <c r="P124" s="144">
        <v>31260</v>
      </c>
      <c r="Q124" s="145" t="s">
        <v>3930</v>
      </c>
      <c r="R124" s="143" t="s">
        <v>2969</v>
      </c>
      <c r="S124" s="144" t="s">
        <v>3928</v>
      </c>
      <c r="T124" s="144">
        <v>1145.3663999999999</v>
      </c>
      <c r="U124" s="146">
        <v>1.1962544149192748E-3</v>
      </c>
      <c r="V124" s="146">
        <v>6.1473993287579588E-3</v>
      </c>
      <c r="W124" s="147">
        <v>3.7922136502742745E-3</v>
      </c>
      <c r="X124" s="177"/>
    </row>
    <row r="125" spans="1:24" ht="15" x14ac:dyDescent="0.2">
      <c r="A125" s="142" t="s">
        <v>1220</v>
      </c>
      <c r="B125" s="143" t="s">
        <v>1221</v>
      </c>
      <c r="C125" s="143" t="s">
        <v>2653</v>
      </c>
      <c r="D125" s="143" t="s">
        <v>2654</v>
      </c>
      <c r="E125" s="143" t="s">
        <v>309</v>
      </c>
      <c r="F125" s="143" t="s">
        <v>2970</v>
      </c>
      <c r="G125" s="143" t="s">
        <v>2971</v>
      </c>
      <c r="H125" s="143" t="s">
        <v>321</v>
      </c>
      <c r="I125" s="143" t="s">
        <v>965</v>
      </c>
      <c r="J125" s="143" t="s">
        <v>204</v>
      </c>
      <c r="K125" s="143" t="s">
        <v>238</v>
      </c>
      <c r="L125" s="143" t="s">
        <v>340</v>
      </c>
      <c r="M125" s="143" t="s">
        <v>581</v>
      </c>
      <c r="N125" s="143" t="s">
        <v>339</v>
      </c>
      <c r="O125" s="143" t="s">
        <v>1210</v>
      </c>
      <c r="P125" s="144">
        <v>4764</v>
      </c>
      <c r="Q125" s="145" t="s">
        <v>3930</v>
      </c>
      <c r="R125" s="143" t="s">
        <v>2972</v>
      </c>
      <c r="S125" s="144" t="s">
        <v>3928</v>
      </c>
      <c r="T125" s="144">
        <v>333.05119999999999</v>
      </c>
      <c r="U125" s="146">
        <v>3.3739039858029748E-4</v>
      </c>
      <c r="V125" s="146">
        <v>1.7875493547025701E-3</v>
      </c>
      <c r="W125" s="147">
        <v>1.1027051767615792E-3</v>
      </c>
      <c r="X125" s="177"/>
    </row>
    <row r="126" spans="1:24" ht="15" x14ac:dyDescent="0.2">
      <c r="A126" s="142" t="s">
        <v>1220</v>
      </c>
      <c r="B126" s="143" t="s">
        <v>1221</v>
      </c>
      <c r="C126" s="143" t="s">
        <v>2653</v>
      </c>
      <c r="D126" s="143" t="s">
        <v>2654</v>
      </c>
      <c r="E126" s="143" t="s">
        <v>309</v>
      </c>
      <c r="F126" s="143" t="s">
        <v>2973</v>
      </c>
      <c r="G126" s="143" t="s">
        <v>2974</v>
      </c>
      <c r="H126" s="143" t="s">
        <v>321</v>
      </c>
      <c r="I126" s="143" t="s">
        <v>965</v>
      </c>
      <c r="J126" s="143" t="s">
        <v>204</v>
      </c>
      <c r="K126" s="143" t="s">
        <v>232</v>
      </c>
      <c r="L126" s="143" t="s">
        <v>340</v>
      </c>
      <c r="M126" s="143" t="s">
        <v>591</v>
      </c>
      <c r="N126" s="143" t="s">
        <v>339</v>
      </c>
      <c r="O126" s="143" t="s">
        <v>1210</v>
      </c>
      <c r="P126" s="144">
        <v>2831</v>
      </c>
      <c r="Q126" s="145" t="s">
        <v>3930</v>
      </c>
      <c r="R126" s="143" t="s">
        <v>2975</v>
      </c>
      <c r="S126" s="144" t="s">
        <v>3928</v>
      </c>
      <c r="T126" s="144">
        <v>218.60979999999998</v>
      </c>
      <c r="U126" s="146">
        <v>3.7359985831974287E-4</v>
      </c>
      <c r="V126" s="146">
        <v>1.1733204856785551E-3</v>
      </c>
      <c r="W126" s="147">
        <v>7.2379907729788664E-4</v>
      </c>
      <c r="X126" s="177"/>
    </row>
    <row r="127" spans="1:24" x14ac:dyDescent="0.2">
      <c r="A127" s="142" t="s">
        <v>1220</v>
      </c>
      <c r="B127" s="143" t="s">
        <v>1221</v>
      </c>
      <c r="C127" s="143" t="s">
        <v>2685</v>
      </c>
      <c r="D127" s="143" t="s">
        <v>2686</v>
      </c>
      <c r="E127" s="143" t="s">
        <v>313</v>
      </c>
      <c r="F127" s="143" t="s">
        <v>2687</v>
      </c>
      <c r="G127" s="143" t="s">
        <v>2688</v>
      </c>
      <c r="H127" s="143" t="s">
        <v>321</v>
      </c>
      <c r="I127" s="143" t="s">
        <v>965</v>
      </c>
      <c r="J127" s="143" t="s">
        <v>205</v>
      </c>
      <c r="K127" s="143" t="s">
        <v>224</v>
      </c>
      <c r="L127" s="143" t="s">
        <v>344</v>
      </c>
      <c r="M127" s="143" t="s">
        <v>604</v>
      </c>
      <c r="N127" s="143" t="s">
        <v>339</v>
      </c>
      <c r="O127" s="143" t="s">
        <v>1211</v>
      </c>
      <c r="P127" s="144">
        <v>10003</v>
      </c>
      <c r="Q127" s="143" t="s">
        <v>1212</v>
      </c>
      <c r="R127" s="143" t="s">
        <v>2689</v>
      </c>
      <c r="S127" s="144">
        <v>17.460549999999998</v>
      </c>
      <c r="T127" s="144">
        <v>21357.660600000003</v>
      </c>
      <c r="U127" s="146">
        <v>1.0608400181561343E-5</v>
      </c>
      <c r="V127" s="146">
        <v>0.11472434091296277</v>
      </c>
      <c r="W127" s="147">
        <v>7.0771262506670068E-2</v>
      </c>
      <c r="X127" s="177"/>
    </row>
    <row r="128" spans="1:24" x14ac:dyDescent="0.2">
      <c r="A128" s="142" t="s">
        <v>1220</v>
      </c>
      <c r="B128" s="143" t="s">
        <v>1221</v>
      </c>
      <c r="C128" s="143" t="s">
        <v>2690</v>
      </c>
      <c r="D128" s="143" t="s">
        <v>2691</v>
      </c>
      <c r="E128" s="143" t="s">
        <v>313</v>
      </c>
      <c r="F128" s="143" t="s">
        <v>2692</v>
      </c>
      <c r="G128" s="143" t="s">
        <v>2693</v>
      </c>
      <c r="H128" s="143" t="s">
        <v>321</v>
      </c>
      <c r="I128" s="143" t="s">
        <v>965</v>
      </c>
      <c r="J128" s="143" t="s">
        <v>205</v>
      </c>
      <c r="K128" s="143" t="s">
        <v>224</v>
      </c>
      <c r="L128" s="143" t="s">
        <v>344</v>
      </c>
      <c r="M128" s="143" t="s">
        <v>597</v>
      </c>
      <c r="N128" s="143" t="s">
        <v>339</v>
      </c>
      <c r="O128" s="143" t="s">
        <v>1211</v>
      </c>
      <c r="P128" s="144">
        <v>6008</v>
      </c>
      <c r="Q128" s="143" t="s">
        <v>1212</v>
      </c>
      <c r="R128" s="143" t="s">
        <v>2694</v>
      </c>
      <c r="S128" s="144">
        <v>4.0665700000000005</v>
      </c>
      <c r="T128" s="144">
        <v>10894.0111</v>
      </c>
      <c r="U128" s="146">
        <v>1.1118719348570371E-5</v>
      </c>
      <c r="V128" s="146">
        <v>5.8492055735156125E-2</v>
      </c>
      <c r="W128" s="147">
        <v>3.6082635978079342E-2</v>
      </c>
      <c r="X128" s="177"/>
    </row>
    <row r="129" spans="1:24" x14ac:dyDescent="0.2">
      <c r="A129" s="142" t="s">
        <v>1220</v>
      </c>
      <c r="B129" s="143" t="s">
        <v>1221</v>
      </c>
      <c r="C129" s="143" t="s">
        <v>2713</v>
      </c>
      <c r="D129" s="143" t="s">
        <v>2714</v>
      </c>
      <c r="E129" s="143" t="s">
        <v>313</v>
      </c>
      <c r="F129" s="143" t="s">
        <v>2713</v>
      </c>
      <c r="G129" s="143" t="s">
        <v>2715</v>
      </c>
      <c r="H129" s="143" t="s">
        <v>321</v>
      </c>
      <c r="I129" s="143" t="s">
        <v>965</v>
      </c>
      <c r="J129" s="143" t="s">
        <v>205</v>
      </c>
      <c r="K129" s="143" t="s">
        <v>224</v>
      </c>
      <c r="L129" s="143" t="s">
        <v>344</v>
      </c>
      <c r="M129" s="143" t="s">
        <v>604</v>
      </c>
      <c r="N129" s="143" t="s">
        <v>339</v>
      </c>
      <c r="O129" s="143" t="s">
        <v>1211</v>
      </c>
      <c r="P129" s="144">
        <v>4770</v>
      </c>
      <c r="Q129" s="143" t="s">
        <v>1212</v>
      </c>
      <c r="R129" s="143" t="s">
        <v>2716</v>
      </c>
      <c r="S129" s="144">
        <v>7.8161199999999997</v>
      </c>
      <c r="T129" s="144">
        <v>9367.0154999999995</v>
      </c>
      <c r="U129" s="146">
        <v>6.3900417161213916E-6</v>
      </c>
      <c r="V129" s="146">
        <v>5.0316504458618634E-2</v>
      </c>
      <c r="W129" s="147">
        <v>3.1039293990457597E-2</v>
      </c>
      <c r="X129" s="177"/>
    </row>
    <row r="130" spans="1:24" x14ac:dyDescent="0.2">
      <c r="A130" s="142" t="s">
        <v>1220</v>
      </c>
      <c r="B130" s="143" t="s">
        <v>1221</v>
      </c>
      <c r="C130" s="143" t="s">
        <v>2695</v>
      </c>
      <c r="D130" s="143" t="s">
        <v>2696</v>
      </c>
      <c r="E130" s="143" t="s">
        <v>313</v>
      </c>
      <c r="F130" s="143" t="s">
        <v>2695</v>
      </c>
      <c r="G130" s="143" t="s">
        <v>2697</v>
      </c>
      <c r="H130" s="143" t="s">
        <v>321</v>
      </c>
      <c r="I130" s="143" t="s">
        <v>965</v>
      </c>
      <c r="J130" s="143" t="s">
        <v>205</v>
      </c>
      <c r="K130" s="143" t="s">
        <v>224</v>
      </c>
      <c r="L130" s="143" t="s">
        <v>344</v>
      </c>
      <c r="M130" s="143" t="s">
        <v>586</v>
      </c>
      <c r="N130" s="143" t="s">
        <v>339</v>
      </c>
      <c r="O130" s="143" t="s">
        <v>1211</v>
      </c>
      <c r="P130" s="144">
        <v>39416</v>
      </c>
      <c r="Q130" s="143" t="s">
        <v>1212</v>
      </c>
      <c r="R130" s="143" t="s">
        <v>2698</v>
      </c>
      <c r="S130" s="144" t="s">
        <v>3928</v>
      </c>
      <c r="T130" s="144">
        <v>6627.2959000000001</v>
      </c>
      <c r="U130" s="146">
        <v>4.2527067632667812E-5</v>
      </c>
      <c r="V130" s="146">
        <v>3.5569957539076463E-2</v>
      </c>
      <c r="W130" s="147">
        <v>2.1942429848072927E-2</v>
      </c>
      <c r="X130" s="177"/>
    </row>
    <row r="131" spans="1:24" x14ac:dyDescent="0.2">
      <c r="A131" s="142" t="s">
        <v>1220</v>
      </c>
      <c r="B131" s="143" t="s">
        <v>1221</v>
      </c>
      <c r="C131" s="143" t="s">
        <v>2708</v>
      </c>
      <c r="D131" s="143" t="s">
        <v>2709</v>
      </c>
      <c r="E131" s="143" t="s">
        <v>313</v>
      </c>
      <c r="F131" s="143" t="s">
        <v>2710</v>
      </c>
      <c r="G131" s="143" t="s">
        <v>2711</v>
      </c>
      <c r="H131" s="143" t="s">
        <v>321</v>
      </c>
      <c r="I131" s="143" t="s">
        <v>965</v>
      </c>
      <c r="J131" s="143" t="s">
        <v>205</v>
      </c>
      <c r="K131" s="143" t="s">
        <v>224</v>
      </c>
      <c r="L131" s="143" t="s">
        <v>344</v>
      </c>
      <c r="M131" s="143" t="s">
        <v>604</v>
      </c>
      <c r="N131" s="143" t="s">
        <v>339</v>
      </c>
      <c r="O131" s="143" t="s">
        <v>1211</v>
      </c>
      <c r="P131" s="144">
        <v>6362</v>
      </c>
      <c r="Q131" s="143" t="s">
        <v>1212</v>
      </c>
      <c r="R131" s="143" t="s">
        <v>2712</v>
      </c>
      <c r="S131" s="144" t="s">
        <v>3928</v>
      </c>
      <c r="T131" s="144">
        <v>4228.7170999999998</v>
      </c>
      <c r="U131" s="146">
        <v>2.7625676855136718E-5</v>
      </c>
      <c r="V131" s="146">
        <v>2.2696328821784021E-2</v>
      </c>
      <c r="W131" s="147">
        <v>1.4000933299784926E-2</v>
      </c>
      <c r="X131" s="177"/>
    </row>
    <row r="132" spans="1:24" x14ac:dyDescent="0.2">
      <c r="A132" s="142" t="s">
        <v>1220</v>
      </c>
      <c r="B132" s="143" t="s">
        <v>1221</v>
      </c>
      <c r="C132" s="143" t="s">
        <v>2699</v>
      </c>
      <c r="D132" s="143" t="s">
        <v>2700</v>
      </c>
      <c r="E132" s="143" t="s">
        <v>313</v>
      </c>
      <c r="F132" s="143" t="s">
        <v>2699</v>
      </c>
      <c r="G132" s="143" t="s">
        <v>2701</v>
      </c>
      <c r="H132" s="143" t="s">
        <v>321</v>
      </c>
      <c r="I132" s="143" t="s">
        <v>965</v>
      </c>
      <c r="J132" s="143" t="s">
        <v>205</v>
      </c>
      <c r="K132" s="143" t="s">
        <v>268</v>
      </c>
      <c r="L132" s="143" t="s">
        <v>344</v>
      </c>
      <c r="M132" s="143" t="s">
        <v>707</v>
      </c>
      <c r="N132" s="143" t="s">
        <v>339</v>
      </c>
      <c r="O132" s="143" t="s">
        <v>1211</v>
      </c>
      <c r="P132" s="144">
        <v>12675</v>
      </c>
      <c r="Q132" s="143" t="s">
        <v>1212</v>
      </c>
      <c r="R132" s="143" t="s">
        <v>2702</v>
      </c>
      <c r="S132" s="144" t="s">
        <v>3928</v>
      </c>
      <c r="T132" s="144">
        <v>3689.0524</v>
      </c>
      <c r="U132" s="146">
        <v>2.2796762589928057E-4</v>
      </c>
      <c r="V132" s="146">
        <v>1.9799845991951073E-2</v>
      </c>
      <c r="W132" s="147">
        <v>1.2214148167136511E-2</v>
      </c>
      <c r="X132" s="177"/>
    </row>
    <row r="133" spans="1:24" x14ac:dyDescent="0.2">
      <c r="A133" s="142" t="s">
        <v>1220</v>
      </c>
      <c r="B133" s="143" t="s">
        <v>1221</v>
      </c>
      <c r="C133" s="143" t="s">
        <v>2703</v>
      </c>
      <c r="D133" s="143" t="s">
        <v>2704</v>
      </c>
      <c r="E133" s="143" t="s">
        <v>313</v>
      </c>
      <c r="F133" s="143" t="s">
        <v>2705</v>
      </c>
      <c r="G133" s="143" t="s">
        <v>2706</v>
      </c>
      <c r="H133" s="143" t="s">
        <v>321</v>
      </c>
      <c r="I133" s="143" t="s">
        <v>965</v>
      </c>
      <c r="J133" s="143" t="s">
        <v>205</v>
      </c>
      <c r="K133" s="143" t="s">
        <v>224</v>
      </c>
      <c r="L133" s="143" t="s">
        <v>344</v>
      </c>
      <c r="M133" s="143" t="s">
        <v>583</v>
      </c>
      <c r="N133" s="143" t="s">
        <v>339</v>
      </c>
      <c r="O133" s="143" t="s">
        <v>1211</v>
      </c>
      <c r="P133" s="144">
        <v>5750</v>
      </c>
      <c r="Q133" s="143" t="s">
        <v>1212</v>
      </c>
      <c r="R133" s="143" t="s">
        <v>2707</v>
      </c>
      <c r="S133" s="144" t="s">
        <v>3928</v>
      </c>
      <c r="T133" s="144">
        <v>2889.2737999999999</v>
      </c>
      <c r="U133" s="146">
        <v>4.1779896240535943E-5</v>
      </c>
      <c r="V133" s="146">
        <v>1.5507282052902858E-2</v>
      </c>
      <c r="W133" s="147">
        <v>9.566147168050175E-3</v>
      </c>
      <c r="X133" s="177"/>
    </row>
    <row r="134" spans="1:24" x14ac:dyDescent="0.2">
      <c r="A134" s="142" t="s">
        <v>1220</v>
      </c>
      <c r="B134" s="143" t="s">
        <v>1221</v>
      </c>
      <c r="C134" s="143" t="s">
        <v>2722</v>
      </c>
      <c r="D134" s="143" t="s">
        <v>2723</v>
      </c>
      <c r="E134" s="143" t="s">
        <v>313</v>
      </c>
      <c r="F134" s="143" t="s">
        <v>2722</v>
      </c>
      <c r="G134" s="143" t="s">
        <v>2724</v>
      </c>
      <c r="H134" s="143" t="s">
        <v>321</v>
      </c>
      <c r="I134" s="143" t="s">
        <v>965</v>
      </c>
      <c r="J134" s="143" t="s">
        <v>205</v>
      </c>
      <c r="K134" s="143" t="s">
        <v>224</v>
      </c>
      <c r="L134" s="143" t="s">
        <v>344</v>
      </c>
      <c r="M134" s="143" t="s">
        <v>611</v>
      </c>
      <c r="N134" s="143" t="s">
        <v>339</v>
      </c>
      <c r="O134" s="143" t="s">
        <v>1211</v>
      </c>
      <c r="P134" s="144">
        <v>3420</v>
      </c>
      <c r="Q134" s="143" t="s">
        <v>1212</v>
      </c>
      <c r="R134" s="143" t="s">
        <v>2725</v>
      </c>
      <c r="S134" s="144" t="s">
        <v>3928</v>
      </c>
      <c r="T134" s="144">
        <v>2864.4879999999998</v>
      </c>
      <c r="U134" s="146">
        <v>1.1200041918285542E-5</v>
      </c>
      <c r="V134" s="146">
        <v>1.537425212154993E-2</v>
      </c>
      <c r="W134" s="147">
        <v>9.484083535188122E-3</v>
      </c>
      <c r="X134" s="177"/>
    </row>
    <row r="135" spans="1:24" x14ac:dyDescent="0.2">
      <c r="A135" s="142" t="s">
        <v>1220</v>
      </c>
      <c r="B135" s="143" t="s">
        <v>1221</v>
      </c>
      <c r="C135" s="143" t="s">
        <v>2717</v>
      </c>
      <c r="D135" s="143" t="s">
        <v>2718</v>
      </c>
      <c r="E135" s="143" t="s">
        <v>313</v>
      </c>
      <c r="F135" s="143" t="s">
        <v>2719</v>
      </c>
      <c r="G135" s="143" t="s">
        <v>2720</v>
      </c>
      <c r="H135" s="143" t="s">
        <v>321</v>
      </c>
      <c r="I135" s="143" t="s">
        <v>965</v>
      </c>
      <c r="J135" s="143" t="s">
        <v>205</v>
      </c>
      <c r="K135" s="143" t="s">
        <v>238</v>
      </c>
      <c r="L135" s="143" t="s">
        <v>368</v>
      </c>
      <c r="M135" s="143" t="s">
        <v>581</v>
      </c>
      <c r="N135" s="143" t="s">
        <v>339</v>
      </c>
      <c r="O135" s="143" t="s">
        <v>1218</v>
      </c>
      <c r="P135" s="144">
        <v>3368</v>
      </c>
      <c r="Q135" s="143" t="s">
        <v>1219</v>
      </c>
      <c r="R135" s="143" t="s">
        <v>2721</v>
      </c>
      <c r="S135" s="144" t="s">
        <v>3928</v>
      </c>
      <c r="T135" s="144">
        <v>2251.3508999999999</v>
      </c>
      <c r="U135" s="146">
        <v>7.6737297789929374E-5</v>
      </c>
      <c r="V135" s="146">
        <v>1.20834284532288E-2</v>
      </c>
      <c r="W135" s="147">
        <v>7.4540370442642192E-3</v>
      </c>
      <c r="X135" s="177"/>
    </row>
    <row r="136" spans="1:24" x14ac:dyDescent="0.2">
      <c r="A136" s="142" t="s">
        <v>1220</v>
      </c>
      <c r="B136" s="143" t="s">
        <v>1221</v>
      </c>
      <c r="C136" s="143" t="s">
        <v>2743</v>
      </c>
      <c r="D136" s="143" t="s">
        <v>2744</v>
      </c>
      <c r="E136" s="143" t="s">
        <v>313</v>
      </c>
      <c r="F136" s="143" t="s">
        <v>2743</v>
      </c>
      <c r="G136" s="143" t="s">
        <v>2745</v>
      </c>
      <c r="H136" s="143" t="s">
        <v>321</v>
      </c>
      <c r="I136" s="143" t="s">
        <v>965</v>
      </c>
      <c r="J136" s="143" t="s">
        <v>205</v>
      </c>
      <c r="K136" s="143" t="s">
        <v>253</v>
      </c>
      <c r="L136" s="143" t="s">
        <v>314</v>
      </c>
      <c r="M136" s="143" t="s">
        <v>610</v>
      </c>
      <c r="N136" s="143" t="s">
        <v>339</v>
      </c>
      <c r="O136" s="143" t="s">
        <v>1218</v>
      </c>
      <c r="P136" s="144">
        <v>1762</v>
      </c>
      <c r="Q136" s="143" t="s">
        <v>1219</v>
      </c>
      <c r="R136" s="143" t="s">
        <v>2746</v>
      </c>
      <c r="S136" s="144" t="s">
        <v>3928</v>
      </c>
      <c r="T136" s="144">
        <v>1782.7454</v>
      </c>
      <c r="U136" s="146">
        <v>1.7461103954018433E-4</v>
      </c>
      <c r="V136" s="146">
        <v>9.5683336972747519E-3</v>
      </c>
      <c r="W136" s="147">
        <v>5.90252295591733E-3</v>
      </c>
      <c r="X136" s="177"/>
    </row>
    <row r="137" spans="1:24" x14ac:dyDescent="0.2">
      <c r="A137" s="142" t="s">
        <v>1220</v>
      </c>
      <c r="B137" s="143" t="s">
        <v>1221</v>
      </c>
      <c r="C137" s="143" t="s">
        <v>2726</v>
      </c>
      <c r="D137" s="143" t="s">
        <v>2727</v>
      </c>
      <c r="E137" s="143" t="s">
        <v>313</v>
      </c>
      <c r="F137" s="143" t="s">
        <v>2726</v>
      </c>
      <c r="G137" s="143" t="s">
        <v>2728</v>
      </c>
      <c r="H137" s="143" t="s">
        <v>321</v>
      </c>
      <c r="I137" s="143" t="s">
        <v>965</v>
      </c>
      <c r="J137" s="143" t="s">
        <v>205</v>
      </c>
      <c r="K137" s="143" t="s">
        <v>268</v>
      </c>
      <c r="L137" s="143" t="s">
        <v>344</v>
      </c>
      <c r="M137" s="143" t="s">
        <v>588</v>
      </c>
      <c r="N137" s="143" t="s">
        <v>339</v>
      </c>
      <c r="O137" s="143" t="s">
        <v>1211</v>
      </c>
      <c r="P137" s="144">
        <v>13910</v>
      </c>
      <c r="Q137" s="143" t="s">
        <v>1212</v>
      </c>
      <c r="R137" s="143" t="s">
        <v>2729</v>
      </c>
      <c r="S137" s="144" t="s">
        <v>3928</v>
      </c>
      <c r="T137" s="144">
        <v>1755.6395</v>
      </c>
      <c r="U137" s="146">
        <v>6.4803167947822041E-5</v>
      </c>
      <c r="V137" s="146">
        <v>9.4228512544839299E-3</v>
      </c>
      <c r="W137" s="147">
        <v>5.8127776057420597E-3</v>
      </c>
      <c r="X137" s="177"/>
    </row>
    <row r="138" spans="1:24" x14ac:dyDescent="0.2">
      <c r="A138" s="142" t="s">
        <v>1220</v>
      </c>
      <c r="B138" s="143" t="s">
        <v>1221</v>
      </c>
      <c r="C138" s="143" t="s">
        <v>2765</v>
      </c>
      <c r="D138" s="143" t="s">
        <v>2766</v>
      </c>
      <c r="E138" s="143" t="s">
        <v>313</v>
      </c>
      <c r="F138" s="143" t="s">
        <v>2767</v>
      </c>
      <c r="G138" s="143" t="s">
        <v>2768</v>
      </c>
      <c r="H138" s="143" t="s">
        <v>321</v>
      </c>
      <c r="I138" s="143" t="s">
        <v>965</v>
      </c>
      <c r="J138" s="143" t="s">
        <v>205</v>
      </c>
      <c r="K138" s="143" t="s">
        <v>224</v>
      </c>
      <c r="L138" s="143" t="s">
        <v>344</v>
      </c>
      <c r="M138" s="143" t="s">
        <v>708</v>
      </c>
      <c r="N138" s="143" t="s">
        <v>339</v>
      </c>
      <c r="O138" s="143" t="s">
        <v>1211</v>
      </c>
      <c r="P138" s="144">
        <v>1105</v>
      </c>
      <c r="Q138" s="143" t="s">
        <v>1212</v>
      </c>
      <c r="R138" s="143" t="s">
        <v>2769</v>
      </c>
      <c r="S138" s="144">
        <v>1.3787700000000001</v>
      </c>
      <c r="T138" s="144">
        <v>1739.7168000000001</v>
      </c>
      <c r="U138" s="146">
        <v>1.2522239724397403E-5</v>
      </c>
      <c r="V138" s="146">
        <v>9.3447912732042889E-3</v>
      </c>
      <c r="W138" s="147">
        <v>5.7646238889070391E-3</v>
      </c>
      <c r="X138" s="177"/>
    </row>
    <row r="139" spans="1:24" x14ac:dyDescent="0.2">
      <c r="A139" s="142" t="s">
        <v>1220</v>
      </c>
      <c r="B139" s="143" t="s">
        <v>1221</v>
      </c>
      <c r="C139" s="143" t="s">
        <v>2739</v>
      </c>
      <c r="D139" s="143" t="s">
        <v>2740</v>
      </c>
      <c r="E139" s="143" t="s">
        <v>313</v>
      </c>
      <c r="F139" s="143" t="s">
        <v>2739</v>
      </c>
      <c r="G139" s="143" t="s">
        <v>2741</v>
      </c>
      <c r="H139" s="143" t="s">
        <v>321</v>
      </c>
      <c r="I139" s="143" t="s">
        <v>965</v>
      </c>
      <c r="J139" s="143" t="s">
        <v>205</v>
      </c>
      <c r="K139" s="143" t="s">
        <v>251</v>
      </c>
      <c r="L139" s="143" t="s">
        <v>344</v>
      </c>
      <c r="M139" s="143" t="s">
        <v>599</v>
      </c>
      <c r="N139" s="143" t="s">
        <v>339</v>
      </c>
      <c r="O139" s="143" t="s">
        <v>1211</v>
      </c>
      <c r="P139" s="144">
        <v>6086</v>
      </c>
      <c r="Q139" s="143" t="s">
        <v>1212</v>
      </c>
      <c r="R139" s="143" t="s">
        <v>2742</v>
      </c>
      <c r="S139" s="144" t="s">
        <v>3928</v>
      </c>
      <c r="T139" s="144">
        <v>1615.306</v>
      </c>
      <c r="U139" s="146">
        <v>3.5590643274853804E-5</v>
      </c>
      <c r="V139" s="146">
        <v>8.6696542936151224E-3</v>
      </c>
      <c r="W139" s="147">
        <v>5.3481447352223422E-3</v>
      </c>
      <c r="X139" s="177"/>
    </row>
    <row r="140" spans="1:24" x14ac:dyDescent="0.2">
      <c r="A140" s="142" t="s">
        <v>1220</v>
      </c>
      <c r="B140" s="143" t="s">
        <v>1221</v>
      </c>
      <c r="C140" s="143" t="s">
        <v>2734</v>
      </c>
      <c r="D140" s="143" t="s">
        <v>2735</v>
      </c>
      <c r="E140" s="143" t="s">
        <v>313</v>
      </c>
      <c r="F140" s="143" t="s">
        <v>2736</v>
      </c>
      <c r="G140" s="143" t="s">
        <v>2737</v>
      </c>
      <c r="H140" s="143" t="s">
        <v>321</v>
      </c>
      <c r="I140" s="143" t="s">
        <v>965</v>
      </c>
      <c r="J140" s="143" t="s">
        <v>205</v>
      </c>
      <c r="K140" s="143" t="s">
        <v>224</v>
      </c>
      <c r="L140" s="143" t="s">
        <v>344</v>
      </c>
      <c r="M140" s="143" t="s">
        <v>580</v>
      </c>
      <c r="N140" s="143" t="s">
        <v>339</v>
      </c>
      <c r="O140" s="143" t="s">
        <v>1211</v>
      </c>
      <c r="P140" s="144">
        <v>8325</v>
      </c>
      <c r="Q140" s="143" t="s">
        <v>1212</v>
      </c>
      <c r="R140" s="143" t="s">
        <v>2738</v>
      </c>
      <c r="S140" s="144" t="s">
        <v>3928</v>
      </c>
      <c r="T140" s="144">
        <v>1558.498</v>
      </c>
      <c r="U140" s="146">
        <v>3.6513157894736844E-4</v>
      </c>
      <c r="V140" s="146">
        <v>8.3647597928434674E-3</v>
      </c>
      <c r="W140" s="147">
        <v>5.1600611203657431E-3</v>
      </c>
      <c r="X140" s="177"/>
    </row>
    <row r="141" spans="1:24" x14ac:dyDescent="0.2">
      <c r="A141" s="142" t="s">
        <v>1220</v>
      </c>
      <c r="B141" s="143" t="s">
        <v>1221</v>
      </c>
      <c r="C141" s="143" t="s">
        <v>2779</v>
      </c>
      <c r="D141" s="143" t="s">
        <v>2780</v>
      </c>
      <c r="E141" s="143" t="s">
        <v>313</v>
      </c>
      <c r="F141" s="143" t="s">
        <v>2781</v>
      </c>
      <c r="G141" s="143" t="s">
        <v>2782</v>
      </c>
      <c r="H141" s="143" t="s">
        <v>321</v>
      </c>
      <c r="I141" s="143" t="s">
        <v>965</v>
      </c>
      <c r="J141" s="143" t="s">
        <v>205</v>
      </c>
      <c r="K141" s="143" t="s">
        <v>224</v>
      </c>
      <c r="L141" s="143" t="s">
        <v>344</v>
      </c>
      <c r="M141" s="143" t="s">
        <v>602</v>
      </c>
      <c r="N141" s="143" t="s">
        <v>339</v>
      </c>
      <c r="O141" s="143" t="s">
        <v>1211</v>
      </c>
      <c r="P141" s="144">
        <v>1882</v>
      </c>
      <c r="Q141" s="143" t="s">
        <v>1212</v>
      </c>
      <c r="R141" s="143" t="s">
        <v>2783</v>
      </c>
      <c r="S141" s="144">
        <v>1.4156199999999999</v>
      </c>
      <c r="T141" s="144">
        <v>1547.5545</v>
      </c>
      <c r="U141" s="146">
        <v>6.1867192636423403E-6</v>
      </c>
      <c r="V141" s="146">
        <v>8.3136174029433008E-3</v>
      </c>
      <c r="W141" s="147">
        <v>5.1285123533644219E-3</v>
      </c>
      <c r="X141" s="177"/>
    </row>
    <row r="142" spans="1:24" x14ac:dyDescent="0.2">
      <c r="A142" s="142" t="s">
        <v>1220</v>
      </c>
      <c r="B142" s="143" t="s">
        <v>1221</v>
      </c>
      <c r="C142" s="143" t="s">
        <v>2730</v>
      </c>
      <c r="D142" s="143" t="s">
        <v>2731</v>
      </c>
      <c r="E142" s="143" t="s">
        <v>313</v>
      </c>
      <c r="F142" s="143" t="s">
        <v>2730</v>
      </c>
      <c r="G142" s="143" t="s">
        <v>2732</v>
      </c>
      <c r="H142" s="143" t="s">
        <v>321</v>
      </c>
      <c r="I142" s="143" t="s">
        <v>965</v>
      </c>
      <c r="J142" s="143" t="s">
        <v>205</v>
      </c>
      <c r="K142" s="143" t="s">
        <v>224</v>
      </c>
      <c r="L142" s="143" t="s">
        <v>344</v>
      </c>
      <c r="M142" s="143" t="s">
        <v>589</v>
      </c>
      <c r="N142" s="143" t="s">
        <v>339</v>
      </c>
      <c r="O142" s="143" t="s">
        <v>1211</v>
      </c>
      <c r="P142" s="144">
        <v>2360</v>
      </c>
      <c r="Q142" s="143" t="s">
        <v>1212</v>
      </c>
      <c r="R142" s="143" t="s">
        <v>2733</v>
      </c>
      <c r="S142" s="144" t="s">
        <v>3928</v>
      </c>
      <c r="T142" s="144">
        <v>1348.5374999999999</v>
      </c>
      <c r="U142" s="146">
        <v>7.6199086256719884E-6</v>
      </c>
      <c r="V142" s="146">
        <v>7.2378573320063585E-3</v>
      </c>
      <c r="W142" s="147">
        <v>4.4648964391772869E-3</v>
      </c>
      <c r="X142" s="177"/>
    </row>
    <row r="143" spans="1:24" x14ac:dyDescent="0.2">
      <c r="A143" s="142" t="s">
        <v>1220</v>
      </c>
      <c r="B143" s="143" t="s">
        <v>1221</v>
      </c>
      <c r="C143" s="143" t="s">
        <v>2747</v>
      </c>
      <c r="D143" s="143" t="s">
        <v>2748</v>
      </c>
      <c r="E143" s="143" t="s">
        <v>313</v>
      </c>
      <c r="F143" s="143" t="s">
        <v>2749</v>
      </c>
      <c r="G143" s="143" t="s">
        <v>2750</v>
      </c>
      <c r="H143" s="143" t="s">
        <v>321</v>
      </c>
      <c r="I143" s="143" t="s">
        <v>965</v>
      </c>
      <c r="J143" s="143" t="s">
        <v>205</v>
      </c>
      <c r="K143" s="143" t="s">
        <v>224</v>
      </c>
      <c r="L143" s="143" t="s">
        <v>344</v>
      </c>
      <c r="M143" s="143" t="s">
        <v>597</v>
      </c>
      <c r="N143" s="143" t="s">
        <v>339</v>
      </c>
      <c r="O143" s="143" t="s">
        <v>1211</v>
      </c>
      <c r="P143" s="144">
        <v>1786</v>
      </c>
      <c r="Q143" s="143" t="s">
        <v>1212</v>
      </c>
      <c r="R143" s="143" t="s">
        <v>2751</v>
      </c>
      <c r="S143" s="144" t="s">
        <v>3928</v>
      </c>
      <c r="T143" s="144">
        <v>1267.6315</v>
      </c>
      <c r="U143" s="146">
        <v>1.3479245283018869E-4</v>
      </c>
      <c r="V143" s="146">
        <v>6.8036195836564247E-3</v>
      </c>
      <c r="W143" s="147">
        <v>4.1970234365152504E-3</v>
      </c>
      <c r="X143" s="177"/>
    </row>
    <row r="144" spans="1:24" x14ac:dyDescent="0.2">
      <c r="A144" s="142" t="s">
        <v>1220</v>
      </c>
      <c r="B144" s="143" t="s">
        <v>1221</v>
      </c>
      <c r="C144" s="143" t="s">
        <v>2774</v>
      </c>
      <c r="D144" s="143" t="s">
        <v>2775</v>
      </c>
      <c r="E144" s="143" t="s">
        <v>313</v>
      </c>
      <c r="F144" s="143" t="s">
        <v>2776</v>
      </c>
      <c r="G144" s="143" t="s">
        <v>2777</v>
      </c>
      <c r="H144" s="143" t="s">
        <v>321</v>
      </c>
      <c r="I144" s="143" t="s">
        <v>965</v>
      </c>
      <c r="J144" s="143" t="s">
        <v>205</v>
      </c>
      <c r="K144" s="143" t="s">
        <v>224</v>
      </c>
      <c r="L144" s="143" t="s">
        <v>344</v>
      </c>
      <c r="M144" s="143" t="s">
        <v>611</v>
      </c>
      <c r="N144" s="143" t="s">
        <v>339</v>
      </c>
      <c r="O144" s="143" t="s">
        <v>1211</v>
      </c>
      <c r="P144" s="144">
        <v>1327</v>
      </c>
      <c r="Q144" s="143" t="s">
        <v>1212</v>
      </c>
      <c r="R144" s="143" t="s">
        <v>2778</v>
      </c>
      <c r="S144" s="144" t="s">
        <v>3928</v>
      </c>
      <c r="T144" s="144">
        <v>1208.3921</v>
      </c>
      <c r="U144" s="146">
        <v>4.2367740493598543E-5</v>
      </c>
      <c r="V144" s="146">
        <v>6.4856701226372066E-3</v>
      </c>
      <c r="W144" s="147">
        <v>4.000886465140391E-3</v>
      </c>
      <c r="X144" s="177"/>
    </row>
    <row r="145" spans="1:24" x14ac:dyDescent="0.2">
      <c r="A145" s="142" t="s">
        <v>1220</v>
      </c>
      <c r="B145" s="143" t="s">
        <v>1221</v>
      </c>
      <c r="C145" s="143" t="s">
        <v>2752</v>
      </c>
      <c r="D145" s="143" t="s">
        <v>2753</v>
      </c>
      <c r="E145" s="143" t="s">
        <v>313</v>
      </c>
      <c r="F145" s="143" t="s">
        <v>2752</v>
      </c>
      <c r="G145" s="143" t="s">
        <v>2754</v>
      </c>
      <c r="H145" s="143" t="s">
        <v>321</v>
      </c>
      <c r="I145" s="143" t="s">
        <v>965</v>
      </c>
      <c r="J145" s="143" t="s">
        <v>205</v>
      </c>
      <c r="K145" s="143" t="s">
        <v>224</v>
      </c>
      <c r="L145" s="143" t="s">
        <v>344</v>
      </c>
      <c r="M145" s="143" t="s">
        <v>708</v>
      </c>
      <c r="N145" s="143" t="s">
        <v>339</v>
      </c>
      <c r="O145" s="143" t="s">
        <v>1211</v>
      </c>
      <c r="P145" s="144">
        <v>3459</v>
      </c>
      <c r="Q145" s="143" t="s">
        <v>1212</v>
      </c>
      <c r="R145" s="143" t="s">
        <v>2755</v>
      </c>
      <c r="S145" s="144" t="s">
        <v>3928</v>
      </c>
      <c r="T145" s="144">
        <v>1126.7276999999999</v>
      </c>
      <c r="U145" s="146">
        <v>7.4841942644977867E-6</v>
      </c>
      <c r="V145" s="146">
        <v>6.0473621060158304E-3</v>
      </c>
      <c r="W145" s="147">
        <v>3.7305025914459436E-3</v>
      </c>
      <c r="X145" s="177"/>
    </row>
    <row r="146" spans="1:24" x14ac:dyDescent="0.2">
      <c r="A146" s="142" t="s">
        <v>1220</v>
      </c>
      <c r="B146" s="143" t="s">
        <v>1221</v>
      </c>
      <c r="C146" s="143" t="s">
        <v>2756</v>
      </c>
      <c r="D146" s="143" t="s">
        <v>2757</v>
      </c>
      <c r="E146" s="143" t="s">
        <v>313</v>
      </c>
      <c r="F146" s="143" t="s">
        <v>2758</v>
      </c>
      <c r="G146" s="143" t="s">
        <v>2759</v>
      </c>
      <c r="H146" s="143" t="s">
        <v>321</v>
      </c>
      <c r="I146" s="143" t="s">
        <v>965</v>
      </c>
      <c r="J146" s="143" t="s">
        <v>205</v>
      </c>
      <c r="K146" s="143" t="s">
        <v>268</v>
      </c>
      <c r="L146" s="143" t="s">
        <v>344</v>
      </c>
      <c r="M146" s="143" t="s">
        <v>588</v>
      </c>
      <c r="N146" s="143" t="s">
        <v>339</v>
      </c>
      <c r="O146" s="143" t="s">
        <v>1211</v>
      </c>
      <c r="P146" s="144">
        <v>5681</v>
      </c>
      <c r="Q146" s="143" t="s">
        <v>1212</v>
      </c>
      <c r="R146" s="143" t="s">
        <v>2760</v>
      </c>
      <c r="S146" s="144" t="s">
        <v>3928</v>
      </c>
      <c r="T146" s="144">
        <v>1073.0051000000001</v>
      </c>
      <c r="U146" s="146">
        <v>3.5285714285714288E-5</v>
      </c>
      <c r="V146" s="146">
        <v>5.7590225971760568E-3</v>
      </c>
      <c r="W146" s="147">
        <v>3.5526314360420056E-3</v>
      </c>
      <c r="X146" s="177"/>
    </row>
    <row r="147" spans="1:24" x14ac:dyDescent="0.2">
      <c r="A147" s="142" t="s">
        <v>1220</v>
      </c>
      <c r="B147" s="143" t="s">
        <v>1221</v>
      </c>
      <c r="C147" s="143" t="s">
        <v>2784</v>
      </c>
      <c r="D147" s="143" t="s">
        <v>2785</v>
      </c>
      <c r="E147" s="143" t="s">
        <v>313</v>
      </c>
      <c r="F147" s="143" t="s">
        <v>2784</v>
      </c>
      <c r="G147" s="143" t="s">
        <v>2786</v>
      </c>
      <c r="H147" s="143" t="s">
        <v>321</v>
      </c>
      <c r="I147" s="143" t="s">
        <v>965</v>
      </c>
      <c r="J147" s="143" t="s">
        <v>205</v>
      </c>
      <c r="K147" s="143" t="s">
        <v>224</v>
      </c>
      <c r="L147" s="143" t="s">
        <v>344</v>
      </c>
      <c r="M147" s="143" t="s">
        <v>708</v>
      </c>
      <c r="N147" s="143" t="s">
        <v>339</v>
      </c>
      <c r="O147" s="143" t="s">
        <v>1211</v>
      </c>
      <c r="P147" s="144">
        <v>1215</v>
      </c>
      <c r="Q147" s="143" t="s">
        <v>1212</v>
      </c>
      <c r="R147" s="143" t="s">
        <v>2787</v>
      </c>
      <c r="S147" s="144" t="s">
        <v>3928</v>
      </c>
      <c r="T147" s="144">
        <v>903.19780000000003</v>
      </c>
      <c r="U147" s="146">
        <v>1.2290977512063367E-5</v>
      </c>
      <c r="V147" s="146">
        <v>4.8476345534069661E-3</v>
      </c>
      <c r="W147" s="147">
        <v>2.9904134971308837E-3</v>
      </c>
      <c r="X147" s="177"/>
    </row>
    <row r="148" spans="1:24" x14ac:dyDescent="0.2">
      <c r="A148" s="142" t="s">
        <v>1220</v>
      </c>
      <c r="B148" s="143" t="s">
        <v>1221</v>
      </c>
      <c r="C148" s="143" t="s">
        <v>2788</v>
      </c>
      <c r="D148" s="143" t="s">
        <v>2789</v>
      </c>
      <c r="E148" s="143" t="s">
        <v>313</v>
      </c>
      <c r="F148" s="143" t="s">
        <v>2788</v>
      </c>
      <c r="G148" s="143" t="s">
        <v>2790</v>
      </c>
      <c r="H148" s="143" t="s">
        <v>321</v>
      </c>
      <c r="I148" s="143" t="s">
        <v>965</v>
      </c>
      <c r="J148" s="143" t="s">
        <v>205</v>
      </c>
      <c r="K148" s="143" t="s">
        <v>224</v>
      </c>
      <c r="L148" s="143" t="s">
        <v>344</v>
      </c>
      <c r="M148" s="143" t="s">
        <v>586</v>
      </c>
      <c r="N148" s="143" t="s">
        <v>339</v>
      </c>
      <c r="O148" s="143" t="s">
        <v>1211</v>
      </c>
      <c r="P148" s="144">
        <v>1816</v>
      </c>
      <c r="Q148" s="143" t="s">
        <v>1212</v>
      </c>
      <c r="R148" s="143" t="s">
        <v>2791</v>
      </c>
      <c r="S148" s="144">
        <v>0.65627000000000002</v>
      </c>
      <c r="T148" s="144">
        <v>868.58980000000008</v>
      </c>
      <c r="U148" s="146">
        <v>2.1116279069767442E-4</v>
      </c>
      <c r="V148" s="146">
        <v>4.6654087998687045E-3</v>
      </c>
      <c r="W148" s="147">
        <v>2.8780018978442415E-3</v>
      </c>
      <c r="X148" s="177"/>
    </row>
    <row r="149" spans="1:24" x14ac:dyDescent="0.2">
      <c r="A149" s="142" t="s">
        <v>1220</v>
      </c>
      <c r="B149" s="143" t="s">
        <v>1221</v>
      </c>
      <c r="C149" s="143" t="s">
        <v>2770</v>
      </c>
      <c r="D149" s="143" t="s">
        <v>2771</v>
      </c>
      <c r="E149" s="143" t="s">
        <v>313</v>
      </c>
      <c r="F149" s="143" t="s">
        <v>2770</v>
      </c>
      <c r="G149" s="143" t="s">
        <v>2772</v>
      </c>
      <c r="H149" s="143" t="s">
        <v>321</v>
      </c>
      <c r="I149" s="143" t="s">
        <v>965</v>
      </c>
      <c r="J149" s="143" t="s">
        <v>205</v>
      </c>
      <c r="K149" s="143" t="s">
        <v>244</v>
      </c>
      <c r="L149" s="143" t="s">
        <v>344</v>
      </c>
      <c r="M149" s="143" t="s">
        <v>580</v>
      </c>
      <c r="N149" s="143" t="s">
        <v>339</v>
      </c>
      <c r="O149" s="143" t="s">
        <v>1211</v>
      </c>
      <c r="P149" s="144">
        <v>3954</v>
      </c>
      <c r="Q149" s="143" t="s">
        <v>1212</v>
      </c>
      <c r="R149" s="143" t="s">
        <v>2773</v>
      </c>
      <c r="S149" s="144" t="s">
        <v>3928</v>
      </c>
      <c r="T149" s="144">
        <v>858.59649999999999</v>
      </c>
      <c r="U149" s="146">
        <v>3.6408839779005525E-5</v>
      </c>
      <c r="V149" s="146">
        <v>4.6082505690593269E-3</v>
      </c>
      <c r="W149" s="147">
        <v>2.8427420730778811E-3</v>
      </c>
      <c r="X149" s="177"/>
    </row>
    <row r="150" spans="1:24" x14ac:dyDescent="0.2">
      <c r="A150" s="142" t="s">
        <v>1220</v>
      </c>
      <c r="B150" s="143" t="s">
        <v>1221</v>
      </c>
      <c r="C150" s="143" t="s">
        <v>2815</v>
      </c>
      <c r="D150" s="143" t="s">
        <v>2816</v>
      </c>
      <c r="E150" s="143" t="s">
        <v>313</v>
      </c>
      <c r="F150" s="143" t="s">
        <v>2815</v>
      </c>
      <c r="G150" s="143" t="s">
        <v>2817</v>
      </c>
      <c r="H150" s="143" t="s">
        <v>321</v>
      </c>
      <c r="I150" s="143" t="s">
        <v>965</v>
      </c>
      <c r="J150" s="143" t="s">
        <v>205</v>
      </c>
      <c r="K150" s="143" t="s">
        <v>246</v>
      </c>
      <c r="L150" s="143" t="s">
        <v>370</v>
      </c>
      <c r="M150" s="143" t="s">
        <v>707</v>
      </c>
      <c r="N150" s="143" t="s">
        <v>339</v>
      </c>
      <c r="O150" s="143" t="s">
        <v>1213</v>
      </c>
      <c r="P150" s="144">
        <v>160110</v>
      </c>
      <c r="Q150" s="143" t="s">
        <v>1214</v>
      </c>
      <c r="R150" s="143" t="s">
        <v>2818</v>
      </c>
      <c r="S150" s="144" t="s">
        <v>3928</v>
      </c>
      <c r="T150" s="144">
        <v>764.24059999999997</v>
      </c>
      <c r="U150" s="146">
        <v>1.111875E-3</v>
      </c>
      <c r="V150" s="146">
        <v>4.10182452898837E-3</v>
      </c>
      <c r="W150" s="147">
        <v>2.5303374871211313E-3</v>
      </c>
      <c r="X150" s="177"/>
    </row>
    <row r="151" spans="1:24" x14ac:dyDescent="0.2">
      <c r="A151" s="142" t="s">
        <v>1220</v>
      </c>
      <c r="B151" s="143" t="s">
        <v>1221</v>
      </c>
      <c r="C151" s="143" t="s">
        <v>2792</v>
      </c>
      <c r="D151" s="143" t="s">
        <v>2793</v>
      </c>
      <c r="E151" s="143" t="s">
        <v>313</v>
      </c>
      <c r="F151" s="143" t="s">
        <v>2794</v>
      </c>
      <c r="G151" s="143" t="s">
        <v>2795</v>
      </c>
      <c r="H151" s="143" t="s">
        <v>321</v>
      </c>
      <c r="I151" s="143" t="s">
        <v>965</v>
      </c>
      <c r="J151" s="143" t="s">
        <v>205</v>
      </c>
      <c r="K151" s="143" t="s">
        <v>243</v>
      </c>
      <c r="L151" s="143" t="s">
        <v>344</v>
      </c>
      <c r="M151" s="143" t="s">
        <v>707</v>
      </c>
      <c r="N151" s="143" t="s">
        <v>339</v>
      </c>
      <c r="O151" s="143" t="s">
        <v>1211</v>
      </c>
      <c r="P151" s="144">
        <v>3000</v>
      </c>
      <c r="Q151" s="143" t="s">
        <v>1212</v>
      </c>
      <c r="R151" s="143" t="s">
        <v>2796</v>
      </c>
      <c r="S151" s="144" t="s">
        <v>3928</v>
      </c>
      <c r="T151" s="144">
        <v>711.87480000000005</v>
      </c>
      <c r="U151" s="146">
        <v>5.2770448548812667E-5</v>
      </c>
      <c r="V151" s="146">
        <v>3.820767457190735E-3</v>
      </c>
      <c r="W151" s="147">
        <v>2.3569587285311227E-3</v>
      </c>
      <c r="X151" s="177"/>
    </row>
    <row r="152" spans="1:24" x14ac:dyDescent="0.2">
      <c r="A152" s="142" t="s">
        <v>1220</v>
      </c>
      <c r="B152" s="143" t="s">
        <v>1221</v>
      </c>
      <c r="C152" s="143" t="s">
        <v>2797</v>
      </c>
      <c r="D152" s="143" t="s">
        <v>2798</v>
      </c>
      <c r="E152" s="143" t="s">
        <v>313</v>
      </c>
      <c r="F152" s="143" t="s">
        <v>2799</v>
      </c>
      <c r="G152" s="143" t="s">
        <v>2800</v>
      </c>
      <c r="H152" s="143" t="s">
        <v>321</v>
      </c>
      <c r="I152" s="143" t="s">
        <v>965</v>
      </c>
      <c r="J152" s="143" t="s">
        <v>205</v>
      </c>
      <c r="K152" s="143" t="s">
        <v>224</v>
      </c>
      <c r="L152" s="143" t="s">
        <v>344</v>
      </c>
      <c r="M152" s="143" t="s">
        <v>703</v>
      </c>
      <c r="N152" s="143" t="s">
        <v>339</v>
      </c>
      <c r="O152" s="143" t="s">
        <v>1211</v>
      </c>
      <c r="P152" s="144">
        <v>1610</v>
      </c>
      <c r="Q152" s="143" t="s">
        <v>1212</v>
      </c>
      <c r="R152" s="143" t="s">
        <v>2801</v>
      </c>
      <c r="S152" s="144" t="s">
        <v>3928</v>
      </c>
      <c r="T152" s="144">
        <v>686.72730000000001</v>
      </c>
      <c r="U152" s="146">
        <v>7.1810883140053524E-5</v>
      </c>
      <c r="V152" s="146">
        <v>3.6857960789591529E-3</v>
      </c>
      <c r="W152" s="147">
        <v>2.2736974540387184E-3</v>
      </c>
      <c r="X152" s="177"/>
    </row>
    <row r="153" spans="1:24" x14ac:dyDescent="0.2">
      <c r="A153" s="142" t="s">
        <v>1220</v>
      </c>
      <c r="B153" s="143" t="s">
        <v>1221</v>
      </c>
      <c r="C153" s="143" t="s">
        <v>2802</v>
      </c>
      <c r="D153" s="143" t="s">
        <v>2803</v>
      </c>
      <c r="E153" s="143" t="s">
        <v>313</v>
      </c>
      <c r="F153" s="143" t="s">
        <v>2804</v>
      </c>
      <c r="G153" s="143" t="s">
        <v>2805</v>
      </c>
      <c r="H153" s="143" t="s">
        <v>321</v>
      </c>
      <c r="I153" s="143" t="s">
        <v>965</v>
      </c>
      <c r="J153" s="143" t="s">
        <v>205</v>
      </c>
      <c r="K153" s="143" t="s">
        <v>224</v>
      </c>
      <c r="L153" s="143" t="s">
        <v>344</v>
      </c>
      <c r="M153" s="143" t="s">
        <v>708</v>
      </c>
      <c r="N153" s="143" t="s">
        <v>339</v>
      </c>
      <c r="O153" s="143" t="s">
        <v>1211</v>
      </c>
      <c r="P153" s="144">
        <v>1082</v>
      </c>
      <c r="Q153" s="143" t="s">
        <v>1212</v>
      </c>
      <c r="R153" s="143" t="s">
        <v>2806</v>
      </c>
      <c r="S153" s="144">
        <v>0.24593999999999999</v>
      </c>
      <c r="T153" s="144">
        <v>601.60030000000006</v>
      </c>
      <c r="U153" s="146">
        <v>2.6262135922330097E-5</v>
      </c>
      <c r="V153" s="146">
        <v>3.2302233448389694E-3</v>
      </c>
      <c r="W153" s="147">
        <v>1.9926633046966767E-3</v>
      </c>
      <c r="X153" s="177"/>
    </row>
    <row r="154" spans="1:24" x14ac:dyDescent="0.2">
      <c r="A154" s="142" t="s">
        <v>1220</v>
      </c>
      <c r="B154" s="143" t="s">
        <v>1221</v>
      </c>
      <c r="C154" s="143" t="s">
        <v>2761</v>
      </c>
      <c r="D154" s="143" t="s">
        <v>2762</v>
      </c>
      <c r="E154" s="143" t="s">
        <v>313</v>
      </c>
      <c r="F154" s="143" t="s">
        <v>2761</v>
      </c>
      <c r="G154" s="143" t="s">
        <v>2763</v>
      </c>
      <c r="H154" s="143" t="s">
        <v>321</v>
      </c>
      <c r="I154" s="143" t="s">
        <v>965</v>
      </c>
      <c r="J154" s="143" t="s">
        <v>205</v>
      </c>
      <c r="K154" s="143" t="s">
        <v>224</v>
      </c>
      <c r="L154" s="143" t="s">
        <v>344</v>
      </c>
      <c r="M154" s="143" t="s">
        <v>708</v>
      </c>
      <c r="N154" s="143" t="s">
        <v>339</v>
      </c>
      <c r="O154" s="143" t="s">
        <v>1211</v>
      </c>
      <c r="P154" s="144">
        <v>1696</v>
      </c>
      <c r="Q154" s="143" t="s">
        <v>1212</v>
      </c>
      <c r="R154" s="143" t="s">
        <v>2764</v>
      </c>
      <c r="S154" s="144" t="s">
        <v>3928</v>
      </c>
      <c r="T154" s="144">
        <v>568.81130000000007</v>
      </c>
      <c r="U154" s="146">
        <v>1.0198436560432952E-5</v>
      </c>
      <c r="V154" s="146">
        <v>3.052918247386658E-3</v>
      </c>
      <c r="W154" s="147">
        <v>1.8832871645008656E-3</v>
      </c>
      <c r="X154" s="177"/>
    </row>
    <row r="155" spans="1:24" x14ac:dyDescent="0.2">
      <c r="A155" s="142" t="s">
        <v>1220</v>
      </c>
      <c r="B155" s="143" t="s">
        <v>1221</v>
      </c>
      <c r="C155" s="143" t="s">
        <v>2810</v>
      </c>
      <c r="D155" s="143" t="s">
        <v>2811</v>
      </c>
      <c r="E155" s="143" t="s">
        <v>313</v>
      </c>
      <c r="F155" s="143" t="s">
        <v>2812</v>
      </c>
      <c r="G155" s="143" t="s">
        <v>2813</v>
      </c>
      <c r="H155" s="143" t="s">
        <v>321</v>
      </c>
      <c r="I155" s="143" t="s">
        <v>965</v>
      </c>
      <c r="J155" s="143" t="s">
        <v>205</v>
      </c>
      <c r="K155" s="143" t="s">
        <v>224</v>
      </c>
      <c r="L155" s="143" t="s">
        <v>344</v>
      </c>
      <c r="M155" s="143" t="s">
        <v>612</v>
      </c>
      <c r="N155" s="143" t="s">
        <v>339</v>
      </c>
      <c r="O155" s="143" t="s">
        <v>1211</v>
      </c>
      <c r="P155" s="144">
        <v>1495</v>
      </c>
      <c r="Q155" s="143" t="s">
        <v>1212</v>
      </c>
      <c r="R155" s="143" t="s">
        <v>2814</v>
      </c>
      <c r="S155" s="144" t="s">
        <v>3928</v>
      </c>
      <c r="T155" s="144">
        <v>495.68619999999999</v>
      </c>
      <c r="U155" s="146">
        <v>8.7172011661807585E-5</v>
      </c>
      <c r="V155" s="146">
        <v>2.6604423156944878E-3</v>
      </c>
      <c r="W155" s="147">
        <v>1.6411762317354362E-3</v>
      </c>
      <c r="X155" s="177"/>
    </row>
    <row r="156" spans="1:24" x14ac:dyDescent="0.2">
      <c r="A156" s="142" t="s">
        <v>1220</v>
      </c>
      <c r="B156" s="143" t="s">
        <v>1221</v>
      </c>
      <c r="C156" s="143" t="s">
        <v>2826</v>
      </c>
      <c r="D156" s="143" t="s">
        <v>2827</v>
      </c>
      <c r="E156" s="143" t="s">
        <v>313</v>
      </c>
      <c r="F156" s="143" t="s">
        <v>2828</v>
      </c>
      <c r="G156" s="143" t="s">
        <v>2829</v>
      </c>
      <c r="H156" s="143" t="s">
        <v>321</v>
      </c>
      <c r="I156" s="143" t="s">
        <v>965</v>
      </c>
      <c r="J156" s="143" t="s">
        <v>205</v>
      </c>
      <c r="K156" s="143" t="s">
        <v>224</v>
      </c>
      <c r="L156" s="143" t="s">
        <v>344</v>
      </c>
      <c r="M156" s="143" t="s">
        <v>708</v>
      </c>
      <c r="N156" s="143" t="s">
        <v>339</v>
      </c>
      <c r="O156" s="143" t="s">
        <v>1211</v>
      </c>
      <c r="P156" s="144">
        <v>2982</v>
      </c>
      <c r="Q156" s="143" t="s">
        <v>1212</v>
      </c>
      <c r="R156" s="143" t="s">
        <v>2830</v>
      </c>
      <c r="S156" s="144" t="s">
        <v>3928</v>
      </c>
      <c r="T156" s="144">
        <v>494.19400000000002</v>
      </c>
      <c r="U156" s="146">
        <v>2.2650968477022409E-5</v>
      </c>
      <c r="V156" s="146">
        <v>2.6524333992938376E-3</v>
      </c>
      <c r="W156" s="147">
        <v>1.6362356836314E-3</v>
      </c>
      <c r="X156" s="177"/>
    </row>
    <row r="157" spans="1:24" x14ac:dyDescent="0.2">
      <c r="A157" s="142" t="s">
        <v>1220</v>
      </c>
      <c r="B157" s="143" t="s">
        <v>1221</v>
      </c>
      <c r="C157" s="143" t="s">
        <v>2807</v>
      </c>
      <c r="D157" s="143" t="s">
        <v>2714</v>
      </c>
      <c r="E157" s="143" t="s">
        <v>313</v>
      </c>
      <c r="F157" s="143" t="s">
        <v>2807</v>
      </c>
      <c r="G157" s="143" t="s">
        <v>2808</v>
      </c>
      <c r="H157" s="143" t="s">
        <v>321</v>
      </c>
      <c r="I157" s="143" t="s">
        <v>965</v>
      </c>
      <c r="J157" s="143" t="s">
        <v>205</v>
      </c>
      <c r="K157" s="143" t="s">
        <v>301</v>
      </c>
      <c r="L157" s="143" t="s">
        <v>314</v>
      </c>
      <c r="M157" s="143" t="s">
        <v>596</v>
      </c>
      <c r="N157" s="143" t="s">
        <v>339</v>
      </c>
      <c r="O157" s="143" t="s">
        <v>1218</v>
      </c>
      <c r="P157" s="144">
        <v>2469</v>
      </c>
      <c r="Q157" s="143" t="s">
        <v>1219</v>
      </c>
      <c r="R157" s="143" t="s">
        <v>2809</v>
      </c>
      <c r="S157" s="144" t="s">
        <v>3928</v>
      </c>
      <c r="T157" s="144">
        <v>480.22679999999997</v>
      </c>
      <c r="U157" s="146">
        <v>8.4845360824742269E-5</v>
      </c>
      <c r="V157" s="146">
        <v>2.5774688015542517E-3</v>
      </c>
      <c r="W157" s="147">
        <v>1.589991449991739E-3</v>
      </c>
      <c r="X157" s="177"/>
    </row>
    <row r="158" spans="1:24" x14ac:dyDescent="0.2">
      <c r="A158" s="142" t="s">
        <v>1220</v>
      </c>
      <c r="B158" s="143" t="s">
        <v>1221</v>
      </c>
      <c r="C158" s="143" t="s">
        <v>2802</v>
      </c>
      <c r="D158" s="143" t="s">
        <v>2803</v>
      </c>
      <c r="E158" s="143" t="s">
        <v>313</v>
      </c>
      <c r="F158" s="143" t="s">
        <v>2823</v>
      </c>
      <c r="G158" s="143" t="s">
        <v>2824</v>
      </c>
      <c r="H158" s="143" t="s">
        <v>321</v>
      </c>
      <c r="I158" s="143" t="s">
        <v>965</v>
      </c>
      <c r="J158" s="143" t="s">
        <v>205</v>
      </c>
      <c r="K158" s="143" t="s">
        <v>224</v>
      </c>
      <c r="L158" s="143" t="s">
        <v>344</v>
      </c>
      <c r="M158" s="143" t="s">
        <v>707</v>
      </c>
      <c r="N158" s="143" t="s">
        <v>339</v>
      </c>
      <c r="O158" s="143" t="s">
        <v>1211</v>
      </c>
      <c r="P158" s="144">
        <v>1995</v>
      </c>
      <c r="Q158" s="143" t="s">
        <v>1212</v>
      </c>
      <c r="R158" s="143" t="s">
        <v>2825</v>
      </c>
      <c r="S158" s="144" t="s">
        <v>3928</v>
      </c>
      <c r="T158" s="144">
        <v>398.71609999999998</v>
      </c>
      <c r="U158" s="146">
        <v>2.3750000000000001E-5</v>
      </c>
      <c r="V158" s="146">
        <v>2.1399852101476728E-3</v>
      </c>
      <c r="W158" s="147">
        <v>1.3201161485220621E-3</v>
      </c>
      <c r="X158" s="177"/>
    </row>
    <row r="159" spans="1:24" x14ac:dyDescent="0.2">
      <c r="A159" s="142" t="s">
        <v>1220</v>
      </c>
      <c r="B159" s="143" t="s">
        <v>1221</v>
      </c>
      <c r="C159" s="143" t="s">
        <v>2819</v>
      </c>
      <c r="D159" s="143" t="s">
        <v>2820</v>
      </c>
      <c r="E159" s="143" t="s">
        <v>313</v>
      </c>
      <c r="F159" s="143" t="s">
        <v>2819</v>
      </c>
      <c r="G159" s="143" t="s">
        <v>2821</v>
      </c>
      <c r="H159" s="143" t="s">
        <v>321</v>
      </c>
      <c r="I159" s="143" t="s">
        <v>965</v>
      </c>
      <c r="J159" s="143" t="s">
        <v>205</v>
      </c>
      <c r="K159" s="143" t="s">
        <v>224</v>
      </c>
      <c r="L159" s="143" t="s">
        <v>344</v>
      </c>
      <c r="M159" s="143" t="s">
        <v>703</v>
      </c>
      <c r="N159" s="143" t="s">
        <v>339</v>
      </c>
      <c r="O159" s="143" t="s">
        <v>1211</v>
      </c>
      <c r="P159" s="144">
        <v>2468</v>
      </c>
      <c r="Q159" s="143" t="s">
        <v>1212</v>
      </c>
      <c r="R159" s="143" t="s">
        <v>2822</v>
      </c>
      <c r="S159" s="144" t="s">
        <v>3928</v>
      </c>
      <c r="T159" s="144">
        <v>394.72720000000004</v>
      </c>
      <c r="U159" s="146">
        <v>7.4498913305964741E-5</v>
      </c>
      <c r="V159" s="146">
        <v>2.1185761287064188E-3</v>
      </c>
      <c r="W159" s="147">
        <v>1.3069092936327834E-3</v>
      </c>
      <c r="X159" s="177"/>
    </row>
    <row r="160" spans="1:24" x14ac:dyDescent="0.2">
      <c r="A160" s="142" t="s">
        <v>1220</v>
      </c>
      <c r="B160" s="143" t="s">
        <v>1221</v>
      </c>
      <c r="C160" s="143" t="s">
        <v>2802</v>
      </c>
      <c r="D160" s="143" t="s">
        <v>2803</v>
      </c>
      <c r="E160" s="143" t="s">
        <v>313</v>
      </c>
      <c r="F160" s="143" t="s">
        <v>2831</v>
      </c>
      <c r="G160" s="143" t="s">
        <v>2832</v>
      </c>
      <c r="H160" s="143" t="s">
        <v>321</v>
      </c>
      <c r="I160" s="143" t="s">
        <v>965</v>
      </c>
      <c r="J160" s="143" t="s">
        <v>205</v>
      </c>
      <c r="K160" s="143" t="s">
        <v>224</v>
      </c>
      <c r="L160" s="143" t="s">
        <v>344</v>
      </c>
      <c r="M160" s="143" t="s">
        <v>708</v>
      </c>
      <c r="N160" s="143" t="s">
        <v>339</v>
      </c>
      <c r="O160" s="143" t="s">
        <v>1211</v>
      </c>
      <c r="P160" s="144">
        <v>1372</v>
      </c>
      <c r="Q160" s="143" t="s">
        <v>1212</v>
      </c>
      <c r="R160" s="143" t="s">
        <v>2833</v>
      </c>
      <c r="S160" s="144">
        <v>0.10928</v>
      </c>
      <c r="T160" s="144">
        <v>301.84229999999997</v>
      </c>
      <c r="U160" s="146">
        <v>1.1447642886942011E-5</v>
      </c>
      <c r="V160" s="146">
        <v>1.6206317529463598E-3</v>
      </c>
      <c r="W160" s="147">
        <v>9.9973688496869228E-4</v>
      </c>
      <c r="X160" s="177"/>
    </row>
    <row r="161" spans="1:24" x14ac:dyDescent="0.2">
      <c r="A161" s="142" t="s">
        <v>1220</v>
      </c>
      <c r="B161" s="143" t="s">
        <v>1221</v>
      </c>
      <c r="C161" s="143" t="s">
        <v>2834</v>
      </c>
      <c r="D161" s="143" t="s">
        <v>2835</v>
      </c>
      <c r="E161" s="143" t="s">
        <v>313</v>
      </c>
      <c r="F161" s="143" t="s">
        <v>2836</v>
      </c>
      <c r="G161" s="143" t="s">
        <v>2837</v>
      </c>
      <c r="H161" s="143" t="s">
        <v>321</v>
      </c>
      <c r="I161" s="143" t="s">
        <v>965</v>
      </c>
      <c r="J161" s="143" t="s">
        <v>205</v>
      </c>
      <c r="K161" s="143" t="s">
        <v>268</v>
      </c>
      <c r="L161" s="143" t="s">
        <v>344</v>
      </c>
      <c r="M161" s="143" t="s">
        <v>588</v>
      </c>
      <c r="N161" s="143" t="s">
        <v>339</v>
      </c>
      <c r="O161" s="143" t="s">
        <v>1211</v>
      </c>
      <c r="P161" s="144">
        <v>1822</v>
      </c>
      <c r="Q161" s="143" t="s">
        <v>1212</v>
      </c>
      <c r="R161" s="143" t="s">
        <v>2838</v>
      </c>
      <c r="S161" s="144" t="s">
        <v>3928</v>
      </c>
      <c r="T161" s="144">
        <v>214.82070000000002</v>
      </c>
      <c r="U161" s="146">
        <v>9.8673165448145139E-6</v>
      </c>
      <c r="V161" s="146">
        <v>1.1529836845763407E-3</v>
      </c>
      <c r="W161" s="147">
        <v>7.1125369174241272E-4</v>
      </c>
      <c r="X161" s="177"/>
    </row>
    <row r="162" spans="1:24" ht="15" x14ac:dyDescent="0.2">
      <c r="A162" s="142" t="s">
        <v>1220</v>
      </c>
      <c r="B162" s="143" t="s">
        <v>1221</v>
      </c>
      <c r="C162" s="143" t="s">
        <v>2668</v>
      </c>
      <c r="D162" s="143" t="s">
        <v>2669</v>
      </c>
      <c r="E162" s="143" t="s">
        <v>309</v>
      </c>
      <c r="F162" s="143" t="s">
        <v>2839</v>
      </c>
      <c r="G162" s="143" t="s">
        <v>2840</v>
      </c>
      <c r="H162" s="143" t="s">
        <v>321</v>
      </c>
      <c r="I162" s="143" t="s">
        <v>966</v>
      </c>
      <c r="J162" s="143" t="s">
        <v>204</v>
      </c>
      <c r="K162" s="143" t="s">
        <v>204</v>
      </c>
      <c r="L162" s="143" t="s">
        <v>340</v>
      </c>
      <c r="M162" s="143" t="s">
        <v>576</v>
      </c>
      <c r="N162" s="143" t="s">
        <v>339</v>
      </c>
      <c r="O162" s="143" t="s">
        <v>1210</v>
      </c>
      <c r="P162" s="144">
        <v>2482623</v>
      </c>
      <c r="Q162" s="145" t="s">
        <v>3930</v>
      </c>
      <c r="R162" s="143" t="s">
        <v>2841</v>
      </c>
      <c r="S162" s="144" t="s">
        <v>3928</v>
      </c>
      <c r="T162" s="144">
        <v>11550.155199999999</v>
      </c>
      <c r="U162" s="146">
        <v>6.2065574999999998E-2</v>
      </c>
      <c r="V162" s="146">
        <v>6.1991880154152156E-2</v>
      </c>
      <c r="W162" s="147">
        <v>3.8241611054448996E-2</v>
      </c>
      <c r="X162" s="177"/>
    </row>
    <row r="163" spans="1:24" ht="15" x14ac:dyDescent="0.2">
      <c r="A163" s="142" t="s">
        <v>1220</v>
      </c>
      <c r="B163" s="143" t="s">
        <v>1221</v>
      </c>
      <c r="C163" s="143" t="s">
        <v>2668</v>
      </c>
      <c r="D163" s="143" t="s">
        <v>2669</v>
      </c>
      <c r="E163" s="143" t="s">
        <v>309</v>
      </c>
      <c r="F163" s="143" t="s">
        <v>2842</v>
      </c>
      <c r="G163" s="143" t="s">
        <v>2843</v>
      </c>
      <c r="H163" s="143" t="s">
        <v>321</v>
      </c>
      <c r="I163" s="143" t="s">
        <v>966</v>
      </c>
      <c r="J163" s="143" t="s">
        <v>204</v>
      </c>
      <c r="K163" s="143" t="s">
        <v>204</v>
      </c>
      <c r="L163" s="143" t="s">
        <v>340</v>
      </c>
      <c r="M163" s="143" t="s">
        <v>632</v>
      </c>
      <c r="N163" s="143" t="s">
        <v>339</v>
      </c>
      <c r="O163" s="143" t="s">
        <v>1210</v>
      </c>
      <c r="P163" s="144">
        <v>2241102</v>
      </c>
      <c r="Q163" s="145" t="s">
        <v>3930</v>
      </c>
      <c r="R163" s="143" t="s">
        <v>2844</v>
      </c>
      <c r="S163" s="144" t="s">
        <v>3928</v>
      </c>
      <c r="T163" s="144">
        <v>10141.2107</v>
      </c>
      <c r="U163" s="146">
        <v>6.3367906054639531E-2</v>
      </c>
      <c r="V163" s="146">
        <v>5.4429806571335192E-2</v>
      </c>
      <c r="W163" s="147">
        <v>3.357671178054239E-2</v>
      </c>
      <c r="X163" s="177"/>
    </row>
    <row r="164" spans="1:24" ht="15" x14ac:dyDescent="0.2">
      <c r="A164" s="142" t="s">
        <v>1220</v>
      </c>
      <c r="B164" s="143" t="s">
        <v>1221</v>
      </c>
      <c r="C164" s="143" t="s">
        <v>2658</v>
      </c>
      <c r="D164" s="143" t="s">
        <v>2659</v>
      </c>
      <c r="E164" s="143" t="s">
        <v>309</v>
      </c>
      <c r="F164" s="143" t="s">
        <v>2845</v>
      </c>
      <c r="G164" s="143" t="s">
        <v>2846</v>
      </c>
      <c r="H164" s="143" t="s">
        <v>321</v>
      </c>
      <c r="I164" s="143" t="s">
        <v>966</v>
      </c>
      <c r="J164" s="143" t="s">
        <v>204</v>
      </c>
      <c r="K164" s="143" t="s">
        <v>204</v>
      </c>
      <c r="L164" s="143" t="s">
        <v>340</v>
      </c>
      <c r="M164" s="143" t="s">
        <v>632</v>
      </c>
      <c r="N164" s="143" t="s">
        <v>339</v>
      </c>
      <c r="O164" s="143" t="s">
        <v>1210</v>
      </c>
      <c r="P164" s="144">
        <v>2400589</v>
      </c>
      <c r="Q164" s="145" t="s">
        <v>3930</v>
      </c>
      <c r="R164" s="143" t="s">
        <v>2847</v>
      </c>
      <c r="S164" s="144" t="s">
        <v>3928</v>
      </c>
      <c r="T164" s="144">
        <v>9334.2101999999995</v>
      </c>
      <c r="U164" s="146">
        <v>3.2007853333333336E-2</v>
      </c>
      <c r="V164" s="146">
        <v>5.0098481648709149E-2</v>
      </c>
      <c r="W164" s="147">
        <v>3.0904799868375417E-2</v>
      </c>
      <c r="X164" s="177"/>
    </row>
    <row r="165" spans="1:24" ht="15" x14ac:dyDescent="0.2">
      <c r="A165" s="142" t="s">
        <v>1220</v>
      </c>
      <c r="B165" s="143" t="s">
        <v>1221</v>
      </c>
      <c r="C165" s="143" t="s">
        <v>2653</v>
      </c>
      <c r="D165" s="143" t="s">
        <v>2654</v>
      </c>
      <c r="E165" s="143" t="s">
        <v>309</v>
      </c>
      <c r="F165" s="143" t="s">
        <v>2851</v>
      </c>
      <c r="G165" s="143" t="s">
        <v>2852</v>
      </c>
      <c r="H165" s="143" t="s">
        <v>321</v>
      </c>
      <c r="I165" s="143" t="s">
        <v>966</v>
      </c>
      <c r="J165" s="143" t="s">
        <v>204</v>
      </c>
      <c r="K165" s="143" t="s">
        <v>204</v>
      </c>
      <c r="L165" s="143" t="s">
        <v>340</v>
      </c>
      <c r="M165" s="143" t="s">
        <v>576</v>
      </c>
      <c r="N165" s="143" t="s">
        <v>339</v>
      </c>
      <c r="O165" s="143" t="s">
        <v>1210</v>
      </c>
      <c r="P165" s="144">
        <v>7093665</v>
      </c>
      <c r="Q165" s="145" t="s">
        <v>3930</v>
      </c>
      <c r="R165" s="143" t="s">
        <v>2853</v>
      </c>
      <c r="S165" s="144" t="s">
        <v>3928</v>
      </c>
      <c r="T165" s="144">
        <v>7905.8895999999995</v>
      </c>
      <c r="U165" s="146">
        <v>1.7734162500000001E-2</v>
      </c>
      <c r="V165" s="146">
        <v>4.2432413489289542E-2</v>
      </c>
      <c r="W165" s="147">
        <v>2.6175748319359208E-2</v>
      </c>
      <c r="X165" s="177"/>
    </row>
    <row r="166" spans="1:24" ht="15" x14ac:dyDescent="0.2">
      <c r="A166" s="142" t="s">
        <v>1220</v>
      </c>
      <c r="B166" s="143" t="s">
        <v>1221</v>
      </c>
      <c r="C166" s="143" t="s">
        <v>2658</v>
      </c>
      <c r="D166" s="143" t="s">
        <v>2659</v>
      </c>
      <c r="E166" s="143" t="s">
        <v>309</v>
      </c>
      <c r="F166" s="143" t="s">
        <v>2848</v>
      </c>
      <c r="G166" s="143" t="s">
        <v>2849</v>
      </c>
      <c r="H166" s="143" t="s">
        <v>321</v>
      </c>
      <c r="I166" s="143" t="s">
        <v>966</v>
      </c>
      <c r="J166" s="143" t="s">
        <v>204</v>
      </c>
      <c r="K166" s="143" t="s">
        <v>204</v>
      </c>
      <c r="L166" s="143" t="s">
        <v>340</v>
      </c>
      <c r="M166" s="143" t="s">
        <v>576</v>
      </c>
      <c r="N166" s="143" t="s">
        <v>339</v>
      </c>
      <c r="O166" s="143" t="s">
        <v>1210</v>
      </c>
      <c r="P166" s="144">
        <v>1105073</v>
      </c>
      <c r="Q166" s="145" t="s">
        <v>3930</v>
      </c>
      <c r="R166" s="143" t="s">
        <v>2850</v>
      </c>
      <c r="S166" s="144" t="s">
        <v>3928</v>
      </c>
      <c r="T166" s="144">
        <v>4142.9187000000002</v>
      </c>
      <c r="U166" s="146">
        <v>8.6604467084639494E-3</v>
      </c>
      <c r="V166" s="146">
        <v>2.2235832563351439E-2</v>
      </c>
      <c r="W166" s="147">
        <v>1.3716861921997746E-2</v>
      </c>
      <c r="X166" s="177"/>
    </row>
    <row r="167" spans="1:24" x14ac:dyDescent="0.2">
      <c r="A167" s="142" t="s">
        <v>1220</v>
      </c>
      <c r="B167" s="143" t="s">
        <v>1221</v>
      </c>
      <c r="C167" s="143" t="s">
        <v>2857</v>
      </c>
      <c r="D167" s="143" t="s">
        <v>2858</v>
      </c>
      <c r="E167" s="143" t="s">
        <v>313</v>
      </c>
      <c r="F167" s="143" t="s">
        <v>2857</v>
      </c>
      <c r="G167" s="143" t="s">
        <v>2859</v>
      </c>
      <c r="H167" s="143" t="s">
        <v>321</v>
      </c>
      <c r="I167" s="143" t="s">
        <v>967</v>
      </c>
      <c r="J167" s="143" t="s">
        <v>205</v>
      </c>
      <c r="K167" s="143" t="s">
        <v>224</v>
      </c>
      <c r="L167" s="143" t="s">
        <v>314</v>
      </c>
      <c r="M167" s="143" t="s">
        <v>677</v>
      </c>
      <c r="N167" s="143" t="s">
        <v>339</v>
      </c>
      <c r="O167" s="143" t="s">
        <v>1211</v>
      </c>
      <c r="P167" s="144">
        <v>4598</v>
      </c>
      <c r="Q167" s="143" t="s">
        <v>1212</v>
      </c>
      <c r="R167" s="143" t="s">
        <v>2860</v>
      </c>
      <c r="S167" s="144" t="s">
        <v>3928</v>
      </c>
      <c r="T167" s="144">
        <v>1646.8353</v>
      </c>
      <c r="U167" s="146">
        <v>3.0412064289966266E-4</v>
      </c>
      <c r="V167" s="146">
        <v>8.8388783702233482E-3</v>
      </c>
      <c r="W167" s="147">
        <v>5.4525358474552341E-3</v>
      </c>
      <c r="X167" s="177"/>
    </row>
    <row r="168" spans="1:24" x14ac:dyDescent="0.2">
      <c r="A168" s="142" t="s">
        <v>1220</v>
      </c>
      <c r="B168" s="143" t="s">
        <v>1221</v>
      </c>
      <c r="C168" s="143" t="s">
        <v>2861</v>
      </c>
      <c r="D168" s="143" t="s">
        <v>2862</v>
      </c>
      <c r="E168" s="143" t="s">
        <v>313</v>
      </c>
      <c r="F168" s="143" t="s">
        <v>2861</v>
      </c>
      <c r="G168" s="143" t="s">
        <v>2863</v>
      </c>
      <c r="H168" s="143" t="s">
        <v>321</v>
      </c>
      <c r="I168" s="143" t="s">
        <v>967</v>
      </c>
      <c r="J168" s="143" t="s">
        <v>205</v>
      </c>
      <c r="K168" s="143" t="s">
        <v>224</v>
      </c>
      <c r="L168" s="143" t="s">
        <v>380</v>
      </c>
      <c r="M168" s="143" t="s">
        <v>592</v>
      </c>
      <c r="N168" s="143" t="s">
        <v>339</v>
      </c>
      <c r="O168" s="143" t="s">
        <v>1211</v>
      </c>
      <c r="P168" s="144">
        <v>64248</v>
      </c>
      <c r="Q168" s="143" t="s">
        <v>1212</v>
      </c>
      <c r="R168" s="143" t="s">
        <v>2864</v>
      </c>
      <c r="S168" s="144" t="s">
        <v>3928</v>
      </c>
      <c r="T168" s="144">
        <v>1451.3744999999999</v>
      </c>
      <c r="U168" s="146">
        <v>2.1155087257161673E-4</v>
      </c>
      <c r="V168" s="146">
        <v>7.7898031527674355E-3</v>
      </c>
      <c r="W168" s="147">
        <v>4.8053813115216532E-3</v>
      </c>
      <c r="X168" s="177"/>
    </row>
    <row r="169" spans="1:24" x14ac:dyDescent="0.2">
      <c r="A169" s="142" t="s">
        <v>1220</v>
      </c>
      <c r="B169" s="143" t="s">
        <v>1221</v>
      </c>
      <c r="C169" s="143" t="s">
        <v>2865</v>
      </c>
      <c r="D169" s="143" t="s">
        <v>2789</v>
      </c>
      <c r="E169" s="143" t="s">
        <v>313</v>
      </c>
      <c r="F169" s="143" t="s">
        <v>2865</v>
      </c>
      <c r="G169" s="143" t="s">
        <v>2866</v>
      </c>
      <c r="H169" s="143" t="s">
        <v>321</v>
      </c>
      <c r="I169" s="143" t="s">
        <v>967</v>
      </c>
      <c r="J169" s="143" t="s">
        <v>205</v>
      </c>
      <c r="K169" s="143" t="s">
        <v>224</v>
      </c>
      <c r="L169" s="143" t="s">
        <v>344</v>
      </c>
      <c r="M169" s="143" t="s">
        <v>592</v>
      </c>
      <c r="N169" s="143" t="s">
        <v>339</v>
      </c>
      <c r="O169" s="143" t="s">
        <v>1211</v>
      </c>
      <c r="P169" s="144">
        <v>54026</v>
      </c>
      <c r="Q169" s="143" t="s">
        <v>1212</v>
      </c>
      <c r="R169" s="143" t="s">
        <v>2867</v>
      </c>
      <c r="S169" s="144" t="s">
        <v>3928</v>
      </c>
      <c r="T169" s="144">
        <v>1193.7996000000001</v>
      </c>
      <c r="U169" s="146">
        <v>7.9310041103934233E-5</v>
      </c>
      <c r="V169" s="146">
        <v>6.4073492881846139E-3</v>
      </c>
      <c r="W169" s="147">
        <v>3.9525718329474629E-3</v>
      </c>
      <c r="X169" s="177"/>
    </row>
    <row r="170" spans="1:24" x14ac:dyDescent="0.2">
      <c r="A170" s="142" t="s">
        <v>1220</v>
      </c>
      <c r="B170" s="143" t="s">
        <v>1221</v>
      </c>
      <c r="C170" s="143" t="s">
        <v>2868</v>
      </c>
      <c r="D170" s="143" t="s">
        <v>2869</v>
      </c>
      <c r="E170" s="143" t="s">
        <v>313</v>
      </c>
      <c r="F170" s="143" t="s">
        <v>2868</v>
      </c>
      <c r="G170" s="143" t="s">
        <v>2870</v>
      </c>
      <c r="H170" s="143" t="s">
        <v>321</v>
      </c>
      <c r="I170" s="143" t="s">
        <v>967</v>
      </c>
      <c r="J170" s="143" t="s">
        <v>205</v>
      </c>
      <c r="K170" s="143" t="s">
        <v>233</v>
      </c>
      <c r="L170" s="143" t="s">
        <v>380</v>
      </c>
      <c r="M170" s="143" t="s">
        <v>677</v>
      </c>
      <c r="N170" s="143" t="s">
        <v>339</v>
      </c>
      <c r="O170" s="143" t="s">
        <v>1211</v>
      </c>
      <c r="P170" s="144">
        <v>2365</v>
      </c>
      <c r="Q170" s="143" t="s">
        <v>1212</v>
      </c>
      <c r="R170" s="143" t="s">
        <v>2871</v>
      </c>
      <c r="S170" s="144" t="s">
        <v>3928</v>
      </c>
      <c r="T170" s="144">
        <v>851.09259999999995</v>
      </c>
      <c r="U170" s="146">
        <v>7.3961721290968229E-5</v>
      </c>
      <c r="V170" s="146">
        <v>4.5679756020264774E-3</v>
      </c>
      <c r="W170" s="147">
        <v>2.8178972124175642E-3</v>
      </c>
      <c r="X170" s="177"/>
    </row>
    <row r="171" spans="1:24" x14ac:dyDescent="0.2">
      <c r="A171" s="142" t="s">
        <v>1220</v>
      </c>
      <c r="B171" s="143" t="s">
        <v>1221</v>
      </c>
      <c r="C171" s="143" t="s">
        <v>2872</v>
      </c>
      <c r="D171" s="143" t="s">
        <v>2873</v>
      </c>
      <c r="E171" s="143" t="s">
        <v>313</v>
      </c>
      <c r="F171" s="143" t="s">
        <v>2872</v>
      </c>
      <c r="G171" s="143" t="s">
        <v>2874</v>
      </c>
      <c r="H171" s="143" t="s">
        <v>321</v>
      </c>
      <c r="I171" s="143" t="s">
        <v>967</v>
      </c>
      <c r="J171" s="143" t="s">
        <v>205</v>
      </c>
      <c r="K171" s="143" t="s">
        <v>224</v>
      </c>
      <c r="L171" s="143" t="s">
        <v>380</v>
      </c>
      <c r="M171" s="143" t="s">
        <v>677</v>
      </c>
      <c r="N171" s="143" t="s">
        <v>339</v>
      </c>
      <c r="O171" s="143" t="s">
        <v>1211</v>
      </c>
      <c r="P171" s="144">
        <v>5652</v>
      </c>
      <c r="Q171" s="143" t="s">
        <v>1212</v>
      </c>
      <c r="R171" s="143" t="s">
        <v>2875</v>
      </c>
      <c r="S171" s="144" t="s">
        <v>3928</v>
      </c>
      <c r="T171" s="144">
        <v>606.15909999999997</v>
      </c>
      <c r="U171" s="146">
        <v>2.4573913043478262E-3</v>
      </c>
      <c r="V171" s="146">
        <v>3.2533709450642333E-3</v>
      </c>
      <c r="W171" s="147">
        <v>2.0069426187367934E-3</v>
      </c>
      <c r="X171" s="177"/>
    </row>
    <row r="172" spans="1:24" x14ac:dyDescent="0.2">
      <c r="A172" s="142" t="s">
        <v>1220</v>
      </c>
      <c r="B172" s="143" t="s">
        <v>1221</v>
      </c>
      <c r="C172" s="143" t="s">
        <v>2876</v>
      </c>
      <c r="D172" s="143" t="s">
        <v>2873</v>
      </c>
      <c r="E172" s="143" t="s">
        <v>313</v>
      </c>
      <c r="F172" s="143" t="s">
        <v>2876</v>
      </c>
      <c r="G172" s="143" t="s">
        <v>2877</v>
      </c>
      <c r="H172" s="143" t="s">
        <v>321</v>
      </c>
      <c r="I172" s="143" t="s">
        <v>967</v>
      </c>
      <c r="J172" s="143" t="s">
        <v>205</v>
      </c>
      <c r="K172" s="143" t="s">
        <v>224</v>
      </c>
      <c r="L172" s="143" t="s">
        <v>380</v>
      </c>
      <c r="M172" s="143" t="s">
        <v>677</v>
      </c>
      <c r="N172" s="143" t="s">
        <v>339</v>
      </c>
      <c r="O172" s="143" t="s">
        <v>1211</v>
      </c>
      <c r="P172" s="144">
        <v>5903</v>
      </c>
      <c r="Q172" s="143" t="s">
        <v>1212</v>
      </c>
      <c r="R172" s="143" t="s">
        <v>2878</v>
      </c>
      <c r="S172" s="144" t="s">
        <v>3928</v>
      </c>
      <c r="T172" s="144">
        <v>477.4228</v>
      </c>
      <c r="U172" s="146">
        <v>1.0541071428571429E-3</v>
      </c>
      <c r="V172" s="146">
        <v>2.5624191605981479E-3</v>
      </c>
      <c r="W172" s="147">
        <v>1.5807076129066026E-3</v>
      </c>
      <c r="X172" s="177"/>
    </row>
    <row r="173" spans="1:24" ht="15" x14ac:dyDescent="0.2">
      <c r="A173" s="142" t="s">
        <v>1220</v>
      </c>
      <c r="B173" s="143" t="s">
        <v>1222</v>
      </c>
      <c r="C173" s="143" t="s">
        <v>2658</v>
      </c>
      <c r="D173" s="143" t="s">
        <v>2659</v>
      </c>
      <c r="E173" s="143" t="s">
        <v>309</v>
      </c>
      <c r="F173" s="143" t="s">
        <v>2879</v>
      </c>
      <c r="G173" s="143" t="s">
        <v>2880</v>
      </c>
      <c r="H173" s="143" t="s">
        <v>321</v>
      </c>
      <c r="I173" s="143" t="s">
        <v>966</v>
      </c>
      <c r="J173" s="143" t="s">
        <v>204</v>
      </c>
      <c r="K173" s="143" t="s">
        <v>204</v>
      </c>
      <c r="L173" s="143" t="s">
        <v>340</v>
      </c>
      <c r="M173" s="143" t="s">
        <v>632</v>
      </c>
      <c r="N173" s="143" t="s">
        <v>339</v>
      </c>
      <c r="O173" s="143" t="s">
        <v>1210</v>
      </c>
      <c r="P173" s="144">
        <v>180740</v>
      </c>
      <c r="Q173" s="145" t="s">
        <v>3930</v>
      </c>
      <c r="R173" s="143" t="s">
        <v>2881</v>
      </c>
      <c r="S173" s="144" t="s">
        <v>3928</v>
      </c>
      <c r="T173" s="144">
        <v>703.40390000000002</v>
      </c>
      <c r="U173" s="146">
        <v>6.6219038811929766E-4</v>
      </c>
      <c r="V173" s="146">
        <v>0.32925705574144432</v>
      </c>
      <c r="W173" s="147">
        <v>8.8464047689781791E-2</v>
      </c>
      <c r="X173" s="177"/>
    </row>
    <row r="174" spans="1:24" ht="15" x14ac:dyDescent="0.2">
      <c r="A174" s="142" t="s">
        <v>1220</v>
      </c>
      <c r="B174" s="143" t="s">
        <v>1222</v>
      </c>
      <c r="C174" s="143" t="s">
        <v>2668</v>
      </c>
      <c r="D174" s="143" t="s">
        <v>2669</v>
      </c>
      <c r="E174" s="143" t="s">
        <v>309</v>
      </c>
      <c r="F174" s="143" t="s">
        <v>2888</v>
      </c>
      <c r="G174" s="143" t="s">
        <v>2889</v>
      </c>
      <c r="H174" s="143" t="s">
        <v>321</v>
      </c>
      <c r="I174" s="143" t="s">
        <v>966</v>
      </c>
      <c r="J174" s="143" t="s">
        <v>204</v>
      </c>
      <c r="K174" s="143" t="s">
        <v>204</v>
      </c>
      <c r="L174" s="143" t="s">
        <v>340</v>
      </c>
      <c r="M174" s="143" t="s">
        <v>576</v>
      </c>
      <c r="N174" s="143" t="s">
        <v>339</v>
      </c>
      <c r="O174" s="143" t="s">
        <v>1210</v>
      </c>
      <c r="P174" s="144">
        <v>100897</v>
      </c>
      <c r="Q174" s="145" t="s">
        <v>3930</v>
      </c>
      <c r="R174" s="143" t="s">
        <v>2890</v>
      </c>
      <c r="S174" s="144" t="s">
        <v>3928</v>
      </c>
      <c r="T174" s="144">
        <v>470.10940000000005</v>
      </c>
      <c r="U174" s="146">
        <v>6.965980721775905E-4</v>
      </c>
      <c r="V174" s="146">
        <v>0.22005397933892443</v>
      </c>
      <c r="W174" s="147">
        <v>5.9123609906332919E-2</v>
      </c>
      <c r="X174" s="177"/>
    </row>
    <row r="175" spans="1:24" ht="15" x14ac:dyDescent="0.2">
      <c r="A175" s="142" t="s">
        <v>1220</v>
      </c>
      <c r="B175" s="143" t="s">
        <v>1222</v>
      </c>
      <c r="C175" s="143" t="s">
        <v>2658</v>
      </c>
      <c r="D175" s="143" t="s">
        <v>2659</v>
      </c>
      <c r="E175" s="143" t="s">
        <v>309</v>
      </c>
      <c r="F175" s="143" t="s">
        <v>2891</v>
      </c>
      <c r="G175" s="143" t="s">
        <v>2892</v>
      </c>
      <c r="H175" s="143" t="s">
        <v>321</v>
      </c>
      <c r="I175" s="143" t="s">
        <v>966</v>
      </c>
      <c r="J175" s="143" t="s">
        <v>204</v>
      </c>
      <c r="K175" s="143" t="s">
        <v>204</v>
      </c>
      <c r="L175" s="143" t="s">
        <v>340</v>
      </c>
      <c r="M175" s="143" t="s">
        <v>576</v>
      </c>
      <c r="N175" s="143" t="s">
        <v>339</v>
      </c>
      <c r="O175" s="143" t="s">
        <v>1210</v>
      </c>
      <c r="P175" s="144">
        <v>69450</v>
      </c>
      <c r="Q175" s="145" t="s">
        <v>3930</v>
      </c>
      <c r="R175" s="143" t="s">
        <v>2893</v>
      </c>
      <c r="S175" s="144" t="s">
        <v>3928</v>
      </c>
      <c r="T175" s="144">
        <v>253.08270000000002</v>
      </c>
      <c r="U175" s="146">
        <v>2.24791537892323E-4</v>
      </c>
      <c r="V175" s="146">
        <v>0.11846575727936468</v>
      </c>
      <c r="W175" s="147">
        <v>3.1829114118658186E-2</v>
      </c>
      <c r="X175" s="177"/>
    </row>
    <row r="176" spans="1:24" ht="15" x14ac:dyDescent="0.2">
      <c r="A176" s="142" t="s">
        <v>1220</v>
      </c>
      <c r="B176" s="143" t="s">
        <v>1222</v>
      </c>
      <c r="C176" s="143" t="s">
        <v>2653</v>
      </c>
      <c r="D176" s="143" t="s">
        <v>2654</v>
      </c>
      <c r="E176" s="143" t="s">
        <v>309</v>
      </c>
      <c r="F176" s="143" t="s">
        <v>2900</v>
      </c>
      <c r="G176" s="143" t="s">
        <v>2901</v>
      </c>
      <c r="H176" s="143" t="s">
        <v>321</v>
      </c>
      <c r="I176" s="143" t="s">
        <v>966</v>
      </c>
      <c r="J176" s="143" t="s">
        <v>204</v>
      </c>
      <c r="K176" s="143" t="s">
        <v>204</v>
      </c>
      <c r="L176" s="143" t="s">
        <v>340</v>
      </c>
      <c r="M176" s="143" t="s">
        <v>632</v>
      </c>
      <c r="N176" s="143" t="s">
        <v>339</v>
      </c>
      <c r="O176" s="143" t="s">
        <v>1210</v>
      </c>
      <c r="P176" s="144">
        <v>5659.4</v>
      </c>
      <c r="Q176" s="145" t="s">
        <v>3930</v>
      </c>
      <c r="R176" s="143" t="s">
        <v>2902</v>
      </c>
      <c r="S176" s="144" t="s">
        <v>3928</v>
      </c>
      <c r="T176" s="144">
        <v>219.61360000000002</v>
      </c>
      <c r="U176" s="146">
        <v>1.0480020260063905E-4</v>
      </c>
      <c r="V176" s="146">
        <v>0.10279914346520014</v>
      </c>
      <c r="W176" s="147">
        <v>2.7619843436598828E-2</v>
      </c>
      <c r="X176" s="177"/>
    </row>
    <row r="177" spans="1:24" ht="15" x14ac:dyDescent="0.2">
      <c r="A177" s="142" t="s">
        <v>1220</v>
      </c>
      <c r="B177" s="143" t="s">
        <v>1222</v>
      </c>
      <c r="C177" s="143" t="s">
        <v>2668</v>
      </c>
      <c r="D177" s="143" t="s">
        <v>2669</v>
      </c>
      <c r="E177" s="143" t="s">
        <v>309</v>
      </c>
      <c r="F177" s="143" t="s">
        <v>2885</v>
      </c>
      <c r="G177" s="143" t="s">
        <v>2886</v>
      </c>
      <c r="H177" s="143" t="s">
        <v>321</v>
      </c>
      <c r="I177" s="143" t="s">
        <v>966</v>
      </c>
      <c r="J177" s="143" t="s">
        <v>204</v>
      </c>
      <c r="K177" s="143" t="s">
        <v>204</v>
      </c>
      <c r="L177" s="143" t="s">
        <v>340</v>
      </c>
      <c r="M177" s="143" t="s">
        <v>632</v>
      </c>
      <c r="N177" s="143" t="s">
        <v>339</v>
      </c>
      <c r="O177" s="143" t="s">
        <v>1210</v>
      </c>
      <c r="P177" s="144">
        <v>31741</v>
      </c>
      <c r="Q177" s="145" t="s">
        <v>3930</v>
      </c>
      <c r="R177" s="143" t="s">
        <v>2887</v>
      </c>
      <c r="S177" s="144" t="s">
        <v>3928</v>
      </c>
      <c r="T177" s="144">
        <v>143.48839999999998</v>
      </c>
      <c r="U177" s="146">
        <v>1.2890211078028769E-4</v>
      </c>
      <c r="V177" s="146">
        <v>6.7165613258685739E-2</v>
      </c>
      <c r="W177" s="147">
        <v>1.8045906415125351E-2</v>
      </c>
      <c r="X177" s="177"/>
    </row>
    <row r="178" spans="1:24" ht="15" x14ac:dyDescent="0.2">
      <c r="A178" s="142" t="s">
        <v>1220</v>
      </c>
      <c r="B178" s="143" t="s">
        <v>1222</v>
      </c>
      <c r="C178" s="143" t="s">
        <v>2653</v>
      </c>
      <c r="D178" s="143" t="s">
        <v>2654</v>
      </c>
      <c r="E178" s="143" t="s">
        <v>309</v>
      </c>
      <c r="F178" s="143" t="s">
        <v>2976</v>
      </c>
      <c r="G178" s="143" t="s">
        <v>2977</v>
      </c>
      <c r="H178" s="143" t="s">
        <v>321</v>
      </c>
      <c r="I178" s="143" t="s">
        <v>966</v>
      </c>
      <c r="J178" s="143" t="s">
        <v>204</v>
      </c>
      <c r="K178" s="143" t="s">
        <v>204</v>
      </c>
      <c r="L178" s="143" t="s">
        <v>340</v>
      </c>
      <c r="M178" s="143" t="s">
        <v>626</v>
      </c>
      <c r="N178" s="143" t="s">
        <v>339</v>
      </c>
      <c r="O178" s="143" t="s">
        <v>1210</v>
      </c>
      <c r="P178" s="144">
        <v>2620</v>
      </c>
      <c r="Q178" s="145" t="s">
        <v>3930</v>
      </c>
      <c r="R178" s="143" t="s">
        <v>2978</v>
      </c>
      <c r="S178" s="144" t="s">
        <v>3928</v>
      </c>
      <c r="T178" s="144">
        <v>101.7825</v>
      </c>
      <c r="U178" s="146">
        <v>3.1157041717376141E-4</v>
      </c>
      <c r="V178" s="146">
        <v>4.764349458005037E-2</v>
      </c>
      <c r="W178" s="147">
        <v>1.2800747328394816E-2</v>
      </c>
      <c r="X178" s="177"/>
    </row>
    <row r="179" spans="1:24" ht="15" x14ac:dyDescent="0.2">
      <c r="A179" s="142" t="s">
        <v>1220</v>
      </c>
      <c r="B179" s="143" t="s">
        <v>1222</v>
      </c>
      <c r="C179" s="143" t="s">
        <v>2653</v>
      </c>
      <c r="D179" s="143" t="s">
        <v>2654</v>
      </c>
      <c r="E179" s="143" t="s">
        <v>309</v>
      </c>
      <c r="F179" s="143" t="s">
        <v>2882</v>
      </c>
      <c r="G179" s="143" t="s">
        <v>2883</v>
      </c>
      <c r="H179" s="143" t="s">
        <v>321</v>
      </c>
      <c r="I179" s="143" t="s">
        <v>966</v>
      </c>
      <c r="J179" s="143" t="s">
        <v>204</v>
      </c>
      <c r="K179" s="143" t="s">
        <v>204</v>
      </c>
      <c r="L179" s="143" t="s">
        <v>340</v>
      </c>
      <c r="M179" s="143" t="s">
        <v>576</v>
      </c>
      <c r="N179" s="143" t="s">
        <v>339</v>
      </c>
      <c r="O179" s="143" t="s">
        <v>1210</v>
      </c>
      <c r="P179" s="144">
        <v>2207</v>
      </c>
      <c r="Q179" s="145" t="s">
        <v>3930</v>
      </c>
      <c r="R179" s="143" t="s">
        <v>2884</v>
      </c>
      <c r="S179" s="144" t="s">
        <v>3928</v>
      </c>
      <c r="T179" s="144">
        <v>80.277199999999993</v>
      </c>
      <c r="U179" s="146">
        <v>1.5764285714285713E-5</v>
      </c>
      <c r="V179" s="146">
        <v>3.7577034224160435E-2</v>
      </c>
      <c r="W179" s="147">
        <v>1.0096113324469193E-2</v>
      </c>
      <c r="X179" s="177"/>
    </row>
    <row r="180" spans="1:24" ht="15" x14ac:dyDescent="0.2">
      <c r="A180" s="142" t="s">
        <v>1220</v>
      </c>
      <c r="B180" s="143" t="s">
        <v>1222</v>
      </c>
      <c r="C180" s="143" t="s">
        <v>2653</v>
      </c>
      <c r="D180" s="143" t="s">
        <v>2654</v>
      </c>
      <c r="E180" s="143" t="s">
        <v>309</v>
      </c>
      <c r="F180" s="143" t="s">
        <v>2894</v>
      </c>
      <c r="G180" s="143" t="s">
        <v>2895</v>
      </c>
      <c r="H180" s="143" t="s">
        <v>321</v>
      </c>
      <c r="I180" s="143" t="s">
        <v>966</v>
      </c>
      <c r="J180" s="143" t="s">
        <v>204</v>
      </c>
      <c r="K180" s="143" t="s">
        <v>204</v>
      </c>
      <c r="L180" s="143" t="s">
        <v>340</v>
      </c>
      <c r="M180" s="143" t="s">
        <v>634</v>
      </c>
      <c r="N180" s="143" t="s">
        <v>339</v>
      </c>
      <c r="O180" s="143" t="s">
        <v>1210</v>
      </c>
      <c r="P180" s="144">
        <v>2047</v>
      </c>
      <c r="Q180" s="145" t="s">
        <v>3930</v>
      </c>
      <c r="R180" s="143" t="s">
        <v>2896</v>
      </c>
      <c r="S180" s="144" t="s">
        <v>3928</v>
      </c>
      <c r="T180" s="144">
        <v>79.884600000000006</v>
      </c>
      <c r="U180" s="146">
        <v>5.2464656006781501E-5</v>
      </c>
      <c r="V180" s="146">
        <v>3.7393255655944944E-2</v>
      </c>
      <c r="W180" s="147">
        <v>1.004673611071028E-2</v>
      </c>
      <c r="X180" s="177"/>
    </row>
    <row r="181" spans="1:24" ht="15" x14ac:dyDescent="0.2">
      <c r="A181" s="142" t="s">
        <v>1220</v>
      </c>
      <c r="B181" s="143" t="s">
        <v>1222</v>
      </c>
      <c r="C181" s="143" t="s">
        <v>2658</v>
      </c>
      <c r="D181" s="143" t="s">
        <v>2659</v>
      </c>
      <c r="E181" s="143" t="s">
        <v>309</v>
      </c>
      <c r="F181" s="143" t="s">
        <v>2897</v>
      </c>
      <c r="G181" s="143" t="s">
        <v>2898</v>
      </c>
      <c r="H181" s="143" t="s">
        <v>321</v>
      </c>
      <c r="I181" s="143" t="s">
        <v>966</v>
      </c>
      <c r="J181" s="143" t="s">
        <v>204</v>
      </c>
      <c r="K181" s="143" t="s">
        <v>204</v>
      </c>
      <c r="L181" s="143" t="s">
        <v>340</v>
      </c>
      <c r="M181" s="143" t="s">
        <v>634</v>
      </c>
      <c r="N181" s="143" t="s">
        <v>339</v>
      </c>
      <c r="O181" s="143" t="s">
        <v>1210</v>
      </c>
      <c r="P181" s="144">
        <v>11330</v>
      </c>
      <c r="Q181" s="145" t="s">
        <v>3930</v>
      </c>
      <c r="R181" s="143" t="s">
        <v>2899</v>
      </c>
      <c r="S181" s="144" t="s">
        <v>3928</v>
      </c>
      <c r="T181" s="144">
        <v>43.992100000000001</v>
      </c>
      <c r="U181" s="146">
        <v>8.4910955275151556E-5</v>
      </c>
      <c r="V181" s="146">
        <v>2.0592317678503579E-2</v>
      </c>
      <c r="W181" s="147">
        <v>5.5326977551083609E-3</v>
      </c>
      <c r="X181" s="177"/>
    </row>
    <row r="182" spans="1:24" x14ac:dyDescent="0.2">
      <c r="A182" s="142" t="s">
        <v>1220</v>
      </c>
      <c r="B182" s="143" t="s">
        <v>1222</v>
      </c>
      <c r="C182" s="143" t="s">
        <v>2865</v>
      </c>
      <c r="D182" s="143" t="s">
        <v>2789</v>
      </c>
      <c r="E182" s="143" t="s">
        <v>313</v>
      </c>
      <c r="F182" s="143" t="s">
        <v>2865</v>
      </c>
      <c r="G182" s="143" t="s">
        <v>2866</v>
      </c>
      <c r="H182" s="143" t="s">
        <v>321</v>
      </c>
      <c r="I182" s="143" t="s">
        <v>967</v>
      </c>
      <c r="J182" s="143" t="s">
        <v>205</v>
      </c>
      <c r="K182" s="143" t="s">
        <v>224</v>
      </c>
      <c r="L182" s="143" t="s">
        <v>344</v>
      </c>
      <c r="M182" s="143" t="s">
        <v>592</v>
      </c>
      <c r="N182" s="143" t="s">
        <v>339</v>
      </c>
      <c r="O182" s="143" t="s">
        <v>1211</v>
      </c>
      <c r="P182" s="144">
        <v>1842</v>
      </c>
      <c r="Q182" s="143" t="s">
        <v>1212</v>
      </c>
      <c r="R182" s="143" t="s">
        <v>2867</v>
      </c>
      <c r="S182" s="144" t="s">
        <v>3928</v>
      </c>
      <c r="T182" s="144">
        <v>40.702199999999998</v>
      </c>
      <c r="U182" s="146">
        <v>2.7040516735173224E-6</v>
      </c>
      <c r="V182" s="146">
        <v>1.9052348777721408E-2</v>
      </c>
      <c r="W182" s="147">
        <v>5.1189423627666592E-3</v>
      </c>
      <c r="X182" s="177"/>
    </row>
    <row r="183" spans="1:24" ht="15" x14ac:dyDescent="0.2">
      <c r="A183" s="142" t="s">
        <v>1220</v>
      </c>
      <c r="B183" s="143" t="s">
        <v>1220</v>
      </c>
      <c r="C183" s="143" t="s">
        <v>2653</v>
      </c>
      <c r="D183" s="143" t="s">
        <v>2654</v>
      </c>
      <c r="E183" s="143" t="s">
        <v>309</v>
      </c>
      <c r="F183" s="143" t="s">
        <v>2903</v>
      </c>
      <c r="G183" s="143" t="s">
        <v>2904</v>
      </c>
      <c r="H183" s="143" t="s">
        <v>321</v>
      </c>
      <c r="I183" s="143" t="s">
        <v>965</v>
      </c>
      <c r="J183" s="143" t="s">
        <v>204</v>
      </c>
      <c r="K183" s="143" t="s">
        <v>244</v>
      </c>
      <c r="L183" s="143" t="s">
        <v>340</v>
      </c>
      <c r="M183" s="143" t="s">
        <v>580</v>
      </c>
      <c r="N183" s="143" t="s">
        <v>339</v>
      </c>
      <c r="O183" s="143" t="s">
        <v>1210</v>
      </c>
      <c r="P183" s="144">
        <v>179000</v>
      </c>
      <c r="Q183" s="145" t="s">
        <v>3930</v>
      </c>
      <c r="R183" s="143" t="s">
        <v>2905</v>
      </c>
      <c r="S183" s="144" t="s">
        <v>3928</v>
      </c>
      <c r="T183" s="144">
        <v>20602.900000000001</v>
      </c>
      <c r="U183" s="146">
        <v>1.6300694819393311E-2</v>
      </c>
      <c r="V183" s="146">
        <v>1.2801491331750861E-2</v>
      </c>
      <c r="W183" s="147">
        <v>2.6298041720609557E-3</v>
      </c>
      <c r="X183" s="177"/>
    </row>
    <row r="184" spans="1:24" ht="15" x14ac:dyDescent="0.2">
      <c r="A184" s="142" t="s">
        <v>1220</v>
      </c>
      <c r="B184" s="143" t="s">
        <v>1220</v>
      </c>
      <c r="C184" s="143" t="s">
        <v>2653</v>
      </c>
      <c r="D184" s="143" t="s">
        <v>2654</v>
      </c>
      <c r="E184" s="143" t="s">
        <v>309</v>
      </c>
      <c r="F184" s="143" t="s">
        <v>2906</v>
      </c>
      <c r="G184" s="143" t="s">
        <v>2907</v>
      </c>
      <c r="H184" s="143" t="s">
        <v>321</v>
      </c>
      <c r="I184" s="143" t="s">
        <v>965</v>
      </c>
      <c r="J184" s="143" t="s">
        <v>204</v>
      </c>
      <c r="K184" s="143" t="s">
        <v>224</v>
      </c>
      <c r="L184" s="143" t="s">
        <v>340</v>
      </c>
      <c r="M184" s="143" t="s">
        <v>708</v>
      </c>
      <c r="N184" s="143" t="s">
        <v>339</v>
      </c>
      <c r="O184" s="143" t="s">
        <v>1210</v>
      </c>
      <c r="P184" s="144">
        <v>50230</v>
      </c>
      <c r="Q184" s="145" t="s">
        <v>3930</v>
      </c>
      <c r="R184" s="143" t="s">
        <v>2908</v>
      </c>
      <c r="S184" s="144" t="s">
        <v>3928</v>
      </c>
      <c r="T184" s="144">
        <v>10226.828</v>
      </c>
      <c r="U184" s="146">
        <v>1.5830943301081028E-2</v>
      </c>
      <c r="V184" s="146">
        <v>6.354379722917987E-3</v>
      </c>
      <c r="W184" s="147">
        <v>1.3053771527964412E-3</v>
      </c>
      <c r="X184" s="177"/>
    </row>
    <row r="185" spans="1:24" ht="15" x14ac:dyDescent="0.2">
      <c r="A185" s="142" t="s">
        <v>1220</v>
      </c>
      <c r="B185" s="143" t="s">
        <v>1220</v>
      </c>
      <c r="C185" s="143" t="s">
        <v>2653</v>
      </c>
      <c r="D185" s="143" t="s">
        <v>2654</v>
      </c>
      <c r="E185" s="143" t="s">
        <v>309</v>
      </c>
      <c r="F185" s="143" t="s">
        <v>2909</v>
      </c>
      <c r="G185" s="143" t="s">
        <v>2910</v>
      </c>
      <c r="H185" s="143" t="s">
        <v>321</v>
      </c>
      <c r="I185" s="143" t="s">
        <v>965</v>
      </c>
      <c r="J185" s="143" t="s">
        <v>204</v>
      </c>
      <c r="K185" s="143" t="s">
        <v>224</v>
      </c>
      <c r="L185" s="143" t="s">
        <v>340</v>
      </c>
      <c r="M185" s="143" t="s">
        <v>698</v>
      </c>
      <c r="N185" s="143" t="s">
        <v>339</v>
      </c>
      <c r="O185" s="143" t="s">
        <v>1210</v>
      </c>
      <c r="P185" s="144">
        <v>35636</v>
      </c>
      <c r="Q185" s="145" t="s">
        <v>3930</v>
      </c>
      <c r="R185" s="143" t="s">
        <v>2911</v>
      </c>
      <c r="S185" s="144" t="s">
        <v>3928</v>
      </c>
      <c r="T185" s="144">
        <v>5324.0183999999999</v>
      </c>
      <c r="U185" s="146">
        <v>3.5526932317784402E-3</v>
      </c>
      <c r="V185" s="146">
        <v>3.3080476727879132E-3</v>
      </c>
      <c r="W185" s="147">
        <v>6.7957063328217355E-4</v>
      </c>
      <c r="X185" s="177"/>
    </row>
    <row r="186" spans="1:24" x14ac:dyDescent="0.2">
      <c r="A186" s="142" t="s">
        <v>1220</v>
      </c>
      <c r="B186" s="143" t="s">
        <v>1220</v>
      </c>
      <c r="C186" s="143" t="s">
        <v>2690</v>
      </c>
      <c r="D186" s="143" t="s">
        <v>2691</v>
      </c>
      <c r="E186" s="143" t="s">
        <v>313</v>
      </c>
      <c r="F186" s="143" t="s">
        <v>2692</v>
      </c>
      <c r="G186" s="143" t="s">
        <v>2693</v>
      </c>
      <c r="H186" s="143" t="s">
        <v>321</v>
      </c>
      <c r="I186" s="143" t="s">
        <v>965</v>
      </c>
      <c r="J186" s="143" t="s">
        <v>205</v>
      </c>
      <c r="K186" s="143" t="s">
        <v>224</v>
      </c>
      <c r="L186" s="143" t="s">
        <v>344</v>
      </c>
      <c r="M186" s="143" t="s">
        <v>597</v>
      </c>
      <c r="N186" s="143" t="s">
        <v>339</v>
      </c>
      <c r="O186" s="143" t="s">
        <v>1211</v>
      </c>
      <c r="P186" s="144">
        <v>87364</v>
      </c>
      <c r="Q186" s="143" t="s">
        <v>1212</v>
      </c>
      <c r="R186" s="143" t="s">
        <v>2694</v>
      </c>
      <c r="S186" s="144">
        <v>62.023389999999999</v>
      </c>
      <c r="T186" s="144">
        <v>158423.5699</v>
      </c>
      <c r="U186" s="146">
        <v>1.6168039233829926E-4</v>
      </c>
      <c r="V186" s="146">
        <v>9.8474095834272302E-2</v>
      </c>
      <c r="W186" s="147">
        <v>2.022948587424311E-2</v>
      </c>
      <c r="X186" s="177"/>
    </row>
    <row r="187" spans="1:24" x14ac:dyDescent="0.2">
      <c r="A187" s="142" t="s">
        <v>1220</v>
      </c>
      <c r="B187" s="143" t="s">
        <v>1220</v>
      </c>
      <c r="C187" s="143" t="s">
        <v>2685</v>
      </c>
      <c r="D187" s="143" t="s">
        <v>2686</v>
      </c>
      <c r="E187" s="143" t="s">
        <v>313</v>
      </c>
      <c r="F187" s="143" t="s">
        <v>2687</v>
      </c>
      <c r="G187" s="143" t="s">
        <v>2688</v>
      </c>
      <c r="H187" s="143" t="s">
        <v>321</v>
      </c>
      <c r="I187" s="143" t="s">
        <v>965</v>
      </c>
      <c r="J187" s="143" t="s">
        <v>205</v>
      </c>
      <c r="K187" s="143" t="s">
        <v>224</v>
      </c>
      <c r="L187" s="143" t="s">
        <v>344</v>
      </c>
      <c r="M187" s="143" t="s">
        <v>604</v>
      </c>
      <c r="N187" s="143" t="s">
        <v>339</v>
      </c>
      <c r="O187" s="143" t="s">
        <v>1211</v>
      </c>
      <c r="P187" s="144">
        <v>47993</v>
      </c>
      <c r="Q187" s="143" t="s">
        <v>1212</v>
      </c>
      <c r="R187" s="143" t="s">
        <v>2689</v>
      </c>
      <c r="S187" s="144">
        <v>83.773270000000011</v>
      </c>
      <c r="T187" s="144">
        <v>102471.07909999999</v>
      </c>
      <c r="U187" s="146">
        <v>5.0897625703656257E-5</v>
      </c>
      <c r="V187" s="146">
        <v>6.3721857284417302E-2</v>
      </c>
      <c r="W187" s="147">
        <v>1.3090350318982251E-2</v>
      </c>
      <c r="X187" s="177"/>
    </row>
    <row r="188" spans="1:24" x14ac:dyDescent="0.2">
      <c r="A188" s="142" t="s">
        <v>1220</v>
      </c>
      <c r="B188" s="143" t="s">
        <v>1220</v>
      </c>
      <c r="C188" s="143" t="s">
        <v>2695</v>
      </c>
      <c r="D188" s="143" t="s">
        <v>2696</v>
      </c>
      <c r="E188" s="143" t="s">
        <v>313</v>
      </c>
      <c r="F188" s="143" t="s">
        <v>2695</v>
      </c>
      <c r="G188" s="143" t="s">
        <v>2697</v>
      </c>
      <c r="H188" s="143" t="s">
        <v>321</v>
      </c>
      <c r="I188" s="143" t="s">
        <v>965</v>
      </c>
      <c r="J188" s="143" t="s">
        <v>205</v>
      </c>
      <c r="K188" s="143" t="s">
        <v>224</v>
      </c>
      <c r="L188" s="143" t="s">
        <v>344</v>
      </c>
      <c r="M188" s="143" t="s">
        <v>586</v>
      </c>
      <c r="N188" s="143" t="s">
        <v>339</v>
      </c>
      <c r="O188" s="143" t="s">
        <v>1211</v>
      </c>
      <c r="P188" s="144">
        <v>451932</v>
      </c>
      <c r="Q188" s="143" t="s">
        <v>1212</v>
      </c>
      <c r="R188" s="143" t="s">
        <v>2698</v>
      </c>
      <c r="S188" s="144" t="s">
        <v>3928</v>
      </c>
      <c r="T188" s="144">
        <v>75986.581099999996</v>
      </c>
      <c r="U188" s="146">
        <v>4.8760256569329284E-4</v>
      </c>
      <c r="V188" s="146">
        <v>4.7213817419009443E-2</v>
      </c>
      <c r="W188" s="147">
        <v>9.6991116745499886E-3</v>
      </c>
      <c r="X188" s="177"/>
    </row>
    <row r="189" spans="1:24" x14ac:dyDescent="0.2">
      <c r="A189" s="142" t="s">
        <v>1220</v>
      </c>
      <c r="B189" s="143" t="s">
        <v>1220</v>
      </c>
      <c r="C189" s="143" t="s">
        <v>2703</v>
      </c>
      <c r="D189" s="143" t="s">
        <v>2704</v>
      </c>
      <c r="E189" s="143" t="s">
        <v>313</v>
      </c>
      <c r="F189" s="143" t="s">
        <v>2705</v>
      </c>
      <c r="G189" s="143" t="s">
        <v>2706</v>
      </c>
      <c r="H189" s="143" t="s">
        <v>321</v>
      </c>
      <c r="I189" s="143" t="s">
        <v>965</v>
      </c>
      <c r="J189" s="143" t="s">
        <v>205</v>
      </c>
      <c r="K189" s="143" t="s">
        <v>224</v>
      </c>
      <c r="L189" s="143" t="s">
        <v>344</v>
      </c>
      <c r="M189" s="143" t="s">
        <v>583</v>
      </c>
      <c r="N189" s="143" t="s">
        <v>339</v>
      </c>
      <c r="O189" s="143" t="s">
        <v>1211</v>
      </c>
      <c r="P189" s="144">
        <v>147677</v>
      </c>
      <c r="Q189" s="143" t="s">
        <v>1212</v>
      </c>
      <c r="R189" s="143" t="s">
        <v>2707</v>
      </c>
      <c r="S189" s="144" t="s">
        <v>3928</v>
      </c>
      <c r="T189" s="144">
        <v>74205.093400000012</v>
      </c>
      <c r="U189" s="146">
        <v>1.0730312586284569E-3</v>
      </c>
      <c r="V189" s="146">
        <v>4.6106900472131611E-2</v>
      </c>
      <c r="W189" s="147">
        <v>9.4717182615806448E-3</v>
      </c>
      <c r="X189" s="177"/>
    </row>
    <row r="190" spans="1:24" x14ac:dyDescent="0.2">
      <c r="A190" s="142" t="s">
        <v>1220</v>
      </c>
      <c r="B190" s="143" t="s">
        <v>1220</v>
      </c>
      <c r="C190" s="143" t="s">
        <v>2713</v>
      </c>
      <c r="D190" s="143" t="s">
        <v>2714</v>
      </c>
      <c r="E190" s="143" t="s">
        <v>313</v>
      </c>
      <c r="F190" s="143" t="s">
        <v>2713</v>
      </c>
      <c r="G190" s="143" t="s">
        <v>2715</v>
      </c>
      <c r="H190" s="143" t="s">
        <v>321</v>
      </c>
      <c r="I190" s="143" t="s">
        <v>965</v>
      </c>
      <c r="J190" s="143" t="s">
        <v>205</v>
      </c>
      <c r="K190" s="143" t="s">
        <v>224</v>
      </c>
      <c r="L190" s="143" t="s">
        <v>344</v>
      </c>
      <c r="M190" s="143" t="s">
        <v>604</v>
      </c>
      <c r="N190" s="143" t="s">
        <v>339</v>
      </c>
      <c r="O190" s="143" t="s">
        <v>1211</v>
      </c>
      <c r="P190" s="144">
        <v>35607</v>
      </c>
      <c r="Q190" s="143" t="s">
        <v>1212</v>
      </c>
      <c r="R190" s="143" t="s">
        <v>2716</v>
      </c>
      <c r="S190" s="144">
        <v>58.34563</v>
      </c>
      <c r="T190" s="144">
        <v>69922.708799999993</v>
      </c>
      <c r="U190" s="146">
        <v>4.7700254797889812E-5</v>
      </c>
      <c r="V190" s="146">
        <v>4.3482318587994222E-2</v>
      </c>
      <c r="W190" s="147">
        <v>8.9325516746611103E-3</v>
      </c>
      <c r="X190" s="177"/>
    </row>
    <row r="191" spans="1:24" x14ac:dyDescent="0.2">
      <c r="A191" s="142" t="s">
        <v>1220</v>
      </c>
      <c r="B191" s="143" t="s">
        <v>1220</v>
      </c>
      <c r="C191" s="143" t="s">
        <v>2699</v>
      </c>
      <c r="D191" s="143" t="s">
        <v>2700</v>
      </c>
      <c r="E191" s="143" t="s">
        <v>313</v>
      </c>
      <c r="F191" s="143" t="s">
        <v>2699</v>
      </c>
      <c r="G191" s="143" t="s">
        <v>2701</v>
      </c>
      <c r="H191" s="143" t="s">
        <v>321</v>
      </c>
      <c r="I191" s="143" t="s">
        <v>965</v>
      </c>
      <c r="J191" s="143" t="s">
        <v>205</v>
      </c>
      <c r="K191" s="143" t="s">
        <v>268</v>
      </c>
      <c r="L191" s="143" t="s">
        <v>344</v>
      </c>
      <c r="M191" s="143" t="s">
        <v>707</v>
      </c>
      <c r="N191" s="143" t="s">
        <v>339</v>
      </c>
      <c r="O191" s="143" t="s">
        <v>1211</v>
      </c>
      <c r="P191" s="144">
        <v>192280</v>
      </c>
      <c r="Q191" s="143" t="s">
        <v>1212</v>
      </c>
      <c r="R191" s="143" t="s">
        <v>2702</v>
      </c>
      <c r="S191" s="144" t="s">
        <v>3928</v>
      </c>
      <c r="T191" s="144">
        <v>55962.997900000002</v>
      </c>
      <c r="U191" s="146">
        <v>3.4582733812949639E-3</v>
      </c>
      <c r="V191" s="146">
        <v>3.4772281183890717E-2</v>
      </c>
      <c r="W191" s="147">
        <v>7.1432529038759759E-3</v>
      </c>
      <c r="X191" s="177"/>
    </row>
    <row r="192" spans="1:24" x14ac:dyDescent="0.2">
      <c r="A192" s="142" t="s">
        <v>1220</v>
      </c>
      <c r="B192" s="143" t="s">
        <v>1220</v>
      </c>
      <c r="C192" s="143" t="s">
        <v>2730</v>
      </c>
      <c r="D192" s="143" t="s">
        <v>2731</v>
      </c>
      <c r="E192" s="143" t="s">
        <v>313</v>
      </c>
      <c r="F192" s="143" t="s">
        <v>2730</v>
      </c>
      <c r="G192" s="143" t="s">
        <v>2732</v>
      </c>
      <c r="H192" s="143" t="s">
        <v>321</v>
      </c>
      <c r="I192" s="143" t="s">
        <v>965</v>
      </c>
      <c r="J192" s="143" t="s">
        <v>205</v>
      </c>
      <c r="K192" s="143" t="s">
        <v>224</v>
      </c>
      <c r="L192" s="143" t="s">
        <v>344</v>
      </c>
      <c r="M192" s="143" t="s">
        <v>589</v>
      </c>
      <c r="N192" s="143" t="s">
        <v>339</v>
      </c>
      <c r="O192" s="143" t="s">
        <v>1211</v>
      </c>
      <c r="P192" s="144">
        <v>92258</v>
      </c>
      <c r="Q192" s="143" t="s">
        <v>1212</v>
      </c>
      <c r="R192" s="143" t="s">
        <v>2733</v>
      </c>
      <c r="S192" s="144" t="s">
        <v>3928</v>
      </c>
      <c r="T192" s="144">
        <v>52717.531299999995</v>
      </c>
      <c r="U192" s="146">
        <v>2.9788030931662981E-4</v>
      </c>
      <c r="V192" s="146">
        <v>3.275572950906331E-2</v>
      </c>
      <c r="W192" s="147">
        <v>6.7289936687441642E-3</v>
      </c>
      <c r="X192" s="177"/>
    </row>
    <row r="193" spans="1:24" x14ac:dyDescent="0.2">
      <c r="A193" s="142" t="s">
        <v>1220</v>
      </c>
      <c r="B193" s="143" t="s">
        <v>1220</v>
      </c>
      <c r="C193" s="143" t="s">
        <v>2747</v>
      </c>
      <c r="D193" s="143" t="s">
        <v>2748</v>
      </c>
      <c r="E193" s="143" t="s">
        <v>313</v>
      </c>
      <c r="F193" s="143" t="s">
        <v>2749</v>
      </c>
      <c r="G193" s="143" t="s">
        <v>2750</v>
      </c>
      <c r="H193" s="143" t="s">
        <v>321</v>
      </c>
      <c r="I193" s="143" t="s">
        <v>965</v>
      </c>
      <c r="J193" s="143" t="s">
        <v>205</v>
      </c>
      <c r="K193" s="143" t="s">
        <v>224</v>
      </c>
      <c r="L193" s="143" t="s">
        <v>344</v>
      </c>
      <c r="M193" s="143" t="s">
        <v>597</v>
      </c>
      <c r="N193" s="143" t="s">
        <v>339</v>
      </c>
      <c r="O193" s="143" t="s">
        <v>1211</v>
      </c>
      <c r="P193" s="144">
        <v>70964</v>
      </c>
      <c r="Q193" s="143" t="s">
        <v>1212</v>
      </c>
      <c r="R193" s="143" t="s">
        <v>2751</v>
      </c>
      <c r="S193" s="144" t="s">
        <v>3928</v>
      </c>
      <c r="T193" s="144">
        <v>50367.415700000005</v>
      </c>
      <c r="U193" s="146">
        <v>5.3557735849056607E-3</v>
      </c>
      <c r="V193" s="146">
        <v>3.12954989808336E-2</v>
      </c>
      <c r="W193" s="147">
        <v>6.4290192176593274E-3</v>
      </c>
      <c r="X193" s="177"/>
    </row>
    <row r="194" spans="1:24" x14ac:dyDescent="0.2">
      <c r="A194" s="142" t="s">
        <v>1220</v>
      </c>
      <c r="B194" s="143" t="s">
        <v>1220</v>
      </c>
      <c r="C194" s="143" t="s">
        <v>2743</v>
      </c>
      <c r="D194" s="143" t="s">
        <v>2744</v>
      </c>
      <c r="E194" s="143" t="s">
        <v>313</v>
      </c>
      <c r="F194" s="143" t="s">
        <v>2743</v>
      </c>
      <c r="G194" s="143" t="s">
        <v>2745</v>
      </c>
      <c r="H194" s="143" t="s">
        <v>321</v>
      </c>
      <c r="I194" s="143" t="s">
        <v>965</v>
      </c>
      <c r="J194" s="143" t="s">
        <v>205</v>
      </c>
      <c r="K194" s="143" t="s">
        <v>253</v>
      </c>
      <c r="L194" s="143" t="s">
        <v>314</v>
      </c>
      <c r="M194" s="143" t="s">
        <v>610</v>
      </c>
      <c r="N194" s="143" t="s">
        <v>339</v>
      </c>
      <c r="O194" s="143" t="s">
        <v>1218</v>
      </c>
      <c r="P194" s="144">
        <v>49260</v>
      </c>
      <c r="Q194" s="143" t="s">
        <v>1219</v>
      </c>
      <c r="R194" s="143" t="s">
        <v>2746</v>
      </c>
      <c r="S194" s="144" t="s">
        <v>3928</v>
      </c>
      <c r="T194" s="144">
        <v>49839.976600000002</v>
      </c>
      <c r="U194" s="146">
        <v>4.8815776434446533E-3</v>
      </c>
      <c r="V194" s="146">
        <v>3.096777776029188E-2</v>
      </c>
      <c r="W194" s="147">
        <v>6.3616956058457613E-3</v>
      </c>
      <c r="X194" s="177"/>
    </row>
    <row r="195" spans="1:24" x14ac:dyDescent="0.2">
      <c r="A195" s="142" t="s">
        <v>1220</v>
      </c>
      <c r="B195" s="143" t="s">
        <v>1220</v>
      </c>
      <c r="C195" s="143" t="s">
        <v>2710</v>
      </c>
      <c r="D195" s="143" t="s">
        <v>2912</v>
      </c>
      <c r="E195" s="143" t="s">
        <v>313</v>
      </c>
      <c r="F195" s="143" t="s">
        <v>2710</v>
      </c>
      <c r="G195" s="143" t="s">
        <v>2913</v>
      </c>
      <c r="H195" s="143" t="s">
        <v>321</v>
      </c>
      <c r="I195" s="143" t="s">
        <v>965</v>
      </c>
      <c r="J195" s="143" t="s">
        <v>205</v>
      </c>
      <c r="K195" s="143" t="s">
        <v>224</v>
      </c>
      <c r="L195" s="143" t="s">
        <v>344</v>
      </c>
      <c r="M195" s="143" t="s">
        <v>604</v>
      </c>
      <c r="N195" s="143" t="s">
        <v>339</v>
      </c>
      <c r="O195" s="143" t="s">
        <v>1211</v>
      </c>
      <c r="P195" s="144">
        <v>192207</v>
      </c>
      <c r="Q195" s="143" t="s">
        <v>1212</v>
      </c>
      <c r="R195" s="143" t="s">
        <v>2914</v>
      </c>
      <c r="S195" s="144" t="s">
        <v>3928</v>
      </c>
      <c r="T195" s="144">
        <v>36517.234899999996</v>
      </c>
      <c r="U195" s="146">
        <v>9.375951219512195E-2</v>
      </c>
      <c r="V195" s="146">
        <v>2.2689770206683779E-2</v>
      </c>
      <c r="W195" s="147">
        <v>4.6611485182703593E-3</v>
      </c>
      <c r="X195" s="177"/>
    </row>
    <row r="196" spans="1:24" x14ac:dyDescent="0.2">
      <c r="A196" s="142" t="s">
        <v>1220</v>
      </c>
      <c r="B196" s="143" t="s">
        <v>1220</v>
      </c>
      <c r="C196" s="143" t="s">
        <v>2784</v>
      </c>
      <c r="D196" s="143" t="s">
        <v>2785</v>
      </c>
      <c r="E196" s="143" t="s">
        <v>313</v>
      </c>
      <c r="F196" s="143" t="s">
        <v>2784</v>
      </c>
      <c r="G196" s="143" t="s">
        <v>2786</v>
      </c>
      <c r="H196" s="143" t="s">
        <v>321</v>
      </c>
      <c r="I196" s="143" t="s">
        <v>965</v>
      </c>
      <c r="J196" s="143" t="s">
        <v>205</v>
      </c>
      <c r="K196" s="143" t="s">
        <v>224</v>
      </c>
      <c r="L196" s="143" t="s">
        <v>344</v>
      </c>
      <c r="M196" s="143" t="s">
        <v>708</v>
      </c>
      <c r="N196" s="143" t="s">
        <v>339</v>
      </c>
      <c r="O196" s="143" t="s">
        <v>1211</v>
      </c>
      <c r="P196" s="144">
        <v>47273</v>
      </c>
      <c r="Q196" s="143" t="s">
        <v>1212</v>
      </c>
      <c r="R196" s="143" t="s">
        <v>2787</v>
      </c>
      <c r="S196" s="144" t="s">
        <v>3928</v>
      </c>
      <c r="T196" s="144">
        <v>35141.457600000002</v>
      </c>
      <c r="U196" s="146">
        <v>4.7821512751256918E-4</v>
      </c>
      <c r="V196" s="146">
        <v>2.1834939035496978E-2</v>
      </c>
      <c r="W196" s="147">
        <v>4.4855409642645915E-3</v>
      </c>
      <c r="X196" s="177"/>
    </row>
    <row r="197" spans="1:24" x14ac:dyDescent="0.2">
      <c r="A197" s="142" t="s">
        <v>1220</v>
      </c>
      <c r="B197" s="143" t="s">
        <v>1220</v>
      </c>
      <c r="C197" s="143" t="s">
        <v>2774</v>
      </c>
      <c r="D197" s="143" t="s">
        <v>2775</v>
      </c>
      <c r="E197" s="143" t="s">
        <v>313</v>
      </c>
      <c r="F197" s="143" t="s">
        <v>2776</v>
      </c>
      <c r="G197" s="143" t="s">
        <v>2777</v>
      </c>
      <c r="H197" s="143" t="s">
        <v>321</v>
      </c>
      <c r="I197" s="143" t="s">
        <v>965</v>
      </c>
      <c r="J197" s="143" t="s">
        <v>205</v>
      </c>
      <c r="K197" s="143" t="s">
        <v>224</v>
      </c>
      <c r="L197" s="143" t="s">
        <v>344</v>
      </c>
      <c r="M197" s="143" t="s">
        <v>611</v>
      </c>
      <c r="N197" s="143" t="s">
        <v>339</v>
      </c>
      <c r="O197" s="143" t="s">
        <v>1211</v>
      </c>
      <c r="P197" s="144">
        <v>36865</v>
      </c>
      <c r="Q197" s="143" t="s">
        <v>1212</v>
      </c>
      <c r="R197" s="143" t="s">
        <v>2778</v>
      </c>
      <c r="S197" s="144" t="s">
        <v>3928</v>
      </c>
      <c r="T197" s="144">
        <v>33569.9879</v>
      </c>
      <c r="U197" s="146">
        <v>1.177005842725328E-3</v>
      </c>
      <c r="V197" s="146">
        <v>2.0858515485333757E-2</v>
      </c>
      <c r="W197" s="147">
        <v>4.2849547466612551E-3</v>
      </c>
      <c r="X197" s="177"/>
    </row>
    <row r="198" spans="1:24" x14ac:dyDescent="0.2">
      <c r="A198" s="142" t="s">
        <v>1220</v>
      </c>
      <c r="B198" s="143" t="s">
        <v>1220</v>
      </c>
      <c r="C198" s="143" t="s">
        <v>2915</v>
      </c>
      <c r="D198" s="143" t="s">
        <v>2916</v>
      </c>
      <c r="E198" s="143" t="s">
        <v>313</v>
      </c>
      <c r="F198" s="143" t="s">
        <v>2915</v>
      </c>
      <c r="G198" s="143" t="s">
        <v>2917</v>
      </c>
      <c r="H198" s="143" t="s">
        <v>321</v>
      </c>
      <c r="I198" s="143" t="s">
        <v>965</v>
      </c>
      <c r="J198" s="143" t="s">
        <v>205</v>
      </c>
      <c r="K198" s="143" t="s">
        <v>224</v>
      </c>
      <c r="L198" s="143" t="s">
        <v>344</v>
      </c>
      <c r="M198" s="143" t="s">
        <v>703</v>
      </c>
      <c r="N198" s="143" t="s">
        <v>339</v>
      </c>
      <c r="O198" s="143" t="s">
        <v>1211</v>
      </c>
      <c r="P198" s="144">
        <v>209542</v>
      </c>
      <c r="Q198" s="143" t="s">
        <v>1212</v>
      </c>
      <c r="R198" s="143" t="s">
        <v>2918</v>
      </c>
      <c r="S198" s="144" t="s">
        <v>3928</v>
      </c>
      <c r="T198" s="144">
        <v>31997.817800000001</v>
      </c>
      <c r="U198" s="146">
        <v>1.5626966962487881E-3</v>
      </c>
      <c r="V198" s="146">
        <v>1.9881656785060872E-2</v>
      </c>
      <c r="W198" s="147">
        <v>4.0842791363813772E-3</v>
      </c>
      <c r="X198" s="177"/>
    </row>
    <row r="199" spans="1:24" x14ac:dyDescent="0.2">
      <c r="A199" s="142" t="s">
        <v>1220</v>
      </c>
      <c r="B199" s="143" t="s">
        <v>1220</v>
      </c>
      <c r="C199" s="143" t="s">
        <v>2919</v>
      </c>
      <c r="D199" s="143" t="s">
        <v>2920</v>
      </c>
      <c r="E199" s="143" t="s">
        <v>313</v>
      </c>
      <c r="F199" s="143" t="s">
        <v>2919</v>
      </c>
      <c r="G199" s="143" t="s">
        <v>2921</v>
      </c>
      <c r="H199" s="143" t="s">
        <v>321</v>
      </c>
      <c r="I199" s="143" t="s">
        <v>965</v>
      </c>
      <c r="J199" s="143" t="s">
        <v>205</v>
      </c>
      <c r="K199" s="143" t="s">
        <v>293</v>
      </c>
      <c r="L199" s="143" t="s">
        <v>364</v>
      </c>
      <c r="M199" s="143" t="s">
        <v>584</v>
      </c>
      <c r="N199" s="143" t="s">
        <v>339</v>
      </c>
      <c r="O199" s="143" t="s">
        <v>1218</v>
      </c>
      <c r="P199" s="144">
        <v>477799</v>
      </c>
      <c r="Q199" s="143" t="s">
        <v>1219</v>
      </c>
      <c r="R199" s="143" t="s">
        <v>2922</v>
      </c>
      <c r="S199" s="144" t="s">
        <v>3928</v>
      </c>
      <c r="T199" s="144">
        <v>30998.212399999997</v>
      </c>
      <c r="U199" s="146">
        <v>1.6576429364418541E-2</v>
      </c>
      <c r="V199" s="146">
        <v>1.9260557823289025E-2</v>
      </c>
      <c r="W199" s="147">
        <v>3.9566870770969109E-3</v>
      </c>
      <c r="X199" s="177"/>
    </row>
    <row r="200" spans="1:24" x14ac:dyDescent="0.2">
      <c r="A200" s="142" t="s">
        <v>1220</v>
      </c>
      <c r="B200" s="143" t="s">
        <v>1220</v>
      </c>
      <c r="C200" s="143" t="s">
        <v>2756</v>
      </c>
      <c r="D200" s="143" t="s">
        <v>2757</v>
      </c>
      <c r="E200" s="143" t="s">
        <v>313</v>
      </c>
      <c r="F200" s="143" t="s">
        <v>2758</v>
      </c>
      <c r="G200" s="143" t="s">
        <v>2759</v>
      </c>
      <c r="H200" s="143" t="s">
        <v>321</v>
      </c>
      <c r="I200" s="143" t="s">
        <v>965</v>
      </c>
      <c r="J200" s="143" t="s">
        <v>205</v>
      </c>
      <c r="K200" s="143" t="s">
        <v>268</v>
      </c>
      <c r="L200" s="143" t="s">
        <v>344</v>
      </c>
      <c r="M200" s="143" t="s">
        <v>588</v>
      </c>
      <c r="N200" s="143" t="s">
        <v>339</v>
      </c>
      <c r="O200" s="143" t="s">
        <v>1211</v>
      </c>
      <c r="P200" s="144">
        <v>164038</v>
      </c>
      <c r="Q200" s="143" t="s">
        <v>1212</v>
      </c>
      <c r="R200" s="143" t="s">
        <v>2760</v>
      </c>
      <c r="S200" s="144" t="s">
        <v>3928</v>
      </c>
      <c r="T200" s="144">
        <v>30982.8577</v>
      </c>
      <c r="U200" s="146">
        <v>1.0188695652173913E-3</v>
      </c>
      <c r="V200" s="146">
        <v>1.9251017292441754E-2</v>
      </c>
      <c r="W200" s="147">
        <v>3.9547271704598146E-3</v>
      </c>
      <c r="X200" s="177"/>
    </row>
    <row r="201" spans="1:24" x14ac:dyDescent="0.2">
      <c r="A201" s="142" t="s">
        <v>1220</v>
      </c>
      <c r="B201" s="143" t="s">
        <v>1220</v>
      </c>
      <c r="C201" s="143" t="s">
        <v>2726</v>
      </c>
      <c r="D201" s="143" t="s">
        <v>2727</v>
      </c>
      <c r="E201" s="143" t="s">
        <v>313</v>
      </c>
      <c r="F201" s="143" t="s">
        <v>2726</v>
      </c>
      <c r="G201" s="143" t="s">
        <v>2728</v>
      </c>
      <c r="H201" s="143" t="s">
        <v>321</v>
      </c>
      <c r="I201" s="143" t="s">
        <v>965</v>
      </c>
      <c r="J201" s="143" t="s">
        <v>205</v>
      </c>
      <c r="K201" s="143" t="s">
        <v>268</v>
      </c>
      <c r="L201" s="143" t="s">
        <v>344</v>
      </c>
      <c r="M201" s="143" t="s">
        <v>588</v>
      </c>
      <c r="N201" s="143" t="s">
        <v>339</v>
      </c>
      <c r="O201" s="143" t="s">
        <v>1211</v>
      </c>
      <c r="P201" s="144">
        <v>244797</v>
      </c>
      <c r="Q201" s="143" t="s">
        <v>1212</v>
      </c>
      <c r="R201" s="143" t="s">
        <v>2729</v>
      </c>
      <c r="S201" s="144" t="s">
        <v>3928</v>
      </c>
      <c r="T201" s="144">
        <v>30896.857499999998</v>
      </c>
      <c r="U201" s="146">
        <v>1.1404472396925227E-3</v>
      </c>
      <c r="V201" s="146">
        <v>1.9197581587414275E-2</v>
      </c>
      <c r="W201" s="147">
        <v>3.9437498994234514E-3</v>
      </c>
      <c r="X201" s="177"/>
    </row>
    <row r="202" spans="1:24" x14ac:dyDescent="0.2">
      <c r="A202" s="142" t="s">
        <v>1220</v>
      </c>
      <c r="B202" s="143" t="s">
        <v>1220</v>
      </c>
      <c r="C202" s="143" t="s">
        <v>2734</v>
      </c>
      <c r="D202" s="143" t="s">
        <v>2735</v>
      </c>
      <c r="E202" s="143" t="s">
        <v>313</v>
      </c>
      <c r="F202" s="143" t="s">
        <v>2736</v>
      </c>
      <c r="G202" s="143" t="s">
        <v>2737</v>
      </c>
      <c r="H202" s="143" t="s">
        <v>321</v>
      </c>
      <c r="I202" s="143" t="s">
        <v>965</v>
      </c>
      <c r="J202" s="143" t="s">
        <v>205</v>
      </c>
      <c r="K202" s="143" t="s">
        <v>224</v>
      </c>
      <c r="L202" s="143" t="s">
        <v>344</v>
      </c>
      <c r="M202" s="143" t="s">
        <v>580</v>
      </c>
      <c r="N202" s="143" t="s">
        <v>339</v>
      </c>
      <c r="O202" s="143" t="s">
        <v>1211</v>
      </c>
      <c r="P202" s="144">
        <v>164459</v>
      </c>
      <c r="Q202" s="143" t="s">
        <v>1212</v>
      </c>
      <c r="R202" s="143" t="s">
        <v>2738</v>
      </c>
      <c r="S202" s="144" t="s">
        <v>3928</v>
      </c>
      <c r="T202" s="144">
        <v>30787.871300000003</v>
      </c>
      <c r="U202" s="146">
        <v>7.2131140350877197E-3</v>
      </c>
      <c r="V202" s="146">
        <v>1.912987383467387E-2</v>
      </c>
      <c r="W202" s="147">
        <v>3.9298407285289667E-3</v>
      </c>
      <c r="X202" s="177"/>
    </row>
    <row r="203" spans="1:24" x14ac:dyDescent="0.2">
      <c r="A203" s="142" t="s">
        <v>1220</v>
      </c>
      <c r="B203" s="143" t="s">
        <v>1220</v>
      </c>
      <c r="C203" s="143" t="s">
        <v>2810</v>
      </c>
      <c r="D203" s="143" t="s">
        <v>2811</v>
      </c>
      <c r="E203" s="143" t="s">
        <v>313</v>
      </c>
      <c r="F203" s="143" t="s">
        <v>2812</v>
      </c>
      <c r="G203" s="143" t="s">
        <v>2813</v>
      </c>
      <c r="H203" s="143" t="s">
        <v>321</v>
      </c>
      <c r="I203" s="143" t="s">
        <v>965</v>
      </c>
      <c r="J203" s="143" t="s">
        <v>205</v>
      </c>
      <c r="K203" s="143" t="s">
        <v>224</v>
      </c>
      <c r="L203" s="143" t="s">
        <v>344</v>
      </c>
      <c r="M203" s="143" t="s">
        <v>612</v>
      </c>
      <c r="N203" s="143" t="s">
        <v>339</v>
      </c>
      <c r="O203" s="143" t="s">
        <v>1211</v>
      </c>
      <c r="P203" s="144">
        <v>92160</v>
      </c>
      <c r="Q203" s="143" t="s">
        <v>1212</v>
      </c>
      <c r="R203" s="143" t="s">
        <v>2814</v>
      </c>
      <c r="S203" s="144" t="s">
        <v>3928</v>
      </c>
      <c r="T203" s="144">
        <v>30556.8184</v>
      </c>
      <c r="U203" s="146">
        <v>5.3737609329446061E-3</v>
      </c>
      <c r="V203" s="146">
        <v>1.8986300291858573E-2</v>
      </c>
      <c r="W203" s="147">
        <v>3.9003464850765044E-3</v>
      </c>
      <c r="X203" s="177"/>
    </row>
    <row r="204" spans="1:24" x14ac:dyDescent="0.2">
      <c r="A204" s="142" t="s">
        <v>1220</v>
      </c>
      <c r="B204" s="143" t="s">
        <v>1220</v>
      </c>
      <c r="C204" s="143" t="s">
        <v>2788</v>
      </c>
      <c r="D204" s="143" t="s">
        <v>2789</v>
      </c>
      <c r="E204" s="143" t="s">
        <v>313</v>
      </c>
      <c r="F204" s="143" t="s">
        <v>2788</v>
      </c>
      <c r="G204" s="143" t="s">
        <v>2790</v>
      </c>
      <c r="H204" s="143" t="s">
        <v>321</v>
      </c>
      <c r="I204" s="143" t="s">
        <v>965</v>
      </c>
      <c r="J204" s="143" t="s">
        <v>205</v>
      </c>
      <c r="K204" s="143" t="s">
        <v>224</v>
      </c>
      <c r="L204" s="143" t="s">
        <v>344</v>
      </c>
      <c r="M204" s="143" t="s">
        <v>586</v>
      </c>
      <c r="N204" s="143" t="s">
        <v>339</v>
      </c>
      <c r="O204" s="143" t="s">
        <v>1211</v>
      </c>
      <c r="P204" s="144">
        <v>58284</v>
      </c>
      <c r="Q204" s="143" t="s">
        <v>1212</v>
      </c>
      <c r="R204" s="143" t="s">
        <v>2791</v>
      </c>
      <c r="S204" s="144">
        <v>21.062669999999997</v>
      </c>
      <c r="T204" s="144">
        <v>27877.139300000003</v>
      </c>
      <c r="U204" s="146">
        <v>6.7772093023255814E-3</v>
      </c>
      <c r="V204" s="146">
        <v>1.7334384491057873E-2</v>
      </c>
      <c r="W204" s="147">
        <v>3.5609942211676611E-3</v>
      </c>
      <c r="X204" s="177"/>
    </row>
    <row r="205" spans="1:24" x14ac:dyDescent="0.2">
      <c r="A205" s="142" t="s">
        <v>1220</v>
      </c>
      <c r="B205" s="143" t="s">
        <v>1220</v>
      </c>
      <c r="C205" s="143" t="s">
        <v>2930</v>
      </c>
      <c r="D205" s="143" t="s">
        <v>2931</v>
      </c>
      <c r="E205" s="143" t="s">
        <v>313</v>
      </c>
      <c r="F205" s="143" t="s">
        <v>2932</v>
      </c>
      <c r="G205" s="143" t="s">
        <v>2933</v>
      </c>
      <c r="H205" s="143" t="s">
        <v>321</v>
      </c>
      <c r="I205" s="143" t="s">
        <v>965</v>
      </c>
      <c r="J205" s="143" t="s">
        <v>205</v>
      </c>
      <c r="K205" s="143" t="s">
        <v>224</v>
      </c>
      <c r="L205" s="143" t="s">
        <v>380</v>
      </c>
      <c r="M205" s="143" t="s">
        <v>604</v>
      </c>
      <c r="N205" s="143" t="s">
        <v>339</v>
      </c>
      <c r="O205" s="143" t="s">
        <v>1211</v>
      </c>
      <c r="P205" s="144">
        <v>17828</v>
      </c>
      <c r="Q205" s="143" t="s">
        <v>1212</v>
      </c>
      <c r="R205" s="143" t="s">
        <v>2934</v>
      </c>
      <c r="S205" s="144" t="s">
        <v>3928</v>
      </c>
      <c r="T205" s="144">
        <v>27013.0052</v>
      </c>
      <c r="U205" s="146">
        <v>2.3907737696124446E-3</v>
      </c>
      <c r="V205" s="146">
        <v>1.678437268785448E-2</v>
      </c>
      <c r="W205" s="147">
        <v>3.4480055624822805E-3</v>
      </c>
      <c r="X205" s="177"/>
    </row>
    <row r="206" spans="1:24" x14ac:dyDescent="0.2">
      <c r="A206" s="142" t="s">
        <v>1220</v>
      </c>
      <c r="B206" s="143" t="s">
        <v>1220</v>
      </c>
      <c r="C206" s="143" t="s">
        <v>2923</v>
      </c>
      <c r="D206" s="143" t="s">
        <v>2714</v>
      </c>
      <c r="E206" s="143" t="s">
        <v>313</v>
      </c>
      <c r="F206" s="143" t="s">
        <v>2923</v>
      </c>
      <c r="G206" s="143" t="s">
        <v>2924</v>
      </c>
      <c r="H206" s="143" t="s">
        <v>321</v>
      </c>
      <c r="I206" s="143" t="s">
        <v>965</v>
      </c>
      <c r="J206" s="143" t="s">
        <v>205</v>
      </c>
      <c r="K206" s="143" t="s">
        <v>224</v>
      </c>
      <c r="L206" s="143" t="s">
        <v>344</v>
      </c>
      <c r="M206" s="143" t="s">
        <v>708</v>
      </c>
      <c r="N206" s="143" t="s">
        <v>339</v>
      </c>
      <c r="O206" s="143" t="s">
        <v>1211</v>
      </c>
      <c r="P206" s="144">
        <v>68316</v>
      </c>
      <c r="Q206" s="143" t="s">
        <v>1212</v>
      </c>
      <c r="R206" s="143" t="s">
        <v>2925</v>
      </c>
      <c r="S206" s="144">
        <v>24.621089999999999</v>
      </c>
      <c r="T206" s="144">
        <v>26863.517</v>
      </c>
      <c r="U206" s="146">
        <v>1.1386E-2</v>
      </c>
      <c r="V206" s="146">
        <v>1.6706787252234442E-2</v>
      </c>
      <c r="W206" s="147">
        <v>3.4320672239717752E-3</v>
      </c>
      <c r="X206" s="177"/>
    </row>
    <row r="207" spans="1:24" x14ac:dyDescent="0.2">
      <c r="A207" s="142" t="s">
        <v>1220</v>
      </c>
      <c r="B207" s="143" t="s">
        <v>1220</v>
      </c>
      <c r="C207" s="143" t="s">
        <v>2761</v>
      </c>
      <c r="D207" s="143" t="s">
        <v>2762</v>
      </c>
      <c r="E207" s="143" t="s">
        <v>313</v>
      </c>
      <c r="F207" s="143" t="s">
        <v>2761</v>
      </c>
      <c r="G207" s="143" t="s">
        <v>2763</v>
      </c>
      <c r="H207" s="143" t="s">
        <v>321</v>
      </c>
      <c r="I207" s="143" t="s">
        <v>965</v>
      </c>
      <c r="J207" s="143" t="s">
        <v>205</v>
      </c>
      <c r="K207" s="143" t="s">
        <v>224</v>
      </c>
      <c r="L207" s="143" t="s">
        <v>344</v>
      </c>
      <c r="M207" s="143" t="s">
        <v>708</v>
      </c>
      <c r="N207" s="143" t="s">
        <v>339</v>
      </c>
      <c r="O207" s="143" t="s">
        <v>1211</v>
      </c>
      <c r="P207" s="144">
        <v>79331</v>
      </c>
      <c r="Q207" s="143" t="s">
        <v>1212</v>
      </c>
      <c r="R207" s="143" t="s">
        <v>2764</v>
      </c>
      <c r="S207" s="144" t="s">
        <v>3928</v>
      </c>
      <c r="T207" s="144">
        <v>26606.348100000003</v>
      </c>
      <c r="U207" s="146">
        <v>4.7703547805171378E-4</v>
      </c>
      <c r="V207" s="146">
        <v>1.6531698674599304E-2</v>
      </c>
      <c r="W207" s="147">
        <v>3.3960988621604387E-3</v>
      </c>
      <c r="X207" s="177"/>
    </row>
    <row r="208" spans="1:24" x14ac:dyDescent="0.2">
      <c r="A208" s="142" t="s">
        <v>1220</v>
      </c>
      <c r="B208" s="143" t="s">
        <v>1220</v>
      </c>
      <c r="C208" s="143" t="s">
        <v>2722</v>
      </c>
      <c r="D208" s="143" t="s">
        <v>2723</v>
      </c>
      <c r="E208" s="143" t="s">
        <v>313</v>
      </c>
      <c r="F208" s="143" t="s">
        <v>2722</v>
      </c>
      <c r="G208" s="143" t="s">
        <v>2724</v>
      </c>
      <c r="H208" s="143" t="s">
        <v>321</v>
      </c>
      <c r="I208" s="143" t="s">
        <v>965</v>
      </c>
      <c r="J208" s="143" t="s">
        <v>205</v>
      </c>
      <c r="K208" s="143" t="s">
        <v>224</v>
      </c>
      <c r="L208" s="143" t="s">
        <v>344</v>
      </c>
      <c r="M208" s="143" t="s">
        <v>611</v>
      </c>
      <c r="N208" s="143" t="s">
        <v>339</v>
      </c>
      <c r="O208" s="143" t="s">
        <v>1211</v>
      </c>
      <c r="P208" s="144">
        <v>28123</v>
      </c>
      <c r="Q208" s="143" t="s">
        <v>1212</v>
      </c>
      <c r="R208" s="143" t="s">
        <v>2725</v>
      </c>
      <c r="S208" s="144" t="s">
        <v>3928</v>
      </c>
      <c r="T208" s="144">
        <v>23554.9699</v>
      </c>
      <c r="U208" s="146">
        <v>9.2099058148521724E-5</v>
      </c>
      <c r="V208" s="146">
        <v>1.463574266208563E-2</v>
      </c>
      <c r="W208" s="147">
        <v>3.006613535604304E-3</v>
      </c>
      <c r="X208" s="177"/>
    </row>
    <row r="209" spans="1:24" x14ac:dyDescent="0.2">
      <c r="A209" s="142" t="s">
        <v>1220</v>
      </c>
      <c r="B209" s="143" t="s">
        <v>1220</v>
      </c>
      <c r="C209" s="143" t="s">
        <v>2797</v>
      </c>
      <c r="D209" s="143" t="s">
        <v>2798</v>
      </c>
      <c r="E209" s="143" t="s">
        <v>313</v>
      </c>
      <c r="F209" s="143" t="s">
        <v>2799</v>
      </c>
      <c r="G209" s="143" t="s">
        <v>2800</v>
      </c>
      <c r="H209" s="143" t="s">
        <v>321</v>
      </c>
      <c r="I209" s="143" t="s">
        <v>965</v>
      </c>
      <c r="J209" s="143" t="s">
        <v>205</v>
      </c>
      <c r="K209" s="143" t="s">
        <v>224</v>
      </c>
      <c r="L209" s="143" t="s">
        <v>344</v>
      </c>
      <c r="M209" s="143" t="s">
        <v>703</v>
      </c>
      <c r="N209" s="143" t="s">
        <v>339</v>
      </c>
      <c r="O209" s="143" t="s">
        <v>1211</v>
      </c>
      <c r="P209" s="144">
        <v>54353</v>
      </c>
      <c r="Q209" s="143" t="s">
        <v>1212</v>
      </c>
      <c r="R209" s="143" t="s">
        <v>2801</v>
      </c>
      <c r="S209" s="144" t="s">
        <v>3928</v>
      </c>
      <c r="T209" s="144">
        <v>23183.657999999999</v>
      </c>
      <c r="U209" s="146">
        <v>2.4243086529884034E-3</v>
      </c>
      <c r="V209" s="146">
        <v>1.4405030186396018E-2</v>
      </c>
      <c r="W209" s="147">
        <v>2.9592183833215212E-3</v>
      </c>
      <c r="X209" s="177"/>
    </row>
    <row r="210" spans="1:24" x14ac:dyDescent="0.2">
      <c r="A210" s="142" t="s">
        <v>1220</v>
      </c>
      <c r="B210" s="143" t="s">
        <v>1220</v>
      </c>
      <c r="C210" s="143" t="s">
        <v>2815</v>
      </c>
      <c r="D210" s="143" t="s">
        <v>2816</v>
      </c>
      <c r="E210" s="143" t="s">
        <v>313</v>
      </c>
      <c r="F210" s="143" t="s">
        <v>2815</v>
      </c>
      <c r="G210" s="143" t="s">
        <v>2817</v>
      </c>
      <c r="H210" s="143" t="s">
        <v>321</v>
      </c>
      <c r="I210" s="143" t="s">
        <v>965</v>
      </c>
      <c r="J210" s="143" t="s">
        <v>205</v>
      </c>
      <c r="K210" s="143" t="s">
        <v>246</v>
      </c>
      <c r="L210" s="143" t="s">
        <v>370</v>
      </c>
      <c r="M210" s="143" t="s">
        <v>707</v>
      </c>
      <c r="N210" s="143" t="s">
        <v>339</v>
      </c>
      <c r="O210" s="143" t="s">
        <v>1213</v>
      </c>
      <c r="P210" s="144">
        <v>4778406</v>
      </c>
      <c r="Q210" s="143" t="s">
        <v>1214</v>
      </c>
      <c r="R210" s="143" t="s">
        <v>2818</v>
      </c>
      <c r="S210" s="144" t="s">
        <v>3928</v>
      </c>
      <c r="T210" s="144">
        <v>22808.392600000003</v>
      </c>
      <c r="U210" s="146">
        <v>3.3183375000000001E-2</v>
      </c>
      <c r="V210" s="146">
        <v>1.4171861278025225E-2</v>
      </c>
      <c r="W210" s="147">
        <v>2.9113186072612469E-3</v>
      </c>
      <c r="X210" s="177"/>
    </row>
    <row r="211" spans="1:24" x14ac:dyDescent="0.2">
      <c r="A211" s="142" t="s">
        <v>1220</v>
      </c>
      <c r="B211" s="143" t="s">
        <v>1220</v>
      </c>
      <c r="C211" s="143" t="s">
        <v>2792</v>
      </c>
      <c r="D211" s="143" t="s">
        <v>2793</v>
      </c>
      <c r="E211" s="143" t="s">
        <v>313</v>
      </c>
      <c r="F211" s="143" t="s">
        <v>2794</v>
      </c>
      <c r="G211" s="143" t="s">
        <v>2795</v>
      </c>
      <c r="H211" s="143" t="s">
        <v>321</v>
      </c>
      <c r="I211" s="143" t="s">
        <v>965</v>
      </c>
      <c r="J211" s="143" t="s">
        <v>205</v>
      </c>
      <c r="K211" s="143" t="s">
        <v>243</v>
      </c>
      <c r="L211" s="143" t="s">
        <v>344</v>
      </c>
      <c r="M211" s="143" t="s">
        <v>707</v>
      </c>
      <c r="N211" s="143" t="s">
        <v>339</v>
      </c>
      <c r="O211" s="143" t="s">
        <v>1211</v>
      </c>
      <c r="P211" s="144">
        <v>94712</v>
      </c>
      <c r="Q211" s="143" t="s">
        <v>1212</v>
      </c>
      <c r="R211" s="143" t="s">
        <v>2796</v>
      </c>
      <c r="S211" s="144" t="s">
        <v>3928</v>
      </c>
      <c r="T211" s="144">
        <v>22474.362000000001</v>
      </c>
      <c r="U211" s="146">
        <v>1.6659982409850485E-3</v>
      </c>
      <c r="V211" s="146">
        <v>1.3964313304215407E-2</v>
      </c>
      <c r="W211" s="147">
        <v>2.8686821273947089E-3</v>
      </c>
      <c r="X211" s="177"/>
    </row>
    <row r="212" spans="1:24" x14ac:dyDescent="0.2">
      <c r="A212" s="142" t="s">
        <v>1220</v>
      </c>
      <c r="B212" s="143" t="s">
        <v>1220</v>
      </c>
      <c r="C212" s="143" t="s">
        <v>2802</v>
      </c>
      <c r="D212" s="143" t="s">
        <v>2803</v>
      </c>
      <c r="E212" s="143" t="s">
        <v>313</v>
      </c>
      <c r="F212" s="143" t="s">
        <v>2804</v>
      </c>
      <c r="G212" s="143" t="s">
        <v>2805</v>
      </c>
      <c r="H212" s="143" t="s">
        <v>321</v>
      </c>
      <c r="I212" s="143" t="s">
        <v>965</v>
      </c>
      <c r="J212" s="143" t="s">
        <v>205</v>
      </c>
      <c r="K212" s="143" t="s">
        <v>224</v>
      </c>
      <c r="L212" s="143" t="s">
        <v>344</v>
      </c>
      <c r="M212" s="143" t="s">
        <v>708</v>
      </c>
      <c r="N212" s="143" t="s">
        <v>339</v>
      </c>
      <c r="O212" s="143" t="s">
        <v>1211</v>
      </c>
      <c r="P212" s="144">
        <v>39348</v>
      </c>
      <c r="Q212" s="143" t="s">
        <v>1212</v>
      </c>
      <c r="R212" s="143" t="s">
        <v>2806</v>
      </c>
      <c r="S212" s="144">
        <v>8.9437999999999995</v>
      </c>
      <c r="T212" s="144">
        <v>21877.790300000001</v>
      </c>
      <c r="U212" s="146">
        <v>9.5504854368932035E-4</v>
      </c>
      <c r="V212" s="146">
        <v>1.3599194141565494E-2</v>
      </c>
      <c r="W212" s="147">
        <v>2.7936758744236483E-3</v>
      </c>
      <c r="X212" s="177"/>
    </row>
    <row r="213" spans="1:24" x14ac:dyDescent="0.2">
      <c r="A213" s="142" t="s">
        <v>1220</v>
      </c>
      <c r="B213" s="143" t="s">
        <v>1220</v>
      </c>
      <c r="C213" s="143" t="s">
        <v>2926</v>
      </c>
      <c r="D213" s="143" t="s">
        <v>2927</v>
      </c>
      <c r="E213" s="143" t="s">
        <v>313</v>
      </c>
      <c r="F213" s="143" t="s">
        <v>2926</v>
      </c>
      <c r="G213" s="143" t="s">
        <v>2928</v>
      </c>
      <c r="H213" s="143" t="s">
        <v>321</v>
      </c>
      <c r="I213" s="143" t="s">
        <v>965</v>
      </c>
      <c r="J213" s="143" t="s">
        <v>205</v>
      </c>
      <c r="K213" s="143" t="s">
        <v>293</v>
      </c>
      <c r="L213" s="143" t="s">
        <v>368</v>
      </c>
      <c r="M213" s="143" t="s">
        <v>610</v>
      </c>
      <c r="N213" s="143" t="s">
        <v>339</v>
      </c>
      <c r="O213" s="143" t="s">
        <v>1218</v>
      </c>
      <c r="P213" s="144">
        <v>53253</v>
      </c>
      <c r="Q213" s="143" t="s">
        <v>1219</v>
      </c>
      <c r="R213" s="143" t="s">
        <v>2929</v>
      </c>
      <c r="S213" s="144" t="s">
        <v>3928</v>
      </c>
      <c r="T213" s="144">
        <v>19616.243300000002</v>
      </c>
      <c r="U213" s="146">
        <v>1.9449598246895544E-2</v>
      </c>
      <c r="V213" s="146">
        <v>1.2188437991449795E-2</v>
      </c>
      <c r="W213" s="147">
        <v>2.5038649209034778E-3</v>
      </c>
      <c r="X213" s="177"/>
    </row>
    <row r="214" spans="1:24" x14ac:dyDescent="0.2">
      <c r="A214" s="142" t="s">
        <v>1220</v>
      </c>
      <c r="B214" s="143" t="s">
        <v>1220</v>
      </c>
      <c r="C214" s="143" t="s">
        <v>2779</v>
      </c>
      <c r="D214" s="143" t="s">
        <v>2780</v>
      </c>
      <c r="E214" s="143" t="s">
        <v>313</v>
      </c>
      <c r="F214" s="143" t="s">
        <v>2781</v>
      </c>
      <c r="G214" s="143" t="s">
        <v>2782</v>
      </c>
      <c r="H214" s="143" t="s">
        <v>321</v>
      </c>
      <c r="I214" s="143" t="s">
        <v>965</v>
      </c>
      <c r="J214" s="143" t="s">
        <v>205</v>
      </c>
      <c r="K214" s="143" t="s">
        <v>224</v>
      </c>
      <c r="L214" s="143" t="s">
        <v>344</v>
      </c>
      <c r="M214" s="143" t="s">
        <v>602</v>
      </c>
      <c r="N214" s="143" t="s">
        <v>339</v>
      </c>
      <c r="O214" s="143" t="s">
        <v>1211</v>
      </c>
      <c r="P214" s="144">
        <v>21179</v>
      </c>
      <c r="Q214" s="143" t="s">
        <v>1212</v>
      </c>
      <c r="R214" s="143" t="s">
        <v>2783</v>
      </c>
      <c r="S214" s="144">
        <v>15.930629999999999</v>
      </c>
      <c r="T214" s="144">
        <v>17415.3334</v>
      </c>
      <c r="U214" s="146">
        <v>6.9621959237343856E-5</v>
      </c>
      <c r="V214" s="146">
        <v>1.0830813870483859E-2</v>
      </c>
      <c r="W214" s="147">
        <v>2.224968854431002E-3</v>
      </c>
      <c r="X214" s="177"/>
    </row>
    <row r="215" spans="1:24" x14ac:dyDescent="0.2">
      <c r="A215" s="142" t="s">
        <v>1220</v>
      </c>
      <c r="B215" s="143" t="s">
        <v>1220</v>
      </c>
      <c r="C215" s="143" t="s">
        <v>2935</v>
      </c>
      <c r="D215" s="143" t="s">
        <v>2936</v>
      </c>
      <c r="E215" s="143" t="s">
        <v>313</v>
      </c>
      <c r="F215" s="143" t="s">
        <v>2935</v>
      </c>
      <c r="G215" s="143" t="s">
        <v>2937</v>
      </c>
      <c r="H215" s="143" t="s">
        <v>321</v>
      </c>
      <c r="I215" s="143" t="s">
        <v>965</v>
      </c>
      <c r="J215" s="143" t="s">
        <v>205</v>
      </c>
      <c r="K215" s="143" t="s">
        <v>293</v>
      </c>
      <c r="L215" s="143" t="s">
        <v>364</v>
      </c>
      <c r="M215" s="143" t="s">
        <v>610</v>
      </c>
      <c r="N215" s="143" t="s">
        <v>339</v>
      </c>
      <c r="O215" s="143" t="s">
        <v>1218</v>
      </c>
      <c r="P215" s="144">
        <v>25307</v>
      </c>
      <c r="Q215" s="143" t="s">
        <v>1219</v>
      </c>
      <c r="R215" s="143" t="s">
        <v>2938</v>
      </c>
      <c r="S215" s="144" t="s">
        <v>3928</v>
      </c>
      <c r="T215" s="144">
        <v>16443.8776</v>
      </c>
      <c r="U215" s="146">
        <v>9.3799110452186807E-3</v>
      </c>
      <c r="V215" s="146">
        <v>1.0217307110147865E-2</v>
      </c>
      <c r="W215" s="147">
        <v>2.0989364574150733E-3</v>
      </c>
      <c r="X215" s="177"/>
    </row>
    <row r="216" spans="1:24" x14ac:dyDescent="0.2">
      <c r="A216" s="142" t="s">
        <v>1220</v>
      </c>
      <c r="B216" s="143" t="s">
        <v>1220</v>
      </c>
      <c r="C216" s="143" t="s">
        <v>2939</v>
      </c>
      <c r="D216" s="143" t="s">
        <v>2940</v>
      </c>
      <c r="E216" s="143" t="s">
        <v>313</v>
      </c>
      <c r="F216" s="143" t="s">
        <v>2941</v>
      </c>
      <c r="G216" s="143" t="s">
        <v>2942</v>
      </c>
      <c r="H216" s="143" t="s">
        <v>321</v>
      </c>
      <c r="I216" s="143" t="s">
        <v>965</v>
      </c>
      <c r="J216" s="143" t="s">
        <v>205</v>
      </c>
      <c r="K216" s="143" t="s">
        <v>233</v>
      </c>
      <c r="L216" s="143" t="s">
        <v>380</v>
      </c>
      <c r="M216" s="143" t="s">
        <v>587</v>
      </c>
      <c r="N216" s="143" t="s">
        <v>339</v>
      </c>
      <c r="O216" s="143" t="s">
        <v>1216</v>
      </c>
      <c r="P216" s="144">
        <v>408032</v>
      </c>
      <c r="Q216" s="143" t="s">
        <v>1217</v>
      </c>
      <c r="R216" s="143" t="s">
        <v>2943</v>
      </c>
      <c r="S216" s="144" t="s">
        <v>3928</v>
      </c>
      <c r="T216" s="144">
        <v>16224.811599999999</v>
      </c>
      <c r="U216" s="146">
        <v>2.9387399988044298E-4</v>
      </c>
      <c r="V216" s="146">
        <v>1.0081191731695669E-2</v>
      </c>
      <c r="W216" s="147">
        <v>2.0709743410601278E-3</v>
      </c>
      <c r="X216" s="177"/>
    </row>
    <row r="217" spans="1:24" x14ac:dyDescent="0.2">
      <c r="A217" s="142" t="s">
        <v>1220</v>
      </c>
      <c r="B217" s="143" t="s">
        <v>1220</v>
      </c>
      <c r="C217" s="143" t="s">
        <v>2826</v>
      </c>
      <c r="D217" s="143" t="s">
        <v>2827</v>
      </c>
      <c r="E217" s="143" t="s">
        <v>313</v>
      </c>
      <c r="F217" s="143" t="s">
        <v>2828</v>
      </c>
      <c r="G217" s="143" t="s">
        <v>2829</v>
      </c>
      <c r="H217" s="143" t="s">
        <v>321</v>
      </c>
      <c r="I217" s="143" t="s">
        <v>965</v>
      </c>
      <c r="J217" s="143" t="s">
        <v>205</v>
      </c>
      <c r="K217" s="143" t="s">
        <v>224</v>
      </c>
      <c r="L217" s="143" t="s">
        <v>344</v>
      </c>
      <c r="M217" s="143" t="s">
        <v>708</v>
      </c>
      <c r="N217" s="143" t="s">
        <v>339</v>
      </c>
      <c r="O217" s="143" t="s">
        <v>1211</v>
      </c>
      <c r="P217" s="144">
        <v>93317</v>
      </c>
      <c r="Q217" s="143" t="s">
        <v>1212</v>
      </c>
      <c r="R217" s="143" t="s">
        <v>2830</v>
      </c>
      <c r="S217" s="144" t="s">
        <v>3928</v>
      </c>
      <c r="T217" s="144">
        <v>15465.025099999999</v>
      </c>
      <c r="U217" s="146">
        <v>7.0882643372578811E-4</v>
      </c>
      <c r="V217" s="146">
        <v>9.6091028623809978E-3</v>
      </c>
      <c r="W217" s="147">
        <v>1.973993352991337E-3</v>
      </c>
      <c r="X217" s="177"/>
    </row>
    <row r="218" spans="1:24" x14ac:dyDescent="0.2">
      <c r="A218" s="142" t="s">
        <v>1220</v>
      </c>
      <c r="B218" s="143" t="s">
        <v>1220</v>
      </c>
      <c r="C218" s="143" t="s">
        <v>2802</v>
      </c>
      <c r="D218" s="143" t="s">
        <v>2803</v>
      </c>
      <c r="E218" s="143" t="s">
        <v>313</v>
      </c>
      <c r="F218" s="143" t="s">
        <v>2823</v>
      </c>
      <c r="G218" s="143" t="s">
        <v>2824</v>
      </c>
      <c r="H218" s="143" t="s">
        <v>321</v>
      </c>
      <c r="I218" s="143" t="s">
        <v>965</v>
      </c>
      <c r="J218" s="143" t="s">
        <v>205</v>
      </c>
      <c r="K218" s="143" t="s">
        <v>224</v>
      </c>
      <c r="L218" s="143" t="s">
        <v>344</v>
      </c>
      <c r="M218" s="143" t="s">
        <v>707</v>
      </c>
      <c r="N218" s="143" t="s">
        <v>339</v>
      </c>
      <c r="O218" s="143" t="s">
        <v>1211</v>
      </c>
      <c r="P218" s="144">
        <v>72542</v>
      </c>
      <c r="Q218" s="143" t="s">
        <v>1212</v>
      </c>
      <c r="R218" s="143" t="s">
        <v>2825</v>
      </c>
      <c r="S218" s="144" t="s">
        <v>3928</v>
      </c>
      <c r="T218" s="144">
        <v>14498.077300000001</v>
      </c>
      <c r="U218" s="146">
        <v>8.6359523809523807E-4</v>
      </c>
      <c r="V218" s="146">
        <v>9.0082954604683938E-3</v>
      </c>
      <c r="W218" s="147">
        <v>1.8505697790335072E-3</v>
      </c>
      <c r="X218" s="177"/>
    </row>
    <row r="219" spans="1:24" x14ac:dyDescent="0.2">
      <c r="A219" s="142" t="s">
        <v>1220</v>
      </c>
      <c r="B219" s="143" t="s">
        <v>1220</v>
      </c>
      <c r="C219" s="143" t="s">
        <v>2944</v>
      </c>
      <c r="D219" s="143" t="s">
        <v>2945</v>
      </c>
      <c r="E219" s="143" t="s">
        <v>313</v>
      </c>
      <c r="F219" s="143" t="s">
        <v>2944</v>
      </c>
      <c r="G219" s="143" t="s">
        <v>2946</v>
      </c>
      <c r="H219" s="143" t="s">
        <v>321</v>
      </c>
      <c r="I219" s="143" t="s">
        <v>965</v>
      </c>
      <c r="J219" s="143" t="s">
        <v>205</v>
      </c>
      <c r="K219" s="143" t="s">
        <v>224</v>
      </c>
      <c r="L219" s="143" t="s">
        <v>344</v>
      </c>
      <c r="M219" s="143" t="s">
        <v>708</v>
      </c>
      <c r="N219" s="143" t="s">
        <v>339</v>
      </c>
      <c r="O219" s="143" t="s">
        <v>1211</v>
      </c>
      <c r="P219" s="144">
        <v>30674</v>
      </c>
      <c r="Q219" s="143" t="s">
        <v>1212</v>
      </c>
      <c r="R219" s="143" t="s">
        <v>2947</v>
      </c>
      <c r="S219" s="144" t="s">
        <v>3928</v>
      </c>
      <c r="T219" s="144">
        <v>14174.9953</v>
      </c>
      <c r="U219" s="146">
        <v>2.2389781021897809E-3</v>
      </c>
      <c r="V219" s="146">
        <v>8.8075503438459213E-3</v>
      </c>
      <c r="W219" s="147">
        <v>1.8093308068283494E-3</v>
      </c>
      <c r="X219" s="177"/>
    </row>
    <row r="220" spans="1:24" x14ac:dyDescent="0.2">
      <c r="A220" s="142" t="s">
        <v>1220</v>
      </c>
      <c r="B220" s="143" t="s">
        <v>1220</v>
      </c>
      <c r="C220" s="143" t="s">
        <v>2807</v>
      </c>
      <c r="D220" s="143" t="s">
        <v>2714</v>
      </c>
      <c r="E220" s="143" t="s">
        <v>313</v>
      </c>
      <c r="F220" s="143" t="s">
        <v>2807</v>
      </c>
      <c r="G220" s="143" t="s">
        <v>2808</v>
      </c>
      <c r="H220" s="143" t="s">
        <v>321</v>
      </c>
      <c r="I220" s="143" t="s">
        <v>965</v>
      </c>
      <c r="J220" s="143" t="s">
        <v>205</v>
      </c>
      <c r="K220" s="143" t="s">
        <v>301</v>
      </c>
      <c r="L220" s="143" t="s">
        <v>314</v>
      </c>
      <c r="M220" s="143" t="s">
        <v>596</v>
      </c>
      <c r="N220" s="143" t="s">
        <v>339</v>
      </c>
      <c r="O220" s="143" t="s">
        <v>1218</v>
      </c>
      <c r="P220" s="144">
        <v>68692</v>
      </c>
      <c r="Q220" s="143" t="s">
        <v>1219</v>
      </c>
      <c r="R220" s="143" t="s">
        <v>2809</v>
      </c>
      <c r="S220" s="144" t="s">
        <v>3928</v>
      </c>
      <c r="T220" s="144">
        <v>13360.770400000001</v>
      </c>
      <c r="U220" s="146">
        <v>2.360549828178694E-3</v>
      </c>
      <c r="V220" s="146">
        <v>8.3016365087621585E-3</v>
      </c>
      <c r="W220" s="147">
        <v>1.7054011724031181E-3</v>
      </c>
      <c r="X220" s="177"/>
    </row>
    <row r="221" spans="1:24" x14ac:dyDescent="0.2">
      <c r="A221" s="142" t="s">
        <v>1220</v>
      </c>
      <c r="B221" s="143" t="s">
        <v>1220</v>
      </c>
      <c r="C221" s="143" t="s">
        <v>2948</v>
      </c>
      <c r="D221" s="143" t="s">
        <v>2949</v>
      </c>
      <c r="E221" s="143" t="s">
        <v>313</v>
      </c>
      <c r="F221" s="143" t="s">
        <v>2948</v>
      </c>
      <c r="G221" s="143" t="s">
        <v>2950</v>
      </c>
      <c r="H221" s="143" t="s">
        <v>321</v>
      </c>
      <c r="I221" s="143" t="s">
        <v>965</v>
      </c>
      <c r="J221" s="143" t="s">
        <v>205</v>
      </c>
      <c r="K221" s="143" t="s">
        <v>224</v>
      </c>
      <c r="L221" s="143" t="s">
        <v>314</v>
      </c>
      <c r="M221" s="143" t="s">
        <v>708</v>
      </c>
      <c r="N221" s="143" t="s">
        <v>339</v>
      </c>
      <c r="O221" s="143" t="s">
        <v>1211</v>
      </c>
      <c r="P221" s="144">
        <v>28430</v>
      </c>
      <c r="Q221" s="143" t="s">
        <v>1212</v>
      </c>
      <c r="R221" s="143" t="s">
        <v>2951</v>
      </c>
      <c r="S221" s="144" t="s">
        <v>3928</v>
      </c>
      <c r="T221" s="144">
        <v>13171.755499999999</v>
      </c>
      <c r="U221" s="146">
        <v>9.8034482758620686E-3</v>
      </c>
      <c r="V221" s="146">
        <v>8.1841931668036084E-3</v>
      </c>
      <c r="W221" s="147">
        <v>1.6812748434731951E-3</v>
      </c>
      <c r="X221" s="177"/>
    </row>
    <row r="222" spans="1:24" ht="15" x14ac:dyDescent="0.2">
      <c r="A222" s="142" t="s">
        <v>1220</v>
      </c>
      <c r="B222" s="143" t="s">
        <v>1220</v>
      </c>
      <c r="C222" s="143" t="s">
        <v>2668</v>
      </c>
      <c r="D222" s="143" t="s">
        <v>2669</v>
      </c>
      <c r="E222" s="143" t="s">
        <v>309</v>
      </c>
      <c r="F222" s="143" t="s">
        <v>2952</v>
      </c>
      <c r="G222" s="143" t="s">
        <v>2953</v>
      </c>
      <c r="H222" s="143" t="s">
        <v>321</v>
      </c>
      <c r="I222" s="143" t="s">
        <v>965</v>
      </c>
      <c r="J222" s="143" t="s">
        <v>205</v>
      </c>
      <c r="K222" s="143" t="s">
        <v>224</v>
      </c>
      <c r="L222" s="143" t="s">
        <v>340</v>
      </c>
      <c r="M222" s="143" t="s">
        <v>708</v>
      </c>
      <c r="N222" s="143" t="s">
        <v>339</v>
      </c>
      <c r="O222" s="143" t="s">
        <v>1210</v>
      </c>
      <c r="P222" s="144">
        <v>501742</v>
      </c>
      <c r="Q222" s="145" t="s">
        <v>3930</v>
      </c>
      <c r="R222" s="143" t="s">
        <v>2954</v>
      </c>
      <c r="S222" s="144" t="s">
        <v>3928</v>
      </c>
      <c r="T222" s="144">
        <v>12764.316500000001</v>
      </c>
      <c r="U222" s="146">
        <v>0.11149822222222222</v>
      </c>
      <c r="V222" s="146">
        <v>7.9310333387263288E-3</v>
      </c>
      <c r="W222" s="147">
        <v>1.6292683424474425E-3</v>
      </c>
      <c r="X222" s="177"/>
    </row>
    <row r="223" spans="1:24" x14ac:dyDescent="0.2">
      <c r="A223" s="142" t="s">
        <v>1220</v>
      </c>
      <c r="B223" s="143" t="s">
        <v>1220</v>
      </c>
      <c r="C223" s="143" t="s">
        <v>2955</v>
      </c>
      <c r="D223" s="143" t="s">
        <v>2956</v>
      </c>
      <c r="E223" s="143" t="s">
        <v>313</v>
      </c>
      <c r="F223" s="143" t="s">
        <v>2955</v>
      </c>
      <c r="G223" s="143" t="s">
        <v>2957</v>
      </c>
      <c r="H223" s="143" t="s">
        <v>321</v>
      </c>
      <c r="I223" s="143" t="s">
        <v>965</v>
      </c>
      <c r="J223" s="143" t="s">
        <v>205</v>
      </c>
      <c r="K223" s="143" t="s">
        <v>224</v>
      </c>
      <c r="L223" s="143" t="s">
        <v>344</v>
      </c>
      <c r="M223" s="143" t="s">
        <v>708</v>
      </c>
      <c r="N223" s="143" t="s">
        <v>339</v>
      </c>
      <c r="O223" s="143" t="s">
        <v>1211</v>
      </c>
      <c r="P223" s="144">
        <v>29213</v>
      </c>
      <c r="Q223" s="143" t="s">
        <v>1212</v>
      </c>
      <c r="R223" s="143" t="s">
        <v>2958</v>
      </c>
      <c r="S223" s="144" t="s">
        <v>3928</v>
      </c>
      <c r="T223" s="144">
        <v>8754.9549999999999</v>
      </c>
      <c r="U223" s="146">
        <v>1.2448332580515951E-4</v>
      </c>
      <c r="V223" s="146">
        <v>5.4398400360462914E-3</v>
      </c>
      <c r="W223" s="147">
        <v>1.1175037072951846E-3</v>
      </c>
      <c r="X223" s="177"/>
    </row>
    <row r="224" spans="1:24" x14ac:dyDescent="0.2">
      <c r="A224" s="142" t="s">
        <v>1220</v>
      </c>
      <c r="B224" s="143" t="s">
        <v>1220</v>
      </c>
      <c r="C224" s="143" t="s">
        <v>2819</v>
      </c>
      <c r="D224" s="143" t="s">
        <v>2820</v>
      </c>
      <c r="E224" s="143" t="s">
        <v>313</v>
      </c>
      <c r="F224" s="143" t="s">
        <v>2819</v>
      </c>
      <c r="G224" s="143" t="s">
        <v>2821</v>
      </c>
      <c r="H224" s="143" t="s">
        <v>321</v>
      </c>
      <c r="I224" s="143" t="s">
        <v>965</v>
      </c>
      <c r="J224" s="143" t="s">
        <v>205</v>
      </c>
      <c r="K224" s="143" t="s">
        <v>224</v>
      </c>
      <c r="L224" s="143" t="s">
        <v>344</v>
      </c>
      <c r="M224" s="143" t="s">
        <v>703</v>
      </c>
      <c r="N224" s="143" t="s">
        <v>339</v>
      </c>
      <c r="O224" s="143" t="s">
        <v>1211</v>
      </c>
      <c r="P224" s="144">
        <v>53271</v>
      </c>
      <c r="Q224" s="143" t="s">
        <v>1212</v>
      </c>
      <c r="R224" s="143" t="s">
        <v>2822</v>
      </c>
      <c r="S224" s="144" t="s">
        <v>3928</v>
      </c>
      <c r="T224" s="144">
        <v>8520.0625</v>
      </c>
      <c r="U224" s="146">
        <v>1.6080354986718183E-3</v>
      </c>
      <c r="V224" s="146">
        <v>5.293890984329537E-3</v>
      </c>
      <c r="W224" s="147">
        <v>1.0875214641981558E-3</v>
      </c>
      <c r="X224" s="177"/>
    </row>
    <row r="225" spans="1:24" x14ac:dyDescent="0.2">
      <c r="A225" s="142" t="s">
        <v>1220</v>
      </c>
      <c r="B225" s="143" t="s">
        <v>1220</v>
      </c>
      <c r="C225" s="143" t="s">
        <v>2802</v>
      </c>
      <c r="D225" s="143" t="s">
        <v>2803</v>
      </c>
      <c r="E225" s="143" t="s">
        <v>313</v>
      </c>
      <c r="F225" s="143" t="s">
        <v>2831</v>
      </c>
      <c r="G225" s="143" t="s">
        <v>2832</v>
      </c>
      <c r="H225" s="143" t="s">
        <v>321</v>
      </c>
      <c r="I225" s="143" t="s">
        <v>965</v>
      </c>
      <c r="J225" s="143" t="s">
        <v>205</v>
      </c>
      <c r="K225" s="143" t="s">
        <v>224</v>
      </c>
      <c r="L225" s="143" t="s">
        <v>344</v>
      </c>
      <c r="M225" s="143" t="s">
        <v>708</v>
      </c>
      <c r="N225" s="143" t="s">
        <v>339</v>
      </c>
      <c r="O225" s="143" t="s">
        <v>1211</v>
      </c>
      <c r="P225" s="144">
        <v>37569</v>
      </c>
      <c r="Q225" s="143" t="s">
        <v>1212</v>
      </c>
      <c r="R225" s="143" t="s">
        <v>2833</v>
      </c>
      <c r="S225" s="144">
        <v>2.9923699999999998</v>
      </c>
      <c r="T225" s="144">
        <v>8265.2438999999995</v>
      </c>
      <c r="U225" s="146">
        <v>3.1346683354192741E-4</v>
      </c>
      <c r="V225" s="146">
        <v>5.1374202273322522E-3</v>
      </c>
      <c r="W225" s="147">
        <v>1.0553777522748109E-3</v>
      </c>
      <c r="X225" s="177"/>
    </row>
    <row r="226" spans="1:24" x14ac:dyDescent="0.2">
      <c r="A226" s="142" t="s">
        <v>1220</v>
      </c>
      <c r="B226" s="143" t="s">
        <v>1220</v>
      </c>
      <c r="C226" s="143" t="s">
        <v>2959</v>
      </c>
      <c r="D226" s="143" t="s">
        <v>2960</v>
      </c>
      <c r="E226" s="143" t="s">
        <v>313</v>
      </c>
      <c r="F226" s="143" t="s">
        <v>2961</v>
      </c>
      <c r="G226" s="143" t="s">
        <v>2962</v>
      </c>
      <c r="H226" s="143" t="s">
        <v>321</v>
      </c>
      <c r="I226" s="143" t="s">
        <v>965</v>
      </c>
      <c r="J226" s="143" t="s">
        <v>205</v>
      </c>
      <c r="K226" s="143" t="s">
        <v>224</v>
      </c>
      <c r="L226" s="143" t="s">
        <v>344</v>
      </c>
      <c r="M226" s="143" t="s">
        <v>589</v>
      </c>
      <c r="N226" s="143" t="s">
        <v>339</v>
      </c>
      <c r="O226" s="143" t="s">
        <v>1211</v>
      </c>
      <c r="P226" s="144">
        <v>18747</v>
      </c>
      <c r="Q226" s="143" t="s">
        <v>1212</v>
      </c>
      <c r="R226" s="143" t="s">
        <v>2963</v>
      </c>
      <c r="S226" s="144" t="s">
        <v>3928</v>
      </c>
      <c r="T226" s="144">
        <v>6295.0945000000002</v>
      </c>
      <c r="U226" s="146">
        <v>4.2850285714285717E-3</v>
      </c>
      <c r="V226" s="146">
        <v>3.9114201232671418E-3</v>
      </c>
      <c r="W226" s="147">
        <v>8.0352114392630313E-4</v>
      </c>
      <c r="X226" s="177"/>
    </row>
    <row r="227" spans="1:24" x14ac:dyDescent="0.2">
      <c r="A227" s="142" t="s">
        <v>1220</v>
      </c>
      <c r="B227" s="143" t="s">
        <v>1220</v>
      </c>
      <c r="C227" s="143" t="s">
        <v>2857</v>
      </c>
      <c r="D227" s="143" t="s">
        <v>2858</v>
      </c>
      <c r="E227" s="143" t="s">
        <v>313</v>
      </c>
      <c r="F227" s="143" t="s">
        <v>2857</v>
      </c>
      <c r="G227" s="143" t="s">
        <v>2859</v>
      </c>
      <c r="H227" s="143" t="s">
        <v>321</v>
      </c>
      <c r="I227" s="143" t="s">
        <v>967</v>
      </c>
      <c r="J227" s="143" t="s">
        <v>205</v>
      </c>
      <c r="K227" s="143" t="s">
        <v>224</v>
      </c>
      <c r="L227" s="143" t="s">
        <v>314</v>
      </c>
      <c r="M227" s="143" t="s">
        <v>677</v>
      </c>
      <c r="N227" s="143" t="s">
        <v>339</v>
      </c>
      <c r="O227" s="143" t="s">
        <v>1211</v>
      </c>
      <c r="P227" s="144">
        <v>129611</v>
      </c>
      <c r="Q227" s="143" t="s">
        <v>1212</v>
      </c>
      <c r="R227" s="143" t="s">
        <v>2860</v>
      </c>
      <c r="S227" s="144" t="s">
        <v>3928</v>
      </c>
      <c r="T227" s="144">
        <v>46421.916400000002</v>
      </c>
      <c r="U227" s="146">
        <v>8.5727230636946893E-3</v>
      </c>
      <c r="V227" s="146">
        <v>2.8843986083349381E-2</v>
      </c>
      <c r="W227" s="147">
        <v>5.9254061089526024E-3</v>
      </c>
      <c r="X227" s="177"/>
    </row>
    <row r="228" spans="1:24" x14ac:dyDescent="0.2">
      <c r="A228" s="142" t="s">
        <v>1220</v>
      </c>
      <c r="B228" s="143" t="s">
        <v>1220</v>
      </c>
      <c r="C228" s="143" t="s">
        <v>2861</v>
      </c>
      <c r="D228" s="143" t="s">
        <v>2862</v>
      </c>
      <c r="E228" s="143" t="s">
        <v>313</v>
      </c>
      <c r="F228" s="143" t="s">
        <v>2861</v>
      </c>
      <c r="G228" s="143" t="s">
        <v>2863</v>
      </c>
      <c r="H228" s="143" t="s">
        <v>321</v>
      </c>
      <c r="I228" s="143" t="s">
        <v>967</v>
      </c>
      <c r="J228" s="143" t="s">
        <v>205</v>
      </c>
      <c r="K228" s="143" t="s">
        <v>224</v>
      </c>
      <c r="L228" s="143" t="s">
        <v>380</v>
      </c>
      <c r="M228" s="143" t="s">
        <v>592</v>
      </c>
      <c r="N228" s="143" t="s">
        <v>339</v>
      </c>
      <c r="O228" s="143" t="s">
        <v>1211</v>
      </c>
      <c r="P228" s="144">
        <v>1693019</v>
      </c>
      <c r="Q228" s="143" t="s">
        <v>1212</v>
      </c>
      <c r="R228" s="143" t="s">
        <v>2864</v>
      </c>
      <c r="S228" s="144" t="s">
        <v>3928</v>
      </c>
      <c r="T228" s="144">
        <v>38245.620900000002</v>
      </c>
      <c r="U228" s="146">
        <v>5.5746427395456039E-3</v>
      </c>
      <c r="V228" s="146">
        <v>2.376369269466741E-2</v>
      </c>
      <c r="W228" s="147">
        <v>4.8817638955088458E-3</v>
      </c>
      <c r="X228" s="177"/>
    </row>
    <row r="229" spans="1:24" x14ac:dyDescent="0.2">
      <c r="A229" s="142" t="s">
        <v>1220</v>
      </c>
      <c r="B229" s="143" t="s">
        <v>1220</v>
      </c>
      <c r="C229" s="143" t="s">
        <v>2868</v>
      </c>
      <c r="D229" s="143" t="s">
        <v>2869</v>
      </c>
      <c r="E229" s="143" t="s">
        <v>313</v>
      </c>
      <c r="F229" s="143" t="s">
        <v>2868</v>
      </c>
      <c r="G229" s="143" t="s">
        <v>2870</v>
      </c>
      <c r="H229" s="143" t="s">
        <v>321</v>
      </c>
      <c r="I229" s="143" t="s">
        <v>967</v>
      </c>
      <c r="J229" s="143" t="s">
        <v>205</v>
      </c>
      <c r="K229" s="143" t="s">
        <v>233</v>
      </c>
      <c r="L229" s="143" t="s">
        <v>380</v>
      </c>
      <c r="M229" s="143" t="s">
        <v>677</v>
      </c>
      <c r="N229" s="143" t="s">
        <v>339</v>
      </c>
      <c r="O229" s="143" t="s">
        <v>1211</v>
      </c>
      <c r="P229" s="144">
        <v>106102</v>
      </c>
      <c r="Q229" s="143" t="s">
        <v>1212</v>
      </c>
      <c r="R229" s="143" t="s">
        <v>2871</v>
      </c>
      <c r="S229" s="144" t="s">
        <v>3928</v>
      </c>
      <c r="T229" s="144">
        <v>38182.926700000004</v>
      </c>
      <c r="U229" s="146">
        <v>3.3181761320990742E-3</v>
      </c>
      <c r="V229" s="146">
        <v>2.3724738055467348E-2</v>
      </c>
      <c r="W229" s="147">
        <v>4.8737614628207599E-3</v>
      </c>
      <c r="X229" s="177"/>
    </row>
    <row r="230" spans="1:24" x14ac:dyDescent="0.2">
      <c r="A230" s="142" t="s">
        <v>1220</v>
      </c>
      <c r="B230" s="143" t="s">
        <v>1220</v>
      </c>
      <c r="C230" s="143" t="s">
        <v>2865</v>
      </c>
      <c r="D230" s="143" t="s">
        <v>2789</v>
      </c>
      <c r="E230" s="143" t="s">
        <v>313</v>
      </c>
      <c r="F230" s="143" t="s">
        <v>2865</v>
      </c>
      <c r="G230" s="143" t="s">
        <v>2866</v>
      </c>
      <c r="H230" s="143" t="s">
        <v>321</v>
      </c>
      <c r="I230" s="143" t="s">
        <v>967</v>
      </c>
      <c r="J230" s="143" t="s">
        <v>205</v>
      </c>
      <c r="K230" s="143" t="s">
        <v>224</v>
      </c>
      <c r="L230" s="143" t="s">
        <v>344</v>
      </c>
      <c r="M230" s="143" t="s">
        <v>592</v>
      </c>
      <c r="N230" s="143" t="s">
        <v>339</v>
      </c>
      <c r="O230" s="143" t="s">
        <v>1211</v>
      </c>
      <c r="P230" s="144">
        <v>1434727</v>
      </c>
      <c r="Q230" s="143" t="s">
        <v>1212</v>
      </c>
      <c r="R230" s="143" t="s">
        <v>2867</v>
      </c>
      <c r="S230" s="144" t="s">
        <v>3928</v>
      </c>
      <c r="T230" s="144">
        <v>31702.818199999998</v>
      </c>
      <c r="U230" s="146">
        <v>2.1061758661186144E-3</v>
      </c>
      <c r="V230" s="146">
        <v>1.9698360530857616E-2</v>
      </c>
      <c r="W230" s="147">
        <v>4.046624675542794E-3</v>
      </c>
      <c r="X230" s="177"/>
    </row>
    <row r="231" spans="1:24" x14ac:dyDescent="0.2">
      <c r="A231" s="142" t="s">
        <v>1220</v>
      </c>
      <c r="B231" s="143" t="s">
        <v>1220</v>
      </c>
      <c r="C231" s="143" t="s">
        <v>2872</v>
      </c>
      <c r="D231" s="143" t="s">
        <v>2873</v>
      </c>
      <c r="E231" s="143" t="s">
        <v>313</v>
      </c>
      <c r="F231" s="143" t="s">
        <v>2872</v>
      </c>
      <c r="G231" s="143" t="s">
        <v>2874</v>
      </c>
      <c r="H231" s="143" t="s">
        <v>321</v>
      </c>
      <c r="I231" s="143" t="s">
        <v>967</v>
      </c>
      <c r="J231" s="143" t="s">
        <v>205</v>
      </c>
      <c r="K231" s="143" t="s">
        <v>224</v>
      </c>
      <c r="L231" s="143" t="s">
        <v>380</v>
      </c>
      <c r="M231" s="143" t="s">
        <v>677</v>
      </c>
      <c r="N231" s="143" t="s">
        <v>339</v>
      </c>
      <c r="O231" s="143" t="s">
        <v>1211</v>
      </c>
      <c r="P231" s="144">
        <v>150020</v>
      </c>
      <c r="Q231" s="143" t="s">
        <v>1212</v>
      </c>
      <c r="R231" s="143" t="s">
        <v>2875</v>
      </c>
      <c r="S231" s="144" t="s">
        <v>3928</v>
      </c>
      <c r="T231" s="144">
        <v>16089.168699999998</v>
      </c>
      <c r="U231" s="146">
        <v>6.5226086956521739E-2</v>
      </c>
      <c r="V231" s="146">
        <v>9.9969107977666803E-3</v>
      </c>
      <c r="W231" s="147">
        <v>2.0536605495707007E-3</v>
      </c>
      <c r="X231" s="177"/>
    </row>
    <row r="232" spans="1:24" x14ac:dyDescent="0.2">
      <c r="A232" s="148" t="s">
        <v>1220</v>
      </c>
      <c r="B232" s="149" t="s">
        <v>1220</v>
      </c>
      <c r="C232" s="149" t="s">
        <v>2876</v>
      </c>
      <c r="D232" s="149" t="s">
        <v>2873</v>
      </c>
      <c r="E232" s="149" t="s">
        <v>313</v>
      </c>
      <c r="F232" s="149" t="s">
        <v>2876</v>
      </c>
      <c r="G232" s="149" t="s">
        <v>2877</v>
      </c>
      <c r="H232" s="149" t="s">
        <v>321</v>
      </c>
      <c r="I232" s="149" t="s">
        <v>967</v>
      </c>
      <c r="J232" s="149" t="s">
        <v>205</v>
      </c>
      <c r="K232" s="149" t="s">
        <v>224</v>
      </c>
      <c r="L232" s="149" t="s">
        <v>380</v>
      </c>
      <c r="M232" s="149" t="s">
        <v>677</v>
      </c>
      <c r="N232" s="149" t="s">
        <v>339</v>
      </c>
      <c r="O232" s="149" t="s">
        <v>1211</v>
      </c>
      <c r="P232" s="150">
        <v>173620</v>
      </c>
      <c r="Q232" s="149" t="s">
        <v>1212</v>
      </c>
      <c r="R232" s="149" t="s">
        <v>2878</v>
      </c>
      <c r="S232" s="150" t="s">
        <v>3928</v>
      </c>
      <c r="T232" s="150">
        <v>14042.038400000001</v>
      </c>
      <c r="U232" s="152">
        <v>3.1003571428571429E-2</v>
      </c>
      <c r="V232" s="152">
        <v>8.724938350700779E-3</v>
      </c>
      <c r="W232" s="153">
        <v>1.7923598650368628E-3</v>
      </c>
      <c r="X232" s="177"/>
    </row>
    <row r="233" spans="1:24" x14ac:dyDescent="0.2">
      <c r="A233" s="177" t="s">
        <v>3946</v>
      </c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</row>
    <row r="234" spans="1:24" x14ac:dyDescent="0.2">
      <c r="A234" s="2" t="s">
        <v>3945</v>
      </c>
    </row>
    <row r="235" spans="1:24" x14ac:dyDescent="0.2">
      <c r="A235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33:W233"/>
    <mergeCell ref="X2:X23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5.125" style="4" bestFit="1" customWidth="1"/>
    <col min="5" max="5" width="18.125" style="4" customWidth="1"/>
    <col min="6" max="6" width="36.75" style="4" bestFit="1" customWidth="1"/>
    <col min="7" max="7" width="14.7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5.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3956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91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90</v>
      </c>
      <c r="O2" s="140" t="s">
        <v>56</v>
      </c>
      <c r="P2" s="140" t="s">
        <v>59</v>
      </c>
      <c r="Q2" s="140" t="s">
        <v>76</v>
      </c>
      <c r="R2" s="140" t="s">
        <v>61</v>
      </c>
      <c r="S2" s="140" t="s">
        <v>77</v>
      </c>
      <c r="T2" s="140" t="s">
        <v>63</v>
      </c>
      <c r="U2" s="140" t="s">
        <v>79</v>
      </c>
      <c r="V2" s="140" t="s">
        <v>64</v>
      </c>
      <c r="W2" s="141" t="s">
        <v>65</v>
      </c>
      <c r="X2" s="180" t="s">
        <v>3947</v>
      </c>
    </row>
    <row r="3" spans="1:24" x14ac:dyDescent="0.2">
      <c r="A3" s="142" t="s">
        <v>1205</v>
      </c>
      <c r="B3" s="143" t="s">
        <v>1206</v>
      </c>
      <c r="C3" s="143" t="s">
        <v>2979</v>
      </c>
      <c r="D3" s="143" t="s">
        <v>2980</v>
      </c>
      <c r="E3" s="143" t="s">
        <v>313</v>
      </c>
      <c r="F3" s="143" t="s">
        <v>2979</v>
      </c>
      <c r="G3" s="143" t="s">
        <v>2981</v>
      </c>
      <c r="H3" s="143" t="s">
        <v>321</v>
      </c>
      <c r="I3" s="143" t="s">
        <v>969</v>
      </c>
      <c r="J3" s="143" t="s">
        <v>205</v>
      </c>
      <c r="K3" s="143" t="s">
        <v>224</v>
      </c>
      <c r="L3" s="143" t="s">
        <v>325</v>
      </c>
      <c r="M3" s="143" t="s">
        <v>314</v>
      </c>
      <c r="N3" s="143" t="s">
        <v>677</v>
      </c>
      <c r="O3" s="143" t="s">
        <v>339</v>
      </c>
      <c r="P3" s="143" t="s">
        <v>1211</v>
      </c>
      <c r="Q3" s="144">
        <v>13.5</v>
      </c>
      <c r="R3" s="143" t="s">
        <v>1212</v>
      </c>
      <c r="S3" s="143" t="s">
        <v>2982</v>
      </c>
      <c r="T3" s="144">
        <v>12.1311</v>
      </c>
      <c r="U3" s="146">
        <v>3.7458379578246392E-6</v>
      </c>
      <c r="V3" s="146">
        <v>0.13030259124369623</v>
      </c>
      <c r="W3" s="147">
        <v>7.891499996760074E-4</v>
      </c>
      <c r="X3" s="180"/>
    </row>
    <row r="4" spans="1:24" ht="15" x14ac:dyDescent="0.2">
      <c r="A4" s="142" t="s">
        <v>1205</v>
      </c>
      <c r="B4" s="143" t="s">
        <v>1206</v>
      </c>
      <c r="C4" s="143" t="s">
        <v>2983</v>
      </c>
      <c r="D4" s="143" t="s">
        <v>2984</v>
      </c>
      <c r="E4" s="143" t="s">
        <v>313</v>
      </c>
      <c r="F4" s="143" t="s">
        <v>2983</v>
      </c>
      <c r="G4" s="143" t="s">
        <v>2985</v>
      </c>
      <c r="H4" s="143" t="s">
        <v>321</v>
      </c>
      <c r="I4" s="143" t="s">
        <v>917</v>
      </c>
      <c r="J4" s="143" t="s">
        <v>205</v>
      </c>
      <c r="K4" s="143" t="s">
        <v>244</v>
      </c>
      <c r="L4" s="143" t="s">
        <v>325</v>
      </c>
      <c r="M4" s="143" t="s">
        <v>314</v>
      </c>
      <c r="N4" s="143" t="s">
        <v>580</v>
      </c>
      <c r="O4" s="143" t="s">
        <v>339</v>
      </c>
      <c r="P4" s="143" t="s">
        <v>1211</v>
      </c>
      <c r="Q4" s="144">
        <v>589.01</v>
      </c>
      <c r="R4" s="143" t="s">
        <v>1212</v>
      </c>
      <c r="S4" s="143" t="s">
        <v>2986</v>
      </c>
      <c r="T4" s="144">
        <v>35.145199999999996</v>
      </c>
      <c r="U4" s="145" t="s">
        <v>3930</v>
      </c>
      <c r="V4" s="146">
        <v>0.37750233702232694</v>
      </c>
      <c r="W4" s="147">
        <v>2.2862628156159054E-3</v>
      </c>
      <c r="X4" s="180"/>
    </row>
    <row r="5" spans="1:24" x14ac:dyDescent="0.2">
      <c r="A5" s="142" t="s">
        <v>1205</v>
      </c>
      <c r="B5" s="143" t="s">
        <v>1206</v>
      </c>
      <c r="C5" s="143" t="s">
        <v>2987</v>
      </c>
      <c r="D5" s="143" t="s">
        <v>2988</v>
      </c>
      <c r="E5" s="143" t="s">
        <v>313</v>
      </c>
      <c r="F5" s="143" t="s">
        <v>2987</v>
      </c>
      <c r="G5" s="143" t="s">
        <v>2989</v>
      </c>
      <c r="H5" s="143" t="s">
        <v>321</v>
      </c>
      <c r="I5" s="143" t="s">
        <v>917</v>
      </c>
      <c r="J5" s="143" t="s">
        <v>205</v>
      </c>
      <c r="K5" s="143" t="s">
        <v>238</v>
      </c>
      <c r="L5" s="143" t="s">
        <v>325</v>
      </c>
      <c r="M5" s="143" t="s">
        <v>314</v>
      </c>
      <c r="N5" s="143" t="s">
        <v>706</v>
      </c>
      <c r="O5" s="143" t="s">
        <v>339</v>
      </c>
      <c r="P5" s="143" t="s">
        <v>1218</v>
      </c>
      <c r="Q5" s="144">
        <v>34.08</v>
      </c>
      <c r="R5" s="143" t="s">
        <v>1219</v>
      </c>
      <c r="S5" s="143" t="s">
        <v>2990</v>
      </c>
      <c r="T5" s="144">
        <v>27.7197</v>
      </c>
      <c r="U5" s="146">
        <v>6.1963636363636366E-4</v>
      </c>
      <c r="V5" s="146">
        <v>0.2977434171356434</v>
      </c>
      <c r="W5" s="147">
        <v>1.8032198384810973E-3</v>
      </c>
      <c r="X5" s="180"/>
    </row>
    <row r="6" spans="1:24" ht="15" x14ac:dyDescent="0.2">
      <c r="A6" s="142" t="s">
        <v>1205</v>
      </c>
      <c r="B6" s="143" t="s">
        <v>1206</v>
      </c>
      <c r="C6" s="143" t="s">
        <v>2991</v>
      </c>
      <c r="D6" s="143" t="s">
        <v>2992</v>
      </c>
      <c r="E6" s="143" t="s">
        <v>313</v>
      </c>
      <c r="F6" s="143" t="s">
        <v>2991</v>
      </c>
      <c r="G6" s="143" t="s">
        <v>2993</v>
      </c>
      <c r="H6" s="143" t="s">
        <v>321</v>
      </c>
      <c r="I6" s="143" t="s">
        <v>917</v>
      </c>
      <c r="J6" s="143" t="s">
        <v>205</v>
      </c>
      <c r="K6" s="143" t="s">
        <v>220</v>
      </c>
      <c r="L6" s="143" t="s">
        <v>325</v>
      </c>
      <c r="M6" s="143" t="s">
        <v>314</v>
      </c>
      <c r="N6" s="143" t="s">
        <v>599</v>
      </c>
      <c r="O6" s="143" t="s">
        <v>339</v>
      </c>
      <c r="P6" s="143" t="s">
        <v>1211</v>
      </c>
      <c r="Q6" s="144">
        <v>21.86</v>
      </c>
      <c r="R6" s="143" t="s">
        <v>1212</v>
      </c>
      <c r="S6" s="143" t="s">
        <v>2994</v>
      </c>
      <c r="T6" s="144">
        <v>18.103300000000001</v>
      </c>
      <c r="U6" s="145" t="s">
        <v>3930</v>
      </c>
      <c r="V6" s="146">
        <v>0.19445165459833338</v>
      </c>
      <c r="W6" s="147">
        <v>1.1776551924150439E-3</v>
      </c>
      <c r="X6" s="180"/>
    </row>
    <row r="7" spans="1:24" ht="15" x14ac:dyDescent="0.2">
      <c r="A7" s="142" t="s">
        <v>1205</v>
      </c>
      <c r="B7" s="143" t="s">
        <v>1215</v>
      </c>
      <c r="C7" s="143" t="s">
        <v>2995</v>
      </c>
      <c r="D7" s="143" t="s">
        <v>2996</v>
      </c>
      <c r="E7" s="143" t="s">
        <v>314</v>
      </c>
      <c r="F7" s="143" t="s">
        <v>2997</v>
      </c>
      <c r="G7" s="143" t="s">
        <v>2998</v>
      </c>
      <c r="H7" s="143" t="s">
        <v>321</v>
      </c>
      <c r="I7" s="143" t="s">
        <v>969</v>
      </c>
      <c r="J7" s="143" t="s">
        <v>205</v>
      </c>
      <c r="K7" s="143" t="s">
        <v>291</v>
      </c>
      <c r="L7" s="143" t="s">
        <v>325</v>
      </c>
      <c r="M7" s="143" t="s">
        <v>314</v>
      </c>
      <c r="N7" s="143" t="s">
        <v>678</v>
      </c>
      <c r="O7" s="143" t="s">
        <v>339</v>
      </c>
      <c r="P7" s="143" t="s">
        <v>1211</v>
      </c>
      <c r="Q7" s="144">
        <v>3.98</v>
      </c>
      <c r="R7" s="143" t="s">
        <v>1212</v>
      </c>
      <c r="S7" s="143" t="s">
        <v>2999</v>
      </c>
      <c r="T7" s="144">
        <v>19.985199999999999</v>
      </c>
      <c r="U7" s="145" t="s">
        <v>3930</v>
      </c>
      <c r="V7" s="146">
        <v>0.86402669779854635</v>
      </c>
      <c r="W7" s="147">
        <v>5.7007510320639769E-3</v>
      </c>
      <c r="X7" s="180"/>
    </row>
    <row r="8" spans="1:24" x14ac:dyDescent="0.2">
      <c r="A8" s="142" t="s">
        <v>1205</v>
      </c>
      <c r="B8" s="143" t="s">
        <v>1215</v>
      </c>
      <c r="C8" s="143" t="s">
        <v>2979</v>
      </c>
      <c r="D8" s="143" t="s">
        <v>2980</v>
      </c>
      <c r="E8" s="143" t="s">
        <v>313</v>
      </c>
      <c r="F8" s="143" t="s">
        <v>2979</v>
      </c>
      <c r="G8" s="143" t="s">
        <v>2981</v>
      </c>
      <c r="H8" s="143" t="s">
        <v>321</v>
      </c>
      <c r="I8" s="143" t="s">
        <v>969</v>
      </c>
      <c r="J8" s="143" t="s">
        <v>205</v>
      </c>
      <c r="K8" s="143" t="s">
        <v>224</v>
      </c>
      <c r="L8" s="143" t="s">
        <v>325</v>
      </c>
      <c r="M8" s="143" t="s">
        <v>314</v>
      </c>
      <c r="N8" s="143" t="s">
        <v>677</v>
      </c>
      <c r="O8" s="143" t="s">
        <v>339</v>
      </c>
      <c r="P8" s="143" t="s">
        <v>1211</v>
      </c>
      <c r="Q8" s="144">
        <v>3.5</v>
      </c>
      <c r="R8" s="143" t="s">
        <v>1212</v>
      </c>
      <c r="S8" s="143" t="s">
        <v>2982</v>
      </c>
      <c r="T8" s="144">
        <v>3.1450999999999998</v>
      </c>
      <c r="U8" s="146">
        <v>9.7114317425083232E-7</v>
      </c>
      <c r="V8" s="146">
        <v>0.13597330220145371</v>
      </c>
      <c r="W8" s="147">
        <v>8.9713656398938686E-4</v>
      </c>
      <c r="X8" s="180"/>
    </row>
    <row r="9" spans="1:24" ht="15" x14ac:dyDescent="0.2">
      <c r="A9" s="142" t="s">
        <v>1205</v>
      </c>
      <c r="B9" s="143" t="s">
        <v>1205</v>
      </c>
      <c r="C9" s="143" t="s">
        <v>2995</v>
      </c>
      <c r="D9" s="143" t="s">
        <v>2996</v>
      </c>
      <c r="E9" s="143" t="s">
        <v>314</v>
      </c>
      <c r="F9" s="143" t="s">
        <v>2997</v>
      </c>
      <c r="G9" s="143" t="s">
        <v>2998</v>
      </c>
      <c r="H9" s="143" t="s">
        <v>321</v>
      </c>
      <c r="I9" s="143" t="s">
        <v>969</v>
      </c>
      <c r="J9" s="143" t="s">
        <v>205</v>
      </c>
      <c r="K9" s="143" t="s">
        <v>291</v>
      </c>
      <c r="L9" s="143" t="s">
        <v>325</v>
      </c>
      <c r="M9" s="143" t="s">
        <v>314</v>
      </c>
      <c r="N9" s="143" t="s">
        <v>678</v>
      </c>
      <c r="O9" s="143" t="s">
        <v>339</v>
      </c>
      <c r="P9" s="143" t="s">
        <v>1211</v>
      </c>
      <c r="Q9" s="144">
        <v>1019.78</v>
      </c>
      <c r="R9" s="143" t="s">
        <v>1212</v>
      </c>
      <c r="S9" s="143" t="s">
        <v>2999</v>
      </c>
      <c r="T9" s="144">
        <v>5120.7192000000005</v>
      </c>
      <c r="U9" s="145" t="s">
        <v>3930</v>
      </c>
      <c r="V9" s="146">
        <v>0.19610134545217703</v>
      </c>
      <c r="W9" s="147">
        <v>7.4285660036080567E-3</v>
      </c>
      <c r="X9" s="180"/>
    </row>
    <row r="10" spans="1:24" ht="15" x14ac:dyDescent="0.2">
      <c r="A10" s="142" t="s">
        <v>1205</v>
      </c>
      <c r="B10" s="143" t="s">
        <v>1205</v>
      </c>
      <c r="C10" s="143" t="s">
        <v>3000</v>
      </c>
      <c r="D10" s="143" t="s">
        <v>3001</v>
      </c>
      <c r="E10" s="143" t="s">
        <v>313</v>
      </c>
      <c r="F10" s="143" t="s">
        <v>3000</v>
      </c>
      <c r="G10" s="143" t="s">
        <v>3002</v>
      </c>
      <c r="H10" s="143" t="s">
        <v>321</v>
      </c>
      <c r="I10" s="143" t="s">
        <v>969</v>
      </c>
      <c r="J10" s="143" t="s">
        <v>205</v>
      </c>
      <c r="K10" s="143" t="s">
        <v>1639</v>
      </c>
      <c r="L10" s="143" t="s">
        <v>325</v>
      </c>
      <c r="M10" s="143" t="s">
        <v>314</v>
      </c>
      <c r="N10" s="143" t="s">
        <v>596</v>
      </c>
      <c r="O10" s="143" t="s">
        <v>339</v>
      </c>
      <c r="P10" s="143" t="s">
        <v>1211</v>
      </c>
      <c r="Q10" s="144">
        <v>41060.07</v>
      </c>
      <c r="R10" s="143" t="s">
        <v>1212</v>
      </c>
      <c r="S10" s="143" t="s">
        <v>3003</v>
      </c>
      <c r="T10" s="144">
        <v>1817.2396000000001</v>
      </c>
      <c r="U10" s="145" t="s">
        <v>3930</v>
      </c>
      <c r="V10" s="146">
        <v>6.9592399393442889E-2</v>
      </c>
      <c r="W10" s="147">
        <v>2.6362477577682761E-3</v>
      </c>
      <c r="X10" s="180"/>
    </row>
    <row r="11" spans="1:24" x14ac:dyDescent="0.2">
      <c r="A11" s="142" t="s">
        <v>1205</v>
      </c>
      <c r="B11" s="143" t="s">
        <v>1205</v>
      </c>
      <c r="C11" s="143" t="s">
        <v>3004</v>
      </c>
      <c r="D11" s="143" t="s">
        <v>3005</v>
      </c>
      <c r="E11" s="143" t="s">
        <v>313</v>
      </c>
      <c r="F11" s="143" t="s">
        <v>3006</v>
      </c>
      <c r="G11" s="143" t="s">
        <v>3007</v>
      </c>
      <c r="H11" s="143" t="s">
        <v>321</v>
      </c>
      <c r="I11" s="143" t="s">
        <v>969</v>
      </c>
      <c r="J11" s="143" t="s">
        <v>205</v>
      </c>
      <c r="K11" s="143" t="s">
        <v>1639</v>
      </c>
      <c r="L11" s="143" t="s">
        <v>325</v>
      </c>
      <c r="M11" s="143" t="s">
        <v>314</v>
      </c>
      <c r="N11" s="143" t="s">
        <v>678</v>
      </c>
      <c r="O11" s="143" t="s">
        <v>339</v>
      </c>
      <c r="P11" s="143" t="s">
        <v>1211</v>
      </c>
      <c r="Q11" s="144">
        <v>13182.13</v>
      </c>
      <c r="R11" s="143" t="s">
        <v>1212</v>
      </c>
      <c r="S11" s="143" t="s">
        <v>3008</v>
      </c>
      <c r="T11" s="144">
        <v>1718.5463999999999</v>
      </c>
      <c r="U11" s="146">
        <v>2.7046924371127253E-4</v>
      </c>
      <c r="V11" s="146">
        <v>6.5812876235407963E-2</v>
      </c>
      <c r="W11" s="147">
        <v>2.4930746593028468E-3</v>
      </c>
      <c r="X11" s="180"/>
    </row>
    <row r="12" spans="1:24" x14ac:dyDescent="0.2">
      <c r="A12" s="142" t="s">
        <v>1205</v>
      </c>
      <c r="B12" s="143" t="s">
        <v>1205</v>
      </c>
      <c r="C12" s="143" t="s">
        <v>3009</v>
      </c>
      <c r="D12" s="143" t="s">
        <v>3010</v>
      </c>
      <c r="E12" s="143" t="s">
        <v>313</v>
      </c>
      <c r="F12" s="143" t="s">
        <v>3009</v>
      </c>
      <c r="G12" s="143" t="s">
        <v>3011</v>
      </c>
      <c r="H12" s="143" t="s">
        <v>321</v>
      </c>
      <c r="I12" s="143" t="s">
        <v>969</v>
      </c>
      <c r="J12" s="143" t="s">
        <v>205</v>
      </c>
      <c r="K12" s="143" t="s">
        <v>253</v>
      </c>
      <c r="L12" s="143" t="s">
        <v>325</v>
      </c>
      <c r="M12" s="143" t="s">
        <v>314</v>
      </c>
      <c r="N12" s="143" t="s">
        <v>678</v>
      </c>
      <c r="O12" s="143" t="s">
        <v>339</v>
      </c>
      <c r="P12" s="143" t="s">
        <v>1211</v>
      </c>
      <c r="Q12" s="144">
        <v>2041.6</v>
      </c>
      <c r="R12" s="143" t="s">
        <v>1212</v>
      </c>
      <c r="S12" s="143" t="s">
        <v>3012</v>
      </c>
      <c r="T12" s="144">
        <v>1392.3144</v>
      </c>
      <c r="U12" s="146">
        <v>2.4511946212030255E-4</v>
      </c>
      <c r="V12" s="146">
        <v>5.3319607361986453E-2</v>
      </c>
      <c r="W12" s="147">
        <v>2.0198138960325282E-3</v>
      </c>
      <c r="X12" s="180"/>
    </row>
    <row r="13" spans="1:24" x14ac:dyDescent="0.2">
      <c r="A13" s="142" t="s">
        <v>1205</v>
      </c>
      <c r="B13" s="143" t="s">
        <v>1205</v>
      </c>
      <c r="C13" s="143" t="s">
        <v>2979</v>
      </c>
      <c r="D13" s="143" t="s">
        <v>2980</v>
      </c>
      <c r="E13" s="143" t="s">
        <v>313</v>
      </c>
      <c r="F13" s="143" t="s">
        <v>2979</v>
      </c>
      <c r="G13" s="143" t="s">
        <v>2981</v>
      </c>
      <c r="H13" s="143" t="s">
        <v>321</v>
      </c>
      <c r="I13" s="143" t="s">
        <v>969</v>
      </c>
      <c r="J13" s="143" t="s">
        <v>205</v>
      </c>
      <c r="K13" s="143" t="s">
        <v>224</v>
      </c>
      <c r="L13" s="143" t="s">
        <v>325</v>
      </c>
      <c r="M13" s="143" t="s">
        <v>314</v>
      </c>
      <c r="N13" s="143" t="s">
        <v>677</v>
      </c>
      <c r="O13" s="143" t="s">
        <v>339</v>
      </c>
      <c r="P13" s="143" t="s">
        <v>1211</v>
      </c>
      <c r="Q13" s="144">
        <v>1288.5</v>
      </c>
      <c r="R13" s="143" t="s">
        <v>1212</v>
      </c>
      <c r="S13" s="143" t="s">
        <v>2982</v>
      </c>
      <c r="T13" s="144">
        <v>1157.8448999999998</v>
      </c>
      <c r="U13" s="146">
        <v>3.5751942286348499E-4</v>
      </c>
      <c r="V13" s="146">
        <v>4.4340441839737198E-2</v>
      </c>
      <c r="W13" s="147">
        <v>1.6796717945821483E-3</v>
      </c>
      <c r="X13" s="180"/>
    </row>
    <row r="14" spans="1:24" ht="15" x14ac:dyDescent="0.2">
      <c r="A14" s="142" t="s">
        <v>1205</v>
      </c>
      <c r="B14" s="143" t="s">
        <v>1205</v>
      </c>
      <c r="C14" s="143" t="s">
        <v>3013</v>
      </c>
      <c r="D14" s="143" t="s">
        <v>3014</v>
      </c>
      <c r="E14" s="143" t="s">
        <v>309</v>
      </c>
      <c r="F14" s="143" t="s">
        <v>3015</v>
      </c>
      <c r="G14" s="143" t="s">
        <v>3016</v>
      </c>
      <c r="H14" s="143" t="s">
        <v>321</v>
      </c>
      <c r="I14" s="143" t="s">
        <v>917</v>
      </c>
      <c r="J14" s="143" t="s">
        <v>204</v>
      </c>
      <c r="K14" s="143" t="s">
        <v>291</v>
      </c>
      <c r="L14" s="143" t="s">
        <v>325</v>
      </c>
      <c r="M14" s="143" t="s">
        <v>340</v>
      </c>
      <c r="N14" s="143" t="s">
        <v>698</v>
      </c>
      <c r="O14" s="143" t="s">
        <v>339</v>
      </c>
      <c r="P14" s="143" t="s">
        <v>1210</v>
      </c>
      <c r="Q14" s="144">
        <v>1280604.33</v>
      </c>
      <c r="R14" s="145" t="s">
        <v>3930</v>
      </c>
      <c r="S14" s="143" t="s">
        <v>3017</v>
      </c>
      <c r="T14" s="144">
        <v>927.15750000000003</v>
      </c>
      <c r="U14" s="146">
        <v>3.4966889258406719E-3</v>
      </c>
      <c r="V14" s="146">
        <v>3.5506114265151281E-2</v>
      </c>
      <c r="W14" s="147">
        <v>1.3450163370482765E-3</v>
      </c>
      <c r="X14" s="180"/>
    </row>
    <row r="15" spans="1:24" ht="15" x14ac:dyDescent="0.2">
      <c r="A15" s="142" t="s">
        <v>1205</v>
      </c>
      <c r="B15" s="143" t="s">
        <v>1205</v>
      </c>
      <c r="C15" s="143" t="s">
        <v>2983</v>
      </c>
      <c r="D15" s="143" t="s">
        <v>2984</v>
      </c>
      <c r="E15" s="143" t="s">
        <v>313</v>
      </c>
      <c r="F15" s="143" t="s">
        <v>2983</v>
      </c>
      <c r="G15" s="143" t="s">
        <v>2985</v>
      </c>
      <c r="H15" s="143" t="s">
        <v>321</v>
      </c>
      <c r="I15" s="143" t="s">
        <v>917</v>
      </c>
      <c r="J15" s="143" t="s">
        <v>205</v>
      </c>
      <c r="K15" s="143" t="s">
        <v>244</v>
      </c>
      <c r="L15" s="143" t="s">
        <v>325</v>
      </c>
      <c r="M15" s="143" t="s">
        <v>314</v>
      </c>
      <c r="N15" s="143" t="s">
        <v>580</v>
      </c>
      <c r="O15" s="143" t="s">
        <v>339</v>
      </c>
      <c r="P15" s="143" t="s">
        <v>1211</v>
      </c>
      <c r="Q15" s="144">
        <v>67736.58</v>
      </c>
      <c r="R15" s="143" t="s">
        <v>1212</v>
      </c>
      <c r="S15" s="143" t="s">
        <v>2986</v>
      </c>
      <c r="T15" s="144">
        <v>4041.7266</v>
      </c>
      <c r="U15" s="145" t="s">
        <v>3930</v>
      </c>
      <c r="V15" s="146">
        <v>0.1547806091745772</v>
      </c>
      <c r="W15" s="147">
        <v>5.8632844597815833E-3</v>
      </c>
      <c r="X15" s="180"/>
    </row>
    <row r="16" spans="1:24" x14ac:dyDescent="0.2">
      <c r="A16" s="142" t="s">
        <v>1205</v>
      </c>
      <c r="B16" s="143" t="s">
        <v>1205</v>
      </c>
      <c r="C16" s="143" t="s">
        <v>3018</v>
      </c>
      <c r="D16" s="143" t="s">
        <v>3019</v>
      </c>
      <c r="E16" s="143" t="s">
        <v>313</v>
      </c>
      <c r="F16" s="143" t="s">
        <v>3018</v>
      </c>
      <c r="G16" s="143" t="s">
        <v>3020</v>
      </c>
      <c r="H16" s="143" t="s">
        <v>321</v>
      </c>
      <c r="I16" s="143" t="s">
        <v>917</v>
      </c>
      <c r="J16" s="143" t="s">
        <v>205</v>
      </c>
      <c r="K16" s="143" t="s">
        <v>281</v>
      </c>
      <c r="L16" s="143" t="s">
        <v>325</v>
      </c>
      <c r="M16" s="143" t="s">
        <v>314</v>
      </c>
      <c r="N16" s="143" t="s">
        <v>708</v>
      </c>
      <c r="O16" s="143" t="s">
        <v>339</v>
      </c>
      <c r="P16" s="143" t="s">
        <v>1211</v>
      </c>
      <c r="Q16" s="144">
        <v>52079.19</v>
      </c>
      <c r="R16" s="143" t="s">
        <v>1212</v>
      </c>
      <c r="S16" s="143" t="s">
        <v>3021</v>
      </c>
      <c r="T16" s="144">
        <v>2107.1896000000002</v>
      </c>
      <c r="U16" s="146">
        <v>1.2773899926416483E-2</v>
      </c>
      <c r="V16" s="146">
        <v>8.0696228605369957E-2</v>
      </c>
      <c r="W16" s="147">
        <v>3.0568747963201711E-3</v>
      </c>
      <c r="X16" s="180"/>
    </row>
    <row r="17" spans="1:24" x14ac:dyDescent="0.2">
      <c r="A17" s="142" t="s">
        <v>1205</v>
      </c>
      <c r="B17" s="143" t="s">
        <v>1205</v>
      </c>
      <c r="C17" s="143" t="s">
        <v>3022</v>
      </c>
      <c r="D17" s="143" t="s">
        <v>3023</v>
      </c>
      <c r="E17" s="143" t="s">
        <v>313</v>
      </c>
      <c r="F17" s="143" t="s">
        <v>3022</v>
      </c>
      <c r="G17" s="143" t="s">
        <v>3024</v>
      </c>
      <c r="H17" s="143" t="s">
        <v>321</v>
      </c>
      <c r="I17" s="143" t="s">
        <v>917</v>
      </c>
      <c r="J17" s="143" t="s">
        <v>205</v>
      </c>
      <c r="K17" s="143" t="s">
        <v>220</v>
      </c>
      <c r="L17" s="143" t="s">
        <v>325</v>
      </c>
      <c r="M17" s="143" t="s">
        <v>314</v>
      </c>
      <c r="N17" s="143" t="s">
        <v>706</v>
      </c>
      <c r="O17" s="143" t="s">
        <v>339</v>
      </c>
      <c r="P17" s="143" t="s">
        <v>1218</v>
      </c>
      <c r="Q17" s="144">
        <v>8351.16</v>
      </c>
      <c r="R17" s="143" t="s">
        <v>1219</v>
      </c>
      <c r="S17" s="143" t="s">
        <v>3025</v>
      </c>
      <c r="T17" s="144">
        <v>1710.634</v>
      </c>
      <c r="U17" s="146">
        <v>2.0128127259580621E-4</v>
      </c>
      <c r="V17" s="146">
        <v>6.5509866816374676E-2</v>
      </c>
      <c r="W17" s="147">
        <v>2.4815962807949715E-3</v>
      </c>
      <c r="X17" s="180"/>
    </row>
    <row r="18" spans="1:24" x14ac:dyDescent="0.2">
      <c r="A18" s="142" t="s">
        <v>1205</v>
      </c>
      <c r="B18" s="143" t="s">
        <v>1205</v>
      </c>
      <c r="C18" s="143" t="s">
        <v>2987</v>
      </c>
      <c r="D18" s="143" t="s">
        <v>2988</v>
      </c>
      <c r="E18" s="143" t="s">
        <v>313</v>
      </c>
      <c r="F18" s="143" t="s">
        <v>2987</v>
      </c>
      <c r="G18" s="143" t="s">
        <v>2989</v>
      </c>
      <c r="H18" s="143" t="s">
        <v>321</v>
      </c>
      <c r="I18" s="143" t="s">
        <v>917</v>
      </c>
      <c r="J18" s="143" t="s">
        <v>205</v>
      </c>
      <c r="K18" s="143" t="s">
        <v>238</v>
      </c>
      <c r="L18" s="143" t="s">
        <v>325</v>
      </c>
      <c r="M18" s="143" t="s">
        <v>314</v>
      </c>
      <c r="N18" s="143" t="s">
        <v>706</v>
      </c>
      <c r="O18" s="143" t="s">
        <v>339</v>
      </c>
      <c r="P18" s="143" t="s">
        <v>1218</v>
      </c>
      <c r="Q18" s="144">
        <v>2007.01</v>
      </c>
      <c r="R18" s="143" t="s">
        <v>1219</v>
      </c>
      <c r="S18" s="143" t="s">
        <v>2990</v>
      </c>
      <c r="T18" s="144">
        <v>1632.4459999999999</v>
      </c>
      <c r="U18" s="146">
        <v>3.6491090909090911E-2</v>
      </c>
      <c r="V18" s="146">
        <v>6.251560354453993E-2</v>
      </c>
      <c r="W18" s="147">
        <v>2.3681698160467825E-3</v>
      </c>
      <c r="X18" s="180"/>
    </row>
    <row r="19" spans="1:24" x14ac:dyDescent="0.2">
      <c r="A19" s="142" t="s">
        <v>1205</v>
      </c>
      <c r="B19" s="143" t="s">
        <v>1205</v>
      </c>
      <c r="C19" s="143" t="s">
        <v>3026</v>
      </c>
      <c r="D19" s="143" t="s">
        <v>3027</v>
      </c>
      <c r="E19" s="143" t="s">
        <v>313</v>
      </c>
      <c r="F19" s="143" t="s">
        <v>3026</v>
      </c>
      <c r="G19" s="143" t="s">
        <v>3028</v>
      </c>
      <c r="H19" s="143" t="s">
        <v>321</v>
      </c>
      <c r="I19" s="143" t="s">
        <v>917</v>
      </c>
      <c r="J19" s="143" t="s">
        <v>205</v>
      </c>
      <c r="K19" s="143" t="s">
        <v>233</v>
      </c>
      <c r="L19" s="143" t="s">
        <v>325</v>
      </c>
      <c r="M19" s="143" t="s">
        <v>380</v>
      </c>
      <c r="N19" s="143" t="s">
        <v>587</v>
      </c>
      <c r="O19" s="143" t="s">
        <v>339</v>
      </c>
      <c r="P19" s="143" t="s">
        <v>1216</v>
      </c>
      <c r="Q19" s="144">
        <v>28450.91</v>
      </c>
      <c r="R19" s="143" t="s">
        <v>1217</v>
      </c>
      <c r="S19" s="143" t="s">
        <v>3029</v>
      </c>
      <c r="T19" s="144">
        <v>1449.9818</v>
      </c>
      <c r="U19" s="146">
        <v>2.044959641191142E-4</v>
      </c>
      <c r="V19" s="146">
        <v>5.5528017531768344E-2</v>
      </c>
      <c r="W19" s="147">
        <v>2.1034712552996772E-3</v>
      </c>
      <c r="X19" s="180"/>
    </row>
    <row r="20" spans="1:24" ht="15" x14ac:dyDescent="0.2">
      <c r="A20" s="142" t="s">
        <v>1205</v>
      </c>
      <c r="B20" s="143" t="s">
        <v>1205</v>
      </c>
      <c r="C20" s="143" t="s">
        <v>2991</v>
      </c>
      <c r="D20" s="143" t="s">
        <v>2992</v>
      </c>
      <c r="E20" s="143" t="s">
        <v>313</v>
      </c>
      <c r="F20" s="143" t="s">
        <v>2991</v>
      </c>
      <c r="G20" s="143" t="s">
        <v>2993</v>
      </c>
      <c r="H20" s="143" t="s">
        <v>321</v>
      </c>
      <c r="I20" s="143" t="s">
        <v>917</v>
      </c>
      <c r="J20" s="143" t="s">
        <v>205</v>
      </c>
      <c r="K20" s="143" t="s">
        <v>220</v>
      </c>
      <c r="L20" s="143" t="s">
        <v>325</v>
      </c>
      <c r="M20" s="143" t="s">
        <v>314</v>
      </c>
      <c r="N20" s="143" t="s">
        <v>599</v>
      </c>
      <c r="O20" s="143" t="s">
        <v>339</v>
      </c>
      <c r="P20" s="143" t="s">
        <v>1211</v>
      </c>
      <c r="Q20" s="144">
        <v>1474.56</v>
      </c>
      <c r="R20" s="143" t="s">
        <v>1212</v>
      </c>
      <c r="S20" s="143" t="s">
        <v>2994</v>
      </c>
      <c r="T20" s="144">
        <v>1221.1545000000001</v>
      </c>
      <c r="U20" s="145" t="s">
        <v>3930</v>
      </c>
      <c r="V20" s="146">
        <v>4.6764925169290601E-2</v>
      </c>
      <c r="W20" s="147">
        <v>1.7715142773387343E-3</v>
      </c>
      <c r="X20" s="180"/>
    </row>
    <row r="21" spans="1:24" x14ac:dyDescent="0.2">
      <c r="A21" s="142" t="s">
        <v>1205</v>
      </c>
      <c r="B21" s="143" t="s">
        <v>1205</v>
      </c>
      <c r="C21" s="143" t="s">
        <v>3030</v>
      </c>
      <c r="D21" s="143" t="s">
        <v>3031</v>
      </c>
      <c r="E21" s="143" t="s">
        <v>313</v>
      </c>
      <c r="F21" s="143" t="s">
        <v>3030</v>
      </c>
      <c r="G21" s="143" t="s">
        <v>3032</v>
      </c>
      <c r="H21" s="143" t="s">
        <v>321</v>
      </c>
      <c r="I21" s="143" t="s">
        <v>917</v>
      </c>
      <c r="J21" s="143" t="s">
        <v>205</v>
      </c>
      <c r="K21" s="143" t="s">
        <v>268</v>
      </c>
      <c r="L21" s="143" t="s">
        <v>325</v>
      </c>
      <c r="M21" s="143" t="s">
        <v>314</v>
      </c>
      <c r="N21" s="143" t="s">
        <v>588</v>
      </c>
      <c r="O21" s="143" t="s">
        <v>339</v>
      </c>
      <c r="P21" s="143" t="s">
        <v>1211</v>
      </c>
      <c r="Q21" s="144">
        <v>2683</v>
      </c>
      <c r="R21" s="143" t="s">
        <v>1212</v>
      </c>
      <c r="S21" s="143" t="s">
        <v>3033</v>
      </c>
      <c r="T21" s="144">
        <v>1095.1193999999998</v>
      </c>
      <c r="U21" s="146">
        <v>1.0910939406262709E-3</v>
      </c>
      <c r="V21" s="146">
        <v>4.1938326863544449E-2</v>
      </c>
      <c r="W21" s="147">
        <v>1.588676653229307E-3</v>
      </c>
      <c r="X21" s="180"/>
    </row>
    <row r="22" spans="1:24" x14ac:dyDescent="0.2">
      <c r="A22" s="142" t="s">
        <v>1205</v>
      </c>
      <c r="B22" s="143" t="s">
        <v>1205</v>
      </c>
      <c r="C22" s="143" t="s">
        <v>3034</v>
      </c>
      <c r="D22" s="143" t="s">
        <v>3035</v>
      </c>
      <c r="E22" s="143" t="s">
        <v>313</v>
      </c>
      <c r="F22" s="143" t="s">
        <v>3034</v>
      </c>
      <c r="G22" s="143" t="s">
        <v>3036</v>
      </c>
      <c r="H22" s="143" t="s">
        <v>321</v>
      </c>
      <c r="I22" s="143" t="s">
        <v>917</v>
      </c>
      <c r="J22" s="143" t="s">
        <v>205</v>
      </c>
      <c r="K22" s="143" t="s">
        <v>296</v>
      </c>
      <c r="L22" s="143" t="s">
        <v>325</v>
      </c>
      <c r="M22" s="143" t="s">
        <v>380</v>
      </c>
      <c r="N22" s="143" t="s">
        <v>595</v>
      </c>
      <c r="O22" s="143" t="s">
        <v>339</v>
      </c>
      <c r="P22" s="143" t="s">
        <v>1216</v>
      </c>
      <c r="Q22" s="144">
        <v>5936</v>
      </c>
      <c r="R22" s="143" t="s">
        <v>1217</v>
      </c>
      <c r="S22" s="143" t="s">
        <v>3037</v>
      </c>
      <c r="T22" s="144">
        <v>720.5421</v>
      </c>
      <c r="U22" s="146">
        <v>7.5573549257759788E-5</v>
      </c>
      <c r="V22" s="146">
        <v>2.7593637746632035E-2</v>
      </c>
      <c r="W22" s="147">
        <v>1.0452817588163627E-3</v>
      </c>
      <c r="X22" s="180"/>
    </row>
    <row r="23" spans="1:24" x14ac:dyDescent="0.2">
      <c r="A23" s="142" t="s">
        <v>1220</v>
      </c>
      <c r="B23" s="143" t="s">
        <v>1221</v>
      </c>
      <c r="C23" s="143" t="s">
        <v>2979</v>
      </c>
      <c r="D23" s="143" t="s">
        <v>2980</v>
      </c>
      <c r="E23" s="143" t="s">
        <v>313</v>
      </c>
      <c r="F23" s="143" t="s">
        <v>2979</v>
      </c>
      <c r="G23" s="143" t="s">
        <v>2981</v>
      </c>
      <c r="H23" s="143" t="s">
        <v>321</v>
      </c>
      <c r="I23" s="143" t="s">
        <v>969</v>
      </c>
      <c r="J23" s="143" t="s">
        <v>205</v>
      </c>
      <c r="K23" s="143" t="s">
        <v>224</v>
      </c>
      <c r="L23" s="143" t="s">
        <v>325</v>
      </c>
      <c r="M23" s="143" t="s">
        <v>314</v>
      </c>
      <c r="N23" s="143" t="s">
        <v>677</v>
      </c>
      <c r="O23" s="143" t="s">
        <v>339</v>
      </c>
      <c r="P23" s="143" t="s">
        <v>1211</v>
      </c>
      <c r="Q23" s="144">
        <v>229.5</v>
      </c>
      <c r="R23" s="143" t="s">
        <v>1212</v>
      </c>
      <c r="S23" s="143" t="s">
        <v>2982</v>
      </c>
      <c r="T23" s="144">
        <v>206.2285</v>
      </c>
      <c r="U23" s="146">
        <v>6.367924528301887E-5</v>
      </c>
      <c r="V23" s="146">
        <v>0.14291883217479645</v>
      </c>
      <c r="W23" s="147">
        <v>6.828055266302459E-4</v>
      </c>
      <c r="X23" s="180"/>
    </row>
    <row r="24" spans="1:24" ht="15" x14ac:dyDescent="0.2">
      <c r="A24" s="142" t="s">
        <v>1220</v>
      </c>
      <c r="B24" s="143" t="s">
        <v>1221</v>
      </c>
      <c r="C24" s="143" t="s">
        <v>2983</v>
      </c>
      <c r="D24" s="143" t="s">
        <v>2984</v>
      </c>
      <c r="E24" s="143" t="s">
        <v>313</v>
      </c>
      <c r="F24" s="143" t="s">
        <v>2983</v>
      </c>
      <c r="G24" s="143" t="s">
        <v>2985</v>
      </c>
      <c r="H24" s="143" t="s">
        <v>321</v>
      </c>
      <c r="I24" s="143" t="s">
        <v>917</v>
      </c>
      <c r="J24" s="143" t="s">
        <v>205</v>
      </c>
      <c r="K24" s="143" t="s">
        <v>244</v>
      </c>
      <c r="L24" s="143" t="s">
        <v>325</v>
      </c>
      <c r="M24" s="143" t="s">
        <v>314</v>
      </c>
      <c r="N24" s="143" t="s">
        <v>580</v>
      </c>
      <c r="O24" s="143" t="s">
        <v>339</v>
      </c>
      <c r="P24" s="143" t="s">
        <v>1211</v>
      </c>
      <c r="Q24" s="144">
        <v>8835.2000000000007</v>
      </c>
      <c r="R24" s="143" t="s">
        <v>1212</v>
      </c>
      <c r="S24" s="143" t="s">
        <v>2986</v>
      </c>
      <c r="T24" s="144">
        <v>527.18140000000005</v>
      </c>
      <c r="U24" s="145" t="s">
        <v>3930</v>
      </c>
      <c r="V24" s="146">
        <v>0.36534304698805803</v>
      </c>
      <c r="W24" s="147">
        <v>1.745454030118861E-3</v>
      </c>
      <c r="X24" s="180"/>
    </row>
    <row r="25" spans="1:24" x14ac:dyDescent="0.2">
      <c r="A25" s="142" t="s">
        <v>1220</v>
      </c>
      <c r="B25" s="143" t="s">
        <v>1221</v>
      </c>
      <c r="C25" s="143" t="s">
        <v>2987</v>
      </c>
      <c r="D25" s="143" t="s">
        <v>2988</v>
      </c>
      <c r="E25" s="143" t="s">
        <v>313</v>
      </c>
      <c r="F25" s="143" t="s">
        <v>2987</v>
      </c>
      <c r="G25" s="143" t="s">
        <v>2989</v>
      </c>
      <c r="H25" s="143" t="s">
        <v>321</v>
      </c>
      <c r="I25" s="143" t="s">
        <v>917</v>
      </c>
      <c r="J25" s="143" t="s">
        <v>205</v>
      </c>
      <c r="K25" s="143" t="s">
        <v>238</v>
      </c>
      <c r="L25" s="143" t="s">
        <v>325</v>
      </c>
      <c r="M25" s="143" t="s">
        <v>314</v>
      </c>
      <c r="N25" s="143" t="s">
        <v>706</v>
      </c>
      <c r="O25" s="143" t="s">
        <v>339</v>
      </c>
      <c r="P25" s="143" t="s">
        <v>1218</v>
      </c>
      <c r="Q25" s="144">
        <v>530.15</v>
      </c>
      <c r="R25" s="143" t="s">
        <v>1219</v>
      </c>
      <c r="S25" s="143" t="s">
        <v>2990</v>
      </c>
      <c r="T25" s="144">
        <v>431.20920000000001</v>
      </c>
      <c r="U25" s="146">
        <v>9.6390909090909097E-3</v>
      </c>
      <c r="V25" s="146">
        <v>0.29883319154541926</v>
      </c>
      <c r="W25" s="147">
        <v>1.4276981670142011E-3</v>
      </c>
      <c r="X25" s="180"/>
    </row>
    <row r="26" spans="1:24" ht="15" x14ac:dyDescent="0.2">
      <c r="A26" s="142" t="s">
        <v>1220</v>
      </c>
      <c r="B26" s="143" t="s">
        <v>1221</v>
      </c>
      <c r="C26" s="143" t="s">
        <v>2991</v>
      </c>
      <c r="D26" s="143" t="s">
        <v>2992</v>
      </c>
      <c r="E26" s="143" t="s">
        <v>313</v>
      </c>
      <c r="F26" s="143" t="s">
        <v>2991</v>
      </c>
      <c r="G26" s="143" t="s">
        <v>2993</v>
      </c>
      <c r="H26" s="143" t="s">
        <v>321</v>
      </c>
      <c r="I26" s="143" t="s">
        <v>917</v>
      </c>
      <c r="J26" s="143" t="s">
        <v>205</v>
      </c>
      <c r="K26" s="143" t="s">
        <v>220</v>
      </c>
      <c r="L26" s="143" t="s">
        <v>325</v>
      </c>
      <c r="M26" s="143" t="s">
        <v>314</v>
      </c>
      <c r="N26" s="143" t="s">
        <v>599</v>
      </c>
      <c r="O26" s="143" t="s">
        <v>339</v>
      </c>
      <c r="P26" s="143" t="s">
        <v>1211</v>
      </c>
      <c r="Q26" s="144">
        <v>336.12</v>
      </c>
      <c r="R26" s="143" t="s">
        <v>1212</v>
      </c>
      <c r="S26" s="143" t="s">
        <v>2994</v>
      </c>
      <c r="T26" s="144">
        <v>278.35720000000003</v>
      </c>
      <c r="U26" s="145" t="s">
        <v>3930</v>
      </c>
      <c r="V26" s="146">
        <v>0.19290492929172626</v>
      </c>
      <c r="W26" s="147">
        <v>9.2161788499301443E-4</v>
      </c>
      <c r="X26" s="180"/>
    </row>
    <row r="27" spans="1:24" ht="15" x14ac:dyDescent="0.2">
      <c r="A27" s="142" t="s">
        <v>1220</v>
      </c>
      <c r="B27" s="143" t="s">
        <v>1222</v>
      </c>
      <c r="C27" s="143" t="s">
        <v>2995</v>
      </c>
      <c r="D27" s="143" t="s">
        <v>2996</v>
      </c>
      <c r="E27" s="143" t="s">
        <v>314</v>
      </c>
      <c r="F27" s="143" t="s">
        <v>2997</v>
      </c>
      <c r="G27" s="143" t="s">
        <v>2998</v>
      </c>
      <c r="H27" s="143" t="s">
        <v>321</v>
      </c>
      <c r="I27" s="143" t="s">
        <v>969</v>
      </c>
      <c r="J27" s="143" t="s">
        <v>205</v>
      </c>
      <c r="K27" s="143" t="s">
        <v>291</v>
      </c>
      <c r="L27" s="143" t="s">
        <v>325</v>
      </c>
      <c r="M27" s="143" t="s">
        <v>314</v>
      </c>
      <c r="N27" s="143" t="s">
        <v>678</v>
      </c>
      <c r="O27" s="143" t="s">
        <v>339</v>
      </c>
      <c r="P27" s="143" t="s">
        <v>1211</v>
      </c>
      <c r="Q27" s="144">
        <v>17.55</v>
      </c>
      <c r="R27" s="143" t="s">
        <v>1212</v>
      </c>
      <c r="S27" s="143" t="s">
        <v>2999</v>
      </c>
      <c r="T27" s="144">
        <v>88.125500000000002</v>
      </c>
      <c r="U27" s="145" t="s">
        <v>3930</v>
      </c>
      <c r="V27" s="146">
        <v>0.82710616465401587</v>
      </c>
      <c r="W27" s="147">
        <v>1.1083160045359676E-2</v>
      </c>
      <c r="X27" s="180"/>
    </row>
    <row r="28" spans="1:24" x14ac:dyDescent="0.2">
      <c r="A28" s="142" t="s">
        <v>1220</v>
      </c>
      <c r="B28" s="143" t="s">
        <v>1222</v>
      </c>
      <c r="C28" s="143" t="s">
        <v>2979</v>
      </c>
      <c r="D28" s="143" t="s">
        <v>2980</v>
      </c>
      <c r="E28" s="143" t="s">
        <v>313</v>
      </c>
      <c r="F28" s="143" t="s">
        <v>2979</v>
      </c>
      <c r="G28" s="143" t="s">
        <v>2981</v>
      </c>
      <c r="H28" s="143" t="s">
        <v>321</v>
      </c>
      <c r="I28" s="143" t="s">
        <v>969</v>
      </c>
      <c r="J28" s="143" t="s">
        <v>205</v>
      </c>
      <c r="K28" s="143" t="s">
        <v>224</v>
      </c>
      <c r="L28" s="143" t="s">
        <v>325</v>
      </c>
      <c r="M28" s="143" t="s">
        <v>314</v>
      </c>
      <c r="N28" s="143" t="s">
        <v>677</v>
      </c>
      <c r="O28" s="143" t="s">
        <v>339</v>
      </c>
      <c r="P28" s="143" t="s">
        <v>1211</v>
      </c>
      <c r="Q28" s="144">
        <v>20.5</v>
      </c>
      <c r="R28" s="143" t="s">
        <v>1212</v>
      </c>
      <c r="S28" s="143" t="s">
        <v>2982</v>
      </c>
      <c r="T28" s="144">
        <v>18.421299999999999</v>
      </c>
      <c r="U28" s="146">
        <v>5.6881243063263039E-6</v>
      </c>
      <c r="V28" s="146">
        <v>0.17289383534598413</v>
      </c>
      <c r="W28" s="147">
        <v>2.3167643162195139E-3</v>
      </c>
      <c r="X28" s="180"/>
    </row>
    <row r="29" spans="1:24" ht="15" x14ac:dyDescent="0.2">
      <c r="A29" s="142" t="s">
        <v>1220</v>
      </c>
      <c r="B29" s="143" t="s">
        <v>1220</v>
      </c>
      <c r="C29" s="143" t="s">
        <v>2995</v>
      </c>
      <c r="D29" s="143" t="s">
        <v>2996</v>
      </c>
      <c r="E29" s="143" t="s">
        <v>314</v>
      </c>
      <c r="F29" s="143" t="s">
        <v>2997</v>
      </c>
      <c r="G29" s="143" t="s">
        <v>2998</v>
      </c>
      <c r="H29" s="143" t="s">
        <v>321</v>
      </c>
      <c r="I29" s="143" t="s">
        <v>969</v>
      </c>
      <c r="J29" s="143" t="s">
        <v>205</v>
      </c>
      <c r="K29" s="143" t="s">
        <v>291</v>
      </c>
      <c r="L29" s="143" t="s">
        <v>325</v>
      </c>
      <c r="M29" s="143" t="s">
        <v>314</v>
      </c>
      <c r="N29" s="143" t="s">
        <v>678</v>
      </c>
      <c r="O29" s="143" t="s">
        <v>339</v>
      </c>
      <c r="P29" s="143" t="s">
        <v>1211</v>
      </c>
      <c r="Q29" s="144">
        <v>11268.32</v>
      </c>
      <c r="R29" s="143" t="s">
        <v>1212</v>
      </c>
      <c r="S29" s="143" t="s">
        <v>2999</v>
      </c>
      <c r="T29" s="144">
        <v>56582.696499999998</v>
      </c>
      <c r="U29" s="145" t="s">
        <v>3930</v>
      </c>
      <c r="V29" s="146">
        <v>0.20512683152884037</v>
      </c>
      <c r="W29" s="147">
        <v>7.2223527457416416E-3</v>
      </c>
      <c r="X29" s="180"/>
    </row>
    <row r="30" spans="1:24" ht="15" x14ac:dyDescent="0.2">
      <c r="A30" s="142" t="s">
        <v>1220</v>
      </c>
      <c r="B30" s="143" t="s">
        <v>1220</v>
      </c>
      <c r="C30" s="143" t="s">
        <v>3000</v>
      </c>
      <c r="D30" s="143" t="s">
        <v>3001</v>
      </c>
      <c r="E30" s="143" t="s">
        <v>313</v>
      </c>
      <c r="F30" s="143" t="s">
        <v>3000</v>
      </c>
      <c r="G30" s="143" t="s">
        <v>3002</v>
      </c>
      <c r="H30" s="143" t="s">
        <v>321</v>
      </c>
      <c r="I30" s="143" t="s">
        <v>969</v>
      </c>
      <c r="J30" s="143" t="s">
        <v>205</v>
      </c>
      <c r="K30" s="143" t="s">
        <v>1639</v>
      </c>
      <c r="L30" s="143" t="s">
        <v>325</v>
      </c>
      <c r="M30" s="143" t="s">
        <v>314</v>
      </c>
      <c r="N30" s="143" t="s">
        <v>596</v>
      </c>
      <c r="O30" s="143" t="s">
        <v>339</v>
      </c>
      <c r="P30" s="143" t="s">
        <v>1211</v>
      </c>
      <c r="Q30" s="144">
        <v>418439.78</v>
      </c>
      <c r="R30" s="143" t="s">
        <v>1212</v>
      </c>
      <c r="S30" s="143" t="s">
        <v>3003</v>
      </c>
      <c r="T30" s="144">
        <v>18519.3387</v>
      </c>
      <c r="U30" s="145" t="s">
        <v>3930</v>
      </c>
      <c r="V30" s="146">
        <v>6.7137367299766548E-2</v>
      </c>
      <c r="W30" s="147">
        <v>2.3638533557281591E-3</v>
      </c>
      <c r="X30" s="180"/>
    </row>
    <row r="31" spans="1:24" x14ac:dyDescent="0.2">
      <c r="A31" s="142" t="s">
        <v>1220</v>
      </c>
      <c r="B31" s="143" t="s">
        <v>1220</v>
      </c>
      <c r="C31" s="143" t="s">
        <v>3004</v>
      </c>
      <c r="D31" s="143" t="s">
        <v>3005</v>
      </c>
      <c r="E31" s="143" t="s">
        <v>313</v>
      </c>
      <c r="F31" s="143" t="s">
        <v>3006</v>
      </c>
      <c r="G31" s="143" t="s">
        <v>3007</v>
      </c>
      <c r="H31" s="143" t="s">
        <v>321</v>
      </c>
      <c r="I31" s="143" t="s">
        <v>969</v>
      </c>
      <c r="J31" s="143" t="s">
        <v>205</v>
      </c>
      <c r="K31" s="143" t="s">
        <v>1639</v>
      </c>
      <c r="L31" s="143" t="s">
        <v>325</v>
      </c>
      <c r="M31" s="143" t="s">
        <v>314</v>
      </c>
      <c r="N31" s="143" t="s">
        <v>678</v>
      </c>
      <c r="O31" s="143" t="s">
        <v>339</v>
      </c>
      <c r="P31" s="143" t="s">
        <v>1211</v>
      </c>
      <c r="Q31" s="144">
        <v>134686.94</v>
      </c>
      <c r="R31" s="143" t="s">
        <v>1212</v>
      </c>
      <c r="S31" s="143" t="s">
        <v>3008</v>
      </c>
      <c r="T31" s="144">
        <v>17559.0556</v>
      </c>
      <c r="U31" s="146">
        <v>2.7634892691534327E-3</v>
      </c>
      <c r="V31" s="146">
        <v>6.3656093682978906E-2</v>
      </c>
      <c r="W31" s="147">
        <v>2.2412804778774668E-3</v>
      </c>
      <c r="X31" s="180"/>
    </row>
    <row r="32" spans="1:24" x14ac:dyDescent="0.2">
      <c r="A32" s="142" t="s">
        <v>1220</v>
      </c>
      <c r="B32" s="143" t="s">
        <v>1220</v>
      </c>
      <c r="C32" s="143" t="s">
        <v>3009</v>
      </c>
      <c r="D32" s="143" t="s">
        <v>3010</v>
      </c>
      <c r="E32" s="143" t="s">
        <v>313</v>
      </c>
      <c r="F32" s="143" t="s">
        <v>3009</v>
      </c>
      <c r="G32" s="143" t="s">
        <v>3011</v>
      </c>
      <c r="H32" s="143" t="s">
        <v>321</v>
      </c>
      <c r="I32" s="143" t="s">
        <v>969</v>
      </c>
      <c r="J32" s="143" t="s">
        <v>205</v>
      </c>
      <c r="K32" s="143" t="s">
        <v>253</v>
      </c>
      <c r="L32" s="143" t="s">
        <v>325</v>
      </c>
      <c r="M32" s="143" t="s">
        <v>314</v>
      </c>
      <c r="N32" s="143" t="s">
        <v>678</v>
      </c>
      <c r="O32" s="143" t="s">
        <v>339</v>
      </c>
      <c r="P32" s="143" t="s">
        <v>1211</v>
      </c>
      <c r="Q32" s="144">
        <v>22899.08</v>
      </c>
      <c r="R32" s="143" t="s">
        <v>1212</v>
      </c>
      <c r="S32" s="143" t="s">
        <v>3012</v>
      </c>
      <c r="T32" s="144">
        <v>15616.536</v>
      </c>
      <c r="U32" s="146">
        <v>2.7493192460079242E-3</v>
      </c>
      <c r="V32" s="146">
        <v>5.6613960430761265E-2</v>
      </c>
      <c r="W32" s="147">
        <v>1.9933325616981945E-3</v>
      </c>
      <c r="X32" s="180"/>
    </row>
    <row r="33" spans="1:24" x14ac:dyDescent="0.2">
      <c r="A33" s="142" t="s">
        <v>1220</v>
      </c>
      <c r="B33" s="143" t="s">
        <v>1220</v>
      </c>
      <c r="C33" s="143" t="s">
        <v>2979</v>
      </c>
      <c r="D33" s="143" t="s">
        <v>2980</v>
      </c>
      <c r="E33" s="143" t="s">
        <v>313</v>
      </c>
      <c r="F33" s="143" t="s">
        <v>2979</v>
      </c>
      <c r="G33" s="143" t="s">
        <v>2981</v>
      </c>
      <c r="H33" s="143" t="s">
        <v>321</v>
      </c>
      <c r="I33" s="143" t="s">
        <v>969</v>
      </c>
      <c r="J33" s="143" t="s">
        <v>205</v>
      </c>
      <c r="K33" s="143" t="s">
        <v>224</v>
      </c>
      <c r="L33" s="143" t="s">
        <v>325</v>
      </c>
      <c r="M33" s="143" t="s">
        <v>314</v>
      </c>
      <c r="N33" s="143" t="s">
        <v>677</v>
      </c>
      <c r="O33" s="143" t="s">
        <v>339</v>
      </c>
      <c r="P33" s="143" t="s">
        <v>1211</v>
      </c>
      <c r="Q33" s="144">
        <v>9444.2099999999991</v>
      </c>
      <c r="R33" s="143" t="s">
        <v>1212</v>
      </c>
      <c r="S33" s="143" t="s">
        <v>2982</v>
      </c>
      <c r="T33" s="144">
        <v>8486.5586000000003</v>
      </c>
      <c r="U33" s="146">
        <v>2.6204800221975581E-3</v>
      </c>
      <c r="V33" s="146">
        <v>3.0765958224311295E-2</v>
      </c>
      <c r="W33" s="147">
        <v>1.0832449426563006E-3</v>
      </c>
      <c r="X33" s="180"/>
    </row>
    <row r="34" spans="1:24" ht="15" x14ac:dyDescent="0.2">
      <c r="A34" s="142" t="s">
        <v>1220</v>
      </c>
      <c r="B34" s="143" t="s">
        <v>1220</v>
      </c>
      <c r="C34" s="143" t="s">
        <v>3013</v>
      </c>
      <c r="D34" s="143" t="s">
        <v>3014</v>
      </c>
      <c r="E34" s="143" t="s">
        <v>309</v>
      </c>
      <c r="F34" s="143" t="s">
        <v>3015</v>
      </c>
      <c r="G34" s="143" t="s">
        <v>3016</v>
      </c>
      <c r="H34" s="143" t="s">
        <v>321</v>
      </c>
      <c r="I34" s="143" t="s">
        <v>917</v>
      </c>
      <c r="J34" s="143" t="s">
        <v>204</v>
      </c>
      <c r="K34" s="143" t="s">
        <v>291</v>
      </c>
      <c r="L34" s="143" t="s">
        <v>325</v>
      </c>
      <c r="M34" s="143" t="s">
        <v>340</v>
      </c>
      <c r="N34" s="143" t="s">
        <v>698</v>
      </c>
      <c r="O34" s="143" t="s">
        <v>339</v>
      </c>
      <c r="P34" s="143" t="s">
        <v>1210</v>
      </c>
      <c r="Q34" s="144">
        <v>11426378.57</v>
      </c>
      <c r="R34" s="145" t="s">
        <v>3930</v>
      </c>
      <c r="S34" s="143" t="s">
        <v>3017</v>
      </c>
      <c r="T34" s="144">
        <v>8272.6980999999996</v>
      </c>
      <c r="U34" s="146">
        <v>3.1199716002976639E-2</v>
      </c>
      <c r="V34" s="146">
        <v>2.9990658815380471E-2</v>
      </c>
      <c r="W34" s="147">
        <v>1.0559472665154974E-3</v>
      </c>
      <c r="X34" s="180"/>
    </row>
    <row r="35" spans="1:24" ht="15" x14ac:dyDescent="0.2">
      <c r="A35" s="142" t="s">
        <v>1220</v>
      </c>
      <c r="B35" s="143" t="s">
        <v>1220</v>
      </c>
      <c r="C35" s="143" t="s">
        <v>2983</v>
      </c>
      <c r="D35" s="143" t="s">
        <v>2984</v>
      </c>
      <c r="E35" s="143" t="s">
        <v>313</v>
      </c>
      <c r="F35" s="143" t="s">
        <v>2983</v>
      </c>
      <c r="G35" s="143" t="s">
        <v>2985</v>
      </c>
      <c r="H35" s="143" t="s">
        <v>321</v>
      </c>
      <c r="I35" s="143" t="s">
        <v>917</v>
      </c>
      <c r="J35" s="143" t="s">
        <v>205</v>
      </c>
      <c r="K35" s="143" t="s">
        <v>244</v>
      </c>
      <c r="L35" s="143" t="s">
        <v>325</v>
      </c>
      <c r="M35" s="143" t="s">
        <v>314</v>
      </c>
      <c r="N35" s="143" t="s">
        <v>580</v>
      </c>
      <c r="O35" s="143" t="s">
        <v>339</v>
      </c>
      <c r="P35" s="143" t="s">
        <v>1211</v>
      </c>
      <c r="Q35" s="144">
        <v>765717.74</v>
      </c>
      <c r="R35" s="143" t="s">
        <v>1212</v>
      </c>
      <c r="S35" s="143" t="s">
        <v>2986</v>
      </c>
      <c r="T35" s="144">
        <v>45689.0766</v>
      </c>
      <c r="U35" s="145" t="s">
        <v>3930</v>
      </c>
      <c r="V35" s="146">
        <v>0.16563465674865838</v>
      </c>
      <c r="W35" s="147">
        <v>5.8318646519456138E-3</v>
      </c>
      <c r="X35" s="180"/>
    </row>
    <row r="36" spans="1:24" x14ac:dyDescent="0.2">
      <c r="A36" s="142" t="s">
        <v>1220</v>
      </c>
      <c r="B36" s="143" t="s">
        <v>1220</v>
      </c>
      <c r="C36" s="143" t="s">
        <v>3018</v>
      </c>
      <c r="D36" s="143" t="s">
        <v>3019</v>
      </c>
      <c r="E36" s="143" t="s">
        <v>313</v>
      </c>
      <c r="F36" s="143" t="s">
        <v>3018</v>
      </c>
      <c r="G36" s="143" t="s">
        <v>3020</v>
      </c>
      <c r="H36" s="143" t="s">
        <v>321</v>
      </c>
      <c r="I36" s="143" t="s">
        <v>917</v>
      </c>
      <c r="J36" s="143" t="s">
        <v>205</v>
      </c>
      <c r="K36" s="143" t="s">
        <v>281</v>
      </c>
      <c r="L36" s="143" t="s">
        <v>325</v>
      </c>
      <c r="M36" s="143" t="s">
        <v>314</v>
      </c>
      <c r="N36" s="143" t="s">
        <v>708</v>
      </c>
      <c r="O36" s="143" t="s">
        <v>339</v>
      </c>
      <c r="P36" s="143" t="s">
        <v>1211</v>
      </c>
      <c r="Q36" s="144">
        <v>579322.51</v>
      </c>
      <c r="R36" s="143" t="s">
        <v>1212</v>
      </c>
      <c r="S36" s="143" t="s">
        <v>3021</v>
      </c>
      <c r="T36" s="144">
        <v>23440.118699999999</v>
      </c>
      <c r="U36" s="146">
        <v>0.14209529310767721</v>
      </c>
      <c r="V36" s="146">
        <v>8.4976460564229708E-2</v>
      </c>
      <c r="W36" s="147">
        <v>2.9919536547474129E-3</v>
      </c>
      <c r="X36" s="180"/>
    </row>
    <row r="37" spans="1:24" x14ac:dyDescent="0.2">
      <c r="A37" s="142" t="s">
        <v>1220</v>
      </c>
      <c r="B37" s="143" t="s">
        <v>1220</v>
      </c>
      <c r="C37" s="143" t="s">
        <v>3022</v>
      </c>
      <c r="D37" s="143" t="s">
        <v>3023</v>
      </c>
      <c r="E37" s="143" t="s">
        <v>313</v>
      </c>
      <c r="F37" s="143" t="s">
        <v>3022</v>
      </c>
      <c r="G37" s="143" t="s">
        <v>3024</v>
      </c>
      <c r="H37" s="143" t="s">
        <v>321</v>
      </c>
      <c r="I37" s="143" t="s">
        <v>917</v>
      </c>
      <c r="J37" s="143" t="s">
        <v>205</v>
      </c>
      <c r="K37" s="143" t="s">
        <v>220</v>
      </c>
      <c r="L37" s="143" t="s">
        <v>325</v>
      </c>
      <c r="M37" s="143" t="s">
        <v>314</v>
      </c>
      <c r="N37" s="143" t="s">
        <v>706</v>
      </c>
      <c r="O37" s="143" t="s">
        <v>339</v>
      </c>
      <c r="P37" s="143" t="s">
        <v>1218</v>
      </c>
      <c r="Q37" s="144">
        <v>86145.61</v>
      </c>
      <c r="R37" s="143" t="s">
        <v>1219</v>
      </c>
      <c r="S37" s="143" t="s">
        <v>3025</v>
      </c>
      <c r="T37" s="144">
        <v>17645.885200000001</v>
      </c>
      <c r="U37" s="146">
        <v>2.0762981441311158E-3</v>
      </c>
      <c r="V37" s="146">
        <v>6.3970873327605898E-2</v>
      </c>
      <c r="W37" s="147">
        <v>2.2523636190430129E-3</v>
      </c>
      <c r="X37" s="180"/>
    </row>
    <row r="38" spans="1:24" x14ac:dyDescent="0.2">
      <c r="A38" s="142" t="s">
        <v>1220</v>
      </c>
      <c r="B38" s="143" t="s">
        <v>1220</v>
      </c>
      <c r="C38" s="143" t="s">
        <v>2987</v>
      </c>
      <c r="D38" s="143" t="s">
        <v>2988</v>
      </c>
      <c r="E38" s="143" t="s">
        <v>313</v>
      </c>
      <c r="F38" s="143" t="s">
        <v>2987</v>
      </c>
      <c r="G38" s="143" t="s">
        <v>2989</v>
      </c>
      <c r="H38" s="143" t="s">
        <v>321</v>
      </c>
      <c r="I38" s="143" t="s">
        <v>917</v>
      </c>
      <c r="J38" s="143" t="s">
        <v>205</v>
      </c>
      <c r="K38" s="143" t="s">
        <v>238</v>
      </c>
      <c r="L38" s="143" t="s">
        <v>325</v>
      </c>
      <c r="M38" s="143" t="s">
        <v>314</v>
      </c>
      <c r="N38" s="143" t="s">
        <v>706</v>
      </c>
      <c r="O38" s="143" t="s">
        <v>339</v>
      </c>
      <c r="P38" s="143" t="s">
        <v>1218</v>
      </c>
      <c r="Q38" s="144">
        <v>20354.07</v>
      </c>
      <c r="R38" s="143" t="s">
        <v>1219</v>
      </c>
      <c r="S38" s="143" t="s">
        <v>2990</v>
      </c>
      <c r="T38" s="144">
        <v>16555.4329</v>
      </c>
      <c r="U38" s="146">
        <v>0.37007400000000001</v>
      </c>
      <c r="V38" s="146">
        <v>6.0017703374807739E-2</v>
      </c>
      <c r="W38" s="147">
        <v>2.1131756461670172E-3</v>
      </c>
      <c r="X38" s="180"/>
    </row>
    <row r="39" spans="1:24" x14ac:dyDescent="0.2">
      <c r="A39" s="142" t="s">
        <v>1220</v>
      </c>
      <c r="B39" s="143" t="s">
        <v>1220</v>
      </c>
      <c r="C39" s="143" t="s">
        <v>3026</v>
      </c>
      <c r="D39" s="143" t="s">
        <v>3027</v>
      </c>
      <c r="E39" s="143" t="s">
        <v>313</v>
      </c>
      <c r="F39" s="143" t="s">
        <v>3026</v>
      </c>
      <c r="G39" s="143" t="s">
        <v>3028</v>
      </c>
      <c r="H39" s="143" t="s">
        <v>321</v>
      </c>
      <c r="I39" s="143" t="s">
        <v>917</v>
      </c>
      <c r="J39" s="143" t="s">
        <v>205</v>
      </c>
      <c r="K39" s="143" t="s">
        <v>233</v>
      </c>
      <c r="L39" s="143" t="s">
        <v>325</v>
      </c>
      <c r="M39" s="143" t="s">
        <v>380</v>
      </c>
      <c r="N39" s="143" t="s">
        <v>587</v>
      </c>
      <c r="O39" s="143" t="s">
        <v>339</v>
      </c>
      <c r="P39" s="143" t="s">
        <v>1216</v>
      </c>
      <c r="Q39" s="144">
        <v>320503.8</v>
      </c>
      <c r="R39" s="143" t="s">
        <v>1217</v>
      </c>
      <c r="S39" s="143" t="s">
        <v>3029</v>
      </c>
      <c r="T39" s="144">
        <v>16334.2642</v>
      </c>
      <c r="U39" s="146">
        <v>2.303677934549009E-3</v>
      </c>
      <c r="V39" s="146">
        <v>5.9215909873878411E-2</v>
      </c>
      <c r="W39" s="147">
        <v>2.0849451340989723E-3</v>
      </c>
      <c r="X39" s="180"/>
    </row>
    <row r="40" spans="1:24" ht="15" x14ac:dyDescent="0.2">
      <c r="A40" s="142" t="s">
        <v>1220</v>
      </c>
      <c r="B40" s="143" t="s">
        <v>1220</v>
      </c>
      <c r="C40" s="143" t="s">
        <v>2991</v>
      </c>
      <c r="D40" s="143" t="s">
        <v>2992</v>
      </c>
      <c r="E40" s="143" t="s">
        <v>313</v>
      </c>
      <c r="F40" s="143" t="s">
        <v>2991</v>
      </c>
      <c r="G40" s="143" t="s">
        <v>2993</v>
      </c>
      <c r="H40" s="143" t="s">
        <v>321</v>
      </c>
      <c r="I40" s="143" t="s">
        <v>917</v>
      </c>
      <c r="J40" s="143" t="s">
        <v>205</v>
      </c>
      <c r="K40" s="143" t="s">
        <v>220</v>
      </c>
      <c r="L40" s="143" t="s">
        <v>325</v>
      </c>
      <c r="M40" s="143" t="s">
        <v>314</v>
      </c>
      <c r="N40" s="143" t="s">
        <v>599</v>
      </c>
      <c r="O40" s="143" t="s">
        <v>339</v>
      </c>
      <c r="P40" s="143" t="s">
        <v>1211</v>
      </c>
      <c r="Q40" s="144">
        <v>14505.78</v>
      </c>
      <c r="R40" s="143" t="s">
        <v>1212</v>
      </c>
      <c r="S40" s="143" t="s">
        <v>2994</v>
      </c>
      <c r="T40" s="144">
        <v>12012.938900000001</v>
      </c>
      <c r="U40" s="145" t="s">
        <v>3930</v>
      </c>
      <c r="V40" s="146">
        <v>4.354999390518087E-2</v>
      </c>
      <c r="W40" s="147">
        <v>1.5333606808716886E-3</v>
      </c>
      <c r="X40" s="180"/>
    </row>
    <row r="41" spans="1:24" x14ac:dyDescent="0.2">
      <c r="A41" s="142" t="s">
        <v>1220</v>
      </c>
      <c r="B41" s="143" t="s">
        <v>1220</v>
      </c>
      <c r="C41" s="143" t="s">
        <v>3030</v>
      </c>
      <c r="D41" s="143" t="s">
        <v>3031</v>
      </c>
      <c r="E41" s="143" t="s">
        <v>313</v>
      </c>
      <c r="F41" s="143" t="s">
        <v>3030</v>
      </c>
      <c r="G41" s="143" t="s">
        <v>3032</v>
      </c>
      <c r="H41" s="143" t="s">
        <v>321</v>
      </c>
      <c r="I41" s="143" t="s">
        <v>917</v>
      </c>
      <c r="J41" s="143" t="s">
        <v>205</v>
      </c>
      <c r="K41" s="143" t="s">
        <v>268</v>
      </c>
      <c r="L41" s="143" t="s">
        <v>325</v>
      </c>
      <c r="M41" s="143" t="s">
        <v>314</v>
      </c>
      <c r="N41" s="143" t="s">
        <v>588</v>
      </c>
      <c r="O41" s="143" t="s">
        <v>339</v>
      </c>
      <c r="P41" s="143" t="s">
        <v>1211</v>
      </c>
      <c r="Q41" s="144">
        <v>27284</v>
      </c>
      <c r="R41" s="143" t="s">
        <v>1212</v>
      </c>
      <c r="S41" s="143" t="s">
        <v>3033</v>
      </c>
      <c r="T41" s="144">
        <v>11136.5034</v>
      </c>
      <c r="U41" s="146">
        <v>1.1095567303782024E-2</v>
      </c>
      <c r="V41" s="146">
        <v>4.037268985038301E-2</v>
      </c>
      <c r="W41" s="147">
        <v>1.4214903297665043E-3</v>
      </c>
      <c r="X41" s="180"/>
    </row>
    <row r="42" spans="1:24" x14ac:dyDescent="0.2">
      <c r="A42" s="148" t="s">
        <v>1220</v>
      </c>
      <c r="B42" s="149" t="s">
        <v>1220</v>
      </c>
      <c r="C42" s="149" t="s">
        <v>3034</v>
      </c>
      <c r="D42" s="149" t="s">
        <v>3035</v>
      </c>
      <c r="E42" s="149" t="s">
        <v>313</v>
      </c>
      <c r="F42" s="149" t="s">
        <v>3034</v>
      </c>
      <c r="G42" s="149" t="s">
        <v>3036</v>
      </c>
      <c r="H42" s="149" t="s">
        <v>321</v>
      </c>
      <c r="I42" s="149" t="s">
        <v>917</v>
      </c>
      <c r="J42" s="149" t="s">
        <v>205</v>
      </c>
      <c r="K42" s="149" t="s">
        <v>296</v>
      </c>
      <c r="L42" s="149" t="s">
        <v>325</v>
      </c>
      <c r="M42" s="149" t="s">
        <v>380</v>
      </c>
      <c r="N42" s="149" t="s">
        <v>595</v>
      </c>
      <c r="O42" s="149" t="s">
        <v>339</v>
      </c>
      <c r="P42" s="149" t="s">
        <v>1216</v>
      </c>
      <c r="Q42" s="150">
        <v>65835</v>
      </c>
      <c r="R42" s="149" t="s">
        <v>1217</v>
      </c>
      <c r="S42" s="149" t="s">
        <v>3037</v>
      </c>
      <c r="T42" s="150">
        <v>7991.3894</v>
      </c>
      <c r="U42" s="152">
        <v>8.3817126269956454E-4</v>
      </c>
      <c r="V42" s="152">
        <v>2.8970842373217152E-2</v>
      </c>
      <c r="W42" s="153">
        <v>1.0200403399261539E-3</v>
      </c>
      <c r="X42" s="180"/>
    </row>
    <row r="43" spans="1:24" x14ac:dyDescent="0.2">
      <c r="A43" s="180" t="s">
        <v>3946</v>
      </c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</row>
    <row r="44" spans="1:24" x14ac:dyDescent="0.2">
      <c r="A44" s="4" t="s">
        <v>3945</v>
      </c>
    </row>
    <row r="45" spans="1:24" x14ac:dyDescent="0.2">
      <c r="A45" s="181"/>
    </row>
    <row r="1048575" spans="14:14" x14ac:dyDescent="0.2">
      <c r="N1048575" s="100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43:W43"/>
    <mergeCell ref="X2:X42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2.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4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3957</v>
      </c>
    </row>
    <row r="2" spans="1:26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70</v>
      </c>
      <c r="M2" s="140" t="s">
        <v>92</v>
      </c>
      <c r="N2" s="140" t="s">
        <v>83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95</v>
      </c>
      <c r="T2" s="140" t="s">
        <v>76</v>
      </c>
      <c r="U2" s="140" t="s">
        <v>61</v>
      </c>
      <c r="V2" s="140" t="s">
        <v>77</v>
      </c>
      <c r="W2" s="140" t="s">
        <v>63</v>
      </c>
      <c r="X2" s="140" t="s">
        <v>64</v>
      </c>
      <c r="Y2" s="141" t="s">
        <v>65</v>
      </c>
      <c r="Z2" s="177" t="s">
        <v>3947</v>
      </c>
    </row>
    <row r="3" spans="1:26" ht="15" x14ac:dyDescent="0.2">
      <c r="A3" s="142" t="s">
        <v>1205</v>
      </c>
      <c r="B3" s="143" t="s">
        <v>1205</v>
      </c>
      <c r="C3" s="143" t="s">
        <v>2409</v>
      </c>
      <c r="D3" s="143" t="s">
        <v>2410</v>
      </c>
      <c r="E3" s="143" t="s">
        <v>309</v>
      </c>
      <c r="F3" s="143" t="s">
        <v>3038</v>
      </c>
      <c r="G3" s="143" t="s">
        <v>3039</v>
      </c>
      <c r="H3" s="143" t="s">
        <v>321</v>
      </c>
      <c r="I3" s="143" t="s">
        <v>204</v>
      </c>
      <c r="J3" s="143" t="s">
        <v>204</v>
      </c>
      <c r="K3" s="143" t="s">
        <v>325</v>
      </c>
      <c r="L3" s="143" t="s">
        <v>340</v>
      </c>
      <c r="M3" s="143" t="s">
        <v>2412</v>
      </c>
      <c r="N3" s="143" t="s">
        <v>480</v>
      </c>
      <c r="O3" s="143" t="s">
        <v>3040</v>
      </c>
      <c r="P3" s="143" t="s">
        <v>339</v>
      </c>
      <c r="Q3" s="143" t="s">
        <v>1210</v>
      </c>
      <c r="R3" s="143" t="s">
        <v>3041</v>
      </c>
      <c r="S3" s="143" t="s">
        <v>3042</v>
      </c>
      <c r="T3" s="144">
        <v>45000</v>
      </c>
      <c r="U3" s="145" t="s">
        <v>3930</v>
      </c>
      <c r="V3" s="143" t="s">
        <v>3043</v>
      </c>
      <c r="W3" s="144">
        <v>5.58</v>
      </c>
      <c r="X3" s="146">
        <v>0.92702674095356141</v>
      </c>
      <c r="Y3" s="147">
        <v>8.0948392026787238E-6</v>
      </c>
      <c r="Z3" s="177"/>
    </row>
    <row r="4" spans="1:26" ht="15" x14ac:dyDescent="0.2">
      <c r="A4" s="142" t="s">
        <v>1205</v>
      </c>
      <c r="B4" s="143" t="s">
        <v>1205</v>
      </c>
      <c r="C4" s="143" t="s">
        <v>2379</v>
      </c>
      <c r="D4" s="143" t="s">
        <v>2380</v>
      </c>
      <c r="E4" s="143" t="s">
        <v>309</v>
      </c>
      <c r="F4" s="143" t="s">
        <v>3044</v>
      </c>
      <c r="G4" s="143" t="s">
        <v>3045</v>
      </c>
      <c r="H4" s="143" t="s">
        <v>321</v>
      </c>
      <c r="I4" s="143" t="s">
        <v>204</v>
      </c>
      <c r="J4" s="143" t="s">
        <v>204</v>
      </c>
      <c r="K4" s="143" t="s">
        <v>325</v>
      </c>
      <c r="L4" s="143" t="s">
        <v>340</v>
      </c>
      <c r="M4" s="143" t="s">
        <v>2382</v>
      </c>
      <c r="N4" s="143" t="s">
        <v>464</v>
      </c>
      <c r="O4" s="143" t="s">
        <v>1696</v>
      </c>
      <c r="P4" s="143" t="s">
        <v>339</v>
      </c>
      <c r="Q4" s="143" t="s">
        <v>1210</v>
      </c>
      <c r="R4" s="143" t="s">
        <v>3046</v>
      </c>
      <c r="S4" s="143" t="s">
        <v>3042</v>
      </c>
      <c r="T4" s="144">
        <v>7843.64</v>
      </c>
      <c r="U4" s="145" t="s">
        <v>3930</v>
      </c>
      <c r="V4" s="143" t="s">
        <v>3047</v>
      </c>
      <c r="W4" s="144">
        <v>0.43919999999999998</v>
      </c>
      <c r="X4" s="146">
        <v>7.2973259046438629E-2</v>
      </c>
      <c r="Y4" s="147">
        <v>6.3720578056758801E-7</v>
      </c>
      <c r="Z4" s="177"/>
    </row>
    <row r="5" spans="1:26" ht="15" x14ac:dyDescent="0.2">
      <c r="A5" s="142" t="s">
        <v>1220</v>
      </c>
      <c r="B5" s="143" t="s">
        <v>1220</v>
      </c>
      <c r="C5" s="143" t="s">
        <v>2409</v>
      </c>
      <c r="D5" s="143" t="s">
        <v>2410</v>
      </c>
      <c r="E5" s="143" t="s">
        <v>309</v>
      </c>
      <c r="F5" s="143" t="s">
        <v>3038</v>
      </c>
      <c r="G5" s="143" t="s">
        <v>3039</v>
      </c>
      <c r="H5" s="143" t="s">
        <v>321</v>
      </c>
      <c r="I5" s="143" t="s">
        <v>204</v>
      </c>
      <c r="J5" s="143" t="s">
        <v>204</v>
      </c>
      <c r="K5" s="143" t="s">
        <v>325</v>
      </c>
      <c r="L5" s="143" t="s">
        <v>340</v>
      </c>
      <c r="M5" s="143" t="s">
        <v>2412</v>
      </c>
      <c r="N5" s="143" t="s">
        <v>480</v>
      </c>
      <c r="O5" s="143" t="s">
        <v>3040</v>
      </c>
      <c r="P5" s="143" t="s">
        <v>339</v>
      </c>
      <c r="Q5" s="143" t="s">
        <v>1210</v>
      </c>
      <c r="R5" s="143" t="s">
        <v>3041</v>
      </c>
      <c r="S5" s="143" t="s">
        <v>3042</v>
      </c>
      <c r="T5" s="144">
        <v>450750</v>
      </c>
      <c r="U5" s="145" t="s">
        <v>3930</v>
      </c>
      <c r="V5" s="143" t="s">
        <v>3043</v>
      </c>
      <c r="W5" s="144">
        <v>55.893000000000001</v>
      </c>
      <c r="X5" s="146">
        <v>0.91964067532590577</v>
      </c>
      <c r="Y5" s="147">
        <v>7.1343182070972048E-6</v>
      </c>
      <c r="Z5" s="177"/>
    </row>
    <row r="6" spans="1:26" ht="15" x14ac:dyDescent="0.2">
      <c r="A6" s="142" t="s">
        <v>1220</v>
      </c>
      <c r="B6" s="143" t="s">
        <v>1220</v>
      </c>
      <c r="C6" s="143" t="s">
        <v>2379</v>
      </c>
      <c r="D6" s="143" t="s">
        <v>2380</v>
      </c>
      <c r="E6" s="143" t="s">
        <v>309</v>
      </c>
      <c r="F6" s="143" t="s">
        <v>3044</v>
      </c>
      <c r="G6" s="143" t="s">
        <v>3045</v>
      </c>
      <c r="H6" s="143" t="s">
        <v>321</v>
      </c>
      <c r="I6" s="143" t="s">
        <v>204</v>
      </c>
      <c r="J6" s="143" t="s">
        <v>204</v>
      </c>
      <c r="K6" s="143" t="s">
        <v>325</v>
      </c>
      <c r="L6" s="143" t="s">
        <v>340</v>
      </c>
      <c r="M6" s="143" t="s">
        <v>2382</v>
      </c>
      <c r="N6" s="143" t="s">
        <v>464</v>
      </c>
      <c r="O6" s="143" t="s">
        <v>1696</v>
      </c>
      <c r="P6" s="143" t="s">
        <v>339</v>
      </c>
      <c r="Q6" s="143" t="s">
        <v>1210</v>
      </c>
      <c r="R6" s="143" t="s">
        <v>3046</v>
      </c>
      <c r="S6" s="143" t="s">
        <v>3042</v>
      </c>
      <c r="T6" s="144">
        <v>87214.26</v>
      </c>
      <c r="U6" s="145" t="s">
        <v>3930</v>
      </c>
      <c r="V6" s="143" t="s">
        <v>3047</v>
      </c>
      <c r="W6" s="144">
        <v>4.8840000000000003</v>
      </c>
      <c r="X6" s="146">
        <v>8.0359324674094276E-2</v>
      </c>
      <c r="Y6" s="147">
        <v>6.2340543270256613E-7</v>
      </c>
      <c r="Z6" s="177"/>
    </row>
    <row r="7" spans="1:26" ht="15" x14ac:dyDescent="0.2">
      <c r="A7" s="154" t="s">
        <v>1205</v>
      </c>
      <c r="B7" s="155" t="s">
        <v>1206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56" t="s">
        <v>3930</v>
      </c>
      <c r="Z7" s="177"/>
    </row>
    <row r="8" spans="1:26" ht="15" x14ac:dyDescent="0.2">
      <c r="A8" s="154" t="s">
        <v>1205</v>
      </c>
      <c r="B8" s="155" t="s">
        <v>1215</v>
      </c>
      <c r="C8" s="145" t="s">
        <v>3930</v>
      </c>
      <c r="D8" s="145" t="s">
        <v>3930</v>
      </c>
      <c r="E8" s="145" t="s">
        <v>3930</v>
      </c>
      <c r="F8" s="145" t="s">
        <v>3930</v>
      </c>
      <c r="G8" s="145" t="s">
        <v>3930</v>
      </c>
      <c r="H8" s="145" t="s">
        <v>3930</v>
      </c>
      <c r="I8" s="145" t="s">
        <v>3930</v>
      </c>
      <c r="J8" s="145" t="s">
        <v>3930</v>
      </c>
      <c r="K8" s="145" t="s">
        <v>3930</v>
      </c>
      <c r="L8" s="145" t="s">
        <v>3930</v>
      </c>
      <c r="M8" s="145" t="s">
        <v>3930</v>
      </c>
      <c r="N8" s="145" t="s">
        <v>3930</v>
      </c>
      <c r="O8" s="145" t="s">
        <v>3930</v>
      </c>
      <c r="P8" s="145" t="s">
        <v>3930</v>
      </c>
      <c r="Q8" s="145" t="s">
        <v>3930</v>
      </c>
      <c r="R8" s="145" t="s">
        <v>3930</v>
      </c>
      <c r="S8" s="145" t="s">
        <v>3930</v>
      </c>
      <c r="T8" s="145" t="s">
        <v>3930</v>
      </c>
      <c r="U8" s="145" t="s">
        <v>3930</v>
      </c>
      <c r="V8" s="145" t="s">
        <v>3930</v>
      </c>
      <c r="W8" s="145" t="s">
        <v>3930</v>
      </c>
      <c r="X8" s="145" t="s">
        <v>3930</v>
      </c>
      <c r="Y8" s="156" t="s">
        <v>3930</v>
      </c>
      <c r="Z8" s="177"/>
    </row>
    <row r="9" spans="1:26" ht="15" x14ac:dyDescent="0.2">
      <c r="A9" s="154" t="s">
        <v>1220</v>
      </c>
      <c r="B9" s="155" t="s">
        <v>1221</v>
      </c>
      <c r="C9" s="145" t="s">
        <v>3930</v>
      </c>
      <c r="D9" s="145" t="s">
        <v>3930</v>
      </c>
      <c r="E9" s="145" t="s">
        <v>3930</v>
      </c>
      <c r="F9" s="145" t="s">
        <v>3930</v>
      </c>
      <c r="G9" s="145" t="s">
        <v>3930</v>
      </c>
      <c r="H9" s="145" t="s">
        <v>3930</v>
      </c>
      <c r="I9" s="145" t="s">
        <v>3930</v>
      </c>
      <c r="J9" s="145" t="s">
        <v>3930</v>
      </c>
      <c r="K9" s="145" t="s">
        <v>3930</v>
      </c>
      <c r="L9" s="145" t="s">
        <v>3930</v>
      </c>
      <c r="M9" s="145" t="s">
        <v>3930</v>
      </c>
      <c r="N9" s="145" t="s">
        <v>3930</v>
      </c>
      <c r="O9" s="145" t="s">
        <v>3930</v>
      </c>
      <c r="P9" s="145" t="s">
        <v>3930</v>
      </c>
      <c r="Q9" s="145" t="s">
        <v>3930</v>
      </c>
      <c r="R9" s="145" t="s">
        <v>3930</v>
      </c>
      <c r="S9" s="145" t="s">
        <v>3930</v>
      </c>
      <c r="T9" s="145" t="s">
        <v>3930</v>
      </c>
      <c r="U9" s="145" t="s">
        <v>3930</v>
      </c>
      <c r="V9" s="145" t="s">
        <v>3930</v>
      </c>
      <c r="W9" s="145" t="s">
        <v>3930</v>
      </c>
      <c r="X9" s="145" t="s">
        <v>3930</v>
      </c>
      <c r="Y9" s="156" t="s">
        <v>3930</v>
      </c>
      <c r="Z9" s="177"/>
    </row>
    <row r="10" spans="1:26" ht="15" x14ac:dyDescent="0.2">
      <c r="A10" s="157" t="s">
        <v>1220</v>
      </c>
      <c r="B10" s="158" t="s">
        <v>1222</v>
      </c>
      <c r="C10" s="151" t="s">
        <v>3930</v>
      </c>
      <c r="D10" s="151" t="s">
        <v>3930</v>
      </c>
      <c r="E10" s="151" t="s">
        <v>3930</v>
      </c>
      <c r="F10" s="151" t="s">
        <v>3930</v>
      </c>
      <c r="G10" s="151" t="s">
        <v>3930</v>
      </c>
      <c r="H10" s="151" t="s">
        <v>3930</v>
      </c>
      <c r="I10" s="151" t="s">
        <v>3930</v>
      </c>
      <c r="J10" s="151" t="s">
        <v>3930</v>
      </c>
      <c r="K10" s="151" t="s">
        <v>3930</v>
      </c>
      <c r="L10" s="151" t="s">
        <v>3930</v>
      </c>
      <c r="M10" s="151" t="s">
        <v>3930</v>
      </c>
      <c r="N10" s="151" t="s">
        <v>3930</v>
      </c>
      <c r="O10" s="151" t="s">
        <v>3930</v>
      </c>
      <c r="P10" s="151" t="s">
        <v>3930</v>
      </c>
      <c r="Q10" s="151" t="s">
        <v>3930</v>
      </c>
      <c r="R10" s="151" t="s">
        <v>3930</v>
      </c>
      <c r="S10" s="151" t="s">
        <v>3930</v>
      </c>
      <c r="T10" s="151" t="s">
        <v>3930</v>
      </c>
      <c r="U10" s="151" t="s">
        <v>3930</v>
      </c>
      <c r="V10" s="151" t="s">
        <v>3930</v>
      </c>
      <c r="W10" s="151" t="s">
        <v>3930</v>
      </c>
      <c r="X10" s="151" t="s">
        <v>3930</v>
      </c>
      <c r="Y10" s="159" t="s">
        <v>3930</v>
      </c>
      <c r="Z10" s="177"/>
    </row>
    <row r="11" spans="1:26" x14ac:dyDescent="0.2">
      <c r="A11" s="184" t="s">
        <v>3946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</row>
    <row r="12" spans="1:26" x14ac:dyDescent="0.2">
      <c r="A12" s="99" t="s">
        <v>3945</v>
      </c>
      <c r="B12" s="99"/>
      <c r="C12" s="99"/>
      <c r="D12" s="99"/>
      <c r="E12" s="16"/>
      <c r="F12" s="99"/>
      <c r="G12" s="99"/>
      <c r="H12" s="16"/>
      <c r="I12" s="16"/>
      <c r="J12" s="16"/>
      <c r="K12" s="99"/>
      <c r="L12" s="16"/>
      <c r="M12" s="99"/>
      <c r="N12" s="99"/>
      <c r="O12" s="99"/>
      <c r="P12" s="99"/>
      <c r="Q12" s="16"/>
      <c r="R12" s="16"/>
      <c r="S12" s="16"/>
      <c r="T12" s="99"/>
      <c r="U12" s="99"/>
      <c r="V12" s="99"/>
      <c r="W12" s="99"/>
      <c r="X12" s="99"/>
      <c r="Y12" s="99"/>
    </row>
    <row r="13" spans="1:26" x14ac:dyDescent="0.2">
      <c r="A13" s="185"/>
      <c r="B13" s="99"/>
      <c r="C13" s="99"/>
      <c r="D13" s="99"/>
      <c r="E13" s="16"/>
      <c r="F13" s="99"/>
      <c r="G13" s="99"/>
      <c r="H13" s="16"/>
      <c r="I13" s="16"/>
      <c r="J13" s="16"/>
      <c r="K13" s="99"/>
      <c r="L13" s="16"/>
      <c r="M13" s="99"/>
      <c r="N13" s="99"/>
      <c r="O13" s="99"/>
      <c r="P13" s="99"/>
      <c r="Q13" s="16"/>
      <c r="R13" s="16"/>
      <c r="S13" s="16"/>
      <c r="T13" s="99"/>
      <c r="U13" s="99"/>
      <c r="V13" s="99"/>
      <c r="W13" s="99"/>
      <c r="X13" s="99"/>
      <c r="Y13" s="99"/>
    </row>
    <row r="14" spans="1:26" x14ac:dyDescent="0.2">
      <c r="A14" s="99"/>
      <c r="B14" s="99"/>
      <c r="C14" s="99"/>
      <c r="D14" s="99"/>
      <c r="E14" s="16"/>
      <c r="F14" s="99"/>
      <c r="G14" s="99"/>
      <c r="H14" s="16"/>
      <c r="I14" s="16"/>
      <c r="J14" s="16"/>
      <c r="K14" s="99"/>
      <c r="L14" s="16"/>
      <c r="M14" s="99"/>
      <c r="N14" s="99"/>
      <c r="O14" s="99"/>
      <c r="P14" s="99"/>
      <c r="Q14" s="16"/>
      <c r="R14" s="16"/>
      <c r="S14" s="16"/>
      <c r="T14" s="99"/>
      <c r="U14" s="99"/>
      <c r="V14" s="99"/>
      <c r="W14" s="99"/>
      <c r="X14" s="99"/>
      <c r="Y14" s="99"/>
    </row>
    <row r="15" spans="1:26" x14ac:dyDescent="0.2">
      <c r="A15" s="99"/>
      <c r="B15" s="99"/>
      <c r="C15" s="99"/>
      <c r="D15" s="99"/>
      <c r="E15" s="16"/>
      <c r="F15" s="99"/>
      <c r="G15" s="99"/>
      <c r="H15" s="16"/>
      <c r="I15" s="16"/>
      <c r="J15" s="16"/>
      <c r="K15" s="99"/>
      <c r="L15" s="16"/>
      <c r="M15" s="99"/>
      <c r="N15" s="99"/>
      <c r="O15" s="99"/>
      <c r="P15" s="99"/>
      <c r="Q15" s="16"/>
      <c r="R15" s="16"/>
      <c r="S15" s="16"/>
      <c r="T15" s="99"/>
      <c r="U15" s="99"/>
      <c r="V15" s="99"/>
      <c r="W15" s="99"/>
      <c r="X15" s="99"/>
      <c r="Y15" s="99"/>
    </row>
    <row r="16" spans="1:26" x14ac:dyDescent="0.2">
      <c r="A16" s="99"/>
      <c r="B16" s="99"/>
      <c r="C16" s="99"/>
      <c r="D16" s="99"/>
      <c r="E16" s="16"/>
      <c r="F16" s="99"/>
      <c r="G16" s="99"/>
      <c r="H16" s="16"/>
      <c r="I16" s="16"/>
      <c r="J16" s="16"/>
      <c r="K16" s="99"/>
      <c r="L16" s="16"/>
      <c r="M16" s="99"/>
      <c r="N16" s="99"/>
      <c r="O16" s="99"/>
      <c r="P16" s="99"/>
      <c r="Q16" s="16"/>
      <c r="R16" s="16"/>
      <c r="S16" s="16"/>
      <c r="T16" s="99"/>
      <c r="U16" s="99"/>
      <c r="V16" s="99"/>
      <c r="W16" s="99"/>
      <c r="X16" s="99"/>
      <c r="Y16" s="99"/>
    </row>
    <row r="17" spans="1:25" x14ac:dyDescent="0.2">
      <c r="A17" s="99"/>
      <c r="B17" s="99"/>
      <c r="C17" s="99"/>
      <c r="D17" s="99"/>
      <c r="E17" s="16"/>
      <c r="F17" s="99"/>
      <c r="G17" s="99"/>
      <c r="H17" s="16"/>
      <c r="I17" s="16"/>
      <c r="J17" s="16"/>
      <c r="K17" s="99"/>
      <c r="L17" s="16"/>
      <c r="M17" s="99"/>
      <c r="N17" s="99"/>
      <c r="O17" s="99"/>
      <c r="P17" s="99"/>
      <c r="Q17" s="16"/>
      <c r="R17" s="16"/>
      <c r="S17" s="16"/>
      <c r="T17" s="99"/>
      <c r="U17" s="99"/>
      <c r="V17" s="99"/>
      <c r="W17" s="99"/>
      <c r="X17" s="99"/>
      <c r="Y17" s="99"/>
    </row>
    <row r="18" spans="1:25" x14ac:dyDescent="0.2">
      <c r="A18" s="99"/>
      <c r="B18" s="99"/>
      <c r="C18" s="99"/>
      <c r="D18" s="99"/>
      <c r="E18" s="16"/>
      <c r="F18" s="99"/>
      <c r="G18" s="99"/>
      <c r="H18" s="16"/>
      <c r="I18" s="16"/>
      <c r="J18" s="16"/>
      <c r="K18" s="99"/>
      <c r="L18" s="16"/>
      <c r="M18" s="99"/>
      <c r="N18" s="99"/>
      <c r="O18" s="99"/>
      <c r="P18" s="99"/>
      <c r="Q18" s="16"/>
      <c r="R18" s="16"/>
      <c r="S18" s="16"/>
      <c r="T18" s="99"/>
      <c r="U18" s="99"/>
      <c r="V18" s="99"/>
      <c r="W18" s="99"/>
      <c r="X18" s="99"/>
      <c r="Y18" s="99"/>
    </row>
    <row r="19" spans="1:25" x14ac:dyDescent="0.2">
      <c r="A19" s="99"/>
      <c r="B19" s="99"/>
      <c r="C19" s="99"/>
      <c r="D19" s="99"/>
      <c r="E19" s="16"/>
      <c r="F19" s="99"/>
      <c r="G19" s="99"/>
      <c r="H19" s="16"/>
      <c r="I19" s="16"/>
      <c r="J19" s="16"/>
      <c r="K19" s="99"/>
      <c r="L19" s="16"/>
      <c r="M19" s="99"/>
      <c r="N19" s="99"/>
      <c r="O19" s="99"/>
      <c r="P19" s="99"/>
      <c r="Q19" s="16"/>
      <c r="R19" s="16"/>
      <c r="S19" s="16"/>
      <c r="T19" s="99"/>
      <c r="U19" s="99"/>
      <c r="V19" s="99"/>
      <c r="W19" s="99"/>
      <c r="X19" s="99"/>
      <c r="Y19" s="99"/>
    </row>
    <row r="20" spans="1:25" x14ac:dyDescent="0.2">
      <c r="A20" s="99"/>
      <c r="B20" s="99"/>
      <c r="C20" s="99"/>
      <c r="D20" s="99"/>
      <c r="E20" s="16"/>
      <c r="F20" s="99"/>
      <c r="G20" s="99"/>
      <c r="H20" s="16"/>
      <c r="I20" s="16"/>
      <c r="J20" s="16"/>
      <c r="K20" s="99"/>
      <c r="L20" s="16"/>
      <c r="M20" s="99"/>
      <c r="N20" s="99"/>
      <c r="O20" s="99"/>
      <c r="P20" s="99"/>
      <c r="Q20" s="16"/>
      <c r="R20" s="16"/>
      <c r="S20" s="16"/>
      <c r="T20" s="99"/>
      <c r="U20" s="99"/>
      <c r="V20" s="99"/>
      <c r="W20" s="99"/>
      <c r="X20" s="99"/>
      <c r="Y20" s="99"/>
    </row>
    <row r="21" spans="1:25" x14ac:dyDescent="0.2">
      <c r="A21" s="98"/>
      <c r="B21" s="98"/>
      <c r="C21" s="98"/>
      <c r="D21" s="98"/>
      <c r="E21" s="16"/>
      <c r="F21" s="98"/>
      <c r="G21" s="98"/>
      <c r="H21" s="16"/>
      <c r="I21" s="16"/>
      <c r="J21" s="16"/>
      <c r="K21" s="99"/>
      <c r="L21" s="16"/>
      <c r="M21" s="98"/>
      <c r="N21" s="99"/>
      <c r="O21" s="98"/>
      <c r="P21" s="99"/>
      <c r="Q21" s="98"/>
      <c r="R21" s="98"/>
      <c r="S21" s="98"/>
      <c r="T21" s="98"/>
      <c r="U21" s="98"/>
      <c r="V21" s="98"/>
      <c r="W21" s="98"/>
      <c r="X21" s="98"/>
      <c r="Y21" s="98"/>
    </row>
    <row r="22" spans="1:25" customFormat="1" x14ac:dyDescent="0.2">
      <c r="H22" s="4"/>
      <c r="L22" s="4"/>
    </row>
    <row r="23" spans="1:25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6 I12:I21">
      <formula1>israel_abroad</formula1>
    </dataValidation>
    <dataValidation type="list" allowBlank="1" showInputMessage="1" showErrorMessage="1" sqref="N3:N6 N12:N21">
      <formula1>Industry_sectors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J3:J6 J12:J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K3:K6 K12:K21">
      <formula1>tradeable_status_warrants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3958</v>
      </c>
    </row>
    <row r="2" spans="1:25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70</v>
      </c>
      <c r="M2" s="140" t="s">
        <v>83</v>
      </c>
      <c r="N2" s="140" t="s">
        <v>96</v>
      </c>
      <c r="O2" s="140" t="s">
        <v>93</v>
      </c>
      <c r="P2" s="140" t="s">
        <v>56</v>
      </c>
      <c r="Q2" s="140" t="s">
        <v>59</v>
      </c>
      <c r="R2" s="140" t="s">
        <v>94</v>
      </c>
      <c r="S2" s="140" t="s">
        <v>76</v>
      </c>
      <c r="T2" s="140" t="s">
        <v>61</v>
      </c>
      <c r="U2" s="140" t="s">
        <v>77</v>
      </c>
      <c r="V2" s="140" t="s">
        <v>63</v>
      </c>
      <c r="W2" s="140" t="s">
        <v>64</v>
      </c>
      <c r="X2" s="141" t="s">
        <v>65</v>
      </c>
      <c r="Y2" s="177" t="s">
        <v>3947</v>
      </c>
    </row>
    <row r="3" spans="1:25" ht="15" x14ac:dyDescent="0.2">
      <c r="A3" s="142" t="s">
        <v>1205</v>
      </c>
      <c r="B3" s="143" t="s">
        <v>1205</v>
      </c>
      <c r="C3" s="143" t="s">
        <v>3048</v>
      </c>
      <c r="D3" s="143" t="s">
        <v>3049</v>
      </c>
      <c r="E3" s="143" t="s">
        <v>309</v>
      </c>
      <c r="F3" s="143" t="s">
        <v>3050</v>
      </c>
      <c r="G3" s="143" t="s">
        <v>3051</v>
      </c>
      <c r="H3" s="143" t="s">
        <v>312</v>
      </c>
      <c r="I3" s="143" t="s">
        <v>971</v>
      </c>
      <c r="J3" s="143" t="s">
        <v>204</v>
      </c>
      <c r="K3" s="143" t="s">
        <v>204</v>
      </c>
      <c r="L3" s="143" t="s">
        <v>340</v>
      </c>
      <c r="M3" s="143" t="s">
        <v>314</v>
      </c>
      <c r="N3" s="143" t="s">
        <v>747</v>
      </c>
      <c r="O3" s="143" t="s">
        <v>3052</v>
      </c>
      <c r="P3" s="143" t="s">
        <v>339</v>
      </c>
      <c r="Q3" s="143" t="s">
        <v>1210</v>
      </c>
      <c r="R3" s="143" t="s">
        <v>3053</v>
      </c>
      <c r="S3" s="144">
        <v>91</v>
      </c>
      <c r="T3" s="145" t="s">
        <v>3930</v>
      </c>
      <c r="U3" s="143" t="s">
        <v>3054</v>
      </c>
      <c r="V3" s="144">
        <v>54.145000000000003</v>
      </c>
      <c r="W3" s="146">
        <v>-0.13662456946039037</v>
      </c>
      <c r="X3" s="147">
        <v>7.8547503338537549E-5</v>
      </c>
      <c r="Y3" s="177"/>
    </row>
    <row r="4" spans="1:25" ht="15" x14ac:dyDescent="0.2">
      <c r="A4" s="142" t="s">
        <v>1205</v>
      </c>
      <c r="B4" s="143" t="s">
        <v>1205</v>
      </c>
      <c r="C4" s="143" t="s">
        <v>3048</v>
      </c>
      <c r="D4" s="143" t="s">
        <v>3049</v>
      </c>
      <c r="E4" s="143" t="s">
        <v>309</v>
      </c>
      <c r="F4" s="143" t="s">
        <v>3055</v>
      </c>
      <c r="G4" s="143" t="s">
        <v>3056</v>
      </c>
      <c r="H4" s="143" t="s">
        <v>312</v>
      </c>
      <c r="I4" s="143" t="s">
        <v>971</v>
      </c>
      <c r="J4" s="143" t="s">
        <v>204</v>
      </c>
      <c r="K4" s="143" t="s">
        <v>204</v>
      </c>
      <c r="L4" s="143" t="s">
        <v>340</v>
      </c>
      <c r="M4" s="143" t="s">
        <v>314</v>
      </c>
      <c r="N4" s="143" t="s">
        <v>747</v>
      </c>
      <c r="O4" s="143" t="s">
        <v>3052</v>
      </c>
      <c r="P4" s="143" t="s">
        <v>339</v>
      </c>
      <c r="Q4" s="143" t="s">
        <v>1210</v>
      </c>
      <c r="R4" s="143" t="s">
        <v>3053</v>
      </c>
      <c r="S4" s="144">
        <v>-91</v>
      </c>
      <c r="T4" s="145" t="s">
        <v>3930</v>
      </c>
      <c r="U4" s="143" t="s">
        <v>3057</v>
      </c>
      <c r="V4" s="144">
        <v>-450.45</v>
      </c>
      <c r="W4" s="146">
        <v>1.1366245694603903</v>
      </c>
      <c r="X4" s="147">
        <v>-6.5346242273237119E-4</v>
      </c>
      <c r="Y4" s="177"/>
    </row>
    <row r="5" spans="1:25" ht="15" x14ac:dyDescent="0.2">
      <c r="A5" s="142" t="s">
        <v>1220</v>
      </c>
      <c r="B5" s="143" t="s">
        <v>1220</v>
      </c>
      <c r="C5" s="143" t="s">
        <v>3048</v>
      </c>
      <c r="D5" s="143" t="s">
        <v>3049</v>
      </c>
      <c r="E5" s="143" t="s">
        <v>309</v>
      </c>
      <c r="F5" s="143" t="s">
        <v>3050</v>
      </c>
      <c r="G5" s="143" t="s">
        <v>3051</v>
      </c>
      <c r="H5" s="143" t="s">
        <v>312</v>
      </c>
      <c r="I5" s="143" t="s">
        <v>971</v>
      </c>
      <c r="J5" s="143" t="s">
        <v>204</v>
      </c>
      <c r="K5" s="143" t="s">
        <v>204</v>
      </c>
      <c r="L5" s="143" t="s">
        <v>340</v>
      </c>
      <c r="M5" s="143" t="s">
        <v>314</v>
      </c>
      <c r="N5" s="143" t="s">
        <v>747</v>
      </c>
      <c r="O5" s="143" t="s">
        <v>3052</v>
      </c>
      <c r="P5" s="143" t="s">
        <v>339</v>
      </c>
      <c r="Q5" s="143" t="s">
        <v>1210</v>
      </c>
      <c r="R5" s="143" t="s">
        <v>3053</v>
      </c>
      <c r="S5" s="144">
        <v>876</v>
      </c>
      <c r="T5" s="145" t="s">
        <v>3930</v>
      </c>
      <c r="U5" s="143" t="s">
        <v>3054</v>
      </c>
      <c r="V5" s="144">
        <v>521.22</v>
      </c>
      <c r="W5" s="146">
        <v>-0.13662456946039037</v>
      </c>
      <c r="X5" s="147">
        <v>6.6529786125332419E-5</v>
      </c>
      <c r="Y5" s="177"/>
    </row>
    <row r="6" spans="1:25" ht="15" x14ac:dyDescent="0.2">
      <c r="A6" s="142" t="s">
        <v>1220</v>
      </c>
      <c r="B6" s="143" t="s">
        <v>1220</v>
      </c>
      <c r="C6" s="143" t="s">
        <v>3048</v>
      </c>
      <c r="D6" s="143" t="s">
        <v>3049</v>
      </c>
      <c r="E6" s="143" t="s">
        <v>309</v>
      </c>
      <c r="F6" s="143" t="s">
        <v>3055</v>
      </c>
      <c r="G6" s="143" t="s">
        <v>3056</v>
      </c>
      <c r="H6" s="143" t="s">
        <v>312</v>
      </c>
      <c r="I6" s="143" t="s">
        <v>971</v>
      </c>
      <c r="J6" s="143" t="s">
        <v>204</v>
      </c>
      <c r="K6" s="143" t="s">
        <v>204</v>
      </c>
      <c r="L6" s="143" t="s">
        <v>340</v>
      </c>
      <c r="M6" s="143" t="s">
        <v>314</v>
      </c>
      <c r="N6" s="143" t="s">
        <v>747</v>
      </c>
      <c r="O6" s="143" t="s">
        <v>3052</v>
      </c>
      <c r="P6" s="143" t="s">
        <v>339</v>
      </c>
      <c r="Q6" s="143" t="s">
        <v>1210</v>
      </c>
      <c r="R6" s="143" t="s">
        <v>3053</v>
      </c>
      <c r="S6" s="144">
        <v>-876</v>
      </c>
      <c r="T6" s="145" t="s">
        <v>3930</v>
      </c>
      <c r="U6" s="143" t="s">
        <v>3057</v>
      </c>
      <c r="V6" s="144">
        <v>-4336.2</v>
      </c>
      <c r="W6" s="146">
        <v>1.1366245694603903</v>
      </c>
      <c r="X6" s="147">
        <v>-5.5348309465612692E-4</v>
      </c>
      <c r="Y6" s="177"/>
    </row>
    <row r="7" spans="1:25" ht="15" x14ac:dyDescent="0.2">
      <c r="A7" s="154" t="s">
        <v>1205</v>
      </c>
      <c r="B7" s="155" t="s">
        <v>1206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56" t="s">
        <v>3930</v>
      </c>
      <c r="Y7" s="177"/>
    </row>
    <row r="8" spans="1:25" ht="15" x14ac:dyDescent="0.2">
      <c r="A8" s="154" t="s">
        <v>1205</v>
      </c>
      <c r="B8" s="155" t="s">
        <v>1215</v>
      </c>
      <c r="C8" s="145" t="s">
        <v>3930</v>
      </c>
      <c r="D8" s="145" t="s">
        <v>3930</v>
      </c>
      <c r="E8" s="145" t="s">
        <v>3930</v>
      </c>
      <c r="F8" s="145" t="s">
        <v>3930</v>
      </c>
      <c r="G8" s="145" t="s">
        <v>3930</v>
      </c>
      <c r="H8" s="145" t="s">
        <v>3930</v>
      </c>
      <c r="I8" s="145" t="s">
        <v>3930</v>
      </c>
      <c r="J8" s="145" t="s">
        <v>3930</v>
      </c>
      <c r="K8" s="145" t="s">
        <v>3930</v>
      </c>
      <c r="L8" s="145" t="s">
        <v>3930</v>
      </c>
      <c r="M8" s="145" t="s">
        <v>3930</v>
      </c>
      <c r="N8" s="145" t="s">
        <v>3930</v>
      </c>
      <c r="O8" s="145" t="s">
        <v>3930</v>
      </c>
      <c r="P8" s="145" t="s">
        <v>3930</v>
      </c>
      <c r="Q8" s="145" t="s">
        <v>3930</v>
      </c>
      <c r="R8" s="145" t="s">
        <v>3930</v>
      </c>
      <c r="S8" s="145" t="s">
        <v>3930</v>
      </c>
      <c r="T8" s="145" t="s">
        <v>3930</v>
      </c>
      <c r="U8" s="145" t="s">
        <v>3930</v>
      </c>
      <c r="V8" s="145" t="s">
        <v>3930</v>
      </c>
      <c r="W8" s="145" t="s">
        <v>3930</v>
      </c>
      <c r="X8" s="156" t="s">
        <v>3930</v>
      </c>
      <c r="Y8" s="177"/>
    </row>
    <row r="9" spans="1:25" ht="15" x14ac:dyDescent="0.2">
      <c r="A9" s="154" t="s">
        <v>1220</v>
      </c>
      <c r="B9" s="155" t="s">
        <v>1221</v>
      </c>
      <c r="C9" s="145" t="s">
        <v>3930</v>
      </c>
      <c r="D9" s="145" t="s">
        <v>3930</v>
      </c>
      <c r="E9" s="145" t="s">
        <v>3930</v>
      </c>
      <c r="F9" s="145" t="s">
        <v>3930</v>
      </c>
      <c r="G9" s="145" t="s">
        <v>3930</v>
      </c>
      <c r="H9" s="145" t="s">
        <v>3930</v>
      </c>
      <c r="I9" s="145" t="s">
        <v>3930</v>
      </c>
      <c r="J9" s="145" t="s">
        <v>3930</v>
      </c>
      <c r="K9" s="145" t="s">
        <v>3930</v>
      </c>
      <c r="L9" s="145" t="s">
        <v>3930</v>
      </c>
      <c r="M9" s="145" t="s">
        <v>3930</v>
      </c>
      <c r="N9" s="145" t="s">
        <v>3930</v>
      </c>
      <c r="O9" s="145" t="s">
        <v>3930</v>
      </c>
      <c r="P9" s="145" t="s">
        <v>3930</v>
      </c>
      <c r="Q9" s="145" t="s">
        <v>3930</v>
      </c>
      <c r="R9" s="145" t="s">
        <v>3930</v>
      </c>
      <c r="S9" s="145" t="s">
        <v>3930</v>
      </c>
      <c r="T9" s="145" t="s">
        <v>3930</v>
      </c>
      <c r="U9" s="145" t="s">
        <v>3930</v>
      </c>
      <c r="V9" s="145" t="s">
        <v>3930</v>
      </c>
      <c r="W9" s="145" t="s">
        <v>3930</v>
      </c>
      <c r="X9" s="156" t="s">
        <v>3930</v>
      </c>
      <c r="Y9" s="177"/>
    </row>
    <row r="10" spans="1:25" ht="15" x14ac:dyDescent="0.2">
      <c r="A10" s="157" t="s">
        <v>1220</v>
      </c>
      <c r="B10" s="158" t="s">
        <v>1222</v>
      </c>
      <c r="C10" s="151" t="s">
        <v>3930</v>
      </c>
      <c r="D10" s="151" t="s">
        <v>3930</v>
      </c>
      <c r="E10" s="151" t="s">
        <v>3930</v>
      </c>
      <c r="F10" s="151" t="s">
        <v>3930</v>
      </c>
      <c r="G10" s="151" t="s">
        <v>3930</v>
      </c>
      <c r="H10" s="151" t="s">
        <v>3930</v>
      </c>
      <c r="I10" s="151" t="s">
        <v>3930</v>
      </c>
      <c r="J10" s="151" t="s">
        <v>3930</v>
      </c>
      <c r="K10" s="151" t="s">
        <v>3930</v>
      </c>
      <c r="L10" s="151" t="s">
        <v>3930</v>
      </c>
      <c r="M10" s="151" t="s">
        <v>3930</v>
      </c>
      <c r="N10" s="151" t="s">
        <v>3930</v>
      </c>
      <c r="O10" s="151" t="s">
        <v>3930</v>
      </c>
      <c r="P10" s="151" t="s">
        <v>3930</v>
      </c>
      <c r="Q10" s="151" t="s">
        <v>3930</v>
      </c>
      <c r="R10" s="151" t="s">
        <v>3930</v>
      </c>
      <c r="S10" s="151" t="s">
        <v>3930</v>
      </c>
      <c r="T10" s="151" t="s">
        <v>3930</v>
      </c>
      <c r="U10" s="151" t="s">
        <v>3930</v>
      </c>
      <c r="V10" s="151" t="s">
        <v>3930</v>
      </c>
      <c r="W10" s="151" t="s">
        <v>3930</v>
      </c>
      <c r="X10" s="159" t="s">
        <v>3930</v>
      </c>
      <c r="Y10" s="177"/>
    </row>
    <row r="11" spans="1:25" x14ac:dyDescent="0.2">
      <c r="A11" s="184" t="s">
        <v>3946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</row>
    <row r="12" spans="1:25" x14ac:dyDescent="0.2">
      <c r="A12" s="99" t="s">
        <v>3945</v>
      </c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16"/>
      <c r="M12" s="99"/>
      <c r="N12" s="99"/>
      <c r="O12" s="99"/>
      <c r="P12" s="99"/>
      <c r="Q12" s="16"/>
      <c r="R12" s="16"/>
      <c r="S12" s="99"/>
      <c r="T12" s="99"/>
      <c r="U12" s="99"/>
      <c r="V12" s="99"/>
      <c r="W12" s="99"/>
      <c r="X12" s="99"/>
    </row>
    <row r="13" spans="1:25" x14ac:dyDescent="0.2">
      <c r="A13" s="185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16"/>
      <c r="M13" s="99"/>
      <c r="N13" s="99"/>
      <c r="O13" s="99"/>
      <c r="P13" s="99"/>
      <c r="Q13" s="16"/>
      <c r="R13" s="16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16"/>
      <c r="M14" s="99"/>
      <c r="N14" s="99"/>
      <c r="O14" s="99"/>
      <c r="P14" s="99"/>
      <c r="Q14" s="16"/>
      <c r="R14" s="16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16"/>
      <c r="M15" s="99"/>
      <c r="N15" s="99"/>
      <c r="O15" s="99"/>
      <c r="P15" s="99"/>
      <c r="Q15" s="16"/>
      <c r="R15" s="16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16"/>
      <c r="M16" s="99"/>
      <c r="N16" s="99"/>
      <c r="O16" s="99"/>
      <c r="P16" s="99"/>
      <c r="Q16" s="16"/>
      <c r="R16" s="16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16"/>
      <c r="M17" s="99"/>
      <c r="N17" s="99"/>
      <c r="O17" s="99"/>
      <c r="P17" s="99"/>
      <c r="Q17" s="16"/>
      <c r="R17" s="16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16"/>
      <c r="M18" s="99"/>
      <c r="N18" s="99"/>
      <c r="O18" s="99"/>
      <c r="P18" s="99"/>
      <c r="Q18" s="16"/>
      <c r="R18" s="16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16"/>
      <c r="M19" s="99"/>
      <c r="N19" s="99"/>
      <c r="O19" s="99"/>
      <c r="P19" s="99"/>
      <c r="Q19" s="16"/>
      <c r="R19" s="16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16"/>
      <c r="M20" s="99"/>
      <c r="N20" s="99"/>
      <c r="O20" s="99"/>
      <c r="P20" s="99"/>
      <c r="Q20" s="16"/>
      <c r="R20" s="16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16"/>
      <c r="M21" s="99"/>
      <c r="N21" s="98"/>
      <c r="O21" s="98"/>
      <c r="P21" s="99"/>
      <c r="Q21" s="98"/>
      <c r="R21" s="98"/>
      <c r="S21" s="98"/>
      <c r="T21" s="98"/>
      <c r="U21" s="98"/>
      <c r="V21" s="98"/>
      <c r="W21" s="98"/>
      <c r="X21" s="98"/>
    </row>
    <row r="22" spans="1:24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4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4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31" spans="1:24" x14ac:dyDescent="0.2">
      <c r="A31" s="98"/>
      <c r="B31" s="98"/>
      <c r="C31" s="98"/>
      <c r="D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>
      <formula1>israel_abroad</formula1>
    </dataValidation>
    <dataValidation type="list" allowBlank="1" showInputMessage="1" showErrorMessage="1" sqref="P3:P6 P12:P21">
      <formula1>Holding_interest</formula1>
    </dataValidation>
    <dataValidation type="list" allowBlank="1" showInputMessage="1" showErrorMessage="1" sqref="N3:N6 N12:N20">
      <formula1>Underlying_Asset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E3:E6 E12:E21">
      <formula1>Issuer_Type_TFunds</formula1>
    </dataValidation>
    <dataValidation type="list" allowBlank="1" showInputMessage="1" showErrorMessage="1" sqref="H3:H6 H12:H21">
      <formula1>Security_ID_Number_Type</formula1>
    </dataValidation>
    <dataValidation type="list" allowBlank="1" showInputMessage="1" showErrorMessage="1" sqref="M3:M6 M12:M21">
      <formula1>Industry_Sector</formula1>
    </dataValidation>
    <dataValidation type="list" allowBlank="1" showInputMessage="1" showErrorMessage="1" sqref="L3:L6 L12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4.12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3959</v>
      </c>
    </row>
    <row r="2" spans="1:2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70</v>
      </c>
      <c r="L2" s="140" t="s">
        <v>96</v>
      </c>
      <c r="M2" s="140" t="s">
        <v>56</v>
      </c>
      <c r="N2" s="140" t="s">
        <v>59</v>
      </c>
      <c r="O2" s="140" t="s">
        <v>76</v>
      </c>
      <c r="P2" s="140" t="s">
        <v>61</v>
      </c>
      <c r="Q2" s="140" t="s">
        <v>77</v>
      </c>
      <c r="R2" s="140" t="s">
        <v>63</v>
      </c>
      <c r="S2" s="140" t="s">
        <v>64</v>
      </c>
      <c r="T2" s="141" t="s">
        <v>65</v>
      </c>
      <c r="U2" s="177" t="s">
        <v>3947</v>
      </c>
    </row>
    <row r="3" spans="1:21" x14ac:dyDescent="0.2">
      <c r="A3" s="142" t="s">
        <v>1205</v>
      </c>
      <c r="B3" s="143" t="s">
        <v>1205</v>
      </c>
      <c r="C3" s="143" t="s">
        <v>2082</v>
      </c>
      <c r="D3" s="143" t="s">
        <v>2083</v>
      </c>
      <c r="E3" s="143" t="s">
        <v>309</v>
      </c>
      <c r="F3" s="143" t="s">
        <v>3058</v>
      </c>
      <c r="G3" s="143" t="s">
        <v>3059</v>
      </c>
      <c r="H3" s="143" t="s">
        <v>312</v>
      </c>
      <c r="I3" s="143" t="s">
        <v>204</v>
      </c>
      <c r="J3" s="143" t="s">
        <v>204</v>
      </c>
      <c r="K3" s="143" t="s">
        <v>3060</v>
      </c>
      <c r="L3" s="143" t="s">
        <v>314</v>
      </c>
      <c r="M3" s="143" t="s">
        <v>339</v>
      </c>
      <c r="N3" s="143" t="s">
        <v>1211</v>
      </c>
      <c r="O3" s="144">
        <v>-1066218.75</v>
      </c>
      <c r="P3" s="143" t="s">
        <v>1212</v>
      </c>
      <c r="Q3" s="143" t="s">
        <v>3061</v>
      </c>
      <c r="R3" s="144">
        <v>-3955.6716000000001</v>
      </c>
      <c r="S3" s="146">
        <v>-5.5119110266446478</v>
      </c>
      <c r="T3" s="147">
        <v>-5.7384453829832259E-3</v>
      </c>
      <c r="U3" s="177"/>
    </row>
    <row r="4" spans="1:21" ht="15" x14ac:dyDescent="0.2">
      <c r="A4" s="142" t="s">
        <v>1205</v>
      </c>
      <c r="B4" s="143" t="s">
        <v>1205</v>
      </c>
      <c r="C4" s="143" t="s">
        <v>2082</v>
      </c>
      <c r="D4" s="143" t="s">
        <v>2083</v>
      </c>
      <c r="E4" s="143" t="s">
        <v>309</v>
      </c>
      <c r="F4" s="143" t="s">
        <v>3062</v>
      </c>
      <c r="G4" s="143" t="s">
        <v>3063</v>
      </c>
      <c r="H4" s="143" t="s">
        <v>312</v>
      </c>
      <c r="I4" s="143" t="s">
        <v>204</v>
      </c>
      <c r="J4" s="143" t="s">
        <v>204</v>
      </c>
      <c r="K4" s="145" t="s">
        <v>3930</v>
      </c>
      <c r="L4" s="143" t="s">
        <v>314</v>
      </c>
      <c r="M4" s="143" t="s">
        <v>339</v>
      </c>
      <c r="N4" s="143" t="s">
        <v>1211</v>
      </c>
      <c r="O4" s="144">
        <v>-3983768.09</v>
      </c>
      <c r="P4" s="143" t="s">
        <v>1212</v>
      </c>
      <c r="Q4" s="143" t="s">
        <v>3061</v>
      </c>
      <c r="R4" s="144">
        <v>-14779.7796</v>
      </c>
      <c r="S4" s="146">
        <v>-20.594437363689288</v>
      </c>
      <c r="T4" s="147">
        <v>-2.144084935941748E-2</v>
      </c>
      <c r="U4" s="177"/>
    </row>
    <row r="5" spans="1:21" ht="15" x14ac:dyDescent="0.2">
      <c r="A5" s="142" t="s">
        <v>1205</v>
      </c>
      <c r="B5" s="143" t="s">
        <v>1205</v>
      </c>
      <c r="C5" s="143" t="s">
        <v>2082</v>
      </c>
      <c r="D5" s="143" t="s">
        <v>2083</v>
      </c>
      <c r="E5" s="143" t="s">
        <v>309</v>
      </c>
      <c r="F5" s="143" t="s">
        <v>3064</v>
      </c>
      <c r="G5" s="143" t="s">
        <v>3065</v>
      </c>
      <c r="H5" s="143" t="s">
        <v>312</v>
      </c>
      <c r="I5" s="143" t="s">
        <v>204</v>
      </c>
      <c r="J5" s="143" t="s">
        <v>204</v>
      </c>
      <c r="K5" s="145" t="s">
        <v>3930</v>
      </c>
      <c r="L5" s="143" t="s">
        <v>314</v>
      </c>
      <c r="M5" s="143" t="s">
        <v>339</v>
      </c>
      <c r="N5" s="143" t="s">
        <v>1211</v>
      </c>
      <c r="O5" s="144">
        <v>-4348696</v>
      </c>
      <c r="P5" s="143" t="s">
        <v>1212</v>
      </c>
      <c r="Q5" s="143" t="s">
        <v>3061</v>
      </c>
      <c r="R5" s="144">
        <v>-16133.662199999999</v>
      </c>
      <c r="S5" s="146">
        <v>-22.48096409289883</v>
      </c>
      <c r="T5" s="147">
        <v>-2.3404910561925143E-2</v>
      </c>
      <c r="U5" s="177"/>
    </row>
    <row r="6" spans="1:21" x14ac:dyDescent="0.2">
      <c r="A6" s="142" t="s">
        <v>1205</v>
      </c>
      <c r="B6" s="143" t="s">
        <v>1205</v>
      </c>
      <c r="C6" s="143" t="s">
        <v>3066</v>
      </c>
      <c r="D6" s="143" t="s">
        <v>3067</v>
      </c>
      <c r="E6" s="143" t="s">
        <v>314</v>
      </c>
      <c r="F6" s="143" t="s">
        <v>3068</v>
      </c>
      <c r="G6" s="143" t="s">
        <v>3069</v>
      </c>
      <c r="H6" s="143" t="s">
        <v>312</v>
      </c>
      <c r="I6" s="143" t="s">
        <v>205</v>
      </c>
      <c r="J6" s="143" t="s">
        <v>224</v>
      </c>
      <c r="K6" s="143" t="s">
        <v>344</v>
      </c>
      <c r="L6" s="143" t="s">
        <v>747</v>
      </c>
      <c r="M6" s="143" t="s">
        <v>339</v>
      </c>
      <c r="N6" s="143" t="s">
        <v>1211</v>
      </c>
      <c r="O6" s="144">
        <v>11</v>
      </c>
      <c r="P6" s="143" t="s">
        <v>1212</v>
      </c>
      <c r="Q6" s="143" t="s">
        <v>3070</v>
      </c>
      <c r="R6" s="144">
        <v>16537.2323</v>
      </c>
      <c r="S6" s="146">
        <v>23.043306641805778</v>
      </c>
      <c r="T6" s="147">
        <v>2.3990364860412703E-2</v>
      </c>
      <c r="U6" s="177"/>
    </row>
    <row r="7" spans="1:21" x14ac:dyDescent="0.2">
      <c r="A7" s="142" t="s">
        <v>1205</v>
      </c>
      <c r="B7" s="143" t="s">
        <v>1205</v>
      </c>
      <c r="C7" s="143" t="s">
        <v>3071</v>
      </c>
      <c r="D7" s="143" t="s">
        <v>3072</v>
      </c>
      <c r="E7" s="143" t="s">
        <v>314</v>
      </c>
      <c r="F7" s="143" t="s">
        <v>3073</v>
      </c>
      <c r="G7" s="143" t="s">
        <v>3074</v>
      </c>
      <c r="H7" s="143" t="s">
        <v>312</v>
      </c>
      <c r="I7" s="143" t="s">
        <v>205</v>
      </c>
      <c r="J7" s="143" t="s">
        <v>224</v>
      </c>
      <c r="K7" s="143" t="s">
        <v>344</v>
      </c>
      <c r="L7" s="143" t="s">
        <v>747</v>
      </c>
      <c r="M7" s="143" t="s">
        <v>339</v>
      </c>
      <c r="N7" s="143" t="s">
        <v>1211</v>
      </c>
      <c r="O7" s="144">
        <v>14</v>
      </c>
      <c r="P7" s="143" t="s">
        <v>1212</v>
      </c>
      <c r="Q7" s="143" t="s">
        <v>3075</v>
      </c>
      <c r="R7" s="144">
        <v>15099.607300000001</v>
      </c>
      <c r="S7" s="146">
        <v>21.040091520307676</v>
      </c>
      <c r="T7" s="147">
        <v>2.1904819482500337E-2</v>
      </c>
      <c r="U7" s="177"/>
    </row>
    <row r="8" spans="1:21" x14ac:dyDescent="0.2">
      <c r="A8" s="142" t="s">
        <v>1205</v>
      </c>
      <c r="B8" s="143" t="s">
        <v>1205</v>
      </c>
      <c r="C8" s="143" t="s">
        <v>3076</v>
      </c>
      <c r="D8" s="143" t="s">
        <v>3077</v>
      </c>
      <c r="E8" s="143" t="s">
        <v>314</v>
      </c>
      <c r="F8" s="143" t="s">
        <v>3078</v>
      </c>
      <c r="G8" s="143" t="s">
        <v>3079</v>
      </c>
      <c r="H8" s="143" t="s">
        <v>312</v>
      </c>
      <c r="I8" s="143" t="s">
        <v>205</v>
      </c>
      <c r="J8" s="143" t="s">
        <v>224</v>
      </c>
      <c r="K8" s="143" t="s">
        <v>344</v>
      </c>
      <c r="L8" s="143" t="s">
        <v>747</v>
      </c>
      <c r="M8" s="143" t="s">
        <v>339</v>
      </c>
      <c r="N8" s="143" t="s">
        <v>1211</v>
      </c>
      <c r="O8" s="144">
        <v>9</v>
      </c>
      <c r="P8" s="143" t="s">
        <v>1212</v>
      </c>
      <c r="Q8" s="143" t="s">
        <v>3080</v>
      </c>
      <c r="R8" s="144">
        <v>3949.9327000000003</v>
      </c>
      <c r="S8" s="146">
        <v>5.5039143211193124</v>
      </c>
      <c r="T8" s="147">
        <v>5.7301200203859143E-3</v>
      </c>
      <c r="U8" s="177"/>
    </row>
    <row r="9" spans="1:21" x14ac:dyDescent="0.2">
      <c r="A9" s="142" t="s">
        <v>1220</v>
      </c>
      <c r="B9" s="143" t="s">
        <v>1220</v>
      </c>
      <c r="C9" s="143" t="s">
        <v>2082</v>
      </c>
      <c r="D9" s="143" t="s">
        <v>2083</v>
      </c>
      <c r="E9" s="143" t="s">
        <v>309</v>
      </c>
      <c r="F9" s="143" t="s">
        <v>3058</v>
      </c>
      <c r="G9" s="143" t="s">
        <v>3059</v>
      </c>
      <c r="H9" s="143" t="s">
        <v>312</v>
      </c>
      <c r="I9" s="143" t="s">
        <v>204</v>
      </c>
      <c r="J9" s="143" t="s">
        <v>204</v>
      </c>
      <c r="K9" s="143" t="s">
        <v>3060</v>
      </c>
      <c r="L9" s="143" t="s">
        <v>314</v>
      </c>
      <c r="M9" s="143" t="s">
        <v>339</v>
      </c>
      <c r="N9" s="143" t="s">
        <v>1211</v>
      </c>
      <c r="O9" s="144">
        <v>-11728406.25</v>
      </c>
      <c r="P9" s="143" t="s">
        <v>1212</v>
      </c>
      <c r="Q9" s="143" t="s">
        <v>3061</v>
      </c>
      <c r="R9" s="144">
        <v>-43512.387200000005</v>
      </c>
      <c r="S9" s="146">
        <v>-4.6052760291346262</v>
      </c>
      <c r="T9" s="147">
        <v>-5.5540267322570693E-3</v>
      </c>
      <c r="U9" s="177"/>
    </row>
    <row r="10" spans="1:21" ht="15" x14ac:dyDescent="0.2">
      <c r="A10" s="142" t="s">
        <v>1220</v>
      </c>
      <c r="B10" s="143" t="s">
        <v>1220</v>
      </c>
      <c r="C10" s="143" t="s">
        <v>2082</v>
      </c>
      <c r="D10" s="143" t="s">
        <v>2083</v>
      </c>
      <c r="E10" s="143" t="s">
        <v>309</v>
      </c>
      <c r="F10" s="143" t="s">
        <v>3064</v>
      </c>
      <c r="G10" s="143" t="s">
        <v>3065</v>
      </c>
      <c r="H10" s="143" t="s">
        <v>312</v>
      </c>
      <c r="I10" s="143" t="s">
        <v>204</v>
      </c>
      <c r="J10" s="143" t="s">
        <v>204</v>
      </c>
      <c r="K10" s="145" t="s">
        <v>3930</v>
      </c>
      <c r="L10" s="143" t="s">
        <v>314</v>
      </c>
      <c r="M10" s="143" t="s">
        <v>339</v>
      </c>
      <c r="N10" s="143" t="s">
        <v>1211</v>
      </c>
      <c r="O10" s="144">
        <v>-49812336</v>
      </c>
      <c r="P10" s="143" t="s">
        <v>1212</v>
      </c>
      <c r="Q10" s="143" t="s">
        <v>3061</v>
      </c>
      <c r="R10" s="144">
        <v>-184803.7666</v>
      </c>
      <c r="S10" s="146">
        <v>-19.559311985462628</v>
      </c>
      <c r="T10" s="147">
        <v>-2.3588801397476419E-2</v>
      </c>
      <c r="U10" s="177"/>
    </row>
    <row r="11" spans="1:21" ht="15" x14ac:dyDescent="0.2">
      <c r="A11" s="142" t="s">
        <v>1220</v>
      </c>
      <c r="B11" s="143" t="s">
        <v>1220</v>
      </c>
      <c r="C11" s="143" t="s">
        <v>2082</v>
      </c>
      <c r="D11" s="143" t="s">
        <v>2083</v>
      </c>
      <c r="E11" s="143" t="s">
        <v>309</v>
      </c>
      <c r="F11" s="143" t="s">
        <v>3062</v>
      </c>
      <c r="G11" s="143" t="s">
        <v>3063</v>
      </c>
      <c r="H11" s="143" t="s">
        <v>312</v>
      </c>
      <c r="I11" s="143" t="s">
        <v>204</v>
      </c>
      <c r="J11" s="143" t="s">
        <v>204</v>
      </c>
      <c r="K11" s="145" t="s">
        <v>3930</v>
      </c>
      <c r="L11" s="143" t="s">
        <v>314</v>
      </c>
      <c r="M11" s="143" t="s">
        <v>339</v>
      </c>
      <c r="N11" s="143" t="s">
        <v>1211</v>
      </c>
      <c r="O11" s="144">
        <v>-60894740.850000001</v>
      </c>
      <c r="P11" s="143" t="s">
        <v>1212</v>
      </c>
      <c r="Q11" s="143" t="s">
        <v>3061</v>
      </c>
      <c r="R11" s="144">
        <v>-225919.48859999998</v>
      </c>
      <c r="S11" s="146">
        <v>-23.910929103165241</v>
      </c>
      <c r="T11" s="147">
        <v>-2.8836911966173287E-2</v>
      </c>
      <c r="U11" s="177"/>
    </row>
    <row r="12" spans="1:21" x14ac:dyDescent="0.2">
      <c r="A12" s="142" t="s">
        <v>1220</v>
      </c>
      <c r="B12" s="143" t="s">
        <v>1220</v>
      </c>
      <c r="C12" s="143" t="s">
        <v>3071</v>
      </c>
      <c r="D12" s="143" t="s">
        <v>3072</v>
      </c>
      <c r="E12" s="143" t="s">
        <v>314</v>
      </c>
      <c r="F12" s="143" t="s">
        <v>3073</v>
      </c>
      <c r="G12" s="143" t="s">
        <v>3074</v>
      </c>
      <c r="H12" s="143" t="s">
        <v>312</v>
      </c>
      <c r="I12" s="143" t="s">
        <v>205</v>
      </c>
      <c r="J12" s="143" t="s">
        <v>224</v>
      </c>
      <c r="K12" s="143" t="s">
        <v>344</v>
      </c>
      <c r="L12" s="143" t="s">
        <v>747</v>
      </c>
      <c r="M12" s="143" t="s">
        <v>339</v>
      </c>
      <c r="N12" s="143" t="s">
        <v>1211</v>
      </c>
      <c r="O12" s="144">
        <v>214</v>
      </c>
      <c r="P12" s="143" t="s">
        <v>1212</v>
      </c>
      <c r="Q12" s="143" t="s">
        <v>3075</v>
      </c>
      <c r="R12" s="144">
        <v>230808.28230000002</v>
      </c>
      <c r="S12" s="146">
        <v>24.428350597988299</v>
      </c>
      <c r="T12" s="147">
        <v>2.9460929461739494E-2</v>
      </c>
      <c r="U12" s="177"/>
    </row>
    <row r="13" spans="1:21" x14ac:dyDescent="0.2">
      <c r="A13" s="142" t="s">
        <v>1220</v>
      </c>
      <c r="B13" s="143" t="s">
        <v>1220</v>
      </c>
      <c r="C13" s="143" t="s">
        <v>3066</v>
      </c>
      <c r="D13" s="143" t="s">
        <v>3067</v>
      </c>
      <c r="E13" s="143" t="s">
        <v>314</v>
      </c>
      <c r="F13" s="143" t="s">
        <v>3068</v>
      </c>
      <c r="G13" s="143" t="s">
        <v>3069</v>
      </c>
      <c r="H13" s="143" t="s">
        <v>312</v>
      </c>
      <c r="I13" s="143" t="s">
        <v>205</v>
      </c>
      <c r="J13" s="143" t="s">
        <v>224</v>
      </c>
      <c r="K13" s="143" t="s">
        <v>344</v>
      </c>
      <c r="L13" s="143" t="s">
        <v>747</v>
      </c>
      <c r="M13" s="143" t="s">
        <v>339</v>
      </c>
      <c r="N13" s="143" t="s">
        <v>1211</v>
      </c>
      <c r="O13" s="144">
        <v>126</v>
      </c>
      <c r="P13" s="143" t="s">
        <v>1212</v>
      </c>
      <c r="Q13" s="143" t="s">
        <v>3070</v>
      </c>
      <c r="R13" s="144">
        <v>189426.4785</v>
      </c>
      <c r="S13" s="146">
        <v>20.04857184599706</v>
      </c>
      <c r="T13" s="147">
        <v>2.4178855571696942E-2</v>
      </c>
      <c r="U13" s="177"/>
    </row>
    <row r="14" spans="1:21" x14ac:dyDescent="0.2">
      <c r="A14" s="142" t="s">
        <v>1220</v>
      </c>
      <c r="B14" s="143" t="s">
        <v>1220</v>
      </c>
      <c r="C14" s="143" t="s">
        <v>3076</v>
      </c>
      <c r="D14" s="143" t="s">
        <v>3077</v>
      </c>
      <c r="E14" s="143" t="s">
        <v>314</v>
      </c>
      <c r="F14" s="143" t="s">
        <v>3078</v>
      </c>
      <c r="G14" s="143" t="s">
        <v>3079</v>
      </c>
      <c r="H14" s="143" t="s">
        <v>312</v>
      </c>
      <c r="I14" s="143" t="s">
        <v>205</v>
      </c>
      <c r="J14" s="143" t="s">
        <v>224</v>
      </c>
      <c r="K14" s="143" t="s">
        <v>344</v>
      </c>
      <c r="L14" s="143" t="s">
        <v>747</v>
      </c>
      <c r="M14" s="143" t="s">
        <v>339</v>
      </c>
      <c r="N14" s="143" t="s">
        <v>1211</v>
      </c>
      <c r="O14" s="144">
        <v>99</v>
      </c>
      <c r="P14" s="143" t="s">
        <v>1212</v>
      </c>
      <c r="Q14" s="143" t="s">
        <v>3080</v>
      </c>
      <c r="R14" s="144">
        <v>43449.2592</v>
      </c>
      <c r="S14" s="146">
        <v>4.5985946737771375</v>
      </c>
      <c r="T14" s="147">
        <v>5.5459689250749499E-3</v>
      </c>
      <c r="U14" s="177"/>
    </row>
    <row r="15" spans="1:21" ht="15" x14ac:dyDescent="0.2">
      <c r="A15" s="154" t="s">
        <v>1205</v>
      </c>
      <c r="B15" s="155" t="s">
        <v>1206</v>
      </c>
      <c r="C15" s="145" t="s">
        <v>3930</v>
      </c>
      <c r="D15" s="145" t="s">
        <v>3930</v>
      </c>
      <c r="E15" s="145" t="s">
        <v>3930</v>
      </c>
      <c r="F15" s="145" t="s">
        <v>3930</v>
      </c>
      <c r="G15" s="145" t="s">
        <v>3930</v>
      </c>
      <c r="H15" s="145" t="s">
        <v>3930</v>
      </c>
      <c r="I15" s="145" t="s">
        <v>3930</v>
      </c>
      <c r="J15" s="145" t="s">
        <v>3930</v>
      </c>
      <c r="K15" s="145" t="s">
        <v>3930</v>
      </c>
      <c r="L15" s="145" t="s">
        <v>3930</v>
      </c>
      <c r="M15" s="145" t="s">
        <v>3930</v>
      </c>
      <c r="N15" s="145" t="s">
        <v>3930</v>
      </c>
      <c r="O15" s="145" t="s">
        <v>3930</v>
      </c>
      <c r="P15" s="145" t="s">
        <v>3930</v>
      </c>
      <c r="Q15" s="145" t="s">
        <v>3930</v>
      </c>
      <c r="R15" s="145" t="s">
        <v>3930</v>
      </c>
      <c r="S15" s="145" t="s">
        <v>3930</v>
      </c>
      <c r="T15" s="156" t="s">
        <v>3930</v>
      </c>
      <c r="U15" s="177"/>
    </row>
    <row r="16" spans="1:21" ht="15" x14ac:dyDescent="0.2">
      <c r="A16" s="154" t="s">
        <v>1205</v>
      </c>
      <c r="B16" s="155" t="s">
        <v>1215</v>
      </c>
      <c r="C16" s="145" t="s">
        <v>3930</v>
      </c>
      <c r="D16" s="145" t="s">
        <v>3930</v>
      </c>
      <c r="E16" s="145" t="s">
        <v>3930</v>
      </c>
      <c r="F16" s="145" t="s">
        <v>3930</v>
      </c>
      <c r="G16" s="145" t="s">
        <v>3930</v>
      </c>
      <c r="H16" s="145" t="s">
        <v>3930</v>
      </c>
      <c r="I16" s="145" t="s">
        <v>3930</v>
      </c>
      <c r="J16" s="145" t="s">
        <v>3930</v>
      </c>
      <c r="K16" s="145" t="s">
        <v>3930</v>
      </c>
      <c r="L16" s="145" t="s">
        <v>3930</v>
      </c>
      <c r="M16" s="145" t="s">
        <v>3930</v>
      </c>
      <c r="N16" s="145" t="s">
        <v>3930</v>
      </c>
      <c r="O16" s="145" t="s">
        <v>3930</v>
      </c>
      <c r="P16" s="145" t="s">
        <v>3930</v>
      </c>
      <c r="Q16" s="145" t="s">
        <v>3930</v>
      </c>
      <c r="R16" s="145" t="s">
        <v>3930</v>
      </c>
      <c r="S16" s="145" t="s">
        <v>3930</v>
      </c>
      <c r="T16" s="156" t="s">
        <v>3930</v>
      </c>
      <c r="U16" s="177"/>
    </row>
    <row r="17" spans="1:21" ht="15" x14ac:dyDescent="0.2">
      <c r="A17" s="154" t="s">
        <v>1220</v>
      </c>
      <c r="B17" s="155" t="s">
        <v>1221</v>
      </c>
      <c r="C17" s="145" t="s">
        <v>3930</v>
      </c>
      <c r="D17" s="145" t="s">
        <v>3930</v>
      </c>
      <c r="E17" s="145" t="s">
        <v>3930</v>
      </c>
      <c r="F17" s="145" t="s">
        <v>3930</v>
      </c>
      <c r="G17" s="145" t="s">
        <v>3930</v>
      </c>
      <c r="H17" s="145" t="s">
        <v>3930</v>
      </c>
      <c r="I17" s="145" t="s">
        <v>3930</v>
      </c>
      <c r="J17" s="145" t="s">
        <v>3930</v>
      </c>
      <c r="K17" s="145" t="s">
        <v>3930</v>
      </c>
      <c r="L17" s="145" t="s">
        <v>3930</v>
      </c>
      <c r="M17" s="145" t="s">
        <v>3930</v>
      </c>
      <c r="N17" s="145" t="s">
        <v>3930</v>
      </c>
      <c r="O17" s="145" t="s">
        <v>3930</v>
      </c>
      <c r="P17" s="145" t="s">
        <v>3930</v>
      </c>
      <c r="Q17" s="145" t="s">
        <v>3930</v>
      </c>
      <c r="R17" s="145" t="s">
        <v>3930</v>
      </c>
      <c r="S17" s="145" t="s">
        <v>3930</v>
      </c>
      <c r="T17" s="156" t="s">
        <v>3930</v>
      </c>
      <c r="U17" s="177"/>
    </row>
    <row r="18" spans="1:21" ht="15" x14ac:dyDescent="0.2">
      <c r="A18" s="157" t="s">
        <v>1220</v>
      </c>
      <c r="B18" s="158" t="s">
        <v>1222</v>
      </c>
      <c r="C18" s="151" t="s">
        <v>3930</v>
      </c>
      <c r="D18" s="151" t="s">
        <v>3930</v>
      </c>
      <c r="E18" s="151" t="s">
        <v>3930</v>
      </c>
      <c r="F18" s="151" t="s">
        <v>3930</v>
      </c>
      <c r="G18" s="151" t="s">
        <v>3930</v>
      </c>
      <c r="H18" s="151" t="s">
        <v>3930</v>
      </c>
      <c r="I18" s="151" t="s">
        <v>3930</v>
      </c>
      <c r="J18" s="151" t="s">
        <v>3930</v>
      </c>
      <c r="K18" s="151" t="s">
        <v>3930</v>
      </c>
      <c r="L18" s="151" t="s">
        <v>3930</v>
      </c>
      <c r="M18" s="151" t="s">
        <v>3930</v>
      </c>
      <c r="N18" s="151" t="s">
        <v>3930</v>
      </c>
      <c r="O18" s="151" t="s">
        <v>3930</v>
      </c>
      <c r="P18" s="151" t="s">
        <v>3930</v>
      </c>
      <c r="Q18" s="151" t="s">
        <v>3930</v>
      </c>
      <c r="R18" s="151" t="s">
        <v>3930</v>
      </c>
      <c r="S18" s="151" t="s">
        <v>3930</v>
      </c>
      <c r="T18" s="159" t="s">
        <v>3930</v>
      </c>
      <c r="U18" s="177"/>
    </row>
    <row r="19" spans="1:21" x14ac:dyDescent="0.2">
      <c r="A19" s="184" t="s">
        <v>3946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</row>
    <row r="20" spans="1:21" x14ac:dyDescent="0.2">
      <c r="A20" s="99" t="s">
        <v>3945</v>
      </c>
      <c r="B20" s="99"/>
      <c r="C20" s="98"/>
      <c r="D20" s="98"/>
      <c r="E20" s="16"/>
      <c r="F20" s="99"/>
      <c r="G20" s="99"/>
      <c r="H20" s="16"/>
      <c r="I20" s="16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</row>
    <row r="21" spans="1:21" x14ac:dyDescent="0.2">
      <c r="A21" s="101"/>
      <c r="B21" s="98"/>
      <c r="C21" s="98"/>
      <c r="D21" s="98"/>
      <c r="E21" s="16"/>
      <c r="F21" s="98"/>
      <c r="G21" s="98"/>
      <c r="H21" s="16"/>
      <c r="I21" s="98"/>
      <c r="J21" s="16"/>
      <c r="K21" s="16"/>
      <c r="L21" s="99"/>
      <c r="M21" s="99"/>
      <c r="N21" s="98"/>
      <c r="O21" s="98"/>
      <c r="P21" s="98"/>
      <c r="Q21" s="98"/>
      <c r="R21" s="98"/>
      <c r="S21" s="98"/>
      <c r="T21" s="98"/>
    </row>
    <row r="22" spans="1:21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4"/>
      <c r="L22" s="98"/>
      <c r="M22" s="98"/>
      <c r="N22" s="98"/>
      <c r="O22" s="98"/>
      <c r="P22" s="98"/>
      <c r="Q22" s="98"/>
      <c r="R22" s="98"/>
      <c r="S22" s="98"/>
      <c r="T22" s="98"/>
    </row>
    <row r="23" spans="1:21" x14ac:dyDescent="0.2">
      <c r="A23" s="98"/>
      <c r="B23" s="98"/>
      <c r="C23" s="98"/>
      <c r="D23" s="98"/>
      <c r="F23" s="98"/>
      <c r="G23" s="98"/>
      <c r="H23" s="98"/>
      <c r="I23" s="98"/>
      <c r="J23" s="98"/>
      <c r="K23" s="4"/>
      <c r="L23" s="98"/>
      <c r="M23" s="98"/>
      <c r="N23" s="98"/>
      <c r="O23" s="98"/>
      <c r="P23" s="98"/>
      <c r="Q23" s="98"/>
      <c r="R23" s="98"/>
      <c r="S23" s="98"/>
      <c r="T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4 I20">
      <formula1>israel_abroad</formula1>
    </dataValidation>
    <dataValidation type="list" allowBlank="1" showInputMessage="1" showErrorMessage="1" sqref="M3:M14 M20:M21">
      <formula1>Holding_interest</formula1>
    </dataValidation>
    <dataValidation type="list" allowBlank="1" showInputMessage="1" showErrorMessage="1" sqref="L3:L14 L20:L21">
      <formula1>Underlying_Asset</formula1>
    </dataValidation>
    <dataValidation type="list" allowBlank="1" showInputMessage="1" showErrorMessage="1" sqref="J3:J14 J20:J21">
      <formula1>Country_list</formula1>
    </dataValidation>
    <dataValidation type="list" allowBlank="1" showInputMessage="1" showErrorMessage="1" sqref="E3:E14 E20:E21">
      <formula1>Issuer_Type_TFunds</formula1>
    </dataValidation>
    <dataValidation type="list" allowBlank="1" showInputMessage="1" showErrorMessage="1" sqref="H3:H14 H20:H21">
      <formula1>Security_ID_Number_Type</formula1>
    </dataValidation>
    <dataValidation type="list" allowBlank="1" showInputMessage="1" showErrorMessage="1" sqref="K3 K6:K9 K12:K14 K20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6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22.625" style="2" bestFit="1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3960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70</v>
      </c>
      <c r="N2" s="140" t="s">
        <v>96</v>
      </c>
      <c r="O2" s="140" t="s">
        <v>56</v>
      </c>
      <c r="P2" s="140" t="s">
        <v>72</v>
      </c>
      <c r="Q2" s="140" t="s">
        <v>62</v>
      </c>
      <c r="R2" s="140" t="s">
        <v>74</v>
      </c>
      <c r="S2" s="140" t="s">
        <v>71</v>
      </c>
      <c r="T2" s="140" t="s">
        <v>58</v>
      </c>
      <c r="U2" s="140" t="s">
        <v>84</v>
      </c>
      <c r="V2" s="140" t="s">
        <v>59</v>
      </c>
      <c r="W2" s="140" t="s">
        <v>76</v>
      </c>
      <c r="X2" s="140" t="s">
        <v>61</v>
      </c>
      <c r="Y2" s="140" t="s">
        <v>77</v>
      </c>
      <c r="Z2" s="140" t="s">
        <v>63</v>
      </c>
      <c r="AA2" s="140" t="s">
        <v>64</v>
      </c>
      <c r="AB2" s="141" t="s">
        <v>65</v>
      </c>
      <c r="AC2" s="177" t="s">
        <v>3947</v>
      </c>
    </row>
    <row r="3" spans="1:29" ht="15" x14ac:dyDescent="0.2">
      <c r="A3" s="142" t="s">
        <v>1205</v>
      </c>
      <c r="B3" s="143" t="s">
        <v>1206</v>
      </c>
      <c r="C3" s="143" t="s">
        <v>3081</v>
      </c>
      <c r="D3" s="143" t="s">
        <v>3082</v>
      </c>
      <c r="E3" s="143" t="s">
        <v>309</v>
      </c>
      <c r="F3" s="143" t="s">
        <v>3083</v>
      </c>
      <c r="G3" s="143" t="s">
        <v>3084</v>
      </c>
      <c r="H3" s="143" t="s">
        <v>321</v>
      </c>
      <c r="I3" s="143" t="s">
        <v>975</v>
      </c>
      <c r="J3" s="143" t="s">
        <v>204</v>
      </c>
      <c r="K3" s="143" t="s">
        <v>204</v>
      </c>
      <c r="L3" s="143" t="s">
        <v>325</v>
      </c>
      <c r="M3" s="143" t="s">
        <v>340</v>
      </c>
      <c r="N3" s="143" t="s">
        <v>314</v>
      </c>
      <c r="O3" s="143" t="s">
        <v>339</v>
      </c>
      <c r="P3" s="144">
        <v>3.27</v>
      </c>
      <c r="Q3" s="146">
        <v>5.0000000000000001E-4</v>
      </c>
      <c r="R3" s="146">
        <v>2.3396E-2</v>
      </c>
      <c r="S3" s="143" t="s">
        <v>1303</v>
      </c>
      <c r="T3" s="143" t="s">
        <v>413</v>
      </c>
      <c r="U3" s="143" t="s">
        <v>407</v>
      </c>
      <c r="V3" s="143" t="s">
        <v>1210</v>
      </c>
      <c r="W3" s="144">
        <v>52144.35</v>
      </c>
      <c r="X3" s="145" t="s">
        <v>3930</v>
      </c>
      <c r="Y3" s="143" t="s">
        <v>3085</v>
      </c>
      <c r="Z3" s="144">
        <v>55.4816</v>
      </c>
      <c r="AA3" s="146">
        <v>1</v>
      </c>
      <c r="AB3" s="147">
        <v>3.6091813042046662E-3</v>
      </c>
      <c r="AC3" s="177"/>
    </row>
    <row r="4" spans="1:29" ht="15" x14ac:dyDescent="0.2">
      <c r="A4" s="142" t="s">
        <v>1205</v>
      </c>
      <c r="B4" s="143" t="s">
        <v>1215</v>
      </c>
      <c r="C4" s="143" t="s">
        <v>3081</v>
      </c>
      <c r="D4" s="143" t="s">
        <v>3082</v>
      </c>
      <c r="E4" s="143" t="s">
        <v>309</v>
      </c>
      <c r="F4" s="143" t="s">
        <v>3083</v>
      </c>
      <c r="G4" s="143" t="s">
        <v>3084</v>
      </c>
      <c r="H4" s="143" t="s">
        <v>321</v>
      </c>
      <c r="I4" s="143" t="s">
        <v>975</v>
      </c>
      <c r="J4" s="143" t="s">
        <v>204</v>
      </c>
      <c r="K4" s="143" t="s">
        <v>204</v>
      </c>
      <c r="L4" s="143" t="s">
        <v>325</v>
      </c>
      <c r="M4" s="143" t="s">
        <v>340</v>
      </c>
      <c r="N4" s="143" t="s">
        <v>314</v>
      </c>
      <c r="O4" s="143" t="s">
        <v>339</v>
      </c>
      <c r="P4" s="144">
        <v>3.27</v>
      </c>
      <c r="Q4" s="146">
        <v>5.0000000000000001E-4</v>
      </c>
      <c r="R4" s="146">
        <v>2.3396E-2</v>
      </c>
      <c r="S4" s="143" t="s">
        <v>1303</v>
      </c>
      <c r="T4" s="143" t="s">
        <v>413</v>
      </c>
      <c r="U4" s="143" t="s">
        <v>407</v>
      </c>
      <c r="V4" s="143" t="s">
        <v>1210</v>
      </c>
      <c r="W4" s="144">
        <v>11357.6</v>
      </c>
      <c r="X4" s="145" t="s">
        <v>3930</v>
      </c>
      <c r="Y4" s="143" t="s">
        <v>3085</v>
      </c>
      <c r="Z4" s="144">
        <v>12.0845</v>
      </c>
      <c r="AA4" s="146">
        <v>1</v>
      </c>
      <c r="AB4" s="147">
        <v>3.4470908603251678E-3</v>
      </c>
      <c r="AC4" s="177"/>
    </row>
    <row r="5" spans="1:29" ht="15" x14ac:dyDescent="0.2">
      <c r="A5" s="142" t="s">
        <v>1205</v>
      </c>
      <c r="B5" s="143" t="s">
        <v>1205</v>
      </c>
      <c r="C5" s="143" t="s">
        <v>3081</v>
      </c>
      <c r="D5" s="143" t="s">
        <v>3082</v>
      </c>
      <c r="E5" s="143" t="s">
        <v>309</v>
      </c>
      <c r="F5" s="143" t="s">
        <v>3083</v>
      </c>
      <c r="G5" s="143" t="s">
        <v>3084</v>
      </c>
      <c r="H5" s="143" t="s">
        <v>321</v>
      </c>
      <c r="I5" s="143" t="s">
        <v>975</v>
      </c>
      <c r="J5" s="143" t="s">
        <v>204</v>
      </c>
      <c r="K5" s="143" t="s">
        <v>204</v>
      </c>
      <c r="L5" s="143" t="s">
        <v>325</v>
      </c>
      <c r="M5" s="143" t="s">
        <v>340</v>
      </c>
      <c r="N5" s="143" t="s">
        <v>314</v>
      </c>
      <c r="O5" s="143" t="s">
        <v>339</v>
      </c>
      <c r="P5" s="144">
        <v>3.27</v>
      </c>
      <c r="Q5" s="146">
        <v>5.0000000000000001E-4</v>
      </c>
      <c r="R5" s="146">
        <v>2.3396E-2</v>
      </c>
      <c r="S5" s="143" t="s">
        <v>1303</v>
      </c>
      <c r="T5" s="143" t="s">
        <v>413</v>
      </c>
      <c r="U5" s="143" t="s">
        <v>407</v>
      </c>
      <c r="V5" s="143" t="s">
        <v>1210</v>
      </c>
      <c r="W5" s="144">
        <v>2079883.66</v>
      </c>
      <c r="X5" s="145" t="s">
        <v>3930</v>
      </c>
      <c r="Y5" s="143" t="s">
        <v>3085</v>
      </c>
      <c r="Z5" s="144">
        <v>2212.9962</v>
      </c>
      <c r="AA5" s="146">
        <v>0.71963812278256989</v>
      </c>
      <c r="AB5" s="147">
        <v>3.2103671165608521E-3</v>
      </c>
      <c r="AC5" s="177"/>
    </row>
    <row r="6" spans="1:29" ht="15" x14ac:dyDescent="0.2">
      <c r="A6" s="142" t="s">
        <v>1205</v>
      </c>
      <c r="B6" s="143" t="s">
        <v>1205</v>
      </c>
      <c r="C6" s="143" t="s">
        <v>3086</v>
      </c>
      <c r="D6" s="143" t="s">
        <v>3087</v>
      </c>
      <c r="E6" s="143" t="s">
        <v>309</v>
      </c>
      <c r="F6" s="143" t="s">
        <v>3088</v>
      </c>
      <c r="G6" s="143" t="s">
        <v>3089</v>
      </c>
      <c r="H6" s="143" t="s">
        <v>321</v>
      </c>
      <c r="I6" s="143" t="s">
        <v>975</v>
      </c>
      <c r="J6" s="143" t="s">
        <v>204</v>
      </c>
      <c r="K6" s="143" t="s">
        <v>204</v>
      </c>
      <c r="L6" s="143" t="s">
        <v>325</v>
      </c>
      <c r="M6" s="143" t="s">
        <v>340</v>
      </c>
      <c r="N6" s="143" t="s">
        <v>748</v>
      </c>
      <c r="O6" s="143" t="s">
        <v>339</v>
      </c>
      <c r="P6" s="144">
        <v>8.65</v>
      </c>
      <c r="Q6" s="146">
        <v>7.2999999999999995E-2</v>
      </c>
      <c r="R6" s="146">
        <v>6.5503000000000006E-2</v>
      </c>
      <c r="S6" s="143" t="s">
        <v>1303</v>
      </c>
      <c r="T6" s="143" t="s">
        <v>413</v>
      </c>
      <c r="U6" s="143" t="s">
        <v>407</v>
      </c>
      <c r="V6" s="143" t="s">
        <v>1210</v>
      </c>
      <c r="W6" s="144">
        <v>655481.34</v>
      </c>
      <c r="X6" s="145" t="s">
        <v>3930</v>
      </c>
      <c r="Y6" s="143" t="s">
        <v>3090</v>
      </c>
      <c r="Z6" s="144">
        <v>708.44419999999991</v>
      </c>
      <c r="AA6" s="146">
        <v>0.23037702194327861</v>
      </c>
      <c r="AB6" s="147">
        <v>1.0277315670801106E-3</v>
      </c>
      <c r="AC6" s="177"/>
    </row>
    <row r="7" spans="1:29" ht="15" x14ac:dyDescent="0.2">
      <c r="A7" s="142" t="s">
        <v>1205</v>
      </c>
      <c r="B7" s="143" t="s">
        <v>1205</v>
      </c>
      <c r="C7" s="143" t="s">
        <v>3081</v>
      </c>
      <c r="D7" s="143" t="s">
        <v>3082</v>
      </c>
      <c r="E7" s="143" t="s">
        <v>309</v>
      </c>
      <c r="F7" s="143" t="s">
        <v>3091</v>
      </c>
      <c r="G7" s="143" t="s">
        <v>3092</v>
      </c>
      <c r="H7" s="143" t="s">
        <v>321</v>
      </c>
      <c r="I7" s="143" t="s">
        <v>975</v>
      </c>
      <c r="J7" s="143" t="s">
        <v>204</v>
      </c>
      <c r="K7" s="143" t="s">
        <v>204</v>
      </c>
      <c r="L7" s="143" t="s">
        <v>325</v>
      </c>
      <c r="M7" s="143" t="s">
        <v>340</v>
      </c>
      <c r="N7" s="143" t="s">
        <v>314</v>
      </c>
      <c r="O7" s="143" t="s">
        <v>339</v>
      </c>
      <c r="P7" s="144">
        <v>1.46</v>
      </c>
      <c r="Q7" s="146">
        <v>5.5052799999999999E-2</v>
      </c>
      <c r="R7" s="146">
        <v>6.2805E-2</v>
      </c>
      <c r="S7" s="143" t="s">
        <v>1303</v>
      </c>
      <c r="T7" s="143" t="s">
        <v>413</v>
      </c>
      <c r="U7" s="143" t="s">
        <v>407</v>
      </c>
      <c r="V7" s="143" t="s">
        <v>1210</v>
      </c>
      <c r="W7" s="144">
        <v>142325</v>
      </c>
      <c r="X7" s="145" t="s">
        <v>3930</v>
      </c>
      <c r="Y7" s="143" t="s">
        <v>3093</v>
      </c>
      <c r="Z7" s="144">
        <v>153.71100000000001</v>
      </c>
      <c r="AA7" s="146">
        <v>4.9984855274151516E-2</v>
      </c>
      <c r="AB7" s="147">
        <v>2.2298670764927405E-4</v>
      </c>
      <c r="AC7" s="177"/>
    </row>
    <row r="8" spans="1:29" ht="15" x14ac:dyDescent="0.2">
      <c r="A8" s="142" t="s">
        <v>1220</v>
      </c>
      <c r="B8" s="143" t="s">
        <v>1221</v>
      </c>
      <c r="C8" s="143" t="s">
        <v>3081</v>
      </c>
      <c r="D8" s="143" t="s">
        <v>3082</v>
      </c>
      <c r="E8" s="143" t="s">
        <v>309</v>
      </c>
      <c r="F8" s="143" t="s">
        <v>3083</v>
      </c>
      <c r="G8" s="143" t="s">
        <v>3084</v>
      </c>
      <c r="H8" s="143" t="s">
        <v>321</v>
      </c>
      <c r="I8" s="143" t="s">
        <v>975</v>
      </c>
      <c r="J8" s="143" t="s">
        <v>204</v>
      </c>
      <c r="K8" s="143" t="s">
        <v>204</v>
      </c>
      <c r="L8" s="143" t="s">
        <v>325</v>
      </c>
      <c r="M8" s="143" t="s">
        <v>340</v>
      </c>
      <c r="N8" s="143" t="s">
        <v>314</v>
      </c>
      <c r="O8" s="143" t="s">
        <v>339</v>
      </c>
      <c r="P8" s="144">
        <v>3.27</v>
      </c>
      <c r="Q8" s="146">
        <v>5.0000000000000001E-4</v>
      </c>
      <c r="R8" s="146">
        <v>2.3396E-2</v>
      </c>
      <c r="S8" s="143" t="s">
        <v>1303</v>
      </c>
      <c r="T8" s="143" t="s">
        <v>413</v>
      </c>
      <c r="U8" s="143" t="s">
        <v>407</v>
      </c>
      <c r="V8" s="143" t="s">
        <v>1210</v>
      </c>
      <c r="W8" s="144">
        <v>1159677.01</v>
      </c>
      <c r="X8" s="145" t="s">
        <v>3930</v>
      </c>
      <c r="Y8" s="143" t="s">
        <v>3085</v>
      </c>
      <c r="Z8" s="144">
        <v>1233.8963000000001</v>
      </c>
      <c r="AA8" s="146">
        <v>1</v>
      </c>
      <c r="AB8" s="147">
        <v>4.0853289728195775E-3</v>
      </c>
      <c r="AC8" s="177"/>
    </row>
    <row r="9" spans="1:29" ht="15" x14ac:dyDescent="0.2">
      <c r="A9" s="142" t="s">
        <v>1220</v>
      </c>
      <c r="B9" s="143" t="s">
        <v>1222</v>
      </c>
      <c r="C9" s="143" t="s">
        <v>3081</v>
      </c>
      <c r="D9" s="143" t="s">
        <v>3082</v>
      </c>
      <c r="E9" s="143" t="s">
        <v>309</v>
      </c>
      <c r="F9" s="143" t="s">
        <v>3083</v>
      </c>
      <c r="G9" s="143" t="s">
        <v>3084</v>
      </c>
      <c r="H9" s="143" t="s">
        <v>321</v>
      </c>
      <c r="I9" s="143" t="s">
        <v>975</v>
      </c>
      <c r="J9" s="143" t="s">
        <v>204</v>
      </c>
      <c r="K9" s="143" t="s">
        <v>204</v>
      </c>
      <c r="L9" s="143" t="s">
        <v>325</v>
      </c>
      <c r="M9" s="143" t="s">
        <v>340</v>
      </c>
      <c r="N9" s="143" t="s">
        <v>314</v>
      </c>
      <c r="O9" s="143" t="s">
        <v>339</v>
      </c>
      <c r="P9" s="144">
        <v>3.27</v>
      </c>
      <c r="Q9" s="146">
        <v>5.0000000000000001E-4</v>
      </c>
      <c r="R9" s="146">
        <v>2.3396E-2</v>
      </c>
      <c r="S9" s="143" t="s">
        <v>1303</v>
      </c>
      <c r="T9" s="143" t="s">
        <v>413</v>
      </c>
      <c r="U9" s="143" t="s">
        <v>407</v>
      </c>
      <c r="V9" s="143" t="s">
        <v>1210</v>
      </c>
      <c r="W9" s="144">
        <v>31123.69</v>
      </c>
      <c r="X9" s="145" t="s">
        <v>3930</v>
      </c>
      <c r="Y9" s="143" t="s">
        <v>3085</v>
      </c>
      <c r="Z9" s="144">
        <v>33.115600000000001</v>
      </c>
      <c r="AA9" s="146">
        <v>1</v>
      </c>
      <c r="AB9" s="147">
        <v>4.1648054970131604E-3</v>
      </c>
      <c r="AC9" s="177"/>
    </row>
    <row r="10" spans="1:29" ht="15" x14ac:dyDescent="0.2">
      <c r="A10" s="142" t="s">
        <v>1220</v>
      </c>
      <c r="B10" s="143" t="s">
        <v>1220</v>
      </c>
      <c r="C10" s="143" t="s">
        <v>3081</v>
      </c>
      <c r="D10" s="143" t="s">
        <v>3082</v>
      </c>
      <c r="E10" s="143" t="s">
        <v>309</v>
      </c>
      <c r="F10" s="143" t="s">
        <v>3083</v>
      </c>
      <c r="G10" s="143" t="s">
        <v>3084</v>
      </c>
      <c r="H10" s="143" t="s">
        <v>321</v>
      </c>
      <c r="I10" s="143" t="s">
        <v>975</v>
      </c>
      <c r="J10" s="143" t="s">
        <v>204</v>
      </c>
      <c r="K10" s="143" t="s">
        <v>204</v>
      </c>
      <c r="L10" s="143" t="s">
        <v>325</v>
      </c>
      <c r="M10" s="143" t="s">
        <v>340</v>
      </c>
      <c r="N10" s="143" t="s">
        <v>314</v>
      </c>
      <c r="O10" s="143" t="s">
        <v>339</v>
      </c>
      <c r="P10" s="144">
        <v>3.27</v>
      </c>
      <c r="Q10" s="146">
        <v>5.0000000000000001E-4</v>
      </c>
      <c r="R10" s="146">
        <v>2.3396E-2</v>
      </c>
      <c r="S10" s="143" t="s">
        <v>1303</v>
      </c>
      <c r="T10" s="143" t="s">
        <v>413</v>
      </c>
      <c r="U10" s="143" t="s">
        <v>407</v>
      </c>
      <c r="V10" s="143" t="s">
        <v>1210</v>
      </c>
      <c r="W10" s="144">
        <v>41588818.68</v>
      </c>
      <c r="X10" s="145" t="s">
        <v>3930</v>
      </c>
      <c r="Y10" s="143" t="s">
        <v>3085</v>
      </c>
      <c r="Z10" s="144">
        <v>44250.503100000002</v>
      </c>
      <c r="AA10" s="146">
        <v>0.80983251146404955</v>
      </c>
      <c r="AB10" s="147">
        <v>5.6482416360705851E-3</v>
      </c>
      <c r="AC10" s="177"/>
    </row>
    <row r="11" spans="1:29" ht="15" x14ac:dyDescent="0.2">
      <c r="A11" s="142" t="s">
        <v>1220</v>
      </c>
      <c r="B11" s="143" t="s">
        <v>1220</v>
      </c>
      <c r="C11" s="143" t="s">
        <v>3086</v>
      </c>
      <c r="D11" s="143" t="s">
        <v>3087</v>
      </c>
      <c r="E11" s="143" t="s">
        <v>309</v>
      </c>
      <c r="F11" s="143" t="s">
        <v>3088</v>
      </c>
      <c r="G11" s="143" t="s">
        <v>3089</v>
      </c>
      <c r="H11" s="143" t="s">
        <v>321</v>
      </c>
      <c r="I11" s="143" t="s">
        <v>975</v>
      </c>
      <c r="J11" s="143" t="s">
        <v>204</v>
      </c>
      <c r="K11" s="143" t="s">
        <v>204</v>
      </c>
      <c r="L11" s="143" t="s">
        <v>325</v>
      </c>
      <c r="M11" s="143" t="s">
        <v>340</v>
      </c>
      <c r="N11" s="143" t="s">
        <v>748</v>
      </c>
      <c r="O11" s="143" t="s">
        <v>339</v>
      </c>
      <c r="P11" s="144">
        <v>8.65</v>
      </c>
      <c r="Q11" s="146">
        <v>7.2999999999999995E-2</v>
      </c>
      <c r="R11" s="146">
        <v>6.5503000000000006E-2</v>
      </c>
      <c r="S11" s="143" t="s">
        <v>1303</v>
      </c>
      <c r="T11" s="143" t="s">
        <v>413</v>
      </c>
      <c r="U11" s="143" t="s">
        <v>407</v>
      </c>
      <c r="V11" s="143" t="s">
        <v>1210</v>
      </c>
      <c r="W11" s="144">
        <v>7446746.96</v>
      </c>
      <c r="X11" s="145" t="s">
        <v>3930</v>
      </c>
      <c r="Y11" s="143" t="s">
        <v>3090</v>
      </c>
      <c r="Z11" s="144">
        <v>8048.4440999999997</v>
      </c>
      <c r="AA11" s="146">
        <v>0.14729531321695807</v>
      </c>
      <c r="AB11" s="147">
        <v>1.0273229453409186E-3</v>
      </c>
      <c r="AC11" s="177"/>
    </row>
    <row r="12" spans="1:29" ht="15" x14ac:dyDescent="0.2">
      <c r="A12" s="148" t="s">
        <v>1220</v>
      </c>
      <c r="B12" s="149" t="s">
        <v>1220</v>
      </c>
      <c r="C12" s="149" t="s">
        <v>3081</v>
      </c>
      <c r="D12" s="149" t="s">
        <v>3082</v>
      </c>
      <c r="E12" s="149" t="s">
        <v>309</v>
      </c>
      <c r="F12" s="149" t="s">
        <v>3091</v>
      </c>
      <c r="G12" s="149" t="s">
        <v>3092</v>
      </c>
      <c r="H12" s="149" t="s">
        <v>321</v>
      </c>
      <c r="I12" s="149" t="s">
        <v>975</v>
      </c>
      <c r="J12" s="149" t="s">
        <v>204</v>
      </c>
      <c r="K12" s="149" t="s">
        <v>204</v>
      </c>
      <c r="L12" s="149" t="s">
        <v>325</v>
      </c>
      <c r="M12" s="149" t="s">
        <v>340</v>
      </c>
      <c r="N12" s="149" t="s">
        <v>314</v>
      </c>
      <c r="O12" s="149" t="s">
        <v>339</v>
      </c>
      <c r="P12" s="150">
        <v>1.46</v>
      </c>
      <c r="Q12" s="152">
        <v>5.5052799999999999E-2</v>
      </c>
      <c r="R12" s="152">
        <v>6.2805E-2</v>
      </c>
      <c r="S12" s="149" t="s">
        <v>1303</v>
      </c>
      <c r="T12" s="149" t="s">
        <v>413</v>
      </c>
      <c r="U12" s="149" t="s">
        <v>407</v>
      </c>
      <c r="V12" s="149" t="s">
        <v>1210</v>
      </c>
      <c r="W12" s="150">
        <v>2169076</v>
      </c>
      <c r="X12" s="151" t="s">
        <v>3930</v>
      </c>
      <c r="Y12" s="149" t="s">
        <v>3093</v>
      </c>
      <c r="Z12" s="150">
        <v>2342.6021000000001</v>
      </c>
      <c r="AA12" s="152">
        <v>4.2872175318992407E-2</v>
      </c>
      <c r="AB12" s="153">
        <v>2.9901541644441668E-4</v>
      </c>
      <c r="AC12" s="177"/>
    </row>
    <row r="13" spans="1:29" x14ac:dyDescent="0.2">
      <c r="A13" s="184" t="s">
        <v>3946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 spans="1:29" x14ac:dyDescent="0.2">
      <c r="A14" s="99" t="s">
        <v>3945</v>
      </c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16"/>
      <c r="W14" s="99"/>
      <c r="X14" s="99"/>
      <c r="Y14" s="99"/>
      <c r="Z14" s="99"/>
      <c r="AA14" s="99"/>
      <c r="AB14" s="99"/>
    </row>
    <row r="15" spans="1:29" x14ac:dyDescent="0.2">
      <c r="A15" s="185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16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16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16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16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16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16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16"/>
      <c r="I21" s="99"/>
      <c r="J21" s="16"/>
      <c r="K21" s="16"/>
      <c r="L21" s="99"/>
      <c r="M21" s="16"/>
      <c r="N21" s="99"/>
      <c r="O21" s="99"/>
      <c r="P21" s="98"/>
      <c r="Q21" s="98"/>
      <c r="R21" s="98"/>
      <c r="S21" s="98"/>
      <c r="T21" s="99"/>
      <c r="U21" s="99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 s="4"/>
      <c r="I22" s="98"/>
      <c r="J22" s="98"/>
      <c r="K22" s="98"/>
      <c r="L22" s="98"/>
      <c r="M22" s="4"/>
      <c r="N22" s="99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 spans="1:28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4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3961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67</v>
      </c>
      <c r="E2" s="140" t="s">
        <v>68</v>
      </c>
      <c r="F2" s="140" t="s">
        <v>82</v>
      </c>
      <c r="G2" s="140" t="s">
        <v>54</v>
      </c>
      <c r="H2" s="140" t="s">
        <v>55</v>
      </c>
      <c r="I2" s="140" t="s">
        <v>69</v>
      </c>
      <c r="J2" s="140" t="s">
        <v>97</v>
      </c>
      <c r="K2" s="140" t="s">
        <v>71</v>
      </c>
      <c r="L2" s="140" t="s">
        <v>58</v>
      </c>
      <c r="M2" s="140" t="s">
        <v>59</v>
      </c>
      <c r="N2" s="140" t="s">
        <v>72</v>
      </c>
      <c r="O2" s="140" t="s">
        <v>73</v>
      </c>
      <c r="P2" s="140" t="s">
        <v>62</v>
      </c>
      <c r="Q2" s="140" t="s">
        <v>74</v>
      </c>
      <c r="R2" s="140" t="s">
        <v>76</v>
      </c>
      <c r="S2" s="140" t="s">
        <v>61</v>
      </c>
      <c r="T2" s="140" t="s">
        <v>77</v>
      </c>
      <c r="U2" s="140" t="s">
        <v>63</v>
      </c>
      <c r="V2" s="140" t="s">
        <v>78</v>
      </c>
      <c r="W2" s="140" t="s">
        <v>17</v>
      </c>
      <c r="X2" s="140" t="s">
        <v>64</v>
      </c>
      <c r="Y2" s="141" t="s">
        <v>65</v>
      </c>
      <c r="Z2" s="186" t="s">
        <v>3947</v>
      </c>
    </row>
    <row r="3" spans="1:27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45" t="s">
        <v>3930</v>
      </c>
      <c r="X3" s="145" t="s">
        <v>3930</v>
      </c>
      <c r="Y3" s="156" t="s">
        <v>3930</v>
      </c>
      <c r="Z3" s="186"/>
    </row>
    <row r="4" spans="1:27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45" t="s">
        <v>3930</v>
      </c>
      <c r="X4" s="145" t="s">
        <v>3930</v>
      </c>
      <c r="Y4" s="156" t="s">
        <v>3930</v>
      </c>
      <c r="Z4" s="186"/>
    </row>
    <row r="5" spans="1:27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45" t="s">
        <v>3930</v>
      </c>
      <c r="X5" s="145" t="s">
        <v>3930</v>
      </c>
      <c r="Y5" s="156" t="s">
        <v>3930</v>
      </c>
      <c r="Z5" s="186"/>
    </row>
    <row r="6" spans="1:27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45" t="s">
        <v>3930</v>
      </c>
      <c r="X6" s="145" t="s">
        <v>3930</v>
      </c>
      <c r="Y6" s="156" t="s">
        <v>3930</v>
      </c>
      <c r="Z6" s="186"/>
      <c r="AA6" s="99"/>
    </row>
    <row r="7" spans="1:27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56" t="s">
        <v>3930</v>
      </c>
      <c r="Z7" s="186"/>
    </row>
    <row r="8" spans="1:27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1" t="s">
        <v>3930</v>
      </c>
      <c r="X8" s="151" t="s">
        <v>3930</v>
      </c>
      <c r="Y8" s="159" t="s">
        <v>3930</v>
      </c>
      <c r="Z8" s="186"/>
    </row>
    <row r="9" spans="1:27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r="10" spans="1:27" x14ac:dyDescent="0.2">
      <c r="A10" s="99" t="s">
        <v>3945</v>
      </c>
      <c r="B10" s="99"/>
      <c r="C10" s="99"/>
      <c r="D10" s="99"/>
      <c r="E10" s="99"/>
      <c r="F10" s="99"/>
      <c r="G10" s="99"/>
      <c r="H10" s="16"/>
      <c r="I10" s="16"/>
      <c r="J10" s="99"/>
      <c r="K10" s="99"/>
      <c r="L10" s="99"/>
      <c r="M10" s="16"/>
      <c r="N10" s="99"/>
      <c r="O10" s="99"/>
      <c r="P10" s="99"/>
      <c r="Q10" s="99"/>
      <c r="R10" s="99"/>
      <c r="S10" s="99"/>
      <c r="T10" s="99"/>
      <c r="U10" s="99"/>
      <c r="V10" s="99"/>
      <c r="W10" s="16"/>
      <c r="X10" s="99"/>
      <c r="Y10" s="99"/>
    </row>
    <row r="11" spans="1:27" x14ac:dyDescent="0.2">
      <c r="A11" s="185"/>
      <c r="B11" s="99"/>
      <c r="C11" s="99"/>
      <c r="D11" s="99"/>
      <c r="E11" s="99"/>
      <c r="F11" s="99"/>
      <c r="G11" s="99"/>
      <c r="H11" s="16"/>
      <c r="I11" s="16"/>
      <c r="J11" s="99"/>
      <c r="K11" s="99"/>
      <c r="L11" s="99"/>
      <c r="M11" s="16"/>
      <c r="N11" s="99"/>
      <c r="O11" s="99"/>
      <c r="P11" s="99"/>
      <c r="Q11" s="99"/>
      <c r="R11" s="99"/>
      <c r="S11" s="99"/>
      <c r="T11" s="99"/>
      <c r="U11" s="99"/>
      <c r="V11" s="99"/>
      <c r="W11" s="16"/>
      <c r="X11" s="99"/>
      <c r="Y11" s="99"/>
    </row>
    <row r="12" spans="1:27" x14ac:dyDescent="0.2">
      <c r="A12" s="99"/>
      <c r="B12" s="99"/>
      <c r="C12" s="99"/>
      <c r="D12" s="99"/>
      <c r="E12" s="99"/>
      <c r="F12" s="99"/>
      <c r="G12" s="99"/>
      <c r="H12" s="16"/>
      <c r="I12" s="16"/>
      <c r="J12" s="99"/>
      <c r="K12" s="99"/>
      <c r="L12" s="99"/>
      <c r="M12" s="16"/>
      <c r="N12" s="99"/>
      <c r="O12" s="99"/>
      <c r="P12" s="99"/>
      <c r="Q12" s="99"/>
      <c r="R12" s="99"/>
      <c r="S12" s="99"/>
      <c r="T12" s="99"/>
      <c r="U12" s="99"/>
      <c r="V12" s="99"/>
      <c r="W12" s="16"/>
      <c r="X12" s="99"/>
      <c r="Y12" s="99"/>
    </row>
    <row r="13" spans="1:27" x14ac:dyDescent="0.2">
      <c r="A13" s="99"/>
      <c r="B13" s="99"/>
      <c r="C13" s="99"/>
      <c r="D13" s="99"/>
      <c r="E13" s="99"/>
      <c r="F13" s="99"/>
      <c r="G13" s="99"/>
      <c r="H13" s="16"/>
      <c r="I13" s="16"/>
      <c r="J13" s="99"/>
      <c r="K13" s="99"/>
      <c r="L13" s="99"/>
      <c r="M13" s="16"/>
      <c r="N13" s="99"/>
      <c r="O13" s="99"/>
      <c r="P13" s="99"/>
      <c r="Q13" s="99"/>
      <c r="R13" s="99"/>
      <c r="S13" s="99"/>
      <c r="T13" s="99"/>
      <c r="U13" s="99"/>
      <c r="V13" s="99"/>
      <c r="W13" s="16"/>
      <c r="X13" s="99"/>
      <c r="Y13" s="99"/>
    </row>
    <row r="14" spans="1:27" x14ac:dyDescent="0.2">
      <c r="A14" s="99"/>
      <c r="B14" s="99"/>
      <c r="C14" s="99"/>
      <c r="D14" s="99"/>
      <c r="E14" s="99"/>
      <c r="F14" s="99"/>
      <c r="G14" s="99"/>
      <c r="H14" s="16"/>
      <c r="I14" s="16"/>
      <c r="J14" s="99"/>
      <c r="K14" s="99"/>
      <c r="L14" s="99"/>
      <c r="M14" s="16"/>
      <c r="N14" s="99"/>
      <c r="O14" s="99"/>
      <c r="P14" s="99"/>
      <c r="Q14" s="99"/>
      <c r="R14" s="99"/>
      <c r="S14" s="99"/>
      <c r="T14" s="99"/>
      <c r="U14" s="99"/>
      <c r="V14" s="99"/>
      <c r="W14" s="16"/>
      <c r="X14" s="99"/>
      <c r="Y14" s="99"/>
    </row>
    <row r="15" spans="1:27" x14ac:dyDescent="0.2">
      <c r="A15" s="99"/>
      <c r="B15" s="99"/>
      <c r="C15" s="99"/>
      <c r="D15" s="99"/>
      <c r="E15" s="99"/>
      <c r="F15" s="99"/>
      <c r="G15" s="99"/>
      <c r="H15" s="16"/>
      <c r="I15" s="16"/>
      <c r="J15" s="99"/>
      <c r="K15" s="99"/>
      <c r="L15" s="99"/>
      <c r="M15" s="16"/>
      <c r="N15" s="99"/>
      <c r="O15" s="99"/>
      <c r="P15" s="99"/>
      <c r="Q15" s="99"/>
      <c r="R15" s="99"/>
      <c r="S15" s="99"/>
      <c r="T15" s="99"/>
      <c r="U15" s="99"/>
      <c r="V15" s="99"/>
      <c r="W15" s="16"/>
      <c r="X15" s="99"/>
      <c r="Y15" s="99"/>
    </row>
    <row r="16" spans="1:27" x14ac:dyDescent="0.2">
      <c r="A16" s="99"/>
      <c r="B16" s="99"/>
      <c r="C16" s="99"/>
      <c r="D16" s="99"/>
      <c r="E16" s="99"/>
      <c r="F16" s="99"/>
      <c r="G16" s="99"/>
      <c r="H16" s="16"/>
      <c r="I16" s="16"/>
      <c r="J16" s="99"/>
      <c r="K16" s="99"/>
      <c r="L16" s="99"/>
      <c r="M16" s="16"/>
      <c r="N16" s="99"/>
      <c r="O16" s="99"/>
      <c r="P16" s="99"/>
      <c r="Q16" s="99"/>
      <c r="R16" s="99"/>
      <c r="S16" s="99"/>
      <c r="T16" s="99"/>
      <c r="U16" s="99"/>
      <c r="V16" s="99"/>
      <c r="W16" s="16"/>
      <c r="X16" s="99"/>
      <c r="Y16" s="99"/>
    </row>
    <row r="17" spans="1:25" x14ac:dyDescent="0.2">
      <c r="A17" s="99"/>
      <c r="B17" s="99"/>
      <c r="C17" s="99"/>
      <c r="D17" s="99"/>
      <c r="E17" s="99"/>
      <c r="F17" s="99"/>
      <c r="G17" s="99"/>
      <c r="H17" s="16"/>
      <c r="I17" s="16"/>
      <c r="J17" s="99"/>
      <c r="K17" s="99"/>
      <c r="L17" s="99"/>
      <c r="M17" s="16"/>
      <c r="N17" s="99"/>
      <c r="O17" s="99"/>
      <c r="P17" s="99"/>
      <c r="Q17" s="99"/>
      <c r="R17" s="99"/>
      <c r="S17" s="99"/>
      <c r="T17" s="99"/>
      <c r="U17" s="99"/>
      <c r="V17" s="99"/>
      <c r="W17" s="16"/>
      <c r="X17" s="99"/>
      <c r="Y17" s="99"/>
    </row>
    <row r="18" spans="1:25" x14ac:dyDescent="0.2">
      <c r="A18" s="99"/>
      <c r="B18" s="99"/>
      <c r="C18" s="99"/>
      <c r="D18" s="99"/>
      <c r="E18" s="99"/>
      <c r="F18" s="99"/>
      <c r="G18" s="99"/>
      <c r="H18" s="16"/>
      <c r="I18" s="16"/>
      <c r="J18" s="99"/>
      <c r="K18" s="99"/>
      <c r="L18" s="99"/>
      <c r="M18" s="16"/>
      <c r="N18" s="99"/>
      <c r="O18" s="99"/>
      <c r="P18" s="99"/>
      <c r="Q18" s="99"/>
      <c r="R18" s="99"/>
      <c r="S18" s="99"/>
      <c r="T18" s="99"/>
      <c r="U18" s="99"/>
      <c r="V18" s="99"/>
      <c r="W18" s="16"/>
      <c r="X18" s="99"/>
      <c r="Y18" s="99"/>
    </row>
    <row r="19" spans="1:25" x14ac:dyDescent="0.2">
      <c r="A19" s="99"/>
      <c r="B19" s="99"/>
      <c r="C19" s="99"/>
      <c r="D19" s="99"/>
      <c r="E19" s="99"/>
      <c r="F19" s="99"/>
      <c r="G19" s="99"/>
      <c r="H19" s="16"/>
      <c r="I19" s="16"/>
      <c r="J19" s="99"/>
      <c r="K19" s="99"/>
      <c r="L19" s="99"/>
      <c r="M19" s="16"/>
      <c r="N19" s="99"/>
      <c r="O19" s="99"/>
      <c r="P19" s="99"/>
      <c r="Q19" s="99"/>
      <c r="R19" s="99"/>
      <c r="S19" s="99"/>
      <c r="T19" s="99"/>
      <c r="U19" s="99"/>
      <c r="V19" s="99"/>
      <c r="W19" s="16"/>
      <c r="X19" s="99"/>
      <c r="Y19" s="99"/>
    </row>
    <row r="20" spans="1:25" x14ac:dyDescent="0.2">
      <c r="A20" s="99"/>
      <c r="B20" s="99"/>
      <c r="C20" s="99"/>
      <c r="D20" s="99"/>
      <c r="E20" s="99"/>
      <c r="F20" s="99"/>
      <c r="G20" s="99"/>
      <c r="H20" s="16"/>
      <c r="I20" s="16"/>
      <c r="J20" s="99"/>
      <c r="K20" s="99"/>
      <c r="L20" s="99"/>
      <c r="M20" s="16"/>
      <c r="N20" s="99"/>
      <c r="O20" s="99"/>
      <c r="P20" s="99"/>
      <c r="Q20" s="99"/>
      <c r="R20" s="99"/>
      <c r="S20" s="99"/>
      <c r="T20" s="99"/>
      <c r="U20" s="99"/>
      <c r="V20" s="99"/>
      <c r="W20" s="16"/>
      <c r="X20" s="99"/>
      <c r="Y20" s="99"/>
    </row>
    <row r="21" spans="1:25" x14ac:dyDescent="0.2">
      <c r="F21" s="99"/>
      <c r="G21" s="99"/>
      <c r="H21" s="16"/>
      <c r="I21" s="16"/>
      <c r="L21" s="99"/>
      <c r="W21" s="16"/>
      <c r="X21" s="98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>
      <formula1>In_the_books</formula1>
    </dataValidation>
    <dataValidation type="list" allowBlank="1" showInputMessage="1" showErrorMessage="1" sqref="H10:H21">
      <formula1>israel_abroad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3962</v>
      </c>
    </row>
    <row r="2" spans="1:19" ht="66.75" customHeight="1" x14ac:dyDescent="0.2">
      <c r="A2" s="139" t="s">
        <v>49</v>
      </c>
      <c r="B2" s="140" t="s">
        <v>50</v>
      </c>
      <c r="C2" s="140" t="s">
        <v>54</v>
      </c>
      <c r="D2" s="140" t="s">
        <v>67</v>
      </c>
      <c r="E2" s="140" t="s">
        <v>68</v>
      </c>
      <c r="F2" s="140" t="s">
        <v>97</v>
      </c>
      <c r="G2" s="140" t="s">
        <v>72</v>
      </c>
      <c r="H2" s="140" t="s">
        <v>98</v>
      </c>
      <c r="I2" s="140" t="s">
        <v>73</v>
      </c>
      <c r="J2" s="140" t="s">
        <v>62</v>
      </c>
      <c r="K2" s="140" t="s">
        <v>74</v>
      </c>
      <c r="L2" s="140" t="s">
        <v>76</v>
      </c>
      <c r="M2" s="140" t="s">
        <v>77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77" t="s">
        <v>3947</v>
      </c>
    </row>
    <row r="3" spans="1:19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56" t="s">
        <v>3930</v>
      </c>
      <c r="S3" s="177"/>
    </row>
    <row r="4" spans="1:19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56" t="s">
        <v>3930</v>
      </c>
      <c r="S4" s="177"/>
    </row>
    <row r="5" spans="1:19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56" t="s">
        <v>3930</v>
      </c>
      <c r="S5" s="177"/>
    </row>
    <row r="6" spans="1:19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56" t="s">
        <v>3930</v>
      </c>
      <c r="S6" s="177"/>
    </row>
    <row r="7" spans="1:19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56" t="s">
        <v>3930</v>
      </c>
      <c r="S7" s="177"/>
    </row>
    <row r="8" spans="1:19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9" t="s">
        <v>3930</v>
      </c>
      <c r="S8" s="177"/>
    </row>
    <row r="9" spans="1:19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98"/>
    </row>
    <row r="10" spans="1:19" x14ac:dyDescent="0.2">
      <c r="A10" s="99" t="s">
        <v>3945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6"/>
      <c r="Q10" s="99"/>
      <c r="R10" s="99"/>
      <c r="S10" s="98"/>
    </row>
    <row r="11" spans="1:19" x14ac:dyDescent="0.2">
      <c r="A11" s="185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6"/>
      <c r="Q11" s="99"/>
      <c r="R11" s="99"/>
      <c r="S11" s="98"/>
    </row>
    <row r="12" spans="1:19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16"/>
      <c r="Q12" s="99"/>
      <c r="R12" s="99"/>
      <c r="S12" s="98"/>
    </row>
    <row r="13" spans="1:19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6"/>
      <c r="Q13" s="99"/>
      <c r="R13" s="99"/>
      <c r="S13" s="98"/>
    </row>
    <row r="14" spans="1:19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6"/>
      <c r="Q14" s="99"/>
      <c r="R14" s="99"/>
      <c r="S14" s="98"/>
    </row>
    <row r="15" spans="1:19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6"/>
      <c r="Q15" s="99"/>
      <c r="R15" s="99"/>
      <c r="S15" s="98"/>
    </row>
    <row r="16" spans="1:19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6"/>
      <c r="Q16" s="99"/>
      <c r="R16" s="99"/>
      <c r="S16" s="98"/>
    </row>
    <row r="17" spans="1:19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6"/>
      <c r="Q17" s="99"/>
      <c r="R17" s="99"/>
      <c r="S17" s="98"/>
    </row>
    <row r="18" spans="1:19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6"/>
      <c r="Q18" s="99"/>
      <c r="R18" s="99"/>
    </row>
    <row r="19" spans="1:19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6"/>
      <c r="Q19" s="99"/>
      <c r="R19" s="99"/>
    </row>
    <row r="20" spans="1:19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6"/>
      <c r="Q20" s="99"/>
      <c r="R20" s="99"/>
    </row>
    <row r="21" spans="1:19" x14ac:dyDescent="0.2">
      <c r="A21" s="98"/>
      <c r="B21" s="98"/>
      <c r="C21" s="99"/>
      <c r="D21" s="98"/>
      <c r="E21" s="98"/>
      <c r="F21" s="98"/>
      <c r="G21" s="98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  <row r="22" spans="1:19" x14ac:dyDescent="0.2">
      <c r="A22" s="98"/>
      <c r="B22" s="98"/>
      <c r="C22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Q22" s="98"/>
      <c r="R22" s="98"/>
    </row>
    <row r="23" spans="1:19" x14ac:dyDescent="0.2">
      <c r="A23" s="98"/>
      <c r="B23" s="98"/>
      <c r="C23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Q23" s="98"/>
      <c r="R23" s="98"/>
    </row>
    <row r="24" spans="1:19" x14ac:dyDescent="0.2">
      <c r="A24" s="98"/>
      <c r="B24" s="98"/>
      <c r="C24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Q24" s="98"/>
      <c r="R24" s="98"/>
    </row>
    <row r="25" spans="1:19" x14ac:dyDescent="0.2">
      <c r="A25" s="98"/>
      <c r="B25" s="98"/>
      <c r="C25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Q25" s="98"/>
      <c r="R25" s="98"/>
    </row>
    <row r="26" spans="1:19" x14ac:dyDescent="0.2">
      <c r="A26" s="98"/>
      <c r="B26" s="98"/>
      <c r="C26"/>
      <c r="D26" s="98"/>
      <c r="E26" s="98"/>
      <c r="F26" s="98"/>
      <c r="G26" s="98"/>
      <c r="I26" s="98"/>
      <c r="J26" s="98"/>
      <c r="K26" s="98"/>
      <c r="L26" s="98"/>
      <c r="M26" s="98"/>
      <c r="N26" s="98"/>
      <c r="O26" s="98"/>
      <c r="Q26" s="98"/>
      <c r="R26" s="98"/>
    </row>
    <row r="27" spans="1:19" x14ac:dyDescent="0.2">
      <c r="A27" s="98"/>
      <c r="B27" s="98"/>
      <c r="C27"/>
      <c r="D27" s="98"/>
      <c r="E27" s="98"/>
      <c r="F27" s="98"/>
      <c r="G27" s="98"/>
      <c r="I27" s="98"/>
      <c r="J27" s="98"/>
      <c r="K27" s="98"/>
      <c r="L27" s="98"/>
      <c r="M27" s="98"/>
      <c r="N27" s="98"/>
      <c r="O27" s="98"/>
      <c r="Q27" s="98"/>
      <c r="R27" s="98"/>
    </row>
    <row r="28" spans="1:19" x14ac:dyDescent="0.2">
      <c r="A28" s="98"/>
      <c r="B28" s="98"/>
      <c r="C28"/>
      <c r="D28" s="98"/>
      <c r="E28" s="98"/>
      <c r="F28" s="98"/>
      <c r="G28" s="98"/>
      <c r="I28" s="98"/>
      <c r="J28" s="98"/>
      <c r="K28" s="98"/>
      <c r="L28" s="98"/>
      <c r="M28" s="98"/>
      <c r="N28" s="98"/>
      <c r="O28" s="98"/>
      <c r="Q28" s="98"/>
      <c r="R28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>
      <formula1>In_the_books</formula1>
    </dataValidation>
    <dataValidation type="list" allowBlank="1" showInputMessage="1" showErrorMessage="1" sqref="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3963</v>
      </c>
    </row>
    <row r="2" spans="1:8" ht="66.75" customHeight="1" x14ac:dyDescent="0.2">
      <c r="A2" s="139" t="s">
        <v>99</v>
      </c>
      <c r="B2" s="140" t="s">
        <v>50</v>
      </c>
      <c r="C2" s="140" t="s">
        <v>54</v>
      </c>
      <c r="D2" s="140" t="s">
        <v>100</v>
      </c>
      <c r="E2" s="140" t="s">
        <v>101</v>
      </c>
      <c r="F2" s="140" t="s">
        <v>102</v>
      </c>
      <c r="G2" s="141" t="s">
        <v>65</v>
      </c>
      <c r="H2" s="177" t="s">
        <v>3947</v>
      </c>
    </row>
    <row r="3" spans="1:8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56" t="s">
        <v>3930</v>
      </c>
      <c r="H3" s="177"/>
    </row>
    <row r="4" spans="1:8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56" t="s">
        <v>3930</v>
      </c>
      <c r="H4" s="177"/>
    </row>
    <row r="5" spans="1:8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56" t="s">
        <v>3930</v>
      </c>
      <c r="H5" s="177"/>
    </row>
    <row r="6" spans="1:8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56" t="s">
        <v>3930</v>
      </c>
      <c r="H6" s="177"/>
    </row>
    <row r="7" spans="1:8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56" t="s">
        <v>3930</v>
      </c>
      <c r="H7" s="177"/>
    </row>
    <row r="8" spans="1:8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9" t="s">
        <v>3930</v>
      </c>
      <c r="H8" s="177"/>
    </row>
    <row r="9" spans="1:8" x14ac:dyDescent="0.2">
      <c r="A9" s="184" t="s">
        <v>3946</v>
      </c>
      <c r="B9" s="184"/>
      <c r="C9" s="184"/>
      <c r="D9" s="184"/>
      <c r="E9" s="184"/>
      <c r="F9" s="184"/>
      <c r="G9" s="184"/>
      <c r="H9" s="98"/>
    </row>
    <row r="10" spans="1:8" x14ac:dyDescent="0.2">
      <c r="A10" s="99" t="s">
        <v>3945</v>
      </c>
      <c r="B10" s="99"/>
      <c r="C10" s="99"/>
      <c r="G10" s="99"/>
      <c r="H10" s="98"/>
    </row>
    <row r="11" spans="1:8" x14ac:dyDescent="0.2">
      <c r="A11" s="185"/>
      <c r="B11" s="99"/>
      <c r="C11" s="99"/>
      <c r="G11" s="99"/>
      <c r="H11" s="98"/>
    </row>
    <row r="12" spans="1:8" x14ac:dyDescent="0.2">
      <c r="A12" s="99"/>
      <c r="B12" s="99"/>
      <c r="C12" s="99"/>
      <c r="G12" s="99"/>
      <c r="H12" s="98"/>
    </row>
    <row r="13" spans="1:8" x14ac:dyDescent="0.2">
      <c r="A13" s="99"/>
      <c r="B13" s="99"/>
      <c r="C13" s="99"/>
      <c r="G13" s="99"/>
      <c r="H13" s="98"/>
    </row>
    <row r="14" spans="1:8" x14ac:dyDescent="0.2">
      <c r="A14" s="99"/>
      <c r="B14" s="99"/>
      <c r="C14" s="99"/>
      <c r="G14" s="99"/>
      <c r="H14" s="98"/>
    </row>
    <row r="15" spans="1:8" x14ac:dyDescent="0.2">
      <c r="A15" s="99"/>
      <c r="B15" s="99"/>
      <c r="C15" s="99"/>
      <c r="G15" s="99"/>
      <c r="H15" s="98"/>
    </row>
    <row r="16" spans="1:8" x14ac:dyDescent="0.2">
      <c r="A16" s="99"/>
      <c r="B16" s="99"/>
      <c r="C16" s="99"/>
      <c r="G16" s="99"/>
      <c r="H16" s="98"/>
    </row>
    <row r="17" spans="1:8" x14ac:dyDescent="0.2">
      <c r="A17" s="99"/>
      <c r="B17" s="99"/>
      <c r="C17" s="99"/>
      <c r="G17" s="99"/>
      <c r="H17" s="98"/>
    </row>
    <row r="18" spans="1:8" x14ac:dyDescent="0.2">
      <c r="A18" s="99"/>
      <c r="B18" s="99"/>
      <c r="C18" s="99"/>
      <c r="G18" s="99"/>
    </row>
    <row r="19" spans="1:8" x14ac:dyDescent="0.2">
      <c r="A19" s="99"/>
      <c r="B19" s="99"/>
      <c r="C19" s="99"/>
      <c r="G19" s="99"/>
    </row>
    <row r="20" spans="1:8" x14ac:dyDescent="0.2">
      <c r="A20" s="99"/>
      <c r="B20" s="99"/>
      <c r="C20" s="99"/>
      <c r="G20" s="99"/>
    </row>
    <row r="21" spans="1:8" x14ac:dyDescent="0.2">
      <c r="A21" s="98"/>
      <c r="B21" s="98"/>
      <c r="C21" s="99"/>
      <c r="G21" s="98"/>
    </row>
    <row r="22" spans="1:8" x14ac:dyDescent="0.2">
      <c r="A22" s="98"/>
      <c r="B22" s="98"/>
      <c r="C22"/>
      <c r="G22" s="98"/>
    </row>
    <row r="23" spans="1:8" x14ac:dyDescent="0.2">
      <c r="A23" s="98"/>
      <c r="B23" s="98"/>
      <c r="C23"/>
      <c r="G23" s="98"/>
    </row>
    <row r="24" spans="1:8" x14ac:dyDescent="0.2">
      <c r="A24" s="98"/>
      <c r="B24" s="98"/>
      <c r="C24"/>
      <c r="G24" s="98"/>
    </row>
    <row r="25" spans="1:8" x14ac:dyDescent="0.2">
      <c r="A25" s="98"/>
      <c r="B25" s="98"/>
      <c r="C25"/>
      <c r="G25" s="98"/>
    </row>
    <row r="26" spans="1:8" x14ac:dyDescent="0.2">
      <c r="A26" s="98"/>
      <c r="B26" s="98"/>
      <c r="C26"/>
      <c r="G26" s="98"/>
    </row>
    <row r="27" spans="1:8" x14ac:dyDescent="0.2">
      <c r="A27" s="98"/>
      <c r="B27" s="98"/>
      <c r="C27"/>
      <c r="G27" s="98"/>
    </row>
    <row r="28" spans="1:8" x14ac:dyDescent="0.2">
      <c r="A28" s="98"/>
      <c r="B28" s="98"/>
      <c r="C28"/>
      <c r="G28" s="9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3964</v>
      </c>
    </row>
    <row r="2" spans="1:4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98</v>
      </c>
      <c r="U2" s="140" t="s">
        <v>85</v>
      </c>
      <c r="V2" s="140" t="s">
        <v>73</v>
      </c>
      <c r="W2" s="140" t="s">
        <v>62</v>
      </c>
      <c r="X2" s="140" t="s">
        <v>74</v>
      </c>
      <c r="Y2" s="140" t="s">
        <v>86</v>
      </c>
      <c r="Z2" s="140" t="s">
        <v>87</v>
      </c>
      <c r="AA2" s="140" t="s">
        <v>103</v>
      </c>
      <c r="AB2" s="140" t="s">
        <v>104</v>
      </c>
      <c r="AC2" s="140" t="s">
        <v>105</v>
      </c>
      <c r="AD2" s="140" t="s">
        <v>106</v>
      </c>
      <c r="AE2" s="140" t="s">
        <v>107</v>
      </c>
      <c r="AF2" s="140" t="s">
        <v>76</v>
      </c>
      <c r="AG2" s="140" t="s">
        <v>61</v>
      </c>
      <c r="AH2" s="140" t="s">
        <v>77</v>
      </c>
      <c r="AI2" s="140" t="s">
        <v>63</v>
      </c>
      <c r="AJ2" s="140" t="s">
        <v>78</v>
      </c>
      <c r="AK2" s="140" t="s">
        <v>88</v>
      </c>
      <c r="AL2" s="140" t="s">
        <v>17</v>
      </c>
      <c r="AM2" s="140" t="s">
        <v>64</v>
      </c>
      <c r="AN2" s="141" t="s">
        <v>65</v>
      </c>
      <c r="AO2" s="186" t="s">
        <v>3947</v>
      </c>
    </row>
    <row r="3" spans="1:41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45" t="s">
        <v>3930</v>
      </c>
      <c r="X3" s="145" t="s">
        <v>3930</v>
      </c>
      <c r="Y3" s="145" t="s">
        <v>3930</v>
      </c>
      <c r="Z3" s="145" t="s">
        <v>3930</v>
      </c>
      <c r="AA3" s="145" t="s">
        <v>3930</v>
      </c>
      <c r="AB3" s="145" t="s">
        <v>3930</v>
      </c>
      <c r="AC3" s="145" t="s">
        <v>3930</v>
      </c>
      <c r="AD3" s="145" t="s">
        <v>3930</v>
      </c>
      <c r="AE3" s="145" t="s">
        <v>3930</v>
      </c>
      <c r="AF3" s="145" t="s">
        <v>3930</v>
      </c>
      <c r="AG3" s="145" t="s">
        <v>3930</v>
      </c>
      <c r="AH3" s="145" t="s">
        <v>3930</v>
      </c>
      <c r="AI3" s="145" t="s">
        <v>3930</v>
      </c>
      <c r="AJ3" s="145" t="s">
        <v>3930</v>
      </c>
      <c r="AK3" s="145" t="s">
        <v>3930</v>
      </c>
      <c r="AL3" s="145" t="s">
        <v>3930</v>
      </c>
      <c r="AM3" s="145" t="s">
        <v>3930</v>
      </c>
      <c r="AN3" s="156" t="s">
        <v>3930</v>
      </c>
      <c r="AO3" s="186"/>
    </row>
    <row r="4" spans="1:41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45" t="s">
        <v>3930</v>
      </c>
      <c r="X4" s="145" t="s">
        <v>3930</v>
      </c>
      <c r="Y4" s="145" t="s">
        <v>3930</v>
      </c>
      <c r="Z4" s="145" t="s">
        <v>3930</v>
      </c>
      <c r="AA4" s="145" t="s">
        <v>3930</v>
      </c>
      <c r="AB4" s="145" t="s">
        <v>3930</v>
      </c>
      <c r="AC4" s="145" t="s">
        <v>3930</v>
      </c>
      <c r="AD4" s="145" t="s">
        <v>3930</v>
      </c>
      <c r="AE4" s="145" t="s">
        <v>3930</v>
      </c>
      <c r="AF4" s="145" t="s">
        <v>3930</v>
      </c>
      <c r="AG4" s="145" t="s">
        <v>3930</v>
      </c>
      <c r="AH4" s="145" t="s">
        <v>3930</v>
      </c>
      <c r="AI4" s="145" t="s">
        <v>3930</v>
      </c>
      <c r="AJ4" s="145" t="s">
        <v>3930</v>
      </c>
      <c r="AK4" s="145" t="s">
        <v>3930</v>
      </c>
      <c r="AL4" s="145" t="s">
        <v>3930</v>
      </c>
      <c r="AM4" s="145" t="s">
        <v>3930</v>
      </c>
      <c r="AN4" s="156" t="s">
        <v>3930</v>
      </c>
      <c r="AO4" s="186"/>
    </row>
    <row r="5" spans="1:41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45" t="s">
        <v>3930</v>
      </c>
      <c r="X5" s="145" t="s">
        <v>3930</v>
      </c>
      <c r="Y5" s="145" t="s">
        <v>3930</v>
      </c>
      <c r="Z5" s="145" t="s">
        <v>3930</v>
      </c>
      <c r="AA5" s="145" t="s">
        <v>3930</v>
      </c>
      <c r="AB5" s="145" t="s">
        <v>3930</v>
      </c>
      <c r="AC5" s="145" t="s">
        <v>3930</v>
      </c>
      <c r="AD5" s="145" t="s">
        <v>3930</v>
      </c>
      <c r="AE5" s="145" t="s">
        <v>3930</v>
      </c>
      <c r="AF5" s="145" t="s">
        <v>3930</v>
      </c>
      <c r="AG5" s="145" t="s">
        <v>3930</v>
      </c>
      <c r="AH5" s="145" t="s">
        <v>3930</v>
      </c>
      <c r="AI5" s="145" t="s">
        <v>3930</v>
      </c>
      <c r="AJ5" s="145" t="s">
        <v>3930</v>
      </c>
      <c r="AK5" s="145" t="s">
        <v>3930</v>
      </c>
      <c r="AL5" s="145" t="s">
        <v>3930</v>
      </c>
      <c r="AM5" s="145" t="s">
        <v>3930</v>
      </c>
      <c r="AN5" s="156" t="s">
        <v>3930</v>
      </c>
      <c r="AO5" s="186"/>
    </row>
    <row r="6" spans="1:41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45" t="s">
        <v>3930</v>
      </c>
      <c r="X6" s="145" t="s">
        <v>3930</v>
      </c>
      <c r="Y6" s="145" t="s">
        <v>3930</v>
      </c>
      <c r="Z6" s="145" t="s">
        <v>3930</v>
      </c>
      <c r="AA6" s="145" t="s">
        <v>3930</v>
      </c>
      <c r="AB6" s="145" t="s">
        <v>3930</v>
      </c>
      <c r="AC6" s="145" t="s">
        <v>3930</v>
      </c>
      <c r="AD6" s="145" t="s">
        <v>3930</v>
      </c>
      <c r="AE6" s="145" t="s">
        <v>3930</v>
      </c>
      <c r="AF6" s="145" t="s">
        <v>3930</v>
      </c>
      <c r="AG6" s="145" t="s">
        <v>3930</v>
      </c>
      <c r="AH6" s="145" t="s">
        <v>3930</v>
      </c>
      <c r="AI6" s="145" t="s">
        <v>3930</v>
      </c>
      <c r="AJ6" s="145" t="s">
        <v>3930</v>
      </c>
      <c r="AK6" s="145" t="s">
        <v>3930</v>
      </c>
      <c r="AL6" s="145" t="s">
        <v>3930</v>
      </c>
      <c r="AM6" s="145" t="s">
        <v>3930</v>
      </c>
      <c r="AN6" s="156" t="s">
        <v>3930</v>
      </c>
      <c r="AO6" s="186"/>
    </row>
    <row r="7" spans="1:41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45" t="s">
        <v>3930</v>
      </c>
      <c r="Z7" s="145" t="s">
        <v>3930</v>
      </c>
      <c r="AA7" s="145" t="s">
        <v>3930</v>
      </c>
      <c r="AB7" s="145" t="s">
        <v>3930</v>
      </c>
      <c r="AC7" s="145" t="s">
        <v>3930</v>
      </c>
      <c r="AD7" s="145" t="s">
        <v>3930</v>
      </c>
      <c r="AE7" s="145" t="s">
        <v>3930</v>
      </c>
      <c r="AF7" s="145" t="s">
        <v>3930</v>
      </c>
      <c r="AG7" s="145" t="s">
        <v>3930</v>
      </c>
      <c r="AH7" s="145" t="s">
        <v>3930</v>
      </c>
      <c r="AI7" s="145" t="s">
        <v>3930</v>
      </c>
      <c r="AJ7" s="145" t="s">
        <v>3930</v>
      </c>
      <c r="AK7" s="145" t="s">
        <v>3930</v>
      </c>
      <c r="AL7" s="145" t="s">
        <v>3930</v>
      </c>
      <c r="AM7" s="145" t="s">
        <v>3930</v>
      </c>
      <c r="AN7" s="156" t="s">
        <v>3930</v>
      </c>
      <c r="AO7" s="186"/>
    </row>
    <row r="8" spans="1:41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1" t="s">
        <v>3930</v>
      </c>
      <c r="X8" s="151" t="s">
        <v>3930</v>
      </c>
      <c r="Y8" s="151" t="s">
        <v>3930</v>
      </c>
      <c r="Z8" s="151" t="s">
        <v>3930</v>
      </c>
      <c r="AA8" s="151" t="s">
        <v>3930</v>
      </c>
      <c r="AB8" s="151" t="s">
        <v>3930</v>
      </c>
      <c r="AC8" s="151" t="s">
        <v>3930</v>
      </c>
      <c r="AD8" s="151" t="s">
        <v>3930</v>
      </c>
      <c r="AE8" s="151" t="s">
        <v>3930</v>
      </c>
      <c r="AF8" s="151" t="s">
        <v>3930</v>
      </c>
      <c r="AG8" s="151" t="s">
        <v>3930</v>
      </c>
      <c r="AH8" s="151" t="s">
        <v>3930</v>
      </c>
      <c r="AI8" s="151" t="s">
        <v>3930</v>
      </c>
      <c r="AJ8" s="151" t="s">
        <v>3930</v>
      </c>
      <c r="AK8" s="151" t="s">
        <v>3930</v>
      </c>
      <c r="AL8" s="151" t="s">
        <v>3930</v>
      </c>
      <c r="AM8" s="151" t="s">
        <v>3930</v>
      </c>
      <c r="AN8" s="159" t="s">
        <v>3930</v>
      </c>
      <c r="AO8" s="186"/>
    </row>
    <row r="9" spans="1:41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1" x14ac:dyDescent="0.2">
      <c r="A10" s="99" t="s">
        <v>3945</v>
      </c>
      <c r="B10" s="99"/>
      <c r="C10" s="99"/>
      <c r="D10" s="99"/>
      <c r="E10" s="16"/>
      <c r="F10" s="99"/>
      <c r="G10" s="99"/>
      <c r="H10" s="16"/>
      <c r="I10" s="99"/>
      <c r="J10" s="16"/>
      <c r="K10" s="16"/>
      <c r="L10" s="99"/>
      <c r="M10" s="99"/>
      <c r="N10" s="99"/>
      <c r="O10" s="99"/>
      <c r="P10" s="99"/>
      <c r="Q10" s="99"/>
      <c r="R10" s="16"/>
      <c r="S10" s="99"/>
      <c r="T10" s="99"/>
      <c r="U10" s="99"/>
      <c r="V10" s="99"/>
      <c r="W10" s="99"/>
      <c r="X10" s="99"/>
      <c r="Y10" s="16"/>
      <c r="Z10" s="16"/>
      <c r="AA10" s="99"/>
      <c r="AB10" s="99"/>
      <c r="AD10" s="99"/>
      <c r="AE10" s="99"/>
      <c r="AF10" s="99"/>
      <c r="AG10" s="99"/>
      <c r="AH10" s="99"/>
      <c r="AL10" s="99"/>
    </row>
    <row r="11" spans="1:41" x14ac:dyDescent="0.2">
      <c r="A11" s="185"/>
      <c r="B11" s="99"/>
      <c r="C11" s="99"/>
      <c r="D11" s="99"/>
      <c r="E11" s="16"/>
      <c r="F11" s="99"/>
      <c r="G11" s="99"/>
      <c r="H11" s="16"/>
      <c r="I11" s="99"/>
      <c r="J11" s="16"/>
      <c r="K11" s="16"/>
      <c r="L11" s="99"/>
      <c r="M11" s="99"/>
      <c r="N11" s="99"/>
      <c r="O11" s="99"/>
      <c r="P11" s="99"/>
      <c r="Q11" s="99"/>
      <c r="R11" s="16"/>
      <c r="S11" s="99"/>
      <c r="T11" s="99"/>
      <c r="U11" s="99"/>
      <c r="V11" s="99"/>
      <c r="W11" s="99"/>
      <c r="X11" s="99"/>
      <c r="Y11" s="16"/>
      <c r="Z11" s="16"/>
      <c r="AA11" s="99"/>
      <c r="AB11" s="99"/>
      <c r="AD11" s="99"/>
      <c r="AE11" s="99"/>
      <c r="AF11" s="99"/>
      <c r="AG11" s="99"/>
      <c r="AH11" s="99"/>
      <c r="AL11" s="99"/>
    </row>
    <row r="12" spans="1:41" x14ac:dyDescent="0.2">
      <c r="A12" s="99"/>
      <c r="B12" s="99"/>
      <c r="C12" s="99"/>
      <c r="D12" s="99"/>
      <c r="E12" s="16"/>
      <c r="F12" s="99"/>
      <c r="G12" s="99"/>
      <c r="H12" s="16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9"/>
      <c r="Y12" s="16"/>
      <c r="Z12" s="16"/>
      <c r="AA12" s="99"/>
      <c r="AB12" s="99"/>
      <c r="AD12" s="99"/>
      <c r="AE12" s="99"/>
      <c r="AF12" s="99"/>
      <c r="AG12" s="99"/>
      <c r="AH12" s="99"/>
      <c r="AI12" s="99"/>
      <c r="AK12" s="99"/>
      <c r="AL12" s="99"/>
    </row>
    <row r="13" spans="1:41" x14ac:dyDescent="0.2">
      <c r="A13" s="99"/>
      <c r="B13" s="99"/>
      <c r="C13" s="99"/>
      <c r="D13" s="99"/>
      <c r="E13" s="16"/>
      <c r="F13" s="99"/>
      <c r="G13" s="99"/>
      <c r="H13" s="16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9"/>
      <c r="Y13" s="16"/>
      <c r="Z13" s="16"/>
      <c r="AA13" s="99"/>
      <c r="AB13" s="99"/>
      <c r="AD13" s="99"/>
      <c r="AE13" s="99"/>
      <c r="AF13" s="99"/>
      <c r="AG13" s="99"/>
      <c r="AH13" s="99"/>
      <c r="AI13" s="99"/>
      <c r="AK13" s="99"/>
      <c r="AL13" s="99"/>
    </row>
    <row r="14" spans="1:41" x14ac:dyDescent="0.2">
      <c r="A14" s="99"/>
      <c r="B14" s="99"/>
      <c r="C14" s="99"/>
      <c r="D14" s="99"/>
      <c r="E14" s="16"/>
      <c r="F14" s="99"/>
      <c r="G14" s="99"/>
      <c r="H14" s="16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9"/>
      <c r="Y14" s="16"/>
      <c r="Z14" s="16"/>
      <c r="AA14" s="99"/>
      <c r="AB14" s="99"/>
      <c r="AD14" s="99"/>
      <c r="AE14" s="99"/>
      <c r="AF14" s="99"/>
      <c r="AG14" s="99"/>
      <c r="AH14" s="99"/>
      <c r="AI14" s="99"/>
      <c r="AK14" s="99"/>
      <c r="AL14" s="99"/>
    </row>
    <row r="15" spans="1:41" x14ac:dyDescent="0.2">
      <c r="A15" s="99"/>
      <c r="B15" s="99"/>
      <c r="C15" s="99"/>
      <c r="D15" s="99"/>
      <c r="E15" s="16"/>
      <c r="F15" s="99"/>
      <c r="G15" s="99"/>
      <c r="H15" s="16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9"/>
      <c r="Y15" s="16"/>
      <c r="Z15" s="16"/>
      <c r="AA15" s="99"/>
      <c r="AB15" s="99"/>
      <c r="AD15" s="99"/>
      <c r="AE15" s="99"/>
      <c r="AF15" s="99"/>
      <c r="AG15" s="99"/>
      <c r="AH15" s="99"/>
      <c r="AI15" s="99"/>
      <c r="AK15" s="99"/>
      <c r="AL15" s="99"/>
    </row>
    <row r="16" spans="1:41" x14ac:dyDescent="0.2">
      <c r="A16" s="99"/>
      <c r="B16" s="99"/>
      <c r="C16" s="99"/>
      <c r="D16" s="99"/>
      <c r="E16" s="16"/>
      <c r="F16" s="99"/>
      <c r="G16" s="99"/>
      <c r="H16" s="16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9"/>
      <c r="Y16" s="16"/>
      <c r="Z16" s="16"/>
      <c r="AA16" s="99"/>
      <c r="AB16" s="99"/>
      <c r="AD16" s="99"/>
      <c r="AE16" s="99"/>
      <c r="AF16" s="99"/>
      <c r="AG16" s="99"/>
      <c r="AH16" s="99"/>
      <c r="AI16" s="99"/>
      <c r="AK16" s="99"/>
      <c r="AL16" s="99"/>
    </row>
    <row r="17" spans="1:38" x14ac:dyDescent="0.2">
      <c r="A17" s="99"/>
      <c r="B17" s="99"/>
      <c r="C17" s="99"/>
      <c r="D17" s="99"/>
      <c r="E17" s="16"/>
      <c r="F17" s="99"/>
      <c r="G17" s="99"/>
      <c r="H17" s="16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9"/>
      <c r="Y17" s="16"/>
      <c r="Z17" s="16"/>
      <c r="AA17" s="99"/>
      <c r="AB17" s="99"/>
      <c r="AD17" s="99"/>
      <c r="AE17" s="99"/>
      <c r="AF17" s="99"/>
      <c r="AG17" s="99"/>
      <c r="AH17" s="99"/>
      <c r="AI17" s="99"/>
      <c r="AK17" s="99"/>
      <c r="AL17" s="99"/>
    </row>
    <row r="18" spans="1:38" x14ac:dyDescent="0.2">
      <c r="A18" s="99"/>
      <c r="B18" s="99"/>
      <c r="C18" s="99"/>
      <c r="D18" s="99"/>
      <c r="E18" s="16"/>
      <c r="F18" s="99"/>
      <c r="G18" s="99"/>
      <c r="H18" s="16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9"/>
      <c r="Y18" s="16"/>
      <c r="Z18" s="16"/>
      <c r="AA18" s="99"/>
      <c r="AB18" s="99"/>
      <c r="AD18" s="99"/>
      <c r="AE18" s="99"/>
      <c r="AF18" s="99"/>
      <c r="AG18" s="99"/>
      <c r="AH18" s="99"/>
      <c r="AI18" s="99"/>
      <c r="AK18" s="99"/>
      <c r="AL18" s="99"/>
    </row>
    <row r="19" spans="1:38" x14ac:dyDescent="0.2">
      <c r="A19" s="99"/>
      <c r="B19" s="99"/>
      <c r="C19" s="99"/>
      <c r="D19" s="99"/>
      <c r="E19" s="16"/>
      <c r="F19" s="99"/>
      <c r="G19" s="99"/>
      <c r="H19" s="16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9"/>
      <c r="Y19" s="16"/>
      <c r="Z19" s="16"/>
      <c r="AA19" s="99"/>
      <c r="AB19" s="99"/>
      <c r="AD19" s="99"/>
      <c r="AE19" s="99"/>
      <c r="AF19" s="99"/>
      <c r="AG19" s="99"/>
      <c r="AH19" s="99"/>
      <c r="AI19" s="99"/>
      <c r="AK19" s="99"/>
      <c r="AL19" s="99"/>
    </row>
    <row r="20" spans="1:38" x14ac:dyDescent="0.2">
      <c r="A20" s="99"/>
      <c r="B20" s="99"/>
      <c r="C20" s="99"/>
      <c r="D20" s="99"/>
      <c r="E20" s="16"/>
      <c r="F20" s="99"/>
      <c r="G20" s="99"/>
      <c r="H20" s="16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9"/>
      <c r="Y20" s="16"/>
      <c r="Z20" s="16"/>
      <c r="AA20" s="99"/>
      <c r="AB20" s="99"/>
      <c r="AD20" s="99"/>
      <c r="AE20" s="99"/>
      <c r="AF20" s="99"/>
      <c r="AG20" s="99"/>
      <c r="AH20" s="99"/>
      <c r="AI20" s="99"/>
      <c r="AK20" s="99"/>
      <c r="AL20" s="99"/>
    </row>
    <row r="21" spans="1:38" x14ac:dyDescent="0.2">
      <c r="E21" s="16"/>
      <c r="H21" s="16"/>
      <c r="I21" s="99"/>
      <c r="J21" s="16"/>
      <c r="K21" s="16"/>
      <c r="L21" s="99"/>
      <c r="M21" s="99"/>
      <c r="P21" s="99"/>
      <c r="Q21" s="99"/>
      <c r="T21" s="99"/>
      <c r="U21" s="99"/>
      <c r="Y21" s="16"/>
      <c r="Z21" s="16"/>
      <c r="AA21" s="99"/>
      <c r="AB21" s="99"/>
      <c r="AL21" s="99"/>
    </row>
    <row r="22" spans="1:38" x14ac:dyDescent="0.2">
      <c r="E22"/>
      <c r="L22"/>
      <c r="Z22"/>
      <c r="AL22" s="98"/>
    </row>
    <row r="23" spans="1:38" x14ac:dyDescent="0.2">
      <c r="L23" s="98"/>
      <c r="T23" s="98"/>
      <c r="U23" s="98"/>
      <c r="AL23" s="98"/>
    </row>
    <row r="24" spans="1:38" x14ac:dyDescent="0.2">
      <c r="L24" s="98"/>
      <c r="T24" s="98"/>
      <c r="U24" s="98"/>
    </row>
    <row r="25" spans="1:38" x14ac:dyDescent="0.2">
      <c r="L25" s="98"/>
      <c r="T25" s="98"/>
      <c r="U25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>
      <formula1>israel_abroad</formula1>
    </dataValidation>
    <dataValidation type="list" allowBlank="1" showInputMessage="1" showErrorMessage="1" sqref="Q10:Q21">
      <formula1>What_is_rated</formula1>
    </dataValidation>
    <dataValidation type="list" allowBlank="1" showInputMessage="1" showErrorMessage="1" sqref="P10:P21">
      <formula1>Rating_Agency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AA10:AA21">
      <formula1>Valuation</formula1>
    </dataValidation>
    <dataValidation type="list" allowBlank="1" showInputMessage="1" showErrorMessage="1" sqref="AB10:AB21">
      <formula1>Dependence_Independence</formula1>
    </dataValidation>
    <dataValidation type="list" allowBlank="1" showInputMessage="1" showErrorMessage="1" sqref="U10:U21">
      <formula1>Underlying_Interest_Rates</formula1>
    </dataValidation>
    <dataValidation type="list" allowBlank="1" showInputMessage="1" showErrorMessage="1" sqref="T10:T21">
      <formula1>Linked_Type</formula1>
    </dataValidation>
    <dataValidation type="list" allowBlank="1" showInputMessage="1" showErrorMessage="1" sqref="Z10:Z21">
      <formula1>Yes_No_Bad_Debt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Y10:Y21">
      <formula1>Subordination_Risk</formula1>
    </dataValidation>
    <dataValidation type="list" allowBlank="1" showInputMessage="1" showErrorMessage="1" sqref="AL10:AL21">
      <formula1>In_the_books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3.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3965</v>
      </c>
    </row>
    <row r="2" spans="1:3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71</v>
      </c>
      <c r="Q2" s="140" t="s">
        <v>58</v>
      </c>
      <c r="R2" s="140" t="s">
        <v>84</v>
      </c>
      <c r="S2" s="140" t="s">
        <v>59</v>
      </c>
      <c r="T2" s="140" t="s">
        <v>72</v>
      </c>
      <c r="U2" s="140" t="s">
        <v>73</v>
      </c>
      <c r="V2" s="140" t="s">
        <v>74</v>
      </c>
      <c r="W2" s="140" t="s">
        <v>62</v>
      </c>
      <c r="X2" s="140" t="s">
        <v>86</v>
      </c>
      <c r="Y2" s="140" t="s">
        <v>87</v>
      </c>
      <c r="Z2" s="140" t="s">
        <v>103</v>
      </c>
      <c r="AA2" s="140" t="s">
        <v>104</v>
      </c>
      <c r="AB2" s="140" t="s">
        <v>106</v>
      </c>
      <c r="AC2" s="140" t="s">
        <v>107</v>
      </c>
      <c r="AD2" s="140" t="s">
        <v>76</v>
      </c>
      <c r="AE2" s="140" t="s">
        <v>61</v>
      </c>
      <c r="AF2" s="140" t="s">
        <v>77</v>
      </c>
      <c r="AG2" s="140" t="s">
        <v>63</v>
      </c>
      <c r="AH2" s="140" t="s">
        <v>78</v>
      </c>
      <c r="AI2" s="140" t="s">
        <v>88</v>
      </c>
      <c r="AJ2" s="140" t="s">
        <v>17</v>
      </c>
      <c r="AK2" s="140" t="s">
        <v>64</v>
      </c>
      <c r="AL2" s="141" t="s">
        <v>65</v>
      </c>
      <c r="AM2" s="177" t="s">
        <v>3947</v>
      </c>
    </row>
    <row r="3" spans="1:39" ht="15" x14ac:dyDescent="0.2">
      <c r="A3" s="142" t="s">
        <v>1205</v>
      </c>
      <c r="B3" s="143" t="s">
        <v>1215</v>
      </c>
      <c r="C3" s="143" t="s">
        <v>3094</v>
      </c>
      <c r="D3" s="143" t="s">
        <v>3095</v>
      </c>
      <c r="E3" s="143" t="s">
        <v>309</v>
      </c>
      <c r="F3" s="143" t="s">
        <v>3096</v>
      </c>
      <c r="G3" s="143" t="s">
        <v>3097</v>
      </c>
      <c r="H3" s="143" t="s">
        <v>321</v>
      </c>
      <c r="I3" s="143" t="s">
        <v>951</v>
      </c>
      <c r="J3" s="143" t="s">
        <v>204</v>
      </c>
      <c r="K3" s="143" t="s">
        <v>204</v>
      </c>
      <c r="L3" s="143" t="s">
        <v>314</v>
      </c>
      <c r="M3" s="143" t="s">
        <v>465</v>
      </c>
      <c r="N3" s="143" t="s">
        <v>339</v>
      </c>
      <c r="O3" s="143" t="s">
        <v>3098</v>
      </c>
      <c r="P3" s="143" t="s">
        <v>3099</v>
      </c>
      <c r="Q3" s="143" t="s">
        <v>415</v>
      </c>
      <c r="R3" s="143" t="s">
        <v>407</v>
      </c>
      <c r="S3" s="143" t="s">
        <v>1210</v>
      </c>
      <c r="T3" s="144">
        <v>0.01</v>
      </c>
      <c r="U3" s="143" t="s">
        <v>3100</v>
      </c>
      <c r="V3" s="146">
        <v>1E-4</v>
      </c>
      <c r="W3" s="146">
        <v>0.03</v>
      </c>
      <c r="X3" s="143" t="s">
        <v>412</v>
      </c>
      <c r="Y3" s="145" t="s">
        <v>3930</v>
      </c>
      <c r="Z3" s="143" t="s">
        <v>884</v>
      </c>
      <c r="AA3" s="143" t="s">
        <v>888</v>
      </c>
      <c r="AB3" s="160">
        <v>45197</v>
      </c>
      <c r="AC3" s="161">
        <v>45197</v>
      </c>
      <c r="AD3" s="144">
        <v>248.9</v>
      </c>
      <c r="AE3" s="145" t="s">
        <v>3930</v>
      </c>
      <c r="AF3" s="143" t="s">
        <v>3101</v>
      </c>
      <c r="AG3" s="144">
        <v>0</v>
      </c>
      <c r="AH3" s="145" t="s">
        <v>3930</v>
      </c>
      <c r="AI3" s="145" t="s">
        <v>3930</v>
      </c>
      <c r="AJ3" s="145" t="s">
        <v>3930</v>
      </c>
      <c r="AK3" s="146">
        <v>1</v>
      </c>
      <c r="AL3" s="147">
        <v>7.0998541993057669E-9</v>
      </c>
      <c r="AM3" s="177"/>
    </row>
    <row r="4" spans="1:39" ht="15" x14ac:dyDescent="0.2">
      <c r="A4" s="142" t="s">
        <v>1205</v>
      </c>
      <c r="B4" s="143" t="s">
        <v>1205</v>
      </c>
      <c r="C4" s="143" t="s">
        <v>3102</v>
      </c>
      <c r="D4" s="143" t="s">
        <v>3103</v>
      </c>
      <c r="E4" s="143" t="s">
        <v>309</v>
      </c>
      <c r="F4" s="143" t="s">
        <v>3104</v>
      </c>
      <c r="G4" s="143" t="s">
        <v>3105</v>
      </c>
      <c r="H4" s="143" t="s">
        <v>321</v>
      </c>
      <c r="I4" s="143" t="s">
        <v>951</v>
      </c>
      <c r="J4" s="143" t="s">
        <v>204</v>
      </c>
      <c r="K4" s="143" t="s">
        <v>204</v>
      </c>
      <c r="L4" s="143" t="s">
        <v>314</v>
      </c>
      <c r="M4" s="143" t="s">
        <v>464</v>
      </c>
      <c r="N4" s="143" t="s">
        <v>339</v>
      </c>
      <c r="O4" s="143" t="s">
        <v>3106</v>
      </c>
      <c r="P4" s="143" t="s">
        <v>1368</v>
      </c>
      <c r="Q4" s="143" t="s">
        <v>415</v>
      </c>
      <c r="R4" s="143" t="s">
        <v>407</v>
      </c>
      <c r="S4" s="143" t="s">
        <v>1210</v>
      </c>
      <c r="T4" s="144">
        <v>1.67</v>
      </c>
      <c r="U4" s="143" t="s">
        <v>1517</v>
      </c>
      <c r="V4" s="146">
        <v>7.3499999999999996E-2</v>
      </c>
      <c r="W4" s="146">
        <v>3.1E-2</v>
      </c>
      <c r="X4" s="143" t="s">
        <v>412</v>
      </c>
      <c r="Y4" s="145" t="s">
        <v>3930</v>
      </c>
      <c r="Z4" s="143" t="s">
        <v>886</v>
      </c>
      <c r="AA4" s="143" t="s">
        <v>889</v>
      </c>
      <c r="AB4" s="160">
        <v>45565</v>
      </c>
      <c r="AC4" s="161">
        <v>45565</v>
      </c>
      <c r="AD4" s="144">
        <v>420760.13</v>
      </c>
      <c r="AE4" s="145" t="s">
        <v>3930</v>
      </c>
      <c r="AF4" s="143" t="s">
        <v>3107</v>
      </c>
      <c r="AG4" s="144">
        <v>406.286</v>
      </c>
      <c r="AH4" s="145" t="s">
        <v>3930</v>
      </c>
      <c r="AI4" s="145" t="s">
        <v>3930</v>
      </c>
      <c r="AJ4" s="145" t="s">
        <v>3930</v>
      </c>
      <c r="AK4" s="146">
        <v>0.43221015671309476</v>
      </c>
      <c r="AL4" s="147">
        <v>5.8939420981570932E-4</v>
      </c>
      <c r="AM4" s="177"/>
    </row>
    <row r="5" spans="1:39" ht="15" x14ac:dyDescent="0.2">
      <c r="A5" s="142" t="s">
        <v>1205</v>
      </c>
      <c r="B5" s="143" t="s">
        <v>1205</v>
      </c>
      <c r="C5" s="143" t="s">
        <v>3094</v>
      </c>
      <c r="D5" s="143" t="s">
        <v>3095</v>
      </c>
      <c r="E5" s="143" t="s">
        <v>309</v>
      </c>
      <c r="F5" s="143" t="s">
        <v>3096</v>
      </c>
      <c r="G5" s="143" t="s">
        <v>3097</v>
      </c>
      <c r="H5" s="143" t="s">
        <v>321</v>
      </c>
      <c r="I5" s="143" t="s">
        <v>951</v>
      </c>
      <c r="J5" s="143" t="s">
        <v>204</v>
      </c>
      <c r="K5" s="143" t="s">
        <v>204</v>
      </c>
      <c r="L5" s="143" t="s">
        <v>314</v>
      </c>
      <c r="M5" s="143" t="s">
        <v>465</v>
      </c>
      <c r="N5" s="143" t="s">
        <v>339</v>
      </c>
      <c r="O5" s="143" t="s">
        <v>3098</v>
      </c>
      <c r="P5" s="143" t="s">
        <v>3099</v>
      </c>
      <c r="Q5" s="143" t="s">
        <v>415</v>
      </c>
      <c r="R5" s="143" t="s">
        <v>407</v>
      </c>
      <c r="S5" s="143" t="s">
        <v>1210</v>
      </c>
      <c r="T5" s="144">
        <v>0.01</v>
      </c>
      <c r="U5" s="143" t="s">
        <v>3100</v>
      </c>
      <c r="V5" s="146">
        <v>1E-4</v>
      </c>
      <c r="W5" s="146">
        <v>0.03</v>
      </c>
      <c r="X5" s="143" t="s">
        <v>412</v>
      </c>
      <c r="Y5" s="145" t="s">
        <v>3930</v>
      </c>
      <c r="Z5" s="143" t="s">
        <v>884</v>
      </c>
      <c r="AA5" s="143" t="s">
        <v>888</v>
      </c>
      <c r="AB5" s="160">
        <v>45197</v>
      </c>
      <c r="AC5" s="160">
        <v>45197</v>
      </c>
      <c r="AD5" s="144">
        <v>58392.6</v>
      </c>
      <c r="AE5" s="145" t="s">
        <v>3930</v>
      </c>
      <c r="AF5" s="143" t="s">
        <v>3101</v>
      </c>
      <c r="AG5" s="144">
        <v>5.7999999999999996E-3</v>
      </c>
      <c r="AH5" s="145" t="s">
        <v>3930</v>
      </c>
      <c r="AI5" s="145" t="s">
        <v>3930</v>
      </c>
      <c r="AJ5" s="145" t="s">
        <v>3930</v>
      </c>
      <c r="AK5" s="146">
        <v>6.211849766996142E-6</v>
      </c>
      <c r="AL5" s="147">
        <v>8.4709445811171614E-9</v>
      </c>
      <c r="AM5" s="177"/>
    </row>
    <row r="6" spans="1:39" ht="15" x14ac:dyDescent="0.2">
      <c r="A6" s="142" t="s">
        <v>1205</v>
      </c>
      <c r="B6" s="143" t="s">
        <v>1205</v>
      </c>
      <c r="C6" s="143" t="s">
        <v>1923</v>
      </c>
      <c r="D6" s="143" t="s">
        <v>1924</v>
      </c>
      <c r="E6" s="143" t="s">
        <v>309</v>
      </c>
      <c r="F6" s="143" t="s">
        <v>3108</v>
      </c>
      <c r="G6" s="143" t="s">
        <v>3109</v>
      </c>
      <c r="H6" s="143" t="s">
        <v>321</v>
      </c>
      <c r="I6" s="143" t="s">
        <v>754</v>
      </c>
      <c r="J6" s="143" t="s">
        <v>204</v>
      </c>
      <c r="K6" s="143" t="s">
        <v>204</v>
      </c>
      <c r="L6" s="143" t="s">
        <v>314</v>
      </c>
      <c r="M6" s="143" t="s">
        <v>477</v>
      </c>
      <c r="N6" s="143" t="s">
        <v>339</v>
      </c>
      <c r="O6" s="143" t="s">
        <v>3110</v>
      </c>
      <c r="P6" s="143" t="s">
        <v>1303</v>
      </c>
      <c r="Q6" s="143" t="s">
        <v>413</v>
      </c>
      <c r="R6" s="143" t="s">
        <v>407</v>
      </c>
      <c r="S6" s="143" t="s">
        <v>1210</v>
      </c>
      <c r="T6" s="144">
        <v>9.51</v>
      </c>
      <c r="U6" s="143" t="s">
        <v>3111</v>
      </c>
      <c r="V6" s="146">
        <v>3.3700000000000001E-2</v>
      </c>
      <c r="W6" s="146">
        <v>4.1000000000000002E-2</v>
      </c>
      <c r="X6" s="143" t="s">
        <v>412</v>
      </c>
      <c r="Y6" s="145" t="s">
        <v>3930</v>
      </c>
      <c r="Z6" s="143" t="s">
        <v>886</v>
      </c>
      <c r="AA6" s="143" t="s">
        <v>889</v>
      </c>
      <c r="AB6" s="160">
        <v>45565</v>
      </c>
      <c r="AC6" s="161">
        <v>45565</v>
      </c>
      <c r="AD6" s="144">
        <v>414545.78</v>
      </c>
      <c r="AE6" s="145" t="s">
        <v>3930</v>
      </c>
      <c r="AF6" s="143" t="s">
        <v>3112</v>
      </c>
      <c r="AG6" s="144">
        <v>533.72769999999991</v>
      </c>
      <c r="AH6" s="145" t="s">
        <v>3930</v>
      </c>
      <c r="AI6" s="145" t="s">
        <v>3930</v>
      </c>
      <c r="AJ6" s="145" t="s">
        <v>3930</v>
      </c>
      <c r="AK6" s="146">
        <v>0.56778362971277629</v>
      </c>
      <c r="AL6" s="147">
        <v>7.7427237324966403E-4</v>
      </c>
      <c r="AM6" s="177"/>
    </row>
    <row r="7" spans="1:39" ht="15" x14ac:dyDescent="0.2">
      <c r="A7" s="142" t="s">
        <v>1205</v>
      </c>
      <c r="B7" s="143" t="s">
        <v>1205</v>
      </c>
      <c r="C7" s="143" t="s">
        <v>3113</v>
      </c>
      <c r="D7" s="143" t="s">
        <v>3114</v>
      </c>
      <c r="E7" s="143" t="s">
        <v>309</v>
      </c>
      <c r="F7" s="143" t="s">
        <v>3115</v>
      </c>
      <c r="G7" s="143" t="s">
        <v>3116</v>
      </c>
      <c r="H7" s="143" t="s">
        <v>321</v>
      </c>
      <c r="I7" s="143" t="s">
        <v>754</v>
      </c>
      <c r="J7" s="143" t="s">
        <v>204</v>
      </c>
      <c r="K7" s="143" t="s">
        <v>204</v>
      </c>
      <c r="L7" s="143" t="s">
        <v>314</v>
      </c>
      <c r="M7" s="143" t="s">
        <v>451</v>
      </c>
      <c r="N7" s="143" t="s">
        <v>339</v>
      </c>
      <c r="O7" s="143" t="s">
        <v>3117</v>
      </c>
      <c r="P7" s="145" t="s">
        <v>3930</v>
      </c>
      <c r="Q7" s="143" t="s">
        <v>410</v>
      </c>
      <c r="R7" s="143" t="s">
        <v>410</v>
      </c>
      <c r="S7" s="143" t="s">
        <v>1210</v>
      </c>
      <c r="T7" s="144">
        <v>0.84</v>
      </c>
      <c r="U7" s="143" t="s">
        <v>3118</v>
      </c>
      <c r="V7" s="146">
        <v>1.3100000000000001E-2</v>
      </c>
      <c r="W7" s="146">
        <v>5.1473999999999999E-2</v>
      </c>
      <c r="X7" s="143" t="s">
        <v>412</v>
      </c>
      <c r="Y7" s="145" t="s">
        <v>3930</v>
      </c>
      <c r="Z7" s="143" t="s">
        <v>884</v>
      </c>
      <c r="AA7" s="143" t="s">
        <v>888</v>
      </c>
      <c r="AB7" s="160">
        <v>45382</v>
      </c>
      <c r="AC7" s="161">
        <v>45382</v>
      </c>
      <c r="AD7" s="144">
        <v>112564.89</v>
      </c>
      <c r="AE7" s="145" t="s">
        <v>3930</v>
      </c>
      <c r="AF7" s="145" t="s">
        <v>3930</v>
      </c>
      <c r="AG7" s="144">
        <v>0</v>
      </c>
      <c r="AH7" s="145" t="s">
        <v>3930</v>
      </c>
      <c r="AI7" s="145" t="s">
        <v>3930</v>
      </c>
      <c r="AJ7" s="145" t="s">
        <v>3930</v>
      </c>
      <c r="AK7" s="146">
        <v>1.1974739705347019E-9</v>
      </c>
      <c r="AL7" s="147">
        <v>1.6329653842602478E-12</v>
      </c>
      <c r="AM7" s="177"/>
    </row>
    <row r="8" spans="1:39" ht="15" x14ac:dyDescent="0.2">
      <c r="A8" s="142" t="s">
        <v>1205</v>
      </c>
      <c r="B8" s="143" t="s">
        <v>1205</v>
      </c>
      <c r="C8" s="143" t="s">
        <v>3119</v>
      </c>
      <c r="D8" s="143" t="s">
        <v>3120</v>
      </c>
      <c r="E8" s="143" t="s">
        <v>309</v>
      </c>
      <c r="F8" s="143" t="s">
        <v>3121</v>
      </c>
      <c r="G8" s="143" t="s">
        <v>3122</v>
      </c>
      <c r="H8" s="143" t="s">
        <v>321</v>
      </c>
      <c r="I8" s="143" t="s">
        <v>754</v>
      </c>
      <c r="J8" s="143" t="s">
        <v>204</v>
      </c>
      <c r="K8" s="143" t="s">
        <v>204</v>
      </c>
      <c r="L8" s="143" t="s">
        <v>314</v>
      </c>
      <c r="M8" s="145" t="s">
        <v>3930</v>
      </c>
      <c r="N8" s="143" t="s">
        <v>339</v>
      </c>
      <c r="O8" s="143" t="s">
        <v>3123</v>
      </c>
      <c r="P8" s="145" t="s">
        <v>3930</v>
      </c>
      <c r="Q8" s="143" t="s">
        <v>410</v>
      </c>
      <c r="R8" s="143" t="s">
        <v>410</v>
      </c>
      <c r="S8" s="143" t="s">
        <v>1210</v>
      </c>
      <c r="T8" s="144">
        <v>0.01</v>
      </c>
      <c r="U8" s="143" t="s">
        <v>3124</v>
      </c>
      <c r="V8" s="146">
        <v>1E-4</v>
      </c>
      <c r="W8" s="146">
        <v>0.03</v>
      </c>
      <c r="X8" s="143" t="s">
        <v>412</v>
      </c>
      <c r="Y8" s="145" t="s">
        <v>3930</v>
      </c>
      <c r="Z8" s="143" t="s">
        <v>884</v>
      </c>
      <c r="AA8" s="143" t="s">
        <v>888</v>
      </c>
      <c r="AB8" s="160">
        <v>35744</v>
      </c>
      <c r="AC8" s="161">
        <v>35744</v>
      </c>
      <c r="AD8" s="144">
        <v>6709.67</v>
      </c>
      <c r="AE8" s="145" t="s">
        <v>3930</v>
      </c>
      <c r="AF8" s="145" t="s">
        <v>3930</v>
      </c>
      <c r="AG8" s="144">
        <v>0</v>
      </c>
      <c r="AH8" s="145" t="s">
        <v>3930</v>
      </c>
      <c r="AI8" s="145" t="s">
        <v>3930</v>
      </c>
      <c r="AJ8" s="145" t="s">
        <v>3930</v>
      </c>
      <c r="AK8" s="145" t="s">
        <v>3930</v>
      </c>
      <c r="AL8" s="156" t="s">
        <v>3930</v>
      </c>
      <c r="AM8" s="177"/>
    </row>
    <row r="9" spans="1:39" ht="15" x14ac:dyDescent="0.2">
      <c r="A9" s="142" t="s">
        <v>1205</v>
      </c>
      <c r="B9" s="143" t="s">
        <v>1205</v>
      </c>
      <c r="C9" s="143" t="s">
        <v>3119</v>
      </c>
      <c r="D9" s="143" t="s">
        <v>3120</v>
      </c>
      <c r="E9" s="143" t="s">
        <v>309</v>
      </c>
      <c r="F9" s="143" t="s">
        <v>3125</v>
      </c>
      <c r="G9" s="143" t="s">
        <v>3126</v>
      </c>
      <c r="H9" s="143" t="s">
        <v>312</v>
      </c>
      <c r="I9" s="143" t="s">
        <v>754</v>
      </c>
      <c r="J9" s="143" t="s">
        <v>204</v>
      </c>
      <c r="K9" s="143" t="s">
        <v>204</v>
      </c>
      <c r="L9" s="143" t="s">
        <v>314</v>
      </c>
      <c r="M9" s="145" t="s">
        <v>3930</v>
      </c>
      <c r="N9" s="143" t="s">
        <v>339</v>
      </c>
      <c r="O9" s="143" t="s">
        <v>3123</v>
      </c>
      <c r="P9" s="145" t="s">
        <v>3930</v>
      </c>
      <c r="Q9" s="143" t="s">
        <v>410</v>
      </c>
      <c r="R9" s="143" t="s">
        <v>410</v>
      </c>
      <c r="S9" s="143" t="s">
        <v>1210</v>
      </c>
      <c r="T9" s="144">
        <v>0.01</v>
      </c>
      <c r="U9" s="143" t="s">
        <v>3124</v>
      </c>
      <c r="V9" s="146">
        <v>1E-4</v>
      </c>
      <c r="W9" s="146">
        <v>0.03</v>
      </c>
      <c r="X9" s="143" t="s">
        <v>412</v>
      </c>
      <c r="Y9" s="145" t="s">
        <v>3930</v>
      </c>
      <c r="Z9" s="143" t="s">
        <v>884</v>
      </c>
      <c r="AA9" s="143" t="s">
        <v>888</v>
      </c>
      <c r="AB9" s="160">
        <v>36677</v>
      </c>
      <c r="AC9" s="161">
        <v>36677</v>
      </c>
      <c r="AD9" s="144">
        <v>6623.67</v>
      </c>
      <c r="AE9" s="145" t="s">
        <v>3930</v>
      </c>
      <c r="AF9" s="145" t="s">
        <v>3930</v>
      </c>
      <c r="AG9" s="144">
        <v>0</v>
      </c>
      <c r="AH9" s="145" t="s">
        <v>3930</v>
      </c>
      <c r="AI9" s="145" t="s">
        <v>3930</v>
      </c>
      <c r="AJ9" s="145" t="s">
        <v>3930</v>
      </c>
      <c r="AK9" s="145" t="s">
        <v>3930</v>
      </c>
      <c r="AL9" s="156" t="s">
        <v>3930</v>
      </c>
      <c r="AM9" s="177"/>
    </row>
    <row r="10" spans="1:39" ht="15" x14ac:dyDescent="0.2">
      <c r="A10" s="142" t="s">
        <v>1205</v>
      </c>
      <c r="B10" s="143" t="s">
        <v>1205</v>
      </c>
      <c r="C10" s="143" t="s">
        <v>3127</v>
      </c>
      <c r="D10" s="143" t="s">
        <v>3128</v>
      </c>
      <c r="E10" s="143" t="s">
        <v>313</v>
      </c>
      <c r="F10" s="143" t="s">
        <v>3129</v>
      </c>
      <c r="G10" s="143" t="s">
        <v>3130</v>
      </c>
      <c r="H10" s="143" t="s">
        <v>321</v>
      </c>
      <c r="I10" s="143" t="s">
        <v>755</v>
      </c>
      <c r="J10" s="143" t="s">
        <v>205</v>
      </c>
      <c r="K10" s="143" t="s">
        <v>224</v>
      </c>
      <c r="L10" s="143" t="s">
        <v>314</v>
      </c>
      <c r="M10" s="143" t="s">
        <v>539</v>
      </c>
      <c r="N10" s="143" t="s">
        <v>339</v>
      </c>
      <c r="O10" s="143" t="s">
        <v>3131</v>
      </c>
      <c r="P10" s="145" t="s">
        <v>3930</v>
      </c>
      <c r="Q10" s="143" t="s">
        <v>410</v>
      </c>
      <c r="R10" s="143" t="s">
        <v>410</v>
      </c>
      <c r="S10" s="143" t="s">
        <v>1211</v>
      </c>
      <c r="T10" s="144">
        <v>1.1349</v>
      </c>
      <c r="U10" s="143" t="s">
        <v>3132</v>
      </c>
      <c r="V10" s="146">
        <v>1E-4</v>
      </c>
      <c r="W10" s="143" t="s">
        <v>1270</v>
      </c>
      <c r="X10" s="143" t="s">
        <v>412</v>
      </c>
      <c r="Y10" s="145" t="s">
        <v>3930</v>
      </c>
      <c r="Z10" s="143" t="s">
        <v>884</v>
      </c>
      <c r="AA10" s="143" t="s">
        <v>888</v>
      </c>
      <c r="AB10" s="160">
        <v>41154</v>
      </c>
      <c r="AC10" s="161">
        <v>41154</v>
      </c>
      <c r="AD10" s="144">
        <v>133500</v>
      </c>
      <c r="AE10" s="143" t="s">
        <v>1212</v>
      </c>
      <c r="AF10" s="145" t="s">
        <v>3930</v>
      </c>
      <c r="AG10" s="144">
        <v>0</v>
      </c>
      <c r="AH10" s="145" t="s">
        <v>3930</v>
      </c>
      <c r="AI10" s="145" t="s">
        <v>3930</v>
      </c>
      <c r="AJ10" s="145" t="s">
        <v>3930</v>
      </c>
      <c r="AK10" s="146">
        <v>5.2688799811049419E-10</v>
      </c>
      <c r="AL10" s="147">
        <v>7.1850402051948586E-13</v>
      </c>
      <c r="AM10" s="177"/>
    </row>
    <row r="11" spans="1:39" ht="15" x14ac:dyDescent="0.2">
      <c r="A11" s="142" t="s">
        <v>1220</v>
      </c>
      <c r="B11" s="143" t="s">
        <v>1222</v>
      </c>
      <c r="C11" s="143" t="s">
        <v>3094</v>
      </c>
      <c r="D11" s="143" t="s">
        <v>3095</v>
      </c>
      <c r="E11" s="143" t="s">
        <v>309</v>
      </c>
      <c r="F11" s="143" t="s">
        <v>3096</v>
      </c>
      <c r="G11" s="143" t="s">
        <v>3097</v>
      </c>
      <c r="H11" s="143" t="s">
        <v>321</v>
      </c>
      <c r="I11" s="143" t="s">
        <v>951</v>
      </c>
      <c r="J11" s="143" t="s">
        <v>204</v>
      </c>
      <c r="K11" s="143" t="s">
        <v>204</v>
      </c>
      <c r="L11" s="143" t="s">
        <v>314</v>
      </c>
      <c r="M11" s="143" t="s">
        <v>465</v>
      </c>
      <c r="N11" s="143" t="s">
        <v>339</v>
      </c>
      <c r="O11" s="143" t="s">
        <v>3098</v>
      </c>
      <c r="P11" s="143" t="s">
        <v>3099</v>
      </c>
      <c r="Q11" s="143" t="s">
        <v>415</v>
      </c>
      <c r="R11" s="143" t="s">
        <v>407</v>
      </c>
      <c r="S11" s="143" t="s">
        <v>1210</v>
      </c>
      <c r="T11" s="144">
        <v>0.01</v>
      </c>
      <c r="U11" s="143" t="s">
        <v>3100</v>
      </c>
      <c r="V11" s="146">
        <v>1E-4</v>
      </c>
      <c r="W11" s="146">
        <v>0.03</v>
      </c>
      <c r="X11" s="143" t="s">
        <v>412</v>
      </c>
      <c r="Y11" s="145" t="s">
        <v>3930</v>
      </c>
      <c r="Z11" s="143" t="s">
        <v>884</v>
      </c>
      <c r="AA11" s="143" t="s">
        <v>888</v>
      </c>
      <c r="AB11" s="160">
        <v>45197</v>
      </c>
      <c r="AC11" s="161">
        <v>45197</v>
      </c>
      <c r="AD11" s="144">
        <v>859.6</v>
      </c>
      <c r="AE11" s="145" t="s">
        <v>3930</v>
      </c>
      <c r="AF11" s="143" t="s">
        <v>3101</v>
      </c>
      <c r="AG11" s="144">
        <v>1E-4</v>
      </c>
      <c r="AH11" s="145" t="s">
        <v>3930</v>
      </c>
      <c r="AI11" s="145" t="s">
        <v>3930</v>
      </c>
      <c r="AJ11" s="145" t="s">
        <v>3930</v>
      </c>
      <c r="AK11" s="146">
        <v>1</v>
      </c>
      <c r="AL11" s="147">
        <v>1.0810814659212969E-8</v>
      </c>
      <c r="AM11" s="177"/>
    </row>
    <row r="12" spans="1:39" ht="15" x14ac:dyDescent="0.2">
      <c r="A12" s="142" t="s">
        <v>1220</v>
      </c>
      <c r="B12" s="143" t="s">
        <v>1220</v>
      </c>
      <c r="C12" s="143" t="s">
        <v>3102</v>
      </c>
      <c r="D12" s="143" t="s">
        <v>3103</v>
      </c>
      <c r="E12" s="143" t="s">
        <v>309</v>
      </c>
      <c r="F12" s="143" t="s">
        <v>3104</v>
      </c>
      <c r="G12" s="143" t="s">
        <v>3105</v>
      </c>
      <c r="H12" s="143" t="s">
        <v>321</v>
      </c>
      <c r="I12" s="143" t="s">
        <v>951</v>
      </c>
      <c r="J12" s="143" t="s">
        <v>204</v>
      </c>
      <c r="K12" s="143" t="s">
        <v>204</v>
      </c>
      <c r="L12" s="143" t="s">
        <v>314</v>
      </c>
      <c r="M12" s="143" t="s">
        <v>464</v>
      </c>
      <c r="N12" s="143" t="s">
        <v>339</v>
      </c>
      <c r="O12" s="143" t="s">
        <v>3106</v>
      </c>
      <c r="P12" s="143" t="s">
        <v>1368</v>
      </c>
      <c r="Q12" s="143" t="s">
        <v>415</v>
      </c>
      <c r="R12" s="143" t="s">
        <v>407</v>
      </c>
      <c r="S12" s="143" t="s">
        <v>1210</v>
      </c>
      <c r="T12" s="144">
        <v>1.67</v>
      </c>
      <c r="U12" s="143" t="s">
        <v>1517</v>
      </c>
      <c r="V12" s="146">
        <v>7.3499999999999996E-2</v>
      </c>
      <c r="W12" s="146">
        <v>3.1E-2</v>
      </c>
      <c r="X12" s="143" t="s">
        <v>412</v>
      </c>
      <c r="Y12" s="145" t="s">
        <v>3930</v>
      </c>
      <c r="Z12" s="143" t="s">
        <v>886</v>
      </c>
      <c r="AA12" s="143" t="s">
        <v>889</v>
      </c>
      <c r="AB12" s="160">
        <v>45565</v>
      </c>
      <c r="AC12" s="161">
        <v>45565</v>
      </c>
      <c r="AD12" s="144">
        <v>4195506.68</v>
      </c>
      <c r="AE12" s="145" t="s">
        <v>3930</v>
      </c>
      <c r="AF12" s="143" t="s">
        <v>3107</v>
      </c>
      <c r="AG12" s="144">
        <v>4051.1812999999997</v>
      </c>
      <c r="AH12" s="145" t="s">
        <v>3930</v>
      </c>
      <c r="AI12" s="145" t="s">
        <v>3930</v>
      </c>
      <c r="AJ12" s="145" t="s">
        <v>3930</v>
      </c>
      <c r="AK12" s="146">
        <v>0.41838997779712983</v>
      </c>
      <c r="AL12" s="147">
        <v>5.1710260951478269E-4</v>
      </c>
      <c r="AM12" s="177"/>
    </row>
    <row r="13" spans="1:39" ht="15" x14ac:dyDescent="0.2">
      <c r="A13" s="142" t="s">
        <v>1220</v>
      </c>
      <c r="B13" s="143" t="s">
        <v>1220</v>
      </c>
      <c r="C13" s="143" t="s">
        <v>3094</v>
      </c>
      <c r="D13" s="143" t="s">
        <v>3095</v>
      </c>
      <c r="E13" s="143" t="s">
        <v>309</v>
      </c>
      <c r="F13" s="143" t="s">
        <v>3096</v>
      </c>
      <c r="G13" s="143" t="s">
        <v>3097</v>
      </c>
      <c r="H13" s="143" t="s">
        <v>321</v>
      </c>
      <c r="I13" s="143" t="s">
        <v>951</v>
      </c>
      <c r="J13" s="143" t="s">
        <v>204</v>
      </c>
      <c r="K13" s="143" t="s">
        <v>204</v>
      </c>
      <c r="L13" s="143" t="s">
        <v>314</v>
      </c>
      <c r="M13" s="143" t="s">
        <v>465</v>
      </c>
      <c r="N13" s="143" t="s">
        <v>339</v>
      </c>
      <c r="O13" s="143" t="s">
        <v>3098</v>
      </c>
      <c r="P13" s="143" t="s">
        <v>3099</v>
      </c>
      <c r="Q13" s="143" t="s">
        <v>415</v>
      </c>
      <c r="R13" s="143" t="s">
        <v>407</v>
      </c>
      <c r="S13" s="143" t="s">
        <v>1210</v>
      </c>
      <c r="T13" s="144">
        <v>0.01</v>
      </c>
      <c r="U13" s="143" t="s">
        <v>3100</v>
      </c>
      <c r="V13" s="146">
        <v>1E-4</v>
      </c>
      <c r="W13" s="146">
        <v>0.03</v>
      </c>
      <c r="X13" s="143" t="s">
        <v>412</v>
      </c>
      <c r="Y13" s="145" t="s">
        <v>3930</v>
      </c>
      <c r="Z13" s="143" t="s">
        <v>884</v>
      </c>
      <c r="AA13" s="143" t="s">
        <v>888</v>
      </c>
      <c r="AB13" s="160">
        <v>45197</v>
      </c>
      <c r="AC13" s="161">
        <v>45197</v>
      </c>
      <c r="AD13" s="144">
        <v>752453.4</v>
      </c>
      <c r="AE13" s="145" t="s">
        <v>3930</v>
      </c>
      <c r="AF13" s="143" t="s">
        <v>3101</v>
      </c>
      <c r="AG13" s="144">
        <v>7.5200000000000003E-2</v>
      </c>
      <c r="AH13" s="145" t="s">
        <v>3930</v>
      </c>
      <c r="AI13" s="145" t="s">
        <v>3930</v>
      </c>
      <c r="AJ13" s="145" t="s">
        <v>3930</v>
      </c>
      <c r="AK13" s="146">
        <v>7.771041132835296E-6</v>
      </c>
      <c r="AL13" s="147">
        <v>9.6044978648707274E-9</v>
      </c>
      <c r="AM13" s="177"/>
    </row>
    <row r="14" spans="1:39" ht="15" x14ac:dyDescent="0.2">
      <c r="A14" s="142" t="s">
        <v>1220</v>
      </c>
      <c r="B14" s="143" t="s">
        <v>1220</v>
      </c>
      <c r="C14" s="143" t="s">
        <v>1923</v>
      </c>
      <c r="D14" s="143" t="s">
        <v>1924</v>
      </c>
      <c r="E14" s="143" t="s">
        <v>309</v>
      </c>
      <c r="F14" s="143" t="s">
        <v>3108</v>
      </c>
      <c r="G14" s="143" t="s">
        <v>3109</v>
      </c>
      <c r="H14" s="143" t="s">
        <v>321</v>
      </c>
      <c r="I14" s="143" t="s">
        <v>754</v>
      </c>
      <c r="J14" s="143" t="s">
        <v>204</v>
      </c>
      <c r="K14" s="143" t="s">
        <v>204</v>
      </c>
      <c r="L14" s="143" t="s">
        <v>314</v>
      </c>
      <c r="M14" s="143" t="s">
        <v>477</v>
      </c>
      <c r="N14" s="143" t="s">
        <v>339</v>
      </c>
      <c r="O14" s="143" t="s">
        <v>3110</v>
      </c>
      <c r="P14" s="143" t="s">
        <v>1303</v>
      </c>
      <c r="Q14" s="143" t="s">
        <v>413</v>
      </c>
      <c r="R14" s="143" t="s">
        <v>407</v>
      </c>
      <c r="S14" s="143" t="s">
        <v>1210</v>
      </c>
      <c r="T14" s="144">
        <v>9.51</v>
      </c>
      <c r="U14" s="143" t="s">
        <v>3111</v>
      </c>
      <c r="V14" s="146">
        <v>3.3700000000000001E-2</v>
      </c>
      <c r="W14" s="146">
        <v>4.1000000000000002E-2</v>
      </c>
      <c r="X14" s="143" t="s">
        <v>412</v>
      </c>
      <c r="Y14" s="145" t="s">
        <v>3930</v>
      </c>
      <c r="Z14" s="143" t="s">
        <v>886</v>
      </c>
      <c r="AA14" s="143" t="s">
        <v>889</v>
      </c>
      <c r="AB14" s="160">
        <v>45565</v>
      </c>
      <c r="AC14" s="161">
        <v>45565</v>
      </c>
      <c r="AD14" s="144">
        <v>4084366.79</v>
      </c>
      <c r="AE14" s="145" t="s">
        <v>3930</v>
      </c>
      <c r="AF14" s="143" t="s">
        <v>3112</v>
      </c>
      <c r="AG14" s="144">
        <v>5258.6221999999998</v>
      </c>
      <c r="AH14" s="145" t="s">
        <v>3930</v>
      </c>
      <c r="AI14" s="145" t="s">
        <v>3930</v>
      </c>
      <c r="AJ14" s="145" t="s">
        <v>3930</v>
      </c>
      <c r="AK14" s="146">
        <v>0.54308970822107971</v>
      </c>
      <c r="AL14" s="147">
        <v>6.7122330893383271E-4</v>
      </c>
      <c r="AM14" s="177"/>
    </row>
    <row r="15" spans="1:39" ht="15" x14ac:dyDescent="0.2">
      <c r="A15" s="142" t="s">
        <v>1220</v>
      </c>
      <c r="B15" s="143" t="s">
        <v>1220</v>
      </c>
      <c r="C15" s="143" t="s">
        <v>3113</v>
      </c>
      <c r="D15" s="143" t="s">
        <v>3114</v>
      </c>
      <c r="E15" s="143" t="s">
        <v>309</v>
      </c>
      <c r="F15" s="143" t="s">
        <v>3115</v>
      </c>
      <c r="G15" s="143" t="s">
        <v>3116</v>
      </c>
      <c r="H15" s="143" t="s">
        <v>321</v>
      </c>
      <c r="I15" s="143" t="s">
        <v>754</v>
      </c>
      <c r="J15" s="143" t="s">
        <v>204</v>
      </c>
      <c r="K15" s="143" t="s">
        <v>204</v>
      </c>
      <c r="L15" s="143" t="s">
        <v>314</v>
      </c>
      <c r="M15" s="143" t="s">
        <v>451</v>
      </c>
      <c r="N15" s="143" t="s">
        <v>339</v>
      </c>
      <c r="O15" s="143" t="s">
        <v>3117</v>
      </c>
      <c r="P15" s="145" t="s">
        <v>3930</v>
      </c>
      <c r="Q15" s="143" t="s">
        <v>410</v>
      </c>
      <c r="R15" s="143" t="s">
        <v>410</v>
      </c>
      <c r="S15" s="143" t="s">
        <v>1210</v>
      </c>
      <c r="T15" s="144">
        <v>0.84</v>
      </c>
      <c r="U15" s="143" t="s">
        <v>3118</v>
      </c>
      <c r="V15" s="146">
        <v>1.3100000000000001E-2</v>
      </c>
      <c r="W15" s="146">
        <v>5.1473999999999999E-2</v>
      </c>
      <c r="X15" s="143" t="s">
        <v>412</v>
      </c>
      <c r="Y15" s="145" t="s">
        <v>3930</v>
      </c>
      <c r="Z15" s="143" t="s">
        <v>884</v>
      </c>
      <c r="AA15" s="143" t="s">
        <v>888</v>
      </c>
      <c r="AB15" s="160">
        <v>45382</v>
      </c>
      <c r="AC15" s="161">
        <v>45382</v>
      </c>
      <c r="AD15" s="144">
        <v>1988638.2</v>
      </c>
      <c r="AE15" s="145" t="s">
        <v>3930</v>
      </c>
      <c r="AF15" s="145" t="s">
        <v>3930</v>
      </c>
      <c r="AG15" s="144">
        <v>0</v>
      </c>
      <c r="AH15" s="145" t="s">
        <v>3930</v>
      </c>
      <c r="AI15" s="145" t="s">
        <v>3930</v>
      </c>
      <c r="AJ15" s="145" t="s">
        <v>3930</v>
      </c>
      <c r="AK15" s="146">
        <v>2.0537868857430297E-9</v>
      </c>
      <c r="AL15" s="147">
        <v>2.5383460751058296E-12</v>
      </c>
      <c r="AM15" s="177"/>
    </row>
    <row r="16" spans="1:39" ht="15" x14ac:dyDescent="0.2">
      <c r="A16" s="142" t="s">
        <v>1220</v>
      </c>
      <c r="B16" s="143" t="s">
        <v>1220</v>
      </c>
      <c r="C16" s="143" t="s">
        <v>3133</v>
      </c>
      <c r="D16" s="143" t="s">
        <v>3134</v>
      </c>
      <c r="E16" s="143" t="s">
        <v>309</v>
      </c>
      <c r="F16" s="143" t="s">
        <v>3135</v>
      </c>
      <c r="G16" s="143" t="s">
        <v>3136</v>
      </c>
      <c r="H16" s="143" t="s">
        <v>321</v>
      </c>
      <c r="I16" s="143" t="s">
        <v>755</v>
      </c>
      <c r="J16" s="143" t="s">
        <v>204</v>
      </c>
      <c r="K16" s="143" t="s">
        <v>204</v>
      </c>
      <c r="L16" s="143" t="s">
        <v>314</v>
      </c>
      <c r="M16" s="143" t="s">
        <v>451</v>
      </c>
      <c r="N16" s="143" t="s">
        <v>339</v>
      </c>
      <c r="O16" s="143" t="s">
        <v>3137</v>
      </c>
      <c r="P16" s="143" t="s">
        <v>1478</v>
      </c>
      <c r="Q16" s="143" t="s">
        <v>415</v>
      </c>
      <c r="R16" s="143" t="s">
        <v>407</v>
      </c>
      <c r="S16" s="143" t="s">
        <v>1211</v>
      </c>
      <c r="T16" s="144">
        <v>0.96</v>
      </c>
      <c r="U16" s="143" t="s">
        <v>3138</v>
      </c>
      <c r="V16" s="146">
        <v>1.2765</v>
      </c>
      <c r="W16" s="146">
        <v>7.9699999999999993E-2</v>
      </c>
      <c r="X16" s="143" t="s">
        <v>412</v>
      </c>
      <c r="Y16" s="145" t="s">
        <v>3930</v>
      </c>
      <c r="Z16" s="143" t="s">
        <v>886</v>
      </c>
      <c r="AA16" s="143" t="s">
        <v>889</v>
      </c>
      <c r="AB16" s="160">
        <v>45565</v>
      </c>
      <c r="AC16" s="161">
        <v>45565</v>
      </c>
      <c r="AD16" s="144">
        <v>95058.15</v>
      </c>
      <c r="AE16" s="143" t="s">
        <v>1212</v>
      </c>
      <c r="AF16" s="143" t="s">
        <v>3139</v>
      </c>
      <c r="AG16" s="144">
        <v>372.90870000000001</v>
      </c>
      <c r="AH16" s="145" t="s">
        <v>3930</v>
      </c>
      <c r="AI16" s="145" t="s">
        <v>3930</v>
      </c>
      <c r="AJ16" s="145" t="s">
        <v>3930</v>
      </c>
      <c r="AK16" s="146">
        <v>3.8512540886870693E-2</v>
      </c>
      <c r="AL16" s="147">
        <v>4.7598978102917209E-5</v>
      </c>
      <c r="AM16" s="177"/>
    </row>
    <row r="17" spans="1:39" ht="15" x14ac:dyDescent="0.2">
      <c r="A17" s="154" t="s">
        <v>1205</v>
      </c>
      <c r="B17" s="155" t="s">
        <v>1206</v>
      </c>
      <c r="C17" s="145" t="s">
        <v>3930</v>
      </c>
      <c r="D17" s="145" t="s">
        <v>3930</v>
      </c>
      <c r="E17" s="145" t="s">
        <v>3930</v>
      </c>
      <c r="F17" s="145" t="s">
        <v>3930</v>
      </c>
      <c r="G17" s="145" t="s">
        <v>3930</v>
      </c>
      <c r="H17" s="145" t="s">
        <v>3930</v>
      </c>
      <c r="I17" s="145" t="s">
        <v>3930</v>
      </c>
      <c r="J17" s="145" t="s">
        <v>3930</v>
      </c>
      <c r="K17" s="145" t="s">
        <v>3930</v>
      </c>
      <c r="L17" s="145" t="s">
        <v>3930</v>
      </c>
      <c r="M17" s="145" t="s">
        <v>3930</v>
      </c>
      <c r="N17" s="145" t="s">
        <v>3930</v>
      </c>
      <c r="O17" s="145" t="s">
        <v>3930</v>
      </c>
      <c r="P17" s="145" t="s">
        <v>3930</v>
      </c>
      <c r="Q17" s="145" t="s">
        <v>3930</v>
      </c>
      <c r="R17" s="145" t="s">
        <v>3930</v>
      </c>
      <c r="S17" s="145" t="s">
        <v>3930</v>
      </c>
      <c r="T17" s="145" t="s">
        <v>3930</v>
      </c>
      <c r="U17" s="145" t="s">
        <v>3930</v>
      </c>
      <c r="V17" s="145" t="s">
        <v>3930</v>
      </c>
      <c r="W17" s="145" t="s">
        <v>3930</v>
      </c>
      <c r="X17" s="145" t="s">
        <v>3930</v>
      </c>
      <c r="Y17" s="145" t="s">
        <v>3930</v>
      </c>
      <c r="Z17" s="145" t="s">
        <v>3930</v>
      </c>
      <c r="AA17" s="145" t="s">
        <v>3930</v>
      </c>
      <c r="AB17" s="145" t="s">
        <v>3930</v>
      </c>
      <c r="AC17" s="145" t="s">
        <v>3930</v>
      </c>
      <c r="AD17" s="145" t="s">
        <v>3930</v>
      </c>
      <c r="AE17" s="145" t="s">
        <v>3930</v>
      </c>
      <c r="AF17" s="145" t="s">
        <v>3930</v>
      </c>
      <c r="AG17" s="145" t="s">
        <v>3930</v>
      </c>
      <c r="AH17" s="145" t="s">
        <v>3930</v>
      </c>
      <c r="AI17" s="145" t="s">
        <v>3930</v>
      </c>
      <c r="AJ17" s="145" t="s">
        <v>3930</v>
      </c>
      <c r="AK17" s="145" t="s">
        <v>3930</v>
      </c>
      <c r="AL17" s="156" t="s">
        <v>3930</v>
      </c>
      <c r="AM17" s="177"/>
    </row>
    <row r="18" spans="1:39" ht="15" x14ac:dyDescent="0.2">
      <c r="A18" s="157" t="s">
        <v>1220</v>
      </c>
      <c r="B18" s="158" t="s">
        <v>1221</v>
      </c>
      <c r="C18" s="151" t="s">
        <v>3930</v>
      </c>
      <c r="D18" s="151" t="s">
        <v>3930</v>
      </c>
      <c r="E18" s="151" t="s">
        <v>3930</v>
      </c>
      <c r="F18" s="151" t="s">
        <v>3930</v>
      </c>
      <c r="G18" s="151" t="s">
        <v>3930</v>
      </c>
      <c r="H18" s="151" t="s">
        <v>3930</v>
      </c>
      <c r="I18" s="151" t="s">
        <v>3930</v>
      </c>
      <c r="J18" s="151" t="s">
        <v>3930</v>
      </c>
      <c r="K18" s="151" t="s">
        <v>3930</v>
      </c>
      <c r="L18" s="151" t="s">
        <v>3930</v>
      </c>
      <c r="M18" s="151" t="s">
        <v>3930</v>
      </c>
      <c r="N18" s="151" t="s">
        <v>3930</v>
      </c>
      <c r="O18" s="151" t="s">
        <v>3930</v>
      </c>
      <c r="P18" s="151" t="s">
        <v>3930</v>
      </c>
      <c r="Q18" s="151" t="s">
        <v>3930</v>
      </c>
      <c r="R18" s="151" t="s">
        <v>3930</v>
      </c>
      <c r="S18" s="151" t="s">
        <v>3930</v>
      </c>
      <c r="T18" s="151" t="s">
        <v>3930</v>
      </c>
      <c r="U18" s="151" t="s">
        <v>3930</v>
      </c>
      <c r="V18" s="151" t="s">
        <v>3930</v>
      </c>
      <c r="W18" s="151" t="s">
        <v>3930</v>
      </c>
      <c r="X18" s="151" t="s">
        <v>3930</v>
      </c>
      <c r="Y18" s="151" t="s">
        <v>3930</v>
      </c>
      <c r="Z18" s="151" t="s">
        <v>3930</v>
      </c>
      <c r="AA18" s="151" t="s">
        <v>3930</v>
      </c>
      <c r="AB18" s="151" t="s">
        <v>3930</v>
      </c>
      <c r="AC18" s="151" t="s">
        <v>3930</v>
      </c>
      <c r="AD18" s="151" t="s">
        <v>3930</v>
      </c>
      <c r="AE18" s="151" t="s">
        <v>3930</v>
      </c>
      <c r="AF18" s="151" t="s">
        <v>3930</v>
      </c>
      <c r="AG18" s="151" t="s">
        <v>3930</v>
      </c>
      <c r="AH18" s="151" t="s">
        <v>3930</v>
      </c>
      <c r="AI18" s="151" t="s">
        <v>3930</v>
      </c>
      <c r="AJ18" s="151" t="s">
        <v>3930</v>
      </c>
      <c r="AK18" s="151" t="s">
        <v>3930</v>
      </c>
      <c r="AL18" s="159" t="s">
        <v>3930</v>
      </c>
      <c r="AM18" s="177"/>
    </row>
    <row r="19" spans="1:39" x14ac:dyDescent="0.2">
      <c r="A19" s="184" t="s">
        <v>3946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</row>
    <row r="20" spans="1:39" x14ac:dyDescent="0.2">
      <c r="A20" s="99" t="s">
        <v>3945</v>
      </c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99"/>
      <c r="S20" s="16"/>
      <c r="T20" s="99"/>
      <c r="U20" s="99"/>
      <c r="V20" s="99"/>
      <c r="W20"/>
      <c r="X20" s="16"/>
      <c r="Y20" s="16"/>
      <c r="Z20" s="99"/>
      <c r="AA20" s="99"/>
      <c r="AB20" s="98"/>
      <c r="AC20" s="99"/>
      <c r="AD20" s="99"/>
      <c r="AE20" s="99"/>
      <c r="AF20" s="99"/>
      <c r="AG20" s="99"/>
      <c r="AH20" s="99"/>
      <c r="AI20" s="99"/>
      <c r="AJ20" s="99"/>
    </row>
    <row r="21" spans="1:39" x14ac:dyDescent="0.2">
      <c r="A21" s="101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9"/>
      <c r="O21" s="98"/>
      <c r="P21" s="98"/>
      <c r="Q21" s="99"/>
      <c r="R21" s="99"/>
      <c r="S21" s="98"/>
      <c r="T21" s="98"/>
      <c r="U21" s="98"/>
      <c r="V21" s="98"/>
      <c r="W21"/>
      <c r="X21" s="16"/>
      <c r="Y21" s="16"/>
      <c r="Z21" s="98"/>
      <c r="AA21" s="99"/>
      <c r="AB21" s="98"/>
      <c r="AC21" s="98"/>
      <c r="AD21" s="98"/>
      <c r="AE21" s="98"/>
      <c r="AF21" s="98"/>
      <c r="AG21" s="98"/>
      <c r="AH21" s="98"/>
      <c r="AI21" s="98"/>
      <c r="AJ21" s="99"/>
    </row>
    <row r="22" spans="1:39" customFormat="1" x14ac:dyDescent="0.2">
      <c r="L22" s="98"/>
      <c r="X22" s="4"/>
    </row>
    <row r="23" spans="1:39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</row>
    <row r="24" spans="1:39" x14ac:dyDescent="0.2">
      <c r="A24" s="98"/>
      <c r="B24" s="98"/>
      <c r="C24" s="98"/>
      <c r="D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</row>
    <row r="25" spans="1:39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</row>
    <row r="26" spans="1:39" x14ac:dyDescent="0.2">
      <c r="A26" s="98"/>
      <c r="B26" s="98"/>
      <c r="C26" s="98"/>
      <c r="D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>
      <formula1>israel_abroad</formula1>
    </dataValidation>
    <dataValidation type="list" allowBlank="1" showInputMessage="1" showErrorMessage="1" sqref="N3:N16 N20:N21">
      <formula1>Holding_interest</formula1>
    </dataValidation>
    <dataValidation type="list" allowBlank="1" showInputMessage="1" showErrorMessage="1" sqref="K3:K16 K20:K21">
      <formula1>Country_list</formula1>
    </dataValidation>
    <dataValidation type="list" allowBlank="1" showInputMessage="1" showErrorMessage="1" sqref="E4:E16 E20:E21">
      <formula1>Issuer_Number_Type_2</formula1>
    </dataValidation>
    <dataValidation type="list" allowBlank="1" showInputMessage="1" showErrorMessage="1" sqref="Q3:Q16 Q20:Q21">
      <formula1>Rating_Agency</formula1>
    </dataValidation>
    <dataValidation type="list" allowBlank="1" showInputMessage="1" showErrorMessage="1" sqref="P5 R3:R16 R20:R21">
      <formula1>What_is_rated</formula1>
    </dataValidation>
    <dataValidation type="list" allowBlank="1" showInputMessage="1" showErrorMessage="1" sqref="V5 X3:X16 X20:X21">
      <formula1>Subordination_Risk</formula1>
    </dataValidation>
    <dataValidation type="list" allowBlank="1" showInputMessage="1" showErrorMessage="1" sqref="Z3:Z16 Z20">
      <formula1>Valuation</formula1>
    </dataValidation>
    <dataValidation type="list" allowBlank="1" showInputMessage="1" showErrorMessage="1" sqref="AA3:AA16 AA20:AA21">
      <formula1>Dependence_Independence</formula1>
    </dataValidation>
    <dataValidation type="list" allowBlank="1" showInputMessage="1" showErrorMessage="1" sqref="Y20:Y21">
      <formula1>Yes_No_Bad_Debt</formula1>
    </dataValidation>
    <dataValidation type="list" allowBlank="1" showInputMessage="1" showErrorMessage="1" sqref="H3:H16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20:AJ21">
      <formula1>In_the_books</formula1>
    </dataValidation>
    <dataValidation type="list" allowBlank="1" showInputMessage="1" showErrorMessage="1" sqref="M3:M7 M10:M16 M20:M21">
      <formula1>Industry_Sector</formula1>
    </dataValidation>
    <dataValidation type="list" allowBlank="1" showInputMessage="1" showErrorMessage="1" sqref="L3:L16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6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5.5" style="2" bestFit="1" customWidth="1"/>
    <col min="4" max="4" width="11.25" style="2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3966</v>
      </c>
    </row>
    <row r="2" spans="1:27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89</v>
      </c>
      <c r="M2" s="140" t="s">
        <v>83</v>
      </c>
      <c r="N2" s="140" t="s">
        <v>56</v>
      </c>
      <c r="O2" s="140" t="s">
        <v>97</v>
      </c>
      <c r="P2" s="140" t="s">
        <v>59</v>
      </c>
      <c r="Q2" s="140" t="s">
        <v>103</v>
      </c>
      <c r="R2" s="140" t="s">
        <v>104</v>
      </c>
      <c r="S2" s="140" t="s">
        <v>106</v>
      </c>
      <c r="T2" s="140" t="s">
        <v>107</v>
      </c>
      <c r="U2" s="140" t="s">
        <v>76</v>
      </c>
      <c r="V2" s="140" t="s">
        <v>61</v>
      </c>
      <c r="W2" s="140" t="s">
        <v>77</v>
      </c>
      <c r="X2" s="140" t="s">
        <v>63</v>
      </c>
      <c r="Y2" s="140" t="s">
        <v>64</v>
      </c>
      <c r="Z2" s="141" t="s">
        <v>65</v>
      </c>
      <c r="AA2" s="177" t="s">
        <v>3947</v>
      </c>
    </row>
    <row r="3" spans="1:27" ht="15" x14ac:dyDescent="0.2">
      <c r="A3" s="142" t="s">
        <v>1205</v>
      </c>
      <c r="B3" s="143" t="s">
        <v>1205</v>
      </c>
      <c r="C3" s="143" t="s">
        <v>3140</v>
      </c>
      <c r="D3" s="143" t="s">
        <v>3141</v>
      </c>
      <c r="E3" s="143" t="s">
        <v>309</v>
      </c>
      <c r="F3" s="143" t="s">
        <v>3142</v>
      </c>
      <c r="G3" s="143" t="s">
        <v>3143</v>
      </c>
      <c r="H3" s="143" t="s">
        <v>321</v>
      </c>
      <c r="I3" s="143" t="s">
        <v>765</v>
      </c>
      <c r="J3" s="143" t="s">
        <v>204</v>
      </c>
      <c r="K3" s="143" t="s">
        <v>204</v>
      </c>
      <c r="L3" s="143" t="s">
        <v>314</v>
      </c>
      <c r="M3" s="143" t="s">
        <v>483</v>
      </c>
      <c r="N3" s="143" t="s">
        <v>339</v>
      </c>
      <c r="O3" s="143" t="s">
        <v>3123</v>
      </c>
      <c r="P3" s="143" t="s">
        <v>1210</v>
      </c>
      <c r="Q3" s="143" t="s">
        <v>884</v>
      </c>
      <c r="R3" s="143" t="s">
        <v>888</v>
      </c>
      <c r="S3" s="161">
        <v>40291</v>
      </c>
      <c r="T3" s="161">
        <v>40291</v>
      </c>
      <c r="U3" s="144">
        <v>750</v>
      </c>
      <c r="V3" s="145" t="s">
        <v>3930</v>
      </c>
      <c r="W3" s="145" t="s">
        <v>3930</v>
      </c>
      <c r="X3" s="144">
        <v>0</v>
      </c>
      <c r="Y3" s="145" t="s">
        <v>3930</v>
      </c>
      <c r="Z3" s="156" t="s">
        <v>3930</v>
      </c>
      <c r="AA3" s="177"/>
    </row>
    <row r="4" spans="1:27" ht="15" x14ac:dyDescent="0.2">
      <c r="A4" s="142" t="s">
        <v>1205</v>
      </c>
      <c r="B4" s="143" t="s">
        <v>1205</v>
      </c>
      <c r="C4" s="143" t="s">
        <v>3144</v>
      </c>
      <c r="D4" s="143" t="s">
        <v>3145</v>
      </c>
      <c r="E4" s="143" t="s">
        <v>309</v>
      </c>
      <c r="F4" s="143" t="s">
        <v>3146</v>
      </c>
      <c r="G4" s="143" t="s">
        <v>3147</v>
      </c>
      <c r="H4" s="143" t="s">
        <v>312</v>
      </c>
      <c r="I4" s="143" t="s">
        <v>765</v>
      </c>
      <c r="J4" s="143" t="s">
        <v>204</v>
      </c>
      <c r="K4" s="143" t="s">
        <v>204</v>
      </c>
      <c r="L4" s="143" t="s">
        <v>314</v>
      </c>
      <c r="M4" s="143" t="s">
        <v>455</v>
      </c>
      <c r="N4" s="143" t="s">
        <v>339</v>
      </c>
      <c r="O4" s="143" t="s">
        <v>3148</v>
      </c>
      <c r="P4" s="143" t="s">
        <v>1210</v>
      </c>
      <c r="Q4" s="143" t="s">
        <v>885</v>
      </c>
      <c r="R4" s="143" t="s">
        <v>889</v>
      </c>
      <c r="S4" s="161">
        <v>45412</v>
      </c>
      <c r="T4" s="161">
        <v>45412</v>
      </c>
      <c r="U4" s="144">
        <v>1666034</v>
      </c>
      <c r="V4" s="145" t="s">
        <v>3930</v>
      </c>
      <c r="W4" s="143" t="s">
        <v>3149</v>
      </c>
      <c r="X4" s="144">
        <v>12388.627199999999</v>
      </c>
      <c r="Y4" s="146">
        <v>0.30293492805319455</v>
      </c>
      <c r="Z4" s="147">
        <v>1.7972033115712091E-2</v>
      </c>
      <c r="AA4" s="177"/>
    </row>
    <row r="5" spans="1:27" ht="15" x14ac:dyDescent="0.2">
      <c r="A5" s="142" t="s">
        <v>1205</v>
      </c>
      <c r="B5" s="143" t="s">
        <v>1205</v>
      </c>
      <c r="C5" s="143" t="s">
        <v>3150</v>
      </c>
      <c r="D5" s="143" t="s">
        <v>3151</v>
      </c>
      <c r="E5" s="143" t="s">
        <v>309</v>
      </c>
      <c r="F5" s="143" t="s">
        <v>3152</v>
      </c>
      <c r="G5" s="143" t="s">
        <v>3153</v>
      </c>
      <c r="H5" s="143" t="s">
        <v>312</v>
      </c>
      <c r="I5" s="143" t="s">
        <v>765</v>
      </c>
      <c r="J5" s="143" t="s">
        <v>204</v>
      </c>
      <c r="K5" s="143" t="s">
        <v>204</v>
      </c>
      <c r="L5" s="143" t="s">
        <v>314</v>
      </c>
      <c r="M5" s="143" t="s">
        <v>463</v>
      </c>
      <c r="N5" s="143" t="s">
        <v>339</v>
      </c>
      <c r="O5" s="143" t="s">
        <v>3154</v>
      </c>
      <c r="P5" s="143" t="s">
        <v>1210</v>
      </c>
      <c r="Q5" s="143" t="s">
        <v>885</v>
      </c>
      <c r="R5" s="143" t="s">
        <v>889</v>
      </c>
      <c r="S5" s="161">
        <v>45382</v>
      </c>
      <c r="T5" s="161">
        <v>45382</v>
      </c>
      <c r="U5" s="144">
        <v>2702309</v>
      </c>
      <c r="V5" s="145" t="s">
        <v>3930</v>
      </c>
      <c r="W5" s="143" t="s">
        <v>3155</v>
      </c>
      <c r="X5" s="144">
        <v>8473.7303000000011</v>
      </c>
      <c r="Y5" s="146">
        <v>0.20720527392666646</v>
      </c>
      <c r="Z5" s="147">
        <v>1.229273913276299E-2</v>
      </c>
      <c r="AA5" s="177"/>
    </row>
    <row r="6" spans="1:27" ht="15" x14ac:dyDescent="0.2">
      <c r="A6" s="142" t="s">
        <v>1205</v>
      </c>
      <c r="B6" s="143" t="s">
        <v>1205</v>
      </c>
      <c r="C6" s="143" t="s">
        <v>3156</v>
      </c>
      <c r="D6" s="143" t="s">
        <v>3157</v>
      </c>
      <c r="E6" s="143" t="s">
        <v>309</v>
      </c>
      <c r="F6" s="143" t="s">
        <v>3156</v>
      </c>
      <c r="G6" s="143" t="s">
        <v>3158</v>
      </c>
      <c r="H6" s="143" t="s">
        <v>312</v>
      </c>
      <c r="I6" s="143" t="s">
        <v>765</v>
      </c>
      <c r="J6" s="143" t="s">
        <v>204</v>
      </c>
      <c r="K6" s="143" t="s">
        <v>204</v>
      </c>
      <c r="L6" s="143" t="s">
        <v>314</v>
      </c>
      <c r="M6" s="143" t="s">
        <v>485</v>
      </c>
      <c r="N6" s="143" t="s">
        <v>339</v>
      </c>
      <c r="O6" s="143" t="s">
        <v>3159</v>
      </c>
      <c r="P6" s="143" t="s">
        <v>1210</v>
      </c>
      <c r="Q6" s="143" t="s">
        <v>885</v>
      </c>
      <c r="R6" s="143" t="s">
        <v>889</v>
      </c>
      <c r="S6" s="161">
        <v>45553</v>
      </c>
      <c r="T6" s="161">
        <v>45553</v>
      </c>
      <c r="U6" s="144">
        <v>5570679.96</v>
      </c>
      <c r="V6" s="145" t="s">
        <v>3930</v>
      </c>
      <c r="W6" s="143" t="s">
        <v>3160</v>
      </c>
      <c r="X6" s="144">
        <v>7050.8374999999996</v>
      </c>
      <c r="Y6" s="146">
        <v>0.1724117545157593</v>
      </c>
      <c r="Z6" s="147">
        <v>1.0228565525963866E-2</v>
      </c>
      <c r="AA6" s="177"/>
    </row>
    <row r="7" spans="1:27" x14ac:dyDescent="0.2">
      <c r="A7" s="142" t="s">
        <v>1205</v>
      </c>
      <c r="B7" s="143" t="s">
        <v>1205</v>
      </c>
      <c r="C7" s="143" t="s">
        <v>3161</v>
      </c>
      <c r="D7" s="143" t="s">
        <v>3162</v>
      </c>
      <c r="E7" s="143" t="s">
        <v>309</v>
      </c>
      <c r="F7" s="143" t="s">
        <v>3163</v>
      </c>
      <c r="G7" s="143" t="s">
        <v>3164</v>
      </c>
      <c r="H7" s="143" t="s">
        <v>312</v>
      </c>
      <c r="I7" s="143" t="s">
        <v>765</v>
      </c>
      <c r="J7" s="143" t="s">
        <v>204</v>
      </c>
      <c r="K7" s="143" t="s">
        <v>204</v>
      </c>
      <c r="L7" s="143" t="s">
        <v>314</v>
      </c>
      <c r="M7" s="143" t="s">
        <v>455</v>
      </c>
      <c r="N7" s="143" t="s">
        <v>339</v>
      </c>
      <c r="O7" s="143" t="s">
        <v>3165</v>
      </c>
      <c r="P7" s="143" t="s">
        <v>1211</v>
      </c>
      <c r="Q7" s="143" t="s">
        <v>884</v>
      </c>
      <c r="R7" s="143" t="s">
        <v>888</v>
      </c>
      <c r="S7" s="161">
        <v>45439</v>
      </c>
      <c r="T7" s="161">
        <v>45439</v>
      </c>
      <c r="U7" s="144">
        <v>59115</v>
      </c>
      <c r="V7" s="143" t="s">
        <v>1212</v>
      </c>
      <c r="W7" s="143" t="s">
        <v>3166</v>
      </c>
      <c r="X7" s="144">
        <v>1778.8335</v>
      </c>
      <c r="Y7" s="146">
        <v>4.3497216186384392E-2</v>
      </c>
      <c r="Z7" s="147">
        <v>2.5805324422864774E-3</v>
      </c>
      <c r="AA7" s="177"/>
    </row>
    <row r="8" spans="1:27" ht="15" x14ac:dyDescent="0.2">
      <c r="A8" s="142" t="s">
        <v>1205</v>
      </c>
      <c r="B8" s="143" t="s">
        <v>1205</v>
      </c>
      <c r="C8" s="143" t="s">
        <v>3167</v>
      </c>
      <c r="D8" s="143" t="s">
        <v>3168</v>
      </c>
      <c r="E8" s="143" t="s">
        <v>3169</v>
      </c>
      <c r="F8" s="143" t="s">
        <v>3170</v>
      </c>
      <c r="G8" s="143" t="s">
        <v>3171</v>
      </c>
      <c r="H8" s="143" t="s">
        <v>312</v>
      </c>
      <c r="I8" s="143" t="s">
        <v>765</v>
      </c>
      <c r="J8" s="143" t="s">
        <v>204</v>
      </c>
      <c r="K8" s="143" t="s">
        <v>204</v>
      </c>
      <c r="L8" s="143" t="s">
        <v>314</v>
      </c>
      <c r="M8" s="143" t="s">
        <v>447</v>
      </c>
      <c r="N8" s="143" t="s">
        <v>339</v>
      </c>
      <c r="O8" s="143" t="s">
        <v>3172</v>
      </c>
      <c r="P8" s="143" t="s">
        <v>1210</v>
      </c>
      <c r="Q8" s="143" t="s">
        <v>885</v>
      </c>
      <c r="R8" s="143" t="s">
        <v>889</v>
      </c>
      <c r="S8" s="161">
        <v>45533</v>
      </c>
      <c r="T8" s="161">
        <v>45533</v>
      </c>
      <c r="U8" s="144">
        <v>1347321</v>
      </c>
      <c r="V8" s="145" t="s">
        <v>3930</v>
      </c>
      <c r="W8" s="143" t="s">
        <v>3173</v>
      </c>
      <c r="X8" s="144">
        <v>1335.9712</v>
      </c>
      <c r="Y8" s="146">
        <v>3.2668053083467229E-2</v>
      </c>
      <c r="Z8" s="147">
        <v>1.938077380561473E-3</v>
      </c>
      <c r="AA8" s="177"/>
    </row>
    <row r="9" spans="1:27" x14ac:dyDescent="0.2">
      <c r="A9" s="142" t="s">
        <v>1205</v>
      </c>
      <c r="B9" s="143" t="s">
        <v>1205</v>
      </c>
      <c r="C9" s="143" t="s">
        <v>3174</v>
      </c>
      <c r="D9" s="143" t="s">
        <v>3175</v>
      </c>
      <c r="E9" s="143" t="s">
        <v>309</v>
      </c>
      <c r="F9" s="143" t="s">
        <v>3176</v>
      </c>
      <c r="G9" s="143" t="s">
        <v>3177</v>
      </c>
      <c r="H9" s="143" t="s">
        <v>312</v>
      </c>
      <c r="I9" s="143" t="s">
        <v>765</v>
      </c>
      <c r="J9" s="143" t="s">
        <v>204</v>
      </c>
      <c r="K9" s="143" t="s">
        <v>224</v>
      </c>
      <c r="L9" s="143" t="s">
        <v>314</v>
      </c>
      <c r="M9" s="143" t="s">
        <v>472</v>
      </c>
      <c r="N9" s="143" t="s">
        <v>339</v>
      </c>
      <c r="O9" s="143" t="s">
        <v>3178</v>
      </c>
      <c r="P9" s="143" t="s">
        <v>1211</v>
      </c>
      <c r="Q9" s="143" t="s">
        <v>884</v>
      </c>
      <c r="R9" s="143" t="s">
        <v>888</v>
      </c>
      <c r="S9" s="161">
        <v>45291</v>
      </c>
      <c r="T9" s="161">
        <v>45291</v>
      </c>
      <c r="U9" s="144">
        <v>27975</v>
      </c>
      <c r="V9" s="143" t="s">
        <v>1212</v>
      </c>
      <c r="W9" s="143" t="s">
        <v>3179</v>
      </c>
      <c r="X9" s="144">
        <v>861.48609999999996</v>
      </c>
      <c r="Y9" s="146">
        <v>2.1065628732715148E-2</v>
      </c>
      <c r="Z9" s="147">
        <v>1.2497475270371369E-3</v>
      </c>
      <c r="AA9" s="177"/>
    </row>
    <row r="10" spans="1:27" ht="15" x14ac:dyDescent="0.2">
      <c r="A10" s="142" t="s">
        <v>1205</v>
      </c>
      <c r="B10" s="143" t="s">
        <v>1205</v>
      </c>
      <c r="C10" s="143" t="s">
        <v>3150</v>
      </c>
      <c r="D10" s="143" t="s">
        <v>3151</v>
      </c>
      <c r="E10" s="143" t="s">
        <v>309</v>
      </c>
      <c r="F10" s="143" t="s">
        <v>3180</v>
      </c>
      <c r="G10" s="143" t="s">
        <v>3181</v>
      </c>
      <c r="H10" s="143" t="s">
        <v>312</v>
      </c>
      <c r="I10" s="143" t="s">
        <v>765</v>
      </c>
      <c r="J10" s="143" t="s">
        <v>204</v>
      </c>
      <c r="K10" s="143" t="s">
        <v>204</v>
      </c>
      <c r="L10" s="143" t="s">
        <v>314</v>
      </c>
      <c r="M10" s="143" t="s">
        <v>463</v>
      </c>
      <c r="N10" s="143" t="s">
        <v>339</v>
      </c>
      <c r="O10" s="143" t="s">
        <v>3148</v>
      </c>
      <c r="P10" s="143" t="s">
        <v>1210</v>
      </c>
      <c r="Q10" s="143" t="s">
        <v>885</v>
      </c>
      <c r="R10" s="143" t="s">
        <v>889</v>
      </c>
      <c r="S10" s="161">
        <v>45382</v>
      </c>
      <c r="T10" s="161">
        <v>45382</v>
      </c>
      <c r="U10" s="144">
        <v>600690.96</v>
      </c>
      <c r="V10" s="145" t="s">
        <v>3930</v>
      </c>
      <c r="W10" s="143" t="s">
        <v>3182</v>
      </c>
      <c r="X10" s="144">
        <v>796.27650000000006</v>
      </c>
      <c r="Y10" s="146">
        <v>1.9471082021570628E-2</v>
      </c>
      <c r="Z10" s="147">
        <v>1.1551488405092927E-3</v>
      </c>
      <c r="AA10" s="177"/>
    </row>
    <row r="11" spans="1:27" x14ac:dyDescent="0.2">
      <c r="A11" s="142" t="s">
        <v>1205</v>
      </c>
      <c r="B11" s="143" t="s">
        <v>1205</v>
      </c>
      <c r="C11" s="143" t="s">
        <v>3183</v>
      </c>
      <c r="D11" s="143" t="s">
        <v>3184</v>
      </c>
      <c r="E11" s="143" t="s">
        <v>309</v>
      </c>
      <c r="F11" s="143" t="s">
        <v>3185</v>
      </c>
      <c r="G11" s="143" t="s">
        <v>3186</v>
      </c>
      <c r="H11" s="143" t="s">
        <v>312</v>
      </c>
      <c r="I11" s="143" t="s">
        <v>765</v>
      </c>
      <c r="J11" s="143" t="s">
        <v>204</v>
      </c>
      <c r="K11" s="143" t="s">
        <v>224</v>
      </c>
      <c r="L11" s="143" t="s">
        <v>314</v>
      </c>
      <c r="M11" s="143" t="s">
        <v>444</v>
      </c>
      <c r="N11" s="143" t="s">
        <v>339</v>
      </c>
      <c r="O11" s="143" t="s">
        <v>3187</v>
      </c>
      <c r="P11" s="143" t="s">
        <v>1211</v>
      </c>
      <c r="Q11" s="143" t="s">
        <v>884</v>
      </c>
      <c r="R11" s="143" t="s">
        <v>888</v>
      </c>
      <c r="S11" s="161">
        <v>45351</v>
      </c>
      <c r="T11" s="161">
        <v>45351</v>
      </c>
      <c r="U11" s="144">
        <v>208795.65</v>
      </c>
      <c r="V11" s="143" t="s">
        <v>1212</v>
      </c>
      <c r="W11" s="143" t="s">
        <v>3061</v>
      </c>
      <c r="X11" s="144">
        <v>774.63189999999997</v>
      </c>
      <c r="Y11" s="146">
        <v>1.8941812053833922E-2</v>
      </c>
      <c r="Z11" s="147">
        <v>1.1237491684792465E-3</v>
      </c>
      <c r="AA11" s="177"/>
    </row>
    <row r="12" spans="1:27" ht="15" x14ac:dyDescent="0.2">
      <c r="A12" s="142" t="s">
        <v>1205</v>
      </c>
      <c r="B12" s="143" t="s">
        <v>1205</v>
      </c>
      <c r="C12" s="143" t="s">
        <v>3188</v>
      </c>
      <c r="D12" s="143" t="s">
        <v>3189</v>
      </c>
      <c r="E12" s="143" t="s">
        <v>314</v>
      </c>
      <c r="F12" s="143" t="s">
        <v>3190</v>
      </c>
      <c r="G12" s="143" t="s">
        <v>3191</v>
      </c>
      <c r="H12" s="143" t="s">
        <v>312</v>
      </c>
      <c r="I12" s="143" t="s">
        <v>765</v>
      </c>
      <c r="J12" s="143" t="s">
        <v>204</v>
      </c>
      <c r="K12" s="143" t="s">
        <v>204</v>
      </c>
      <c r="L12" s="143" t="s">
        <v>314</v>
      </c>
      <c r="M12" s="143" t="s">
        <v>485</v>
      </c>
      <c r="N12" s="143" t="s">
        <v>339</v>
      </c>
      <c r="O12" s="143" t="s">
        <v>3148</v>
      </c>
      <c r="P12" s="143" t="s">
        <v>1210</v>
      </c>
      <c r="Q12" s="143" t="s">
        <v>885</v>
      </c>
      <c r="R12" s="143" t="s">
        <v>889</v>
      </c>
      <c r="S12" s="161">
        <v>45536</v>
      </c>
      <c r="T12" s="161">
        <v>45536</v>
      </c>
      <c r="U12" s="144">
        <v>830634</v>
      </c>
      <c r="V12" s="145" t="s">
        <v>3930</v>
      </c>
      <c r="W12" s="143" t="s">
        <v>3192</v>
      </c>
      <c r="X12" s="144">
        <v>720.22450000000003</v>
      </c>
      <c r="Y12" s="146">
        <v>1.7611406368737918E-2</v>
      </c>
      <c r="Z12" s="147">
        <v>1.0448210132363541E-3</v>
      </c>
      <c r="AA12" s="177"/>
    </row>
    <row r="13" spans="1:27" x14ac:dyDescent="0.2">
      <c r="A13" s="142" t="s">
        <v>1205</v>
      </c>
      <c r="B13" s="143" t="s">
        <v>1205</v>
      </c>
      <c r="C13" s="143" t="s">
        <v>3193</v>
      </c>
      <c r="D13" s="143" t="s">
        <v>3194</v>
      </c>
      <c r="E13" s="143" t="s">
        <v>314</v>
      </c>
      <c r="F13" s="143" t="s">
        <v>3195</v>
      </c>
      <c r="G13" s="143" t="s">
        <v>3196</v>
      </c>
      <c r="H13" s="143" t="s">
        <v>312</v>
      </c>
      <c r="I13" s="143" t="s">
        <v>765</v>
      </c>
      <c r="J13" s="143" t="s">
        <v>204</v>
      </c>
      <c r="K13" s="143" t="s">
        <v>224</v>
      </c>
      <c r="L13" s="143" t="s">
        <v>314</v>
      </c>
      <c r="M13" s="143" t="s">
        <v>546</v>
      </c>
      <c r="N13" s="143" t="s">
        <v>339</v>
      </c>
      <c r="O13" s="143" t="s">
        <v>3197</v>
      </c>
      <c r="P13" s="143" t="s">
        <v>1211</v>
      </c>
      <c r="Q13" s="143" t="s">
        <v>884</v>
      </c>
      <c r="R13" s="143" t="s">
        <v>888</v>
      </c>
      <c r="S13" s="161">
        <v>45439</v>
      </c>
      <c r="T13" s="161">
        <v>45439</v>
      </c>
      <c r="U13" s="144">
        <v>24632</v>
      </c>
      <c r="V13" s="143" t="s">
        <v>1212</v>
      </c>
      <c r="W13" s="143" t="s">
        <v>3198</v>
      </c>
      <c r="X13" s="144">
        <v>367.36659999999995</v>
      </c>
      <c r="Y13" s="146">
        <v>8.9830911339884197E-3</v>
      </c>
      <c r="Z13" s="147">
        <v>5.3293429179335303E-4</v>
      </c>
      <c r="AA13" s="177"/>
    </row>
    <row r="14" spans="1:27" x14ac:dyDescent="0.2">
      <c r="A14" s="142" t="s">
        <v>1205</v>
      </c>
      <c r="B14" s="143" t="s">
        <v>1205</v>
      </c>
      <c r="C14" s="143" t="s">
        <v>3199</v>
      </c>
      <c r="D14" s="143" t="s">
        <v>3200</v>
      </c>
      <c r="E14" s="143" t="s">
        <v>314</v>
      </c>
      <c r="F14" s="143" t="s">
        <v>3201</v>
      </c>
      <c r="G14" s="143" t="s">
        <v>3202</v>
      </c>
      <c r="H14" s="143" t="s">
        <v>312</v>
      </c>
      <c r="I14" s="143" t="s">
        <v>765</v>
      </c>
      <c r="J14" s="143" t="s">
        <v>204</v>
      </c>
      <c r="K14" s="143" t="s">
        <v>204</v>
      </c>
      <c r="L14" s="143" t="s">
        <v>314</v>
      </c>
      <c r="M14" s="143" t="s">
        <v>444</v>
      </c>
      <c r="N14" s="143" t="s">
        <v>339</v>
      </c>
      <c r="O14" s="143" t="s">
        <v>3165</v>
      </c>
      <c r="P14" s="143" t="s">
        <v>1211</v>
      </c>
      <c r="Q14" s="143" t="s">
        <v>884</v>
      </c>
      <c r="R14" s="143" t="s">
        <v>888</v>
      </c>
      <c r="S14" s="161">
        <v>45250</v>
      </c>
      <c r="T14" s="161">
        <v>45250</v>
      </c>
      <c r="U14" s="144">
        <v>265.56</v>
      </c>
      <c r="V14" s="143" t="s">
        <v>1212</v>
      </c>
      <c r="W14" s="143" t="s">
        <v>3203</v>
      </c>
      <c r="X14" s="144">
        <v>354.1893</v>
      </c>
      <c r="Y14" s="146">
        <v>8.6608722233499635E-3</v>
      </c>
      <c r="Z14" s="147">
        <v>5.1381820976967123E-4</v>
      </c>
      <c r="AA14" s="177"/>
    </row>
    <row r="15" spans="1:27" x14ac:dyDescent="0.2">
      <c r="A15" s="142" t="s">
        <v>1205</v>
      </c>
      <c r="B15" s="143" t="s">
        <v>1205</v>
      </c>
      <c r="C15" s="143" t="s">
        <v>3204</v>
      </c>
      <c r="D15" s="143" t="s">
        <v>3205</v>
      </c>
      <c r="E15" s="143" t="s">
        <v>314</v>
      </c>
      <c r="F15" s="143" t="s">
        <v>3206</v>
      </c>
      <c r="G15" s="143" t="s">
        <v>3207</v>
      </c>
      <c r="H15" s="143" t="s">
        <v>312</v>
      </c>
      <c r="I15" s="143" t="s">
        <v>765</v>
      </c>
      <c r="J15" s="143" t="s">
        <v>204</v>
      </c>
      <c r="K15" s="143" t="s">
        <v>296</v>
      </c>
      <c r="L15" s="143" t="s">
        <v>314</v>
      </c>
      <c r="M15" s="143" t="s">
        <v>546</v>
      </c>
      <c r="N15" s="143" t="s">
        <v>339</v>
      </c>
      <c r="O15" s="143" t="s">
        <v>3208</v>
      </c>
      <c r="P15" s="143" t="s">
        <v>1211</v>
      </c>
      <c r="Q15" s="143" t="s">
        <v>884</v>
      </c>
      <c r="R15" s="143" t="s">
        <v>888</v>
      </c>
      <c r="S15" s="161">
        <v>45530</v>
      </c>
      <c r="T15" s="161">
        <v>45530</v>
      </c>
      <c r="U15" s="144">
        <v>14809</v>
      </c>
      <c r="V15" s="143" t="s">
        <v>1212</v>
      </c>
      <c r="W15" s="143" t="s">
        <v>3209</v>
      </c>
      <c r="X15" s="144">
        <v>335.39499999999998</v>
      </c>
      <c r="Y15" s="146">
        <v>8.2013007379241245E-3</v>
      </c>
      <c r="Z15" s="147">
        <v>4.8655349649217206E-4</v>
      </c>
      <c r="AA15" s="177"/>
    </row>
    <row r="16" spans="1:27" x14ac:dyDescent="0.2">
      <c r="A16" s="142" t="s">
        <v>1205</v>
      </c>
      <c r="B16" s="143" t="s">
        <v>1205</v>
      </c>
      <c r="C16" s="143" t="s">
        <v>3199</v>
      </c>
      <c r="D16" s="143" t="s">
        <v>3200</v>
      </c>
      <c r="E16" s="143" t="s">
        <v>314</v>
      </c>
      <c r="F16" s="143" t="s">
        <v>3210</v>
      </c>
      <c r="G16" s="143" t="s">
        <v>3211</v>
      </c>
      <c r="H16" s="143" t="s">
        <v>312</v>
      </c>
      <c r="I16" s="143" t="s">
        <v>765</v>
      </c>
      <c r="J16" s="143" t="s">
        <v>204</v>
      </c>
      <c r="K16" s="143" t="s">
        <v>204</v>
      </c>
      <c r="L16" s="143" t="s">
        <v>314</v>
      </c>
      <c r="M16" s="143" t="s">
        <v>444</v>
      </c>
      <c r="N16" s="143" t="s">
        <v>339</v>
      </c>
      <c r="O16" s="143" t="s">
        <v>3165</v>
      </c>
      <c r="P16" s="143" t="s">
        <v>1211</v>
      </c>
      <c r="Q16" s="143" t="s">
        <v>884</v>
      </c>
      <c r="R16" s="143" t="s">
        <v>888</v>
      </c>
      <c r="S16" s="161">
        <v>45250</v>
      </c>
      <c r="T16" s="161">
        <v>45250</v>
      </c>
      <c r="U16" s="144">
        <v>210.43</v>
      </c>
      <c r="V16" s="143" t="s">
        <v>1212</v>
      </c>
      <c r="W16" s="143" t="s">
        <v>3212</v>
      </c>
      <c r="X16" s="144">
        <v>301.73869999999999</v>
      </c>
      <c r="Y16" s="146">
        <v>7.3783156392564549E-3</v>
      </c>
      <c r="Z16" s="147">
        <v>4.3772876854797241E-4</v>
      </c>
      <c r="AA16" s="177"/>
    </row>
    <row r="17" spans="1:27" ht="15" x14ac:dyDescent="0.2">
      <c r="A17" s="142" t="s">
        <v>1205</v>
      </c>
      <c r="B17" s="143" t="s">
        <v>1205</v>
      </c>
      <c r="C17" s="143" t="s">
        <v>2234</v>
      </c>
      <c r="D17" s="143" t="s">
        <v>2235</v>
      </c>
      <c r="E17" s="143" t="s">
        <v>309</v>
      </c>
      <c r="F17" s="143" t="s">
        <v>3213</v>
      </c>
      <c r="G17" s="143" t="s">
        <v>3214</v>
      </c>
      <c r="H17" s="143" t="s">
        <v>312</v>
      </c>
      <c r="I17" s="143" t="s">
        <v>765</v>
      </c>
      <c r="J17" s="143" t="s">
        <v>204</v>
      </c>
      <c r="K17" s="143" t="s">
        <v>204</v>
      </c>
      <c r="L17" s="143" t="s">
        <v>314</v>
      </c>
      <c r="M17" s="143" t="s">
        <v>451</v>
      </c>
      <c r="N17" s="143" t="s">
        <v>339</v>
      </c>
      <c r="O17" s="143" t="s">
        <v>3148</v>
      </c>
      <c r="P17" s="143" t="s">
        <v>1210</v>
      </c>
      <c r="Q17" s="143" t="s">
        <v>885</v>
      </c>
      <c r="R17" s="143" t="s">
        <v>889</v>
      </c>
      <c r="S17" s="161">
        <v>45497</v>
      </c>
      <c r="T17" s="161">
        <v>45497</v>
      </c>
      <c r="U17" s="144">
        <v>3375</v>
      </c>
      <c r="V17" s="145" t="s">
        <v>3930</v>
      </c>
      <c r="W17" s="143" t="s">
        <v>3215</v>
      </c>
      <c r="X17" s="144">
        <v>92.705399999999997</v>
      </c>
      <c r="Y17" s="146">
        <v>2.2668932951657428E-3</v>
      </c>
      <c r="Z17" s="147">
        <v>1.3448657648137057E-4</v>
      </c>
      <c r="AA17" s="177"/>
    </row>
    <row r="18" spans="1:27" x14ac:dyDescent="0.2">
      <c r="A18" s="142" t="s">
        <v>1205</v>
      </c>
      <c r="B18" s="143" t="s">
        <v>1205</v>
      </c>
      <c r="C18" s="143" t="s">
        <v>3199</v>
      </c>
      <c r="D18" s="143" t="s">
        <v>3200</v>
      </c>
      <c r="E18" s="143" t="s">
        <v>314</v>
      </c>
      <c r="F18" s="143" t="s">
        <v>3216</v>
      </c>
      <c r="G18" s="143" t="s">
        <v>3217</v>
      </c>
      <c r="H18" s="143" t="s">
        <v>312</v>
      </c>
      <c r="I18" s="143" t="s">
        <v>765</v>
      </c>
      <c r="J18" s="143" t="s">
        <v>204</v>
      </c>
      <c r="K18" s="143" t="s">
        <v>204</v>
      </c>
      <c r="L18" s="143" t="s">
        <v>314</v>
      </c>
      <c r="M18" s="143" t="s">
        <v>444</v>
      </c>
      <c r="N18" s="143" t="s">
        <v>339</v>
      </c>
      <c r="O18" s="143" t="s">
        <v>3218</v>
      </c>
      <c r="P18" s="143" t="s">
        <v>1211</v>
      </c>
      <c r="Q18" s="143" t="s">
        <v>884</v>
      </c>
      <c r="R18" s="143" t="s">
        <v>888</v>
      </c>
      <c r="S18" s="161">
        <v>45250</v>
      </c>
      <c r="T18" s="161">
        <v>45250</v>
      </c>
      <c r="U18" s="144">
        <v>58</v>
      </c>
      <c r="V18" s="143" t="s">
        <v>1212</v>
      </c>
      <c r="W18" s="143" t="s">
        <v>3219</v>
      </c>
      <c r="X18" s="144">
        <v>78.110300000000009</v>
      </c>
      <c r="Y18" s="146">
        <v>1.9100058405499317E-3</v>
      </c>
      <c r="Z18" s="147">
        <v>1.133137351911405E-4</v>
      </c>
      <c r="AA18" s="177"/>
    </row>
    <row r="19" spans="1:27" x14ac:dyDescent="0.2">
      <c r="A19" s="142" t="s">
        <v>1205</v>
      </c>
      <c r="B19" s="143" t="s">
        <v>1205</v>
      </c>
      <c r="C19" s="143" t="s">
        <v>3220</v>
      </c>
      <c r="D19" s="143" t="s">
        <v>3221</v>
      </c>
      <c r="E19" s="143" t="s">
        <v>309</v>
      </c>
      <c r="F19" s="143" t="s">
        <v>3220</v>
      </c>
      <c r="G19" s="143" t="s">
        <v>3222</v>
      </c>
      <c r="H19" s="143" t="s">
        <v>312</v>
      </c>
      <c r="I19" s="143" t="s">
        <v>765</v>
      </c>
      <c r="J19" s="143" t="s">
        <v>204</v>
      </c>
      <c r="K19" s="143" t="s">
        <v>296</v>
      </c>
      <c r="L19" s="143" t="s">
        <v>314</v>
      </c>
      <c r="M19" s="143" t="s">
        <v>449</v>
      </c>
      <c r="N19" s="143" t="s">
        <v>339</v>
      </c>
      <c r="O19" s="143" t="s">
        <v>3223</v>
      </c>
      <c r="P19" s="143" t="s">
        <v>1211</v>
      </c>
      <c r="Q19" s="143" t="s">
        <v>884</v>
      </c>
      <c r="R19" s="143" t="s">
        <v>888</v>
      </c>
      <c r="S19" s="161">
        <v>45565</v>
      </c>
      <c r="T19" s="161">
        <v>45565</v>
      </c>
      <c r="U19" s="144">
        <v>68400</v>
      </c>
      <c r="V19" s="143" t="s">
        <v>1212</v>
      </c>
      <c r="W19" s="143" t="s">
        <v>3224</v>
      </c>
      <c r="X19" s="144">
        <v>31.720500000000001</v>
      </c>
      <c r="Y19" s="146">
        <v>7.7565070469753569E-4</v>
      </c>
      <c r="Z19" s="147">
        <v>4.6016549628776067E-5</v>
      </c>
      <c r="AA19" s="177"/>
    </row>
    <row r="20" spans="1:27" x14ac:dyDescent="0.2">
      <c r="A20" s="142" t="s">
        <v>1205</v>
      </c>
      <c r="B20" s="143" t="s">
        <v>1205</v>
      </c>
      <c r="C20" s="143" t="s">
        <v>3225</v>
      </c>
      <c r="D20" s="143" t="s">
        <v>3226</v>
      </c>
      <c r="E20" s="143" t="s">
        <v>309</v>
      </c>
      <c r="F20" s="143" t="s">
        <v>3227</v>
      </c>
      <c r="G20" s="143" t="s">
        <v>3228</v>
      </c>
      <c r="H20" s="143" t="s">
        <v>312</v>
      </c>
      <c r="I20" s="143" t="s">
        <v>765</v>
      </c>
      <c r="J20" s="143" t="s">
        <v>204</v>
      </c>
      <c r="K20" s="143" t="s">
        <v>204</v>
      </c>
      <c r="L20" s="143" t="s">
        <v>314</v>
      </c>
      <c r="M20" s="143" t="s">
        <v>449</v>
      </c>
      <c r="N20" s="143" t="s">
        <v>339</v>
      </c>
      <c r="O20" s="143" t="s">
        <v>3229</v>
      </c>
      <c r="P20" s="143" t="s">
        <v>1211</v>
      </c>
      <c r="Q20" s="143" t="s">
        <v>887</v>
      </c>
      <c r="R20" s="143" t="s">
        <v>889</v>
      </c>
      <c r="S20" s="161">
        <v>45396</v>
      </c>
      <c r="T20" s="161">
        <v>45396</v>
      </c>
      <c r="U20" s="144">
        <v>100234</v>
      </c>
      <c r="V20" s="143" t="s">
        <v>1212</v>
      </c>
      <c r="W20" s="143" t="s">
        <v>3230</v>
      </c>
      <c r="X20" s="144">
        <v>16.361799999999999</v>
      </c>
      <c r="Y20" s="146">
        <v>4.000902285090045E-4</v>
      </c>
      <c r="Z20" s="147">
        <v>2.3735905536696736E-5</v>
      </c>
      <c r="AA20" s="177"/>
    </row>
    <row r="21" spans="1:27" x14ac:dyDescent="0.2">
      <c r="A21" s="142" t="s">
        <v>1205</v>
      </c>
      <c r="B21" s="143" t="s">
        <v>1205</v>
      </c>
      <c r="C21" s="143" t="s">
        <v>3231</v>
      </c>
      <c r="D21" s="143" t="s">
        <v>3232</v>
      </c>
      <c r="E21" s="143" t="s">
        <v>309</v>
      </c>
      <c r="F21" s="143" t="s">
        <v>3233</v>
      </c>
      <c r="G21" s="143" t="s">
        <v>3234</v>
      </c>
      <c r="H21" s="143" t="s">
        <v>312</v>
      </c>
      <c r="I21" s="143" t="s">
        <v>765</v>
      </c>
      <c r="J21" s="143" t="s">
        <v>204</v>
      </c>
      <c r="K21" s="143" t="s">
        <v>204</v>
      </c>
      <c r="L21" s="143" t="s">
        <v>314</v>
      </c>
      <c r="M21" s="143" t="s">
        <v>480</v>
      </c>
      <c r="N21" s="143" t="s">
        <v>339</v>
      </c>
      <c r="O21" s="143" t="s">
        <v>3235</v>
      </c>
      <c r="P21" s="143" t="s">
        <v>1211</v>
      </c>
      <c r="Q21" s="143" t="s">
        <v>884</v>
      </c>
      <c r="R21" s="143" t="s">
        <v>888</v>
      </c>
      <c r="S21" s="160">
        <v>45565</v>
      </c>
      <c r="T21" s="160">
        <v>45565</v>
      </c>
      <c r="U21" s="144">
        <v>100000</v>
      </c>
      <c r="V21" s="143" t="s">
        <v>1212</v>
      </c>
      <c r="W21" s="143" t="s">
        <v>3236</v>
      </c>
      <c r="X21" s="144">
        <v>13.565200000000001</v>
      </c>
      <c r="Y21" s="146">
        <v>3.3170634346854616E-4</v>
      </c>
      <c r="Z21" s="147">
        <v>1.9678937083351674E-5</v>
      </c>
      <c r="AA21" s="177"/>
    </row>
    <row r="22" spans="1:27" customFormat="1" x14ac:dyDescent="0.2">
      <c r="A22" s="142" t="s">
        <v>1205</v>
      </c>
      <c r="B22" s="143" t="s">
        <v>1205</v>
      </c>
      <c r="C22" s="143" t="s">
        <v>3237</v>
      </c>
      <c r="D22" s="143" t="s">
        <v>3238</v>
      </c>
      <c r="E22" s="143" t="s">
        <v>309</v>
      </c>
      <c r="F22" s="143" t="s">
        <v>3239</v>
      </c>
      <c r="G22" s="143" t="s">
        <v>3240</v>
      </c>
      <c r="H22" s="143" t="s">
        <v>312</v>
      </c>
      <c r="I22" s="143" t="s">
        <v>765</v>
      </c>
      <c r="J22" s="143" t="s">
        <v>204</v>
      </c>
      <c r="K22" s="143" t="s">
        <v>224</v>
      </c>
      <c r="L22" s="143" t="s">
        <v>314</v>
      </c>
      <c r="M22" s="143" t="s">
        <v>546</v>
      </c>
      <c r="N22" s="143" t="s">
        <v>339</v>
      </c>
      <c r="O22" s="143" t="s">
        <v>3178</v>
      </c>
      <c r="P22" s="143" t="s">
        <v>1211</v>
      </c>
      <c r="Q22" s="143" t="s">
        <v>884</v>
      </c>
      <c r="R22" s="143" t="s">
        <v>888</v>
      </c>
      <c r="S22" s="162">
        <v>45235</v>
      </c>
      <c r="T22" s="162">
        <v>45235</v>
      </c>
      <c r="U22" s="144">
        <v>100000</v>
      </c>
      <c r="V22" s="143" t="s">
        <v>1212</v>
      </c>
      <c r="W22" s="143" t="s">
        <v>3101</v>
      </c>
      <c r="X22" s="144">
        <v>3.7100000000000001E-2</v>
      </c>
      <c r="Y22" s="146">
        <v>9.0719380666378441E-7</v>
      </c>
      <c r="Z22" s="147">
        <v>5.3820525881609434E-8</v>
      </c>
      <c r="AA22" s="177"/>
    </row>
    <row r="23" spans="1:27" ht="15" x14ac:dyDescent="0.2">
      <c r="A23" s="142" t="s">
        <v>1205</v>
      </c>
      <c r="B23" s="143" t="s">
        <v>1205</v>
      </c>
      <c r="C23" s="143" t="s">
        <v>3161</v>
      </c>
      <c r="D23" s="143" t="s">
        <v>3162</v>
      </c>
      <c r="E23" s="143" t="s">
        <v>309</v>
      </c>
      <c r="F23" s="143" t="s">
        <v>3241</v>
      </c>
      <c r="G23" s="143" t="s">
        <v>3242</v>
      </c>
      <c r="H23" s="143" t="s">
        <v>312</v>
      </c>
      <c r="I23" s="143" t="s">
        <v>765</v>
      </c>
      <c r="J23" s="143" t="s">
        <v>204</v>
      </c>
      <c r="K23" s="143" t="s">
        <v>204</v>
      </c>
      <c r="L23" s="143" t="s">
        <v>314</v>
      </c>
      <c r="M23" s="143" t="s">
        <v>455</v>
      </c>
      <c r="N23" s="143" t="s">
        <v>339</v>
      </c>
      <c r="O23" s="143" t="s">
        <v>3165</v>
      </c>
      <c r="P23" s="143" t="s">
        <v>1211</v>
      </c>
      <c r="Q23" s="143" t="s">
        <v>884</v>
      </c>
      <c r="R23" s="143" t="s">
        <v>888</v>
      </c>
      <c r="S23" s="163">
        <v>45137</v>
      </c>
      <c r="T23" s="163">
        <v>45137</v>
      </c>
      <c r="U23" s="144">
        <v>59115</v>
      </c>
      <c r="V23" s="143" t="s">
        <v>1212</v>
      </c>
      <c r="W23" s="145" t="s">
        <v>3930</v>
      </c>
      <c r="X23" s="144">
        <v>2.0000000000000001E-4</v>
      </c>
      <c r="Y23" s="146">
        <v>5.3628761880929618E-9</v>
      </c>
      <c r="Z23" s="147">
        <v>3.1816003874913416E-10</v>
      </c>
      <c r="AA23" s="177"/>
    </row>
    <row r="24" spans="1:27" ht="15" x14ac:dyDescent="0.2">
      <c r="A24" s="142" t="s">
        <v>1205</v>
      </c>
      <c r="B24" s="143" t="s">
        <v>1205</v>
      </c>
      <c r="C24" s="143" t="s">
        <v>3144</v>
      </c>
      <c r="D24" s="143" t="s">
        <v>3145</v>
      </c>
      <c r="E24" s="143" t="s">
        <v>309</v>
      </c>
      <c r="F24" s="143" t="s">
        <v>3243</v>
      </c>
      <c r="G24" s="143" t="s">
        <v>3244</v>
      </c>
      <c r="H24" s="143" t="s">
        <v>312</v>
      </c>
      <c r="I24" s="143" t="s">
        <v>765</v>
      </c>
      <c r="J24" s="143" t="s">
        <v>204</v>
      </c>
      <c r="K24" s="143" t="s">
        <v>204</v>
      </c>
      <c r="L24" s="143" t="s">
        <v>314</v>
      </c>
      <c r="M24" s="143" t="s">
        <v>455</v>
      </c>
      <c r="N24" s="143" t="s">
        <v>339</v>
      </c>
      <c r="O24" s="143" t="s">
        <v>3148</v>
      </c>
      <c r="P24" s="143" t="s">
        <v>1210</v>
      </c>
      <c r="Q24" s="143" t="s">
        <v>885</v>
      </c>
      <c r="R24" s="143" t="s">
        <v>889</v>
      </c>
      <c r="S24" s="163">
        <v>45123</v>
      </c>
      <c r="T24" s="163">
        <v>45123</v>
      </c>
      <c r="U24" s="144">
        <v>404632.58</v>
      </c>
      <c r="V24" s="145" t="s">
        <v>3930</v>
      </c>
      <c r="W24" s="145" t="s">
        <v>3930</v>
      </c>
      <c r="X24" s="144">
        <v>0</v>
      </c>
      <c r="Y24" s="146">
        <v>9.8943442196870165E-10</v>
      </c>
      <c r="Z24" s="147">
        <v>5.8699564001165493E-11</v>
      </c>
      <c r="AA24" s="177"/>
    </row>
    <row r="25" spans="1:27" ht="15" x14ac:dyDescent="0.2">
      <c r="A25" s="142" t="s">
        <v>1205</v>
      </c>
      <c r="B25" s="143" t="s">
        <v>1205</v>
      </c>
      <c r="C25" s="143" t="s">
        <v>3245</v>
      </c>
      <c r="D25" s="143" t="s">
        <v>3246</v>
      </c>
      <c r="E25" s="143" t="s">
        <v>309</v>
      </c>
      <c r="F25" s="143" t="s">
        <v>3247</v>
      </c>
      <c r="G25" s="143" t="s">
        <v>3248</v>
      </c>
      <c r="H25" s="143" t="s">
        <v>312</v>
      </c>
      <c r="I25" s="143" t="s">
        <v>765</v>
      </c>
      <c r="J25" s="143" t="s">
        <v>204</v>
      </c>
      <c r="K25" s="143" t="s">
        <v>204</v>
      </c>
      <c r="L25" s="143" t="s">
        <v>314</v>
      </c>
      <c r="M25" s="143" t="s">
        <v>485</v>
      </c>
      <c r="N25" s="143" t="s">
        <v>339</v>
      </c>
      <c r="O25" s="143" t="s">
        <v>3148</v>
      </c>
      <c r="P25" s="143" t="s">
        <v>1210</v>
      </c>
      <c r="Q25" s="143" t="s">
        <v>885</v>
      </c>
      <c r="R25" s="143" t="s">
        <v>889</v>
      </c>
      <c r="S25" s="163">
        <v>45256</v>
      </c>
      <c r="T25" s="163">
        <v>45256</v>
      </c>
      <c r="U25" s="144">
        <v>18</v>
      </c>
      <c r="V25" s="145" t="s">
        <v>3930</v>
      </c>
      <c r="W25" s="145" t="s">
        <v>3930</v>
      </c>
      <c r="X25" s="144">
        <v>0</v>
      </c>
      <c r="Y25" s="146">
        <v>4.4014793854307603E-10</v>
      </c>
      <c r="Z25" s="147">
        <v>2.6112384524770076E-11</v>
      </c>
      <c r="AA25" s="177"/>
    </row>
    <row r="26" spans="1:27" ht="15" x14ac:dyDescent="0.2">
      <c r="A26" s="142" t="s">
        <v>1205</v>
      </c>
      <c r="B26" s="143" t="s">
        <v>1205</v>
      </c>
      <c r="C26" s="143" t="s">
        <v>3249</v>
      </c>
      <c r="D26" s="143" t="s">
        <v>3250</v>
      </c>
      <c r="E26" s="143" t="s">
        <v>314</v>
      </c>
      <c r="F26" s="143" t="s">
        <v>3251</v>
      </c>
      <c r="G26" s="143" t="s">
        <v>3252</v>
      </c>
      <c r="H26" s="143" t="s">
        <v>312</v>
      </c>
      <c r="I26" s="143" t="s">
        <v>765</v>
      </c>
      <c r="J26" s="143" t="s">
        <v>204</v>
      </c>
      <c r="K26" s="143" t="s">
        <v>204</v>
      </c>
      <c r="L26" s="143" t="s">
        <v>314</v>
      </c>
      <c r="M26" s="143" t="s">
        <v>455</v>
      </c>
      <c r="N26" s="143" t="s">
        <v>339</v>
      </c>
      <c r="O26" s="143" t="s">
        <v>3123</v>
      </c>
      <c r="P26" s="143" t="s">
        <v>1210</v>
      </c>
      <c r="Q26" s="143" t="s">
        <v>884</v>
      </c>
      <c r="R26" s="143" t="s">
        <v>888</v>
      </c>
      <c r="S26" s="163">
        <v>35744</v>
      </c>
      <c r="T26" s="163">
        <v>35744</v>
      </c>
      <c r="U26" s="144">
        <v>3097.76</v>
      </c>
      <c r="V26" s="145" t="s">
        <v>3930</v>
      </c>
      <c r="W26" s="145" t="s">
        <v>3930</v>
      </c>
      <c r="X26" s="144">
        <v>0</v>
      </c>
      <c r="Y26" s="145" t="s">
        <v>3930</v>
      </c>
      <c r="Z26" s="156" t="s">
        <v>3930</v>
      </c>
      <c r="AA26" s="177"/>
    </row>
    <row r="27" spans="1:27" ht="15" x14ac:dyDescent="0.2">
      <c r="A27" s="142" t="s">
        <v>1205</v>
      </c>
      <c r="B27" s="143" t="s">
        <v>1205</v>
      </c>
      <c r="C27" s="143" t="s">
        <v>3113</v>
      </c>
      <c r="D27" s="143" t="s">
        <v>3114</v>
      </c>
      <c r="E27" s="143" t="s">
        <v>309</v>
      </c>
      <c r="F27" s="143" t="s">
        <v>3253</v>
      </c>
      <c r="G27" s="143" t="s">
        <v>3254</v>
      </c>
      <c r="H27" s="143" t="s">
        <v>312</v>
      </c>
      <c r="I27" s="143" t="s">
        <v>765</v>
      </c>
      <c r="J27" s="143" t="s">
        <v>204</v>
      </c>
      <c r="K27" s="143" t="s">
        <v>204</v>
      </c>
      <c r="L27" s="143" t="s">
        <v>314</v>
      </c>
      <c r="M27" s="143" t="s">
        <v>451</v>
      </c>
      <c r="N27" s="143" t="s">
        <v>339</v>
      </c>
      <c r="O27" s="143" t="s">
        <v>3165</v>
      </c>
      <c r="P27" s="143" t="s">
        <v>1210</v>
      </c>
      <c r="Q27" s="143" t="s">
        <v>884</v>
      </c>
      <c r="R27" s="143" t="s">
        <v>888</v>
      </c>
      <c r="S27" s="163">
        <v>43044</v>
      </c>
      <c r="T27" s="163">
        <v>43044</v>
      </c>
      <c r="U27" s="144">
        <v>9102.73</v>
      </c>
      <c r="V27" s="145" t="s">
        <v>3930</v>
      </c>
      <c r="W27" s="145" t="s">
        <v>3930</v>
      </c>
      <c r="X27" s="144">
        <v>0</v>
      </c>
      <c r="Y27" s="145" t="s">
        <v>3930</v>
      </c>
      <c r="Z27" s="156" t="s">
        <v>3930</v>
      </c>
      <c r="AA27" s="177"/>
    </row>
    <row r="28" spans="1:27" x14ac:dyDescent="0.2">
      <c r="A28" s="142" t="s">
        <v>1205</v>
      </c>
      <c r="B28" s="143" t="s">
        <v>1205</v>
      </c>
      <c r="C28" s="143" t="s">
        <v>3255</v>
      </c>
      <c r="D28" s="143" t="s">
        <v>3256</v>
      </c>
      <c r="E28" s="143" t="s">
        <v>314</v>
      </c>
      <c r="F28" s="143" t="s">
        <v>3257</v>
      </c>
      <c r="G28" s="143" t="s">
        <v>3258</v>
      </c>
      <c r="H28" s="143" t="s">
        <v>312</v>
      </c>
      <c r="I28" s="143" t="s">
        <v>765</v>
      </c>
      <c r="J28" s="143" t="s">
        <v>205</v>
      </c>
      <c r="K28" s="143" t="s">
        <v>238</v>
      </c>
      <c r="L28" s="143" t="s">
        <v>314</v>
      </c>
      <c r="M28" s="143" t="s">
        <v>568</v>
      </c>
      <c r="N28" s="143" t="s">
        <v>339</v>
      </c>
      <c r="O28" s="143" t="s">
        <v>3123</v>
      </c>
      <c r="P28" s="143" t="s">
        <v>1218</v>
      </c>
      <c r="Q28" s="143" t="s">
        <v>884</v>
      </c>
      <c r="R28" s="143" t="s">
        <v>888</v>
      </c>
      <c r="S28" s="163">
        <v>45531</v>
      </c>
      <c r="T28" s="163">
        <v>45531</v>
      </c>
      <c r="U28" s="144">
        <v>788293.69</v>
      </c>
      <c r="V28" s="143" t="s">
        <v>1219</v>
      </c>
      <c r="W28" s="143" t="s">
        <v>3259</v>
      </c>
      <c r="X28" s="144">
        <v>4454.2655999999997</v>
      </c>
      <c r="Y28" s="146">
        <v>0.10891865624628812</v>
      </c>
      <c r="Z28" s="147">
        <v>6.4617497544998247E-3</v>
      </c>
      <c r="AA28" s="177"/>
    </row>
    <row r="29" spans="1:27" x14ac:dyDescent="0.2">
      <c r="A29" s="142" t="s">
        <v>1205</v>
      </c>
      <c r="B29" s="143" t="s">
        <v>1205</v>
      </c>
      <c r="C29" s="143" t="s">
        <v>3260</v>
      </c>
      <c r="D29" s="143" t="s">
        <v>3261</v>
      </c>
      <c r="E29" s="143" t="s">
        <v>314</v>
      </c>
      <c r="F29" s="143" t="s">
        <v>3262</v>
      </c>
      <c r="G29" s="143" t="s">
        <v>3263</v>
      </c>
      <c r="H29" s="143" t="s">
        <v>312</v>
      </c>
      <c r="I29" s="143" t="s">
        <v>765</v>
      </c>
      <c r="J29" s="143" t="s">
        <v>205</v>
      </c>
      <c r="K29" s="143" t="s">
        <v>224</v>
      </c>
      <c r="L29" s="143" t="s">
        <v>314</v>
      </c>
      <c r="M29" s="143" t="s">
        <v>444</v>
      </c>
      <c r="N29" s="143" t="s">
        <v>339</v>
      </c>
      <c r="O29" s="143" t="s">
        <v>3123</v>
      </c>
      <c r="P29" s="143" t="s">
        <v>1211</v>
      </c>
      <c r="Q29" s="143" t="s">
        <v>884</v>
      </c>
      <c r="R29" s="143" t="s">
        <v>888</v>
      </c>
      <c r="S29" s="163">
        <v>45291</v>
      </c>
      <c r="T29" s="163">
        <v>45291</v>
      </c>
      <c r="U29" s="144">
        <v>6669.82</v>
      </c>
      <c r="V29" s="143" t="s">
        <v>1212</v>
      </c>
      <c r="W29" s="143" t="s">
        <v>3264</v>
      </c>
      <c r="X29" s="144">
        <v>669.26649999999995</v>
      </c>
      <c r="Y29" s="146">
        <v>1.6365348678207419E-2</v>
      </c>
      <c r="Z29" s="147">
        <v>9.7089691929902672E-4</v>
      </c>
      <c r="AA29" s="177"/>
    </row>
    <row r="30" spans="1:27" ht="15" x14ac:dyDescent="0.2">
      <c r="A30" s="142" t="s">
        <v>1220</v>
      </c>
      <c r="B30" s="143" t="s">
        <v>1220</v>
      </c>
      <c r="C30" s="143" t="s">
        <v>3144</v>
      </c>
      <c r="D30" s="143" t="s">
        <v>3145</v>
      </c>
      <c r="E30" s="143" t="s">
        <v>309</v>
      </c>
      <c r="F30" s="143" t="s">
        <v>3146</v>
      </c>
      <c r="G30" s="143" t="s">
        <v>3147</v>
      </c>
      <c r="H30" s="143" t="s">
        <v>312</v>
      </c>
      <c r="I30" s="143" t="s">
        <v>765</v>
      </c>
      <c r="J30" s="143" t="s">
        <v>204</v>
      </c>
      <c r="K30" s="143" t="s">
        <v>204</v>
      </c>
      <c r="L30" s="143" t="s">
        <v>314</v>
      </c>
      <c r="M30" s="143" t="s">
        <v>455</v>
      </c>
      <c r="N30" s="143" t="s">
        <v>339</v>
      </c>
      <c r="O30" s="143" t="s">
        <v>3148</v>
      </c>
      <c r="P30" s="143" t="s">
        <v>1210</v>
      </c>
      <c r="Q30" s="143" t="s">
        <v>885</v>
      </c>
      <c r="R30" s="143" t="s">
        <v>889</v>
      </c>
      <c r="S30" s="163">
        <v>45412</v>
      </c>
      <c r="T30" s="163">
        <v>45412</v>
      </c>
      <c r="U30" s="144">
        <v>18386238.59</v>
      </c>
      <c r="V30" s="145" t="s">
        <v>3930</v>
      </c>
      <c r="W30" s="143" t="s">
        <v>3149</v>
      </c>
      <c r="X30" s="144">
        <v>136720.05180000002</v>
      </c>
      <c r="Y30" s="146">
        <v>0.2856001166104985</v>
      </c>
      <c r="Z30" s="147">
        <v>1.7451279312451582E-2</v>
      </c>
      <c r="AA30" s="177"/>
    </row>
    <row r="31" spans="1:27" ht="15" x14ac:dyDescent="0.2">
      <c r="A31" s="142" t="s">
        <v>1220</v>
      </c>
      <c r="B31" s="143" t="s">
        <v>1220</v>
      </c>
      <c r="C31" s="143" t="s">
        <v>3150</v>
      </c>
      <c r="D31" s="143" t="s">
        <v>3151</v>
      </c>
      <c r="E31" s="143" t="s">
        <v>309</v>
      </c>
      <c r="F31" s="143" t="s">
        <v>3152</v>
      </c>
      <c r="G31" s="143" t="s">
        <v>3153</v>
      </c>
      <c r="H31" s="143" t="s">
        <v>312</v>
      </c>
      <c r="I31" s="143" t="s">
        <v>765</v>
      </c>
      <c r="J31" s="143" t="s">
        <v>204</v>
      </c>
      <c r="K31" s="143" t="s">
        <v>204</v>
      </c>
      <c r="L31" s="143" t="s">
        <v>314</v>
      </c>
      <c r="M31" s="143" t="s">
        <v>463</v>
      </c>
      <c r="N31" s="143" t="s">
        <v>339</v>
      </c>
      <c r="O31" s="143" t="s">
        <v>3154</v>
      </c>
      <c r="P31" s="143" t="s">
        <v>1210</v>
      </c>
      <c r="Q31" s="143" t="s">
        <v>885</v>
      </c>
      <c r="R31" s="143" t="s">
        <v>889</v>
      </c>
      <c r="S31" s="163">
        <v>45382</v>
      </c>
      <c r="T31" s="163">
        <v>45382</v>
      </c>
      <c r="U31" s="144">
        <v>26848752</v>
      </c>
      <c r="V31" s="145" t="s">
        <v>3930</v>
      </c>
      <c r="W31" s="143" t="s">
        <v>3155</v>
      </c>
      <c r="X31" s="144">
        <v>84190.62509999999</v>
      </c>
      <c r="Y31" s="146">
        <v>0.17586924537214446</v>
      </c>
      <c r="Z31" s="147">
        <v>1.0746295764455426E-2</v>
      </c>
      <c r="AA31" s="177"/>
    </row>
    <row r="32" spans="1:27" ht="15" x14ac:dyDescent="0.2">
      <c r="A32" s="142" t="s">
        <v>1220</v>
      </c>
      <c r="B32" s="143" t="s">
        <v>1220</v>
      </c>
      <c r="C32" s="143" t="s">
        <v>3156</v>
      </c>
      <c r="D32" s="143" t="s">
        <v>3157</v>
      </c>
      <c r="E32" s="143" t="s">
        <v>309</v>
      </c>
      <c r="F32" s="143" t="s">
        <v>3156</v>
      </c>
      <c r="G32" s="143" t="s">
        <v>3158</v>
      </c>
      <c r="H32" s="143" t="s">
        <v>312</v>
      </c>
      <c r="I32" s="143" t="s">
        <v>765</v>
      </c>
      <c r="J32" s="143" t="s">
        <v>204</v>
      </c>
      <c r="K32" s="143" t="s">
        <v>204</v>
      </c>
      <c r="L32" s="143" t="s">
        <v>314</v>
      </c>
      <c r="M32" s="143" t="s">
        <v>485</v>
      </c>
      <c r="N32" s="143" t="s">
        <v>339</v>
      </c>
      <c r="O32" s="143" t="s">
        <v>3159</v>
      </c>
      <c r="P32" s="143" t="s">
        <v>1210</v>
      </c>
      <c r="Q32" s="143" t="s">
        <v>885</v>
      </c>
      <c r="R32" s="143" t="s">
        <v>889</v>
      </c>
      <c r="S32" s="163">
        <v>45553</v>
      </c>
      <c r="T32" s="163">
        <v>45553</v>
      </c>
      <c r="U32" s="144">
        <v>47008721.289999999</v>
      </c>
      <c r="V32" s="145" t="s">
        <v>3930</v>
      </c>
      <c r="W32" s="143" t="s">
        <v>3160</v>
      </c>
      <c r="X32" s="144">
        <v>59499.173600000002</v>
      </c>
      <c r="Y32" s="146">
        <v>0.12429026095959839</v>
      </c>
      <c r="Z32" s="147">
        <v>7.594618957321937E-3</v>
      </c>
      <c r="AA32" s="177"/>
    </row>
    <row r="33" spans="1:27" ht="15" x14ac:dyDescent="0.2">
      <c r="A33" s="142" t="s">
        <v>1220</v>
      </c>
      <c r="B33" s="143" t="s">
        <v>1220</v>
      </c>
      <c r="C33" s="143" t="s">
        <v>3265</v>
      </c>
      <c r="D33" s="143" t="s">
        <v>3266</v>
      </c>
      <c r="E33" s="143" t="s">
        <v>309</v>
      </c>
      <c r="F33" s="143" t="s">
        <v>3267</v>
      </c>
      <c r="G33" s="143" t="s">
        <v>3268</v>
      </c>
      <c r="H33" s="143" t="s">
        <v>312</v>
      </c>
      <c r="I33" s="143" t="s">
        <v>765</v>
      </c>
      <c r="J33" s="143" t="s">
        <v>204</v>
      </c>
      <c r="K33" s="143" t="s">
        <v>204</v>
      </c>
      <c r="L33" s="143" t="s">
        <v>314</v>
      </c>
      <c r="M33" s="143" t="s">
        <v>477</v>
      </c>
      <c r="N33" s="143" t="s">
        <v>339</v>
      </c>
      <c r="O33" s="143" t="s">
        <v>3148</v>
      </c>
      <c r="P33" s="143" t="s">
        <v>1210</v>
      </c>
      <c r="Q33" s="143" t="s">
        <v>885</v>
      </c>
      <c r="R33" s="143" t="s">
        <v>889</v>
      </c>
      <c r="S33" s="163">
        <v>45544</v>
      </c>
      <c r="T33" s="163">
        <v>45544</v>
      </c>
      <c r="U33" s="144">
        <v>15108602</v>
      </c>
      <c r="V33" s="145" t="s">
        <v>3930</v>
      </c>
      <c r="W33" s="143" t="s">
        <v>3269</v>
      </c>
      <c r="X33" s="144">
        <v>29936.516399999997</v>
      </c>
      <c r="Y33" s="146">
        <v>6.2535615382340037E-2</v>
      </c>
      <c r="Z33" s="147">
        <v>3.8211696268374111E-3</v>
      </c>
      <c r="AA33" s="177"/>
    </row>
    <row r="34" spans="1:27" ht="15" x14ac:dyDescent="0.2">
      <c r="A34" s="142" t="s">
        <v>1220</v>
      </c>
      <c r="B34" s="143" t="s">
        <v>1220</v>
      </c>
      <c r="C34" s="143" t="s">
        <v>3265</v>
      </c>
      <c r="D34" s="143" t="s">
        <v>3266</v>
      </c>
      <c r="E34" s="143" t="s">
        <v>309</v>
      </c>
      <c r="F34" s="143" t="s">
        <v>3270</v>
      </c>
      <c r="G34" s="143" t="s">
        <v>3271</v>
      </c>
      <c r="H34" s="143" t="s">
        <v>312</v>
      </c>
      <c r="I34" s="143" t="s">
        <v>765</v>
      </c>
      <c r="J34" s="143" t="s">
        <v>204</v>
      </c>
      <c r="K34" s="143" t="s">
        <v>204</v>
      </c>
      <c r="L34" s="143" t="s">
        <v>314</v>
      </c>
      <c r="M34" s="143" t="s">
        <v>477</v>
      </c>
      <c r="N34" s="143" t="s">
        <v>339</v>
      </c>
      <c r="O34" s="143" t="s">
        <v>3148</v>
      </c>
      <c r="P34" s="143" t="s">
        <v>1210</v>
      </c>
      <c r="Q34" s="143" t="s">
        <v>885</v>
      </c>
      <c r="R34" s="143" t="s">
        <v>889</v>
      </c>
      <c r="S34" s="163">
        <v>45544</v>
      </c>
      <c r="T34" s="163">
        <v>45544</v>
      </c>
      <c r="U34" s="144">
        <v>13526342</v>
      </c>
      <c r="V34" s="145" t="s">
        <v>3930</v>
      </c>
      <c r="W34" s="143" t="s">
        <v>3272</v>
      </c>
      <c r="X34" s="144">
        <v>26194.451100000002</v>
      </c>
      <c r="Y34" s="146">
        <v>5.471866196261975E-2</v>
      </c>
      <c r="Z34" s="147">
        <v>3.3435233320146182E-3</v>
      </c>
      <c r="AA34" s="177"/>
    </row>
    <row r="35" spans="1:27" x14ac:dyDescent="0.2">
      <c r="A35" s="142" t="s">
        <v>1220</v>
      </c>
      <c r="B35" s="143" t="s">
        <v>1220</v>
      </c>
      <c r="C35" s="143" t="s">
        <v>3161</v>
      </c>
      <c r="D35" s="143" t="s">
        <v>3162</v>
      </c>
      <c r="E35" s="143" t="s">
        <v>309</v>
      </c>
      <c r="F35" s="143" t="s">
        <v>3163</v>
      </c>
      <c r="G35" s="143" t="s">
        <v>3164</v>
      </c>
      <c r="H35" s="143" t="s">
        <v>312</v>
      </c>
      <c r="I35" s="143" t="s">
        <v>765</v>
      </c>
      <c r="J35" s="143" t="s">
        <v>204</v>
      </c>
      <c r="K35" s="143" t="s">
        <v>204</v>
      </c>
      <c r="L35" s="143" t="s">
        <v>314</v>
      </c>
      <c r="M35" s="143" t="s">
        <v>455</v>
      </c>
      <c r="N35" s="143" t="s">
        <v>339</v>
      </c>
      <c r="O35" s="143" t="s">
        <v>3165</v>
      </c>
      <c r="P35" s="143" t="s">
        <v>1211</v>
      </c>
      <c r="Q35" s="143" t="s">
        <v>884</v>
      </c>
      <c r="R35" s="143" t="s">
        <v>888</v>
      </c>
      <c r="S35" s="163">
        <v>45439</v>
      </c>
      <c r="T35" s="163">
        <v>45439</v>
      </c>
      <c r="U35" s="144">
        <v>585247</v>
      </c>
      <c r="V35" s="143" t="s">
        <v>1212</v>
      </c>
      <c r="W35" s="143" t="s">
        <v>3166</v>
      </c>
      <c r="X35" s="144">
        <v>17610.707300000002</v>
      </c>
      <c r="Y35" s="146">
        <v>3.6787727812504195E-2</v>
      </c>
      <c r="Z35" s="147">
        <v>2.2478734285742755E-3</v>
      </c>
      <c r="AA35" s="177"/>
    </row>
    <row r="36" spans="1:27" ht="15" x14ac:dyDescent="0.2">
      <c r="A36" s="142" t="s">
        <v>1220</v>
      </c>
      <c r="B36" s="143" t="s">
        <v>1220</v>
      </c>
      <c r="C36" s="143" t="s">
        <v>3167</v>
      </c>
      <c r="D36" s="143" t="s">
        <v>3168</v>
      </c>
      <c r="E36" s="143" t="s">
        <v>3169</v>
      </c>
      <c r="F36" s="143" t="s">
        <v>3170</v>
      </c>
      <c r="G36" s="143" t="s">
        <v>3171</v>
      </c>
      <c r="H36" s="143" t="s">
        <v>312</v>
      </c>
      <c r="I36" s="143" t="s">
        <v>765</v>
      </c>
      <c r="J36" s="143" t="s">
        <v>204</v>
      </c>
      <c r="K36" s="143" t="s">
        <v>204</v>
      </c>
      <c r="L36" s="143" t="s">
        <v>314</v>
      </c>
      <c r="M36" s="143" t="s">
        <v>447</v>
      </c>
      <c r="N36" s="143" t="s">
        <v>339</v>
      </c>
      <c r="O36" s="143" t="s">
        <v>3172</v>
      </c>
      <c r="P36" s="143" t="s">
        <v>1210</v>
      </c>
      <c r="Q36" s="143" t="s">
        <v>885</v>
      </c>
      <c r="R36" s="143" t="s">
        <v>889</v>
      </c>
      <c r="S36" s="163">
        <v>45533</v>
      </c>
      <c r="T36" s="163">
        <v>45533</v>
      </c>
      <c r="U36" s="144">
        <v>14061219</v>
      </c>
      <c r="V36" s="145" t="s">
        <v>3930</v>
      </c>
      <c r="W36" s="143" t="s">
        <v>3173</v>
      </c>
      <c r="X36" s="144">
        <v>13942.767300000001</v>
      </c>
      <c r="Y36" s="146">
        <v>2.9125617732735788E-2</v>
      </c>
      <c r="Z36" s="147">
        <v>1.7796886648154154E-3</v>
      </c>
      <c r="AA36" s="177"/>
    </row>
    <row r="37" spans="1:27" ht="15" x14ac:dyDescent="0.2">
      <c r="A37" s="142" t="s">
        <v>1220</v>
      </c>
      <c r="B37" s="143" t="s">
        <v>1220</v>
      </c>
      <c r="C37" s="143" t="s">
        <v>3273</v>
      </c>
      <c r="D37" s="143" t="s">
        <v>3274</v>
      </c>
      <c r="E37" s="143" t="s">
        <v>309</v>
      </c>
      <c r="F37" s="143" t="s">
        <v>3275</v>
      </c>
      <c r="G37" s="143" t="s">
        <v>3276</v>
      </c>
      <c r="H37" s="143" t="s">
        <v>312</v>
      </c>
      <c r="I37" s="143" t="s">
        <v>765</v>
      </c>
      <c r="J37" s="143" t="s">
        <v>204</v>
      </c>
      <c r="K37" s="143" t="s">
        <v>204</v>
      </c>
      <c r="L37" s="143" t="s">
        <v>314</v>
      </c>
      <c r="M37" s="143" t="s">
        <v>485</v>
      </c>
      <c r="N37" s="143" t="s">
        <v>339</v>
      </c>
      <c r="O37" s="143" t="s">
        <v>3148</v>
      </c>
      <c r="P37" s="143" t="s">
        <v>1210</v>
      </c>
      <c r="Q37" s="143" t="s">
        <v>885</v>
      </c>
      <c r="R37" s="143" t="s">
        <v>889</v>
      </c>
      <c r="S37" s="163">
        <v>45403</v>
      </c>
      <c r="T37" s="163">
        <v>45403</v>
      </c>
      <c r="U37" s="144">
        <v>11457158</v>
      </c>
      <c r="V37" s="145" t="s">
        <v>3930</v>
      </c>
      <c r="W37" s="143" t="s">
        <v>3277</v>
      </c>
      <c r="X37" s="144">
        <v>11856.543099999999</v>
      </c>
      <c r="Y37" s="146">
        <v>2.4767618500590505E-2</v>
      </c>
      <c r="Z37" s="147">
        <v>1.5133979407561621E-3</v>
      </c>
      <c r="AA37" s="177"/>
    </row>
    <row r="38" spans="1:27" x14ac:dyDescent="0.2">
      <c r="A38" s="142" t="s">
        <v>1220</v>
      </c>
      <c r="B38" s="143" t="s">
        <v>1220</v>
      </c>
      <c r="C38" s="143" t="s">
        <v>3174</v>
      </c>
      <c r="D38" s="143" t="s">
        <v>3175</v>
      </c>
      <c r="E38" s="143" t="s">
        <v>309</v>
      </c>
      <c r="F38" s="143" t="s">
        <v>3176</v>
      </c>
      <c r="G38" s="143" t="s">
        <v>3177</v>
      </c>
      <c r="H38" s="143" t="s">
        <v>312</v>
      </c>
      <c r="I38" s="143" t="s">
        <v>765</v>
      </c>
      <c r="J38" s="143" t="s">
        <v>204</v>
      </c>
      <c r="K38" s="143" t="s">
        <v>224</v>
      </c>
      <c r="L38" s="143" t="s">
        <v>314</v>
      </c>
      <c r="M38" s="143" t="s">
        <v>472</v>
      </c>
      <c r="N38" s="143" t="s">
        <v>339</v>
      </c>
      <c r="O38" s="143" t="s">
        <v>3178</v>
      </c>
      <c r="P38" s="143" t="s">
        <v>1211</v>
      </c>
      <c r="Q38" s="143" t="s">
        <v>884</v>
      </c>
      <c r="R38" s="143" t="s">
        <v>888</v>
      </c>
      <c r="S38" s="163">
        <v>45291</v>
      </c>
      <c r="T38" s="163">
        <v>45291</v>
      </c>
      <c r="U38" s="144">
        <v>279752</v>
      </c>
      <c r="V38" s="143" t="s">
        <v>1212</v>
      </c>
      <c r="W38" s="143" t="s">
        <v>3179</v>
      </c>
      <c r="X38" s="144">
        <v>8614.9223000000002</v>
      </c>
      <c r="Y38" s="146">
        <v>1.7996064035739466E-2</v>
      </c>
      <c r="Z38" s="147">
        <v>1.0996295930815795E-3</v>
      </c>
      <c r="AA38" s="177"/>
    </row>
    <row r="39" spans="1:27" x14ac:dyDescent="0.2">
      <c r="A39" s="142" t="s">
        <v>1220</v>
      </c>
      <c r="B39" s="143" t="s">
        <v>1220</v>
      </c>
      <c r="C39" s="143" t="s">
        <v>3183</v>
      </c>
      <c r="D39" s="143" t="s">
        <v>3184</v>
      </c>
      <c r="E39" s="143" t="s">
        <v>309</v>
      </c>
      <c r="F39" s="143" t="s">
        <v>3185</v>
      </c>
      <c r="G39" s="143" t="s">
        <v>3186</v>
      </c>
      <c r="H39" s="143" t="s">
        <v>312</v>
      </c>
      <c r="I39" s="143" t="s">
        <v>765</v>
      </c>
      <c r="J39" s="143" t="s">
        <v>204</v>
      </c>
      <c r="K39" s="143" t="s">
        <v>224</v>
      </c>
      <c r="L39" s="143" t="s">
        <v>314</v>
      </c>
      <c r="M39" s="143" t="s">
        <v>444</v>
      </c>
      <c r="N39" s="143" t="s">
        <v>339</v>
      </c>
      <c r="O39" s="143" t="s">
        <v>3187</v>
      </c>
      <c r="P39" s="143" t="s">
        <v>1211</v>
      </c>
      <c r="Q39" s="143" t="s">
        <v>884</v>
      </c>
      <c r="R39" s="143" t="s">
        <v>888</v>
      </c>
      <c r="S39" s="163">
        <v>45351</v>
      </c>
      <c r="T39" s="163">
        <v>45351</v>
      </c>
      <c r="U39" s="144">
        <v>2192402.84</v>
      </c>
      <c r="V39" s="143" t="s">
        <v>1212</v>
      </c>
      <c r="W39" s="143" t="s">
        <v>3061</v>
      </c>
      <c r="X39" s="144">
        <v>8133.8145000000004</v>
      </c>
      <c r="Y39" s="146">
        <v>1.6991058370932489E-2</v>
      </c>
      <c r="Z39" s="147">
        <v>1.0382198332562294E-3</v>
      </c>
      <c r="AA39" s="177"/>
    </row>
    <row r="40" spans="1:27" ht="15" x14ac:dyDescent="0.2">
      <c r="A40" s="142" t="s">
        <v>1220</v>
      </c>
      <c r="B40" s="143" t="s">
        <v>1220</v>
      </c>
      <c r="C40" s="143" t="s">
        <v>3150</v>
      </c>
      <c r="D40" s="143" t="s">
        <v>3151</v>
      </c>
      <c r="E40" s="143" t="s">
        <v>309</v>
      </c>
      <c r="F40" s="143" t="s">
        <v>3180</v>
      </c>
      <c r="G40" s="143" t="s">
        <v>3181</v>
      </c>
      <c r="H40" s="143" t="s">
        <v>312</v>
      </c>
      <c r="I40" s="143" t="s">
        <v>765</v>
      </c>
      <c r="J40" s="143" t="s">
        <v>204</v>
      </c>
      <c r="K40" s="143" t="s">
        <v>204</v>
      </c>
      <c r="L40" s="143" t="s">
        <v>314</v>
      </c>
      <c r="M40" s="143" t="s">
        <v>463</v>
      </c>
      <c r="N40" s="143" t="s">
        <v>339</v>
      </c>
      <c r="O40" s="143" t="s">
        <v>3148</v>
      </c>
      <c r="P40" s="143" t="s">
        <v>1210</v>
      </c>
      <c r="Q40" s="143" t="s">
        <v>885</v>
      </c>
      <c r="R40" s="143" t="s">
        <v>889</v>
      </c>
      <c r="S40" s="163">
        <v>45382</v>
      </c>
      <c r="T40" s="163">
        <v>45382</v>
      </c>
      <c r="U40" s="144">
        <v>5968155.2999999998</v>
      </c>
      <c r="V40" s="145" t="s">
        <v>3930</v>
      </c>
      <c r="W40" s="143" t="s">
        <v>3182</v>
      </c>
      <c r="X40" s="144">
        <v>7911.3925999999992</v>
      </c>
      <c r="Y40" s="146">
        <v>1.6526432147585708E-2</v>
      </c>
      <c r="Z40" s="147">
        <v>1.0098293616564846E-3</v>
      </c>
      <c r="AA40" s="177"/>
    </row>
    <row r="41" spans="1:27" ht="15" x14ac:dyDescent="0.2">
      <c r="A41" s="142" t="s">
        <v>1220</v>
      </c>
      <c r="B41" s="143" t="s">
        <v>1220</v>
      </c>
      <c r="C41" s="143" t="s">
        <v>3188</v>
      </c>
      <c r="D41" s="143" t="s">
        <v>3189</v>
      </c>
      <c r="E41" s="143" t="s">
        <v>314</v>
      </c>
      <c r="F41" s="143" t="s">
        <v>3190</v>
      </c>
      <c r="G41" s="143" t="s">
        <v>3191</v>
      </c>
      <c r="H41" s="143" t="s">
        <v>312</v>
      </c>
      <c r="I41" s="143" t="s">
        <v>765</v>
      </c>
      <c r="J41" s="143" t="s">
        <v>204</v>
      </c>
      <c r="K41" s="143" t="s">
        <v>204</v>
      </c>
      <c r="L41" s="143" t="s">
        <v>314</v>
      </c>
      <c r="M41" s="143" t="s">
        <v>485</v>
      </c>
      <c r="N41" s="143" t="s">
        <v>339</v>
      </c>
      <c r="O41" s="143" t="s">
        <v>3148</v>
      </c>
      <c r="P41" s="143" t="s">
        <v>1210</v>
      </c>
      <c r="Q41" s="143" t="s">
        <v>885</v>
      </c>
      <c r="R41" s="143" t="s">
        <v>889</v>
      </c>
      <c r="S41" s="163">
        <v>45536</v>
      </c>
      <c r="T41" s="163">
        <v>45536</v>
      </c>
      <c r="U41" s="144">
        <v>8146317</v>
      </c>
      <c r="V41" s="145" t="s">
        <v>3930</v>
      </c>
      <c r="W41" s="143" t="s">
        <v>3192</v>
      </c>
      <c r="X41" s="144">
        <v>7063.4922999999999</v>
      </c>
      <c r="Y41" s="146">
        <v>1.4755218306812368E-2</v>
      </c>
      <c r="Z41" s="147">
        <v>9.0160129850211715E-4</v>
      </c>
      <c r="AA41" s="177"/>
    </row>
    <row r="42" spans="1:27" x14ac:dyDescent="0.2">
      <c r="A42" s="142" t="s">
        <v>1220</v>
      </c>
      <c r="B42" s="143" t="s">
        <v>1220</v>
      </c>
      <c r="C42" s="143" t="s">
        <v>3193</v>
      </c>
      <c r="D42" s="143" t="s">
        <v>3194</v>
      </c>
      <c r="E42" s="143" t="s">
        <v>314</v>
      </c>
      <c r="F42" s="143" t="s">
        <v>3195</v>
      </c>
      <c r="G42" s="143" t="s">
        <v>3196</v>
      </c>
      <c r="H42" s="143" t="s">
        <v>312</v>
      </c>
      <c r="I42" s="143" t="s">
        <v>765</v>
      </c>
      <c r="J42" s="143" t="s">
        <v>204</v>
      </c>
      <c r="K42" s="143" t="s">
        <v>224</v>
      </c>
      <c r="L42" s="143" t="s">
        <v>314</v>
      </c>
      <c r="M42" s="143" t="s">
        <v>546</v>
      </c>
      <c r="N42" s="143" t="s">
        <v>339</v>
      </c>
      <c r="O42" s="143" t="s">
        <v>3197</v>
      </c>
      <c r="P42" s="143" t="s">
        <v>1211</v>
      </c>
      <c r="Q42" s="143" t="s">
        <v>884</v>
      </c>
      <c r="R42" s="143" t="s">
        <v>888</v>
      </c>
      <c r="S42" s="163">
        <v>45439</v>
      </c>
      <c r="T42" s="163">
        <v>45439</v>
      </c>
      <c r="U42" s="144">
        <v>246319</v>
      </c>
      <c r="V42" s="143" t="s">
        <v>1212</v>
      </c>
      <c r="W42" s="143" t="s">
        <v>3198</v>
      </c>
      <c r="X42" s="144">
        <v>3673.6507999999999</v>
      </c>
      <c r="Y42" s="146">
        <v>7.6740397023095774E-3</v>
      </c>
      <c r="Z42" s="147">
        <v>4.6891371015261114E-4</v>
      </c>
      <c r="AA42" s="177"/>
    </row>
    <row r="43" spans="1:27" x14ac:dyDescent="0.2">
      <c r="A43" s="142" t="s">
        <v>1220</v>
      </c>
      <c r="B43" s="143" t="s">
        <v>1220</v>
      </c>
      <c r="C43" s="143" t="s">
        <v>3204</v>
      </c>
      <c r="D43" s="143" t="s">
        <v>3205</v>
      </c>
      <c r="E43" s="143" t="s">
        <v>314</v>
      </c>
      <c r="F43" s="143" t="s">
        <v>3206</v>
      </c>
      <c r="G43" s="143" t="s">
        <v>3207</v>
      </c>
      <c r="H43" s="143" t="s">
        <v>312</v>
      </c>
      <c r="I43" s="143" t="s">
        <v>765</v>
      </c>
      <c r="J43" s="143" t="s">
        <v>204</v>
      </c>
      <c r="K43" s="143" t="s">
        <v>296</v>
      </c>
      <c r="L43" s="143" t="s">
        <v>314</v>
      </c>
      <c r="M43" s="143" t="s">
        <v>546</v>
      </c>
      <c r="N43" s="143" t="s">
        <v>339</v>
      </c>
      <c r="O43" s="143" t="s">
        <v>3208</v>
      </c>
      <c r="P43" s="143" t="s">
        <v>1211</v>
      </c>
      <c r="Q43" s="143" t="s">
        <v>884</v>
      </c>
      <c r="R43" s="143" t="s">
        <v>888</v>
      </c>
      <c r="S43" s="163">
        <v>45530</v>
      </c>
      <c r="T43" s="163">
        <v>45530</v>
      </c>
      <c r="U43" s="144">
        <v>158831</v>
      </c>
      <c r="V43" s="143" t="s">
        <v>1212</v>
      </c>
      <c r="W43" s="143" t="s">
        <v>3209</v>
      </c>
      <c r="X43" s="144">
        <v>3597.2126000000003</v>
      </c>
      <c r="Y43" s="146">
        <v>7.5143647817521439E-3</v>
      </c>
      <c r="Z43" s="147">
        <v>4.5915695069847698E-4</v>
      </c>
      <c r="AA43" s="177"/>
    </row>
    <row r="44" spans="1:27" x14ac:dyDescent="0.2">
      <c r="A44" s="142" t="s">
        <v>1220</v>
      </c>
      <c r="B44" s="143" t="s">
        <v>1220</v>
      </c>
      <c r="C44" s="143" t="s">
        <v>3199</v>
      </c>
      <c r="D44" s="143" t="s">
        <v>3200</v>
      </c>
      <c r="E44" s="143" t="s">
        <v>314</v>
      </c>
      <c r="F44" s="143" t="s">
        <v>3201</v>
      </c>
      <c r="G44" s="143" t="s">
        <v>3202</v>
      </c>
      <c r="H44" s="143" t="s">
        <v>312</v>
      </c>
      <c r="I44" s="143" t="s">
        <v>765</v>
      </c>
      <c r="J44" s="143" t="s">
        <v>204</v>
      </c>
      <c r="K44" s="143" t="s">
        <v>204</v>
      </c>
      <c r="L44" s="143" t="s">
        <v>314</v>
      </c>
      <c r="M44" s="143" t="s">
        <v>444</v>
      </c>
      <c r="N44" s="143" t="s">
        <v>339</v>
      </c>
      <c r="O44" s="143" t="s">
        <v>3165</v>
      </c>
      <c r="P44" s="143" t="s">
        <v>1211</v>
      </c>
      <c r="Q44" s="143" t="s">
        <v>884</v>
      </c>
      <c r="R44" s="143" t="s">
        <v>888</v>
      </c>
      <c r="S44" s="163">
        <v>45250</v>
      </c>
      <c r="T44" s="163">
        <v>45250</v>
      </c>
      <c r="U44" s="144">
        <v>2567.9699999999998</v>
      </c>
      <c r="V44" s="143" t="s">
        <v>1212</v>
      </c>
      <c r="W44" s="143" t="s">
        <v>3203</v>
      </c>
      <c r="X44" s="144">
        <v>3425.0171</v>
      </c>
      <c r="Y44" s="146">
        <v>7.1546586188726427E-3</v>
      </c>
      <c r="Z44" s="147">
        <v>4.371775033742961E-4</v>
      </c>
      <c r="AA44" s="177"/>
    </row>
    <row r="45" spans="1:27" x14ac:dyDescent="0.2">
      <c r="A45" s="142" t="s">
        <v>1220</v>
      </c>
      <c r="B45" s="143" t="s">
        <v>1220</v>
      </c>
      <c r="C45" s="143" t="s">
        <v>3199</v>
      </c>
      <c r="D45" s="143" t="s">
        <v>3200</v>
      </c>
      <c r="E45" s="143" t="s">
        <v>314</v>
      </c>
      <c r="F45" s="143" t="s">
        <v>3210</v>
      </c>
      <c r="G45" s="143" t="s">
        <v>3211</v>
      </c>
      <c r="H45" s="143" t="s">
        <v>312</v>
      </c>
      <c r="I45" s="143" t="s">
        <v>765</v>
      </c>
      <c r="J45" s="143" t="s">
        <v>204</v>
      </c>
      <c r="K45" s="143" t="s">
        <v>204</v>
      </c>
      <c r="L45" s="143" t="s">
        <v>314</v>
      </c>
      <c r="M45" s="143" t="s">
        <v>444</v>
      </c>
      <c r="N45" s="143" t="s">
        <v>339</v>
      </c>
      <c r="O45" s="143" t="s">
        <v>3165</v>
      </c>
      <c r="P45" s="143" t="s">
        <v>1211</v>
      </c>
      <c r="Q45" s="143" t="s">
        <v>884</v>
      </c>
      <c r="R45" s="143" t="s">
        <v>888</v>
      </c>
      <c r="S45" s="163">
        <v>45250</v>
      </c>
      <c r="T45" s="163">
        <v>45250</v>
      </c>
      <c r="U45" s="144">
        <v>2039.99</v>
      </c>
      <c r="V45" s="143" t="s">
        <v>1212</v>
      </c>
      <c r="W45" s="143" t="s">
        <v>3212</v>
      </c>
      <c r="X45" s="144">
        <v>2925.1722999999997</v>
      </c>
      <c r="Y45" s="146">
        <v>6.1105121596653402E-3</v>
      </c>
      <c r="Z45" s="147">
        <v>3.7337608858851464E-4</v>
      </c>
      <c r="AA45" s="177"/>
    </row>
    <row r="46" spans="1:27" ht="15" x14ac:dyDescent="0.2">
      <c r="A46" s="142" t="s">
        <v>1220</v>
      </c>
      <c r="B46" s="143" t="s">
        <v>1220</v>
      </c>
      <c r="C46" s="143" t="s">
        <v>2234</v>
      </c>
      <c r="D46" s="143" t="s">
        <v>2235</v>
      </c>
      <c r="E46" s="143" t="s">
        <v>309</v>
      </c>
      <c r="F46" s="143" t="s">
        <v>3213</v>
      </c>
      <c r="G46" s="143" t="s">
        <v>3214</v>
      </c>
      <c r="H46" s="143" t="s">
        <v>312</v>
      </c>
      <c r="I46" s="143" t="s">
        <v>765</v>
      </c>
      <c r="J46" s="143" t="s">
        <v>204</v>
      </c>
      <c r="K46" s="143" t="s">
        <v>204</v>
      </c>
      <c r="L46" s="143" t="s">
        <v>314</v>
      </c>
      <c r="M46" s="143" t="s">
        <v>451</v>
      </c>
      <c r="N46" s="143" t="s">
        <v>339</v>
      </c>
      <c r="O46" s="143" t="s">
        <v>3148</v>
      </c>
      <c r="P46" s="143" t="s">
        <v>1210</v>
      </c>
      <c r="Q46" s="143" t="s">
        <v>885</v>
      </c>
      <c r="R46" s="143" t="s">
        <v>889</v>
      </c>
      <c r="S46" s="163">
        <v>45497</v>
      </c>
      <c r="T46" s="163">
        <v>45497</v>
      </c>
      <c r="U46" s="144">
        <v>32912</v>
      </c>
      <c r="V46" s="145" t="s">
        <v>3930</v>
      </c>
      <c r="W46" s="143" t="s">
        <v>3215</v>
      </c>
      <c r="X46" s="144">
        <v>904.03530000000001</v>
      </c>
      <c r="Y46" s="146">
        <v>1.8884764542047763E-3</v>
      </c>
      <c r="Z46" s="147">
        <v>1.1539326548056555E-4</v>
      </c>
      <c r="AA46" s="177"/>
    </row>
    <row r="47" spans="1:27" x14ac:dyDescent="0.2">
      <c r="A47" s="142" t="s">
        <v>1220</v>
      </c>
      <c r="B47" s="143" t="s">
        <v>1220</v>
      </c>
      <c r="C47" s="143" t="s">
        <v>3199</v>
      </c>
      <c r="D47" s="143" t="s">
        <v>3200</v>
      </c>
      <c r="E47" s="143" t="s">
        <v>314</v>
      </c>
      <c r="F47" s="143" t="s">
        <v>3216</v>
      </c>
      <c r="G47" s="143" t="s">
        <v>3217</v>
      </c>
      <c r="H47" s="143" t="s">
        <v>312</v>
      </c>
      <c r="I47" s="143" t="s">
        <v>765</v>
      </c>
      <c r="J47" s="143" t="s">
        <v>204</v>
      </c>
      <c r="K47" s="143" t="s">
        <v>204</v>
      </c>
      <c r="L47" s="143" t="s">
        <v>314</v>
      </c>
      <c r="M47" s="143" t="s">
        <v>444</v>
      </c>
      <c r="N47" s="143" t="s">
        <v>339</v>
      </c>
      <c r="O47" s="143" t="s">
        <v>3218</v>
      </c>
      <c r="P47" s="143" t="s">
        <v>1211</v>
      </c>
      <c r="Q47" s="143" t="s">
        <v>884</v>
      </c>
      <c r="R47" s="143" t="s">
        <v>888</v>
      </c>
      <c r="S47" s="163">
        <v>45250</v>
      </c>
      <c r="T47" s="163">
        <v>45250</v>
      </c>
      <c r="U47" s="144">
        <v>590</v>
      </c>
      <c r="V47" s="143" t="s">
        <v>1212</v>
      </c>
      <c r="W47" s="143" t="s">
        <v>3219</v>
      </c>
      <c r="X47" s="144">
        <v>794.57069999999999</v>
      </c>
      <c r="Y47" s="146">
        <v>1.6598112832688226E-3</v>
      </c>
      <c r="Z47" s="147">
        <v>1.0142093306560698E-4</v>
      </c>
      <c r="AA47" s="177"/>
    </row>
    <row r="48" spans="1:27" x14ac:dyDescent="0.2">
      <c r="A48" s="142" t="s">
        <v>1220</v>
      </c>
      <c r="B48" s="143" t="s">
        <v>1220</v>
      </c>
      <c r="C48" s="143" t="s">
        <v>3220</v>
      </c>
      <c r="D48" s="143" t="s">
        <v>3221</v>
      </c>
      <c r="E48" s="143" t="s">
        <v>309</v>
      </c>
      <c r="F48" s="143" t="s">
        <v>3220</v>
      </c>
      <c r="G48" s="143" t="s">
        <v>3222</v>
      </c>
      <c r="H48" s="143" t="s">
        <v>312</v>
      </c>
      <c r="I48" s="143" t="s">
        <v>765</v>
      </c>
      <c r="J48" s="143" t="s">
        <v>204</v>
      </c>
      <c r="K48" s="143" t="s">
        <v>296</v>
      </c>
      <c r="L48" s="143" t="s">
        <v>314</v>
      </c>
      <c r="M48" s="143" t="s">
        <v>449</v>
      </c>
      <c r="N48" s="143" t="s">
        <v>339</v>
      </c>
      <c r="O48" s="143" t="s">
        <v>3223</v>
      </c>
      <c r="P48" s="143" t="s">
        <v>1211</v>
      </c>
      <c r="Q48" s="143" t="s">
        <v>884</v>
      </c>
      <c r="R48" s="143" t="s">
        <v>888</v>
      </c>
      <c r="S48" s="163">
        <v>45565</v>
      </c>
      <c r="T48" s="163">
        <v>45565</v>
      </c>
      <c r="U48" s="144">
        <v>577200</v>
      </c>
      <c r="V48" s="143" t="s">
        <v>1212</v>
      </c>
      <c r="W48" s="143" t="s">
        <v>3224</v>
      </c>
      <c r="X48" s="144">
        <v>267.67649999999998</v>
      </c>
      <c r="Y48" s="146">
        <v>5.5916040569568826E-4</v>
      </c>
      <c r="Z48" s="147">
        <v>3.4166878277459695E-5</v>
      </c>
      <c r="AA48" s="177"/>
    </row>
    <row r="49" spans="1:27" x14ac:dyDescent="0.2">
      <c r="A49" s="142" t="s">
        <v>1220</v>
      </c>
      <c r="B49" s="143" t="s">
        <v>1220</v>
      </c>
      <c r="C49" s="143" t="s">
        <v>3225</v>
      </c>
      <c r="D49" s="143" t="s">
        <v>3226</v>
      </c>
      <c r="E49" s="143" t="s">
        <v>309</v>
      </c>
      <c r="F49" s="143" t="s">
        <v>3227</v>
      </c>
      <c r="G49" s="143" t="s">
        <v>3228</v>
      </c>
      <c r="H49" s="143" t="s">
        <v>312</v>
      </c>
      <c r="I49" s="143" t="s">
        <v>765</v>
      </c>
      <c r="J49" s="143" t="s">
        <v>204</v>
      </c>
      <c r="K49" s="143" t="s">
        <v>204</v>
      </c>
      <c r="L49" s="143" t="s">
        <v>314</v>
      </c>
      <c r="M49" s="143" t="s">
        <v>449</v>
      </c>
      <c r="N49" s="143" t="s">
        <v>339</v>
      </c>
      <c r="O49" s="143" t="s">
        <v>3229</v>
      </c>
      <c r="P49" s="143" t="s">
        <v>1211</v>
      </c>
      <c r="Q49" s="143" t="s">
        <v>887</v>
      </c>
      <c r="R49" s="143" t="s">
        <v>889</v>
      </c>
      <c r="S49" s="163">
        <v>45396</v>
      </c>
      <c r="T49" s="163">
        <v>45396</v>
      </c>
      <c r="U49" s="144">
        <v>1002340</v>
      </c>
      <c r="V49" s="143" t="s">
        <v>1212</v>
      </c>
      <c r="W49" s="143" t="s">
        <v>3230</v>
      </c>
      <c r="X49" s="144">
        <v>163.61829999999998</v>
      </c>
      <c r="Y49" s="146">
        <v>3.4178889171364746E-4</v>
      </c>
      <c r="Z49" s="147">
        <v>2.0884632282285535E-5</v>
      </c>
      <c r="AA49" s="177"/>
    </row>
    <row r="50" spans="1:27" x14ac:dyDescent="0.2">
      <c r="A50" s="142" t="s">
        <v>1220</v>
      </c>
      <c r="B50" s="143" t="s">
        <v>1220</v>
      </c>
      <c r="C50" s="143" t="s">
        <v>3231</v>
      </c>
      <c r="D50" s="143" t="s">
        <v>3232</v>
      </c>
      <c r="E50" s="143" t="s">
        <v>309</v>
      </c>
      <c r="F50" s="143" t="s">
        <v>3233</v>
      </c>
      <c r="G50" s="143" t="s">
        <v>3234</v>
      </c>
      <c r="H50" s="143" t="s">
        <v>312</v>
      </c>
      <c r="I50" s="143" t="s">
        <v>765</v>
      </c>
      <c r="J50" s="143" t="s">
        <v>204</v>
      </c>
      <c r="K50" s="143" t="s">
        <v>204</v>
      </c>
      <c r="L50" s="143" t="s">
        <v>314</v>
      </c>
      <c r="M50" s="143" t="s">
        <v>480</v>
      </c>
      <c r="N50" s="143" t="s">
        <v>339</v>
      </c>
      <c r="O50" s="143" t="s">
        <v>3235</v>
      </c>
      <c r="P50" s="143" t="s">
        <v>1211</v>
      </c>
      <c r="Q50" s="143" t="s">
        <v>884</v>
      </c>
      <c r="R50" s="143" t="s">
        <v>888</v>
      </c>
      <c r="S50" s="163">
        <v>45565</v>
      </c>
      <c r="T50" s="163">
        <v>45565</v>
      </c>
      <c r="U50" s="144">
        <v>1000000</v>
      </c>
      <c r="V50" s="143" t="s">
        <v>1212</v>
      </c>
      <c r="W50" s="143" t="s">
        <v>3236</v>
      </c>
      <c r="X50" s="144">
        <v>135.6524</v>
      </c>
      <c r="Y50" s="146">
        <v>2.833699386535987E-4</v>
      </c>
      <c r="Z50" s="147">
        <v>1.731500675449808E-5</v>
      </c>
      <c r="AA50" s="177"/>
    </row>
    <row r="51" spans="1:27" x14ac:dyDescent="0.2">
      <c r="A51" s="142" t="s">
        <v>1220</v>
      </c>
      <c r="B51" s="143" t="s">
        <v>1220</v>
      </c>
      <c r="C51" s="143" t="s">
        <v>3237</v>
      </c>
      <c r="D51" s="143" t="s">
        <v>3238</v>
      </c>
      <c r="E51" s="143" t="s">
        <v>309</v>
      </c>
      <c r="F51" s="143" t="s">
        <v>3239</v>
      </c>
      <c r="G51" s="143" t="s">
        <v>3240</v>
      </c>
      <c r="H51" s="143" t="s">
        <v>312</v>
      </c>
      <c r="I51" s="143" t="s">
        <v>765</v>
      </c>
      <c r="J51" s="143" t="s">
        <v>204</v>
      </c>
      <c r="K51" s="143" t="s">
        <v>224</v>
      </c>
      <c r="L51" s="143" t="s">
        <v>314</v>
      </c>
      <c r="M51" s="143" t="s">
        <v>546</v>
      </c>
      <c r="N51" s="143" t="s">
        <v>339</v>
      </c>
      <c r="O51" s="143" t="s">
        <v>3178</v>
      </c>
      <c r="P51" s="143" t="s">
        <v>1211</v>
      </c>
      <c r="Q51" s="143" t="s">
        <v>884</v>
      </c>
      <c r="R51" s="143" t="s">
        <v>888</v>
      </c>
      <c r="S51" s="163">
        <v>45235</v>
      </c>
      <c r="T51" s="163">
        <v>45235</v>
      </c>
      <c r="U51" s="144">
        <v>1000000</v>
      </c>
      <c r="V51" s="143" t="s">
        <v>1212</v>
      </c>
      <c r="W51" s="143" t="s">
        <v>3101</v>
      </c>
      <c r="X51" s="144">
        <v>0.371</v>
      </c>
      <c r="Y51" s="146">
        <v>7.7499709729132115E-7</v>
      </c>
      <c r="Z51" s="147">
        <v>4.7355340647899788E-8</v>
      </c>
      <c r="AA51" s="177"/>
    </row>
    <row r="52" spans="1:27" ht="15" x14ac:dyDescent="0.2">
      <c r="A52" s="142" t="s">
        <v>1220</v>
      </c>
      <c r="B52" s="143" t="s">
        <v>1220</v>
      </c>
      <c r="C52" s="143" t="s">
        <v>3161</v>
      </c>
      <c r="D52" s="143" t="s">
        <v>3162</v>
      </c>
      <c r="E52" s="143" t="s">
        <v>309</v>
      </c>
      <c r="F52" s="143" t="s">
        <v>3241</v>
      </c>
      <c r="G52" s="143" t="s">
        <v>3242</v>
      </c>
      <c r="H52" s="143" t="s">
        <v>312</v>
      </c>
      <c r="I52" s="143" t="s">
        <v>765</v>
      </c>
      <c r="J52" s="143" t="s">
        <v>204</v>
      </c>
      <c r="K52" s="143" t="s">
        <v>204</v>
      </c>
      <c r="L52" s="143" t="s">
        <v>314</v>
      </c>
      <c r="M52" s="143" t="s">
        <v>455</v>
      </c>
      <c r="N52" s="143" t="s">
        <v>339</v>
      </c>
      <c r="O52" s="143" t="s">
        <v>3165</v>
      </c>
      <c r="P52" s="143" t="s">
        <v>1211</v>
      </c>
      <c r="Q52" s="143" t="s">
        <v>884</v>
      </c>
      <c r="R52" s="143" t="s">
        <v>888</v>
      </c>
      <c r="S52" s="163">
        <v>45137</v>
      </c>
      <c r="T52" s="163">
        <v>45137</v>
      </c>
      <c r="U52" s="144">
        <v>585247</v>
      </c>
      <c r="V52" s="143" t="s">
        <v>1212</v>
      </c>
      <c r="W52" s="145" t="s">
        <v>3930</v>
      </c>
      <c r="X52" s="144">
        <v>2.2000000000000001E-3</v>
      </c>
      <c r="Y52" s="146">
        <v>4.5356472619845386E-9</v>
      </c>
      <c r="Z52" s="147">
        <v>2.7714571048161406E-10</v>
      </c>
      <c r="AA52" s="177"/>
    </row>
    <row r="53" spans="1:27" ht="15" x14ac:dyDescent="0.2">
      <c r="A53" s="142" t="s">
        <v>1220</v>
      </c>
      <c r="B53" s="143" t="s">
        <v>1220</v>
      </c>
      <c r="C53" s="143" t="s">
        <v>3144</v>
      </c>
      <c r="D53" s="143" t="s">
        <v>3145</v>
      </c>
      <c r="E53" s="143" t="s">
        <v>309</v>
      </c>
      <c r="F53" s="143" t="s">
        <v>3243</v>
      </c>
      <c r="G53" s="143" t="s">
        <v>3244</v>
      </c>
      <c r="H53" s="143" t="s">
        <v>312</v>
      </c>
      <c r="I53" s="143" t="s">
        <v>765</v>
      </c>
      <c r="J53" s="143" t="s">
        <v>204</v>
      </c>
      <c r="K53" s="143" t="s">
        <v>204</v>
      </c>
      <c r="L53" s="143" t="s">
        <v>314</v>
      </c>
      <c r="M53" s="143" t="s">
        <v>455</v>
      </c>
      <c r="N53" s="143" t="s">
        <v>339</v>
      </c>
      <c r="O53" s="143" t="s">
        <v>3148</v>
      </c>
      <c r="P53" s="143" t="s">
        <v>1210</v>
      </c>
      <c r="Q53" s="143" t="s">
        <v>885</v>
      </c>
      <c r="R53" s="143" t="s">
        <v>889</v>
      </c>
      <c r="S53" s="163">
        <v>45123</v>
      </c>
      <c r="T53" s="163">
        <v>45123</v>
      </c>
      <c r="U53" s="144">
        <v>3895745.71</v>
      </c>
      <c r="V53" s="145" t="s">
        <v>3930</v>
      </c>
      <c r="W53" s="145" t="s">
        <v>3930</v>
      </c>
      <c r="X53" s="144">
        <v>4.0000000000000002E-4</v>
      </c>
      <c r="Y53" s="146">
        <v>8.137982795242903E-10</v>
      </c>
      <c r="Z53" s="147">
        <v>4.9726243982383886E-11</v>
      </c>
      <c r="AA53" s="177"/>
    </row>
    <row r="54" spans="1:27" ht="15" x14ac:dyDescent="0.2">
      <c r="A54" s="142" t="s">
        <v>1220</v>
      </c>
      <c r="B54" s="143" t="s">
        <v>1220</v>
      </c>
      <c r="C54" s="143" t="s">
        <v>3245</v>
      </c>
      <c r="D54" s="143" t="s">
        <v>3246</v>
      </c>
      <c r="E54" s="143" t="s">
        <v>309</v>
      </c>
      <c r="F54" s="143" t="s">
        <v>3247</v>
      </c>
      <c r="G54" s="143" t="s">
        <v>3248</v>
      </c>
      <c r="H54" s="143" t="s">
        <v>312</v>
      </c>
      <c r="I54" s="143" t="s">
        <v>765</v>
      </c>
      <c r="J54" s="143" t="s">
        <v>204</v>
      </c>
      <c r="K54" s="143" t="s">
        <v>204</v>
      </c>
      <c r="L54" s="143" t="s">
        <v>314</v>
      </c>
      <c r="M54" s="143" t="s">
        <v>485</v>
      </c>
      <c r="N54" s="143" t="s">
        <v>339</v>
      </c>
      <c r="O54" s="143" t="s">
        <v>3148</v>
      </c>
      <c r="P54" s="143" t="s">
        <v>1210</v>
      </c>
      <c r="Q54" s="143" t="s">
        <v>885</v>
      </c>
      <c r="R54" s="143" t="s">
        <v>889</v>
      </c>
      <c r="S54" s="163">
        <v>45256</v>
      </c>
      <c r="T54" s="163">
        <v>45256</v>
      </c>
      <c r="U54" s="144">
        <v>170</v>
      </c>
      <c r="V54" s="145" t="s">
        <v>3930</v>
      </c>
      <c r="W54" s="145" t="s">
        <v>3930</v>
      </c>
      <c r="X54" s="144">
        <v>2.0000000000000001E-4</v>
      </c>
      <c r="Y54" s="146">
        <v>3.5511996371839516E-10</v>
      </c>
      <c r="Z54" s="147">
        <v>2.1699212695803139E-11</v>
      </c>
      <c r="AA54" s="177"/>
    </row>
    <row r="55" spans="1:27" ht="15" x14ac:dyDescent="0.2">
      <c r="A55" s="142" t="s">
        <v>1220</v>
      </c>
      <c r="B55" s="143" t="s">
        <v>1220</v>
      </c>
      <c r="C55" s="143" t="s">
        <v>3249</v>
      </c>
      <c r="D55" s="143" t="s">
        <v>3250</v>
      </c>
      <c r="E55" s="143" t="s">
        <v>314</v>
      </c>
      <c r="F55" s="143" t="s">
        <v>3251</v>
      </c>
      <c r="G55" s="143" t="s">
        <v>3252</v>
      </c>
      <c r="H55" s="143" t="s">
        <v>312</v>
      </c>
      <c r="I55" s="143" t="s">
        <v>765</v>
      </c>
      <c r="J55" s="143" t="s">
        <v>204</v>
      </c>
      <c r="K55" s="143" t="s">
        <v>204</v>
      </c>
      <c r="L55" s="143" t="s">
        <v>314</v>
      </c>
      <c r="M55" s="143" t="s">
        <v>455</v>
      </c>
      <c r="N55" s="143" t="s">
        <v>339</v>
      </c>
      <c r="O55" s="143" t="s">
        <v>3123</v>
      </c>
      <c r="P55" s="143" t="s">
        <v>1210</v>
      </c>
      <c r="Q55" s="143" t="s">
        <v>884</v>
      </c>
      <c r="R55" s="143" t="s">
        <v>888</v>
      </c>
      <c r="S55" s="163">
        <v>35744</v>
      </c>
      <c r="T55" s="163">
        <v>35744</v>
      </c>
      <c r="U55" s="144">
        <v>11254.8</v>
      </c>
      <c r="V55" s="145" t="s">
        <v>3930</v>
      </c>
      <c r="W55" s="145" t="s">
        <v>3930</v>
      </c>
      <c r="X55" s="144">
        <v>0</v>
      </c>
      <c r="Y55" s="145" t="s">
        <v>3930</v>
      </c>
      <c r="Z55" s="156" t="s">
        <v>3930</v>
      </c>
      <c r="AA55" s="177"/>
    </row>
    <row r="56" spans="1:27" ht="15" x14ac:dyDescent="0.2">
      <c r="A56" s="142" t="s">
        <v>1220</v>
      </c>
      <c r="B56" s="143" t="s">
        <v>1220</v>
      </c>
      <c r="C56" s="143" t="s">
        <v>3278</v>
      </c>
      <c r="D56" s="143" t="s">
        <v>3279</v>
      </c>
      <c r="E56" s="143" t="s">
        <v>314</v>
      </c>
      <c r="F56" s="143" t="s">
        <v>3280</v>
      </c>
      <c r="G56" s="143" t="s">
        <v>3281</v>
      </c>
      <c r="H56" s="143" t="s">
        <v>312</v>
      </c>
      <c r="I56" s="143" t="s">
        <v>765</v>
      </c>
      <c r="J56" s="143" t="s">
        <v>204</v>
      </c>
      <c r="K56" s="143" t="s">
        <v>204</v>
      </c>
      <c r="L56" s="143" t="s">
        <v>314</v>
      </c>
      <c r="M56" s="143" t="s">
        <v>455</v>
      </c>
      <c r="N56" s="143" t="s">
        <v>339</v>
      </c>
      <c r="O56" s="143" t="s">
        <v>3123</v>
      </c>
      <c r="P56" s="143" t="s">
        <v>1210</v>
      </c>
      <c r="Q56" s="143" t="s">
        <v>884</v>
      </c>
      <c r="R56" s="143" t="s">
        <v>888</v>
      </c>
      <c r="S56" s="163">
        <v>44144</v>
      </c>
      <c r="T56" s="163">
        <v>44144</v>
      </c>
      <c r="U56" s="144">
        <v>28625</v>
      </c>
      <c r="V56" s="145" t="s">
        <v>3930</v>
      </c>
      <c r="W56" s="145" t="s">
        <v>3930</v>
      </c>
      <c r="X56" s="144">
        <v>0</v>
      </c>
      <c r="Y56" s="145" t="s">
        <v>3930</v>
      </c>
      <c r="Z56" s="156" t="s">
        <v>3930</v>
      </c>
      <c r="AA56" s="177"/>
    </row>
    <row r="57" spans="1:27" ht="15" x14ac:dyDescent="0.2">
      <c r="A57" s="142" t="s">
        <v>1220</v>
      </c>
      <c r="B57" s="143" t="s">
        <v>1220</v>
      </c>
      <c r="C57" s="143" t="s">
        <v>3113</v>
      </c>
      <c r="D57" s="143" t="s">
        <v>3114</v>
      </c>
      <c r="E57" s="143" t="s">
        <v>309</v>
      </c>
      <c r="F57" s="143" t="s">
        <v>3253</v>
      </c>
      <c r="G57" s="143" t="s">
        <v>3254</v>
      </c>
      <c r="H57" s="143" t="s">
        <v>312</v>
      </c>
      <c r="I57" s="143" t="s">
        <v>765</v>
      </c>
      <c r="J57" s="143" t="s">
        <v>204</v>
      </c>
      <c r="K57" s="143" t="s">
        <v>204</v>
      </c>
      <c r="L57" s="143" t="s">
        <v>314</v>
      </c>
      <c r="M57" s="143" t="s">
        <v>451</v>
      </c>
      <c r="N57" s="143" t="s">
        <v>339</v>
      </c>
      <c r="O57" s="143" t="s">
        <v>3165</v>
      </c>
      <c r="P57" s="143" t="s">
        <v>1210</v>
      </c>
      <c r="Q57" s="143" t="s">
        <v>884</v>
      </c>
      <c r="R57" s="143" t="s">
        <v>888</v>
      </c>
      <c r="S57" s="163">
        <v>43044</v>
      </c>
      <c r="T57" s="163">
        <v>43044</v>
      </c>
      <c r="U57" s="144">
        <v>160815.03</v>
      </c>
      <c r="V57" s="145" t="s">
        <v>3930</v>
      </c>
      <c r="W57" s="145" t="s">
        <v>3930</v>
      </c>
      <c r="X57" s="144">
        <v>0</v>
      </c>
      <c r="Y57" s="145" t="s">
        <v>3930</v>
      </c>
      <c r="Z57" s="156" t="s">
        <v>3930</v>
      </c>
      <c r="AA57" s="177"/>
    </row>
    <row r="58" spans="1:27" x14ac:dyDescent="0.2">
      <c r="A58" s="142" t="s">
        <v>1220</v>
      </c>
      <c r="B58" s="143" t="s">
        <v>1220</v>
      </c>
      <c r="C58" s="143" t="s">
        <v>3255</v>
      </c>
      <c r="D58" s="143" t="s">
        <v>3256</v>
      </c>
      <c r="E58" s="143" t="s">
        <v>314</v>
      </c>
      <c r="F58" s="143" t="s">
        <v>3257</v>
      </c>
      <c r="G58" s="143" t="s">
        <v>3258</v>
      </c>
      <c r="H58" s="143" t="s">
        <v>312</v>
      </c>
      <c r="I58" s="143" t="s">
        <v>765</v>
      </c>
      <c r="J58" s="143" t="s">
        <v>205</v>
      </c>
      <c r="K58" s="143" t="s">
        <v>238</v>
      </c>
      <c r="L58" s="143" t="s">
        <v>314</v>
      </c>
      <c r="M58" s="143" t="s">
        <v>568</v>
      </c>
      <c r="N58" s="143" t="s">
        <v>339</v>
      </c>
      <c r="O58" s="143" t="s">
        <v>3123</v>
      </c>
      <c r="P58" s="143" t="s">
        <v>1218</v>
      </c>
      <c r="Q58" s="143" t="s">
        <v>884</v>
      </c>
      <c r="R58" s="143" t="s">
        <v>888</v>
      </c>
      <c r="S58" s="163">
        <v>45531</v>
      </c>
      <c r="T58" s="163">
        <v>45531</v>
      </c>
      <c r="U58" s="144">
        <v>7883855.6200000001</v>
      </c>
      <c r="V58" s="143" t="s">
        <v>1219</v>
      </c>
      <c r="W58" s="143" t="s">
        <v>3259</v>
      </c>
      <c r="X58" s="144">
        <v>44547.847000000002</v>
      </c>
      <c r="Y58" s="146">
        <v>9.3057822485000621E-2</v>
      </c>
      <c r="Z58" s="147">
        <v>5.6861953407710431E-3</v>
      </c>
      <c r="AA58" s="177"/>
    </row>
    <row r="59" spans="1:27" x14ac:dyDescent="0.2">
      <c r="A59" s="142" t="s">
        <v>1220</v>
      </c>
      <c r="B59" s="143" t="s">
        <v>1220</v>
      </c>
      <c r="C59" s="143" t="s">
        <v>3260</v>
      </c>
      <c r="D59" s="143" t="s">
        <v>3261</v>
      </c>
      <c r="E59" s="143" t="s">
        <v>314</v>
      </c>
      <c r="F59" s="143" t="s">
        <v>3262</v>
      </c>
      <c r="G59" s="143" t="s">
        <v>3263</v>
      </c>
      <c r="H59" s="143" t="s">
        <v>312</v>
      </c>
      <c r="I59" s="143" t="s">
        <v>765</v>
      </c>
      <c r="J59" s="143" t="s">
        <v>205</v>
      </c>
      <c r="K59" s="143" t="s">
        <v>224</v>
      </c>
      <c r="L59" s="143" t="s">
        <v>314</v>
      </c>
      <c r="M59" s="143" t="s">
        <v>444</v>
      </c>
      <c r="N59" s="143" t="s">
        <v>339</v>
      </c>
      <c r="O59" s="143" t="s">
        <v>3123</v>
      </c>
      <c r="P59" s="143" t="s">
        <v>1211</v>
      </c>
      <c r="Q59" s="143" t="s">
        <v>884</v>
      </c>
      <c r="R59" s="143" t="s">
        <v>888</v>
      </c>
      <c r="S59" s="163">
        <v>45291</v>
      </c>
      <c r="T59" s="163">
        <v>45291</v>
      </c>
      <c r="U59" s="144">
        <v>65796.5</v>
      </c>
      <c r="V59" s="143" t="s">
        <v>1212</v>
      </c>
      <c r="W59" s="143" t="s">
        <v>3264</v>
      </c>
      <c r="X59" s="144">
        <v>6602.1862999999994</v>
      </c>
      <c r="Y59" s="146">
        <v>1.3791577383098719E-2</v>
      </c>
      <c r="Z59" s="147">
        <v>8.4271908544066227E-4</v>
      </c>
      <c r="AA59" s="177"/>
    </row>
    <row r="60" spans="1:27" ht="15" x14ac:dyDescent="0.2">
      <c r="A60" s="154" t="s">
        <v>1205</v>
      </c>
      <c r="B60" s="155" t="s">
        <v>1206</v>
      </c>
      <c r="C60" s="145" t="s">
        <v>3930</v>
      </c>
      <c r="D60" s="145" t="s">
        <v>3930</v>
      </c>
      <c r="E60" s="145" t="s">
        <v>3930</v>
      </c>
      <c r="F60" s="145" t="s">
        <v>3930</v>
      </c>
      <c r="G60" s="145" t="s">
        <v>3930</v>
      </c>
      <c r="H60" s="145" t="s">
        <v>3930</v>
      </c>
      <c r="I60" s="145" t="s">
        <v>3930</v>
      </c>
      <c r="J60" s="145" t="s">
        <v>3930</v>
      </c>
      <c r="K60" s="145" t="s">
        <v>3930</v>
      </c>
      <c r="L60" s="145" t="s">
        <v>3930</v>
      </c>
      <c r="M60" s="145" t="s">
        <v>3930</v>
      </c>
      <c r="N60" s="145" t="s">
        <v>3930</v>
      </c>
      <c r="O60" s="145" t="s">
        <v>3930</v>
      </c>
      <c r="P60" s="145" t="s">
        <v>3930</v>
      </c>
      <c r="Q60" s="145" t="s">
        <v>3930</v>
      </c>
      <c r="R60" s="145" t="s">
        <v>3930</v>
      </c>
      <c r="S60" s="145" t="s">
        <v>3930</v>
      </c>
      <c r="T60" s="145" t="s">
        <v>3930</v>
      </c>
      <c r="U60" s="145" t="s">
        <v>3930</v>
      </c>
      <c r="V60" s="145" t="s">
        <v>3930</v>
      </c>
      <c r="W60" s="145" t="s">
        <v>3930</v>
      </c>
      <c r="X60" s="145" t="s">
        <v>3930</v>
      </c>
      <c r="Y60" s="145" t="s">
        <v>3930</v>
      </c>
      <c r="Z60" s="156" t="s">
        <v>3930</v>
      </c>
      <c r="AA60" s="177"/>
    </row>
    <row r="61" spans="1:27" ht="15" x14ac:dyDescent="0.2">
      <c r="A61" s="154" t="s">
        <v>1205</v>
      </c>
      <c r="B61" s="155" t="s">
        <v>1215</v>
      </c>
      <c r="C61" s="145" t="s">
        <v>3930</v>
      </c>
      <c r="D61" s="145" t="s">
        <v>3930</v>
      </c>
      <c r="E61" s="145" t="s">
        <v>3930</v>
      </c>
      <c r="F61" s="145" t="s">
        <v>3930</v>
      </c>
      <c r="G61" s="145" t="s">
        <v>3930</v>
      </c>
      <c r="H61" s="145" t="s">
        <v>3930</v>
      </c>
      <c r="I61" s="145" t="s">
        <v>3930</v>
      </c>
      <c r="J61" s="145" t="s">
        <v>3930</v>
      </c>
      <c r="K61" s="145" t="s">
        <v>3930</v>
      </c>
      <c r="L61" s="145" t="s">
        <v>3930</v>
      </c>
      <c r="M61" s="145" t="s">
        <v>3930</v>
      </c>
      <c r="N61" s="145" t="s">
        <v>3930</v>
      </c>
      <c r="O61" s="145" t="s">
        <v>3930</v>
      </c>
      <c r="P61" s="145" t="s">
        <v>3930</v>
      </c>
      <c r="Q61" s="145" t="s">
        <v>3930</v>
      </c>
      <c r="R61" s="145" t="s">
        <v>3930</v>
      </c>
      <c r="S61" s="145" t="s">
        <v>3930</v>
      </c>
      <c r="T61" s="145" t="s">
        <v>3930</v>
      </c>
      <c r="U61" s="145" t="s">
        <v>3930</v>
      </c>
      <c r="V61" s="145" t="s">
        <v>3930</v>
      </c>
      <c r="W61" s="145" t="s">
        <v>3930</v>
      </c>
      <c r="X61" s="145" t="s">
        <v>3930</v>
      </c>
      <c r="Y61" s="145" t="s">
        <v>3930</v>
      </c>
      <c r="Z61" s="156" t="s">
        <v>3930</v>
      </c>
      <c r="AA61" s="177"/>
    </row>
    <row r="62" spans="1:27" ht="15" x14ac:dyDescent="0.2">
      <c r="A62" s="154" t="s">
        <v>1220</v>
      </c>
      <c r="B62" s="155" t="s">
        <v>1221</v>
      </c>
      <c r="C62" s="145" t="s">
        <v>3930</v>
      </c>
      <c r="D62" s="145" t="s">
        <v>3930</v>
      </c>
      <c r="E62" s="145" t="s">
        <v>3930</v>
      </c>
      <c r="F62" s="145" t="s">
        <v>3930</v>
      </c>
      <c r="G62" s="145" t="s">
        <v>3930</v>
      </c>
      <c r="H62" s="145" t="s">
        <v>3930</v>
      </c>
      <c r="I62" s="145" t="s">
        <v>3930</v>
      </c>
      <c r="J62" s="145" t="s">
        <v>3930</v>
      </c>
      <c r="K62" s="145" t="s">
        <v>3930</v>
      </c>
      <c r="L62" s="145" t="s">
        <v>3930</v>
      </c>
      <c r="M62" s="145" t="s">
        <v>3930</v>
      </c>
      <c r="N62" s="145" t="s">
        <v>3930</v>
      </c>
      <c r="O62" s="145" t="s">
        <v>3930</v>
      </c>
      <c r="P62" s="145" t="s">
        <v>3930</v>
      </c>
      <c r="Q62" s="145" t="s">
        <v>3930</v>
      </c>
      <c r="R62" s="145" t="s">
        <v>3930</v>
      </c>
      <c r="S62" s="145" t="s">
        <v>3930</v>
      </c>
      <c r="T62" s="145" t="s">
        <v>3930</v>
      </c>
      <c r="U62" s="145" t="s">
        <v>3930</v>
      </c>
      <c r="V62" s="145" t="s">
        <v>3930</v>
      </c>
      <c r="W62" s="145" t="s">
        <v>3930</v>
      </c>
      <c r="X62" s="145" t="s">
        <v>3930</v>
      </c>
      <c r="Y62" s="145" t="s">
        <v>3930</v>
      </c>
      <c r="Z62" s="156" t="s">
        <v>3930</v>
      </c>
      <c r="AA62" s="177"/>
    </row>
    <row r="63" spans="1:27" ht="15" x14ac:dyDescent="0.2">
      <c r="A63" s="157" t="s">
        <v>1220</v>
      </c>
      <c r="B63" s="158" t="s">
        <v>1222</v>
      </c>
      <c r="C63" s="151" t="s">
        <v>3930</v>
      </c>
      <c r="D63" s="151" t="s">
        <v>3930</v>
      </c>
      <c r="E63" s="151" t="s">
        <v>3930</v>
      </c>
      <c r="F63" s="151" t="s">
        <v>3930</v>
      </c>
      <c r="G63" s="151" t="s">
        <v>3930</v>
      </c>
      <c r="H63" s="151" t="s">
        <v>3930</v>
      </c>
      <c r="I63" s="151" t="s">
        <v>3930</v>
      </c>
      <c r="J63" s="151" t="s">
        <v>3930</v>
      </c>
      <c r="K63" s="151" t="s">
        <v>3930</v>
      </c>
      <c r="L63" s="151" t="s">
        <v>3930</v>
      </c>
      <c r="M63" s="151" t="s">
        <v>3930</v>
      </c>
      <c r="N63" s="151" t="s">
        <v>3930</v>
      </c>
      <c r="O63" s="151" t="s">
        <v>3930</v>
      </c>
      <c r="P63" s="151" t="s">
        <v>3930</v>
      </c>
      <c r="Q63" s="151" t="s">
        <v>3930</v>
      </c>
      <c r="R63" s="151" t="s">
        <v>3930</v>
      </c>
      <c r="S63" s="151" t="s">
        <v>3930</v>
      </c>
      <c r="T63" s="151" t="s">
        <v>3930</v>
      </c>
      <c r="U63" s="151" t="s">
        <v>3930</v>
      </c>
      <c r="V63" s="151" t="s">
        <v>3930</v>
      </c>
      <c r="W63" s="151" t="s">
        <v>3930</v>
      </c>
      <c r="X63" s="151" t="s">
        <v>3930</v>
      </c>
      <c r="Y63" s="151" t="s">
        <v>3930</v>
      </c>
      <c r="Z63" s="159" t="s">
        <v>3930</v>
      </c>
      <c r="AA63" s="177"/>
    </row>
    <row r="64" spans="1:27" x14ac:dyDescent="0.2">
      <c r="A64" s="177" t="s">
        <v>3946</v>
      </c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spans="1:1" x14ac:dyDescent="0.2">
      <c r="A65" s="2" t="s">
        <v>3945</v>
      </c>
    </row>
    <row r="66" spans="1:1" x14ac:dyDescent="0.2">
      <c r="A66" s="17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4:Z64"/>
    <mergeCell ref="AA2:AA63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48.12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26.25" style="2" bestFit="1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3967</v>
      </c>
    </row>
    <row r="2" spans="1:27" ht="66.75" customHeight="1" x14ac:dyDescent="0.2">
      <c r="A2" s="139" t="s">
        <v>49</v>
      </c>
      <c r="B2" s="140" t="s">
        <v>50</v>
      </c>
      <c r="C2" s="140" t="s">
        <v>108</v>
      </c>
      <c r="D2" s="140" t="s">
        <v>109</v>
      </c>
      <c r="E2" s="140" t="s">
        <v>110</v>
      </c>
      <c r="F2" s="140" t="s">
        <v>111</v>
      </c>
      <c r="G2" s="140" t="s">
        <v>112</v>
      </c>
      <c r="H2" s="140" t="s">
        <v>113</v>
      </c>
      <c r="I2" s="140" t="s">
        <v>54</v>
      </c>
      <c r="J2" s="140" t="s">
        <v>114</v>
      </c>
      <c r="K2" s="140" t="s">
        <v>55</v>
      </c>
      <c r="L2" s="140" t="s">
        <v>115</v>
      </c>
      <c r="M2" s="140" t="s">
        <v>116</v>
      </c>
      <c r="N2" s="140" t="s">
        <v>69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61</v>
      </c>
      <c r="V2" s="164" t="s">
        <v>117</v>
      </c>
      <c r="W2" s="140" t="s">
        <v>63</v>
      </c>
      <c r="X2" s="140" t="s">
        <v>118</v>
      </c>
      <c r="Y2" s="140" t="s">
        <v>64</v>
      </c>
      <c r="Z2" s="141" t="s">
        <v>65</v>
      </c>
      <c r="AA2" s="177" t="s">
        <v>3947</v>
      </c>
    </row>
    <row r="3" spans="1:27" ht="15" x14ac:dyDescent="0.2">
      <c r="A3" s="142" t="s">
        <v>1205</v>
      </c>
      <c r="B3" s="143" t="s">
        <v>1205</v>
      </c>
      <c r="C3" s="143" t="s">
        <v>3282</v>
      </c>
      <c r="D3" s="145" t="s">
        <v>3930</v>
      </c>
      <c r="E3" s="145" t="s">
        <v>3930</v>
      </c>
      <c r="F3" s="143" t="s">
        <v>3283</v>
      </c>
      <c r="G3" s="143" t="s">
        <v>3284</v>
      </c>
      <c r="H3" s="143" t="s">
        <v>312</v>
      </c>
      <c r="I3" s="143" t="s">
        <v>1000</v>
      </c>
      <c r="J3" s="145" t="s">
        <v>3930</v>
      </c>
      <c r="K3" s="143" t="s">
        <v>204</v>
      </c>
      <c r="L3" s="145" t="s">
        <v>3930</v>
      </c>
      <c r="M3" s="145" t="s">
        <v>3930</v>
      </c>
      <c r="N3" s="143" t="s">
        <v>204</v>
      </c>
      <c r="O3" s="143" t="s">
        <v>339</v>
      </c>
      <c r="P3" s="162">
        <v>44136</v>
      </c>
      <c r="Q3" s="143" t="s">
        <v>1211</v>
      </c>
      <c r="R3" s="143" t="s">
        <v>885</v>
      </c>
      <c r="S3" s="143" t="s">
        <v>889</v>
      </c>
      <c r="T3" s="161">
        <v>45558</v>
      </c>
      <c r="U3" s="143" t="s">
        <v>1212</v>
      </c>
      <c r="V3" s="144">
        <v>433.00784366576823</v>
      </c>
      <c r="W3" s="144">
        <v>1606.4591</v>
      </c>
      <c r="X3" s="145" t="s">
        <v>3930</v>
      </c>
      <c r="Y3" s="146">
        <v>1.3898516598848321E-2</v>
      </c>
      <c r="Z3" s="147">
        <v>2.3304709807128038E-3</v>
      </c>
      <c r="AA3" s="177"/>
    </row>
    <row r="4" spans="1:27" ht="15" x14ac:dyDescent="0.2">
      <c r="A4" s="142" t="s">
        <v>1205</v>
      </c>
      <c r="B4" s="143" t="s">
        <v>1205</v>
      </c>
      <c r="C4" s="143" t="s">
        <v>3285</v>
      </c>
      <c r="D4" s="145" t="s">
        <v>3930</v>
      </c>
      <c r="E4" s="145" t="s">
        <v>3930</v>
      </c>
      <c r="F4" s="143" t="s">
        <v>3286</v>
      </c>
      <c r="G4" s="143" t="s">
        <v>3287</v>
      </c>
      <c r="H4" s="143" t="s">
        <v>312</v>
      </c>
      <c r="I4" s="143" t="s">
        <v>1000</v>
      </c>
      <c r="J4" s="145" t="s">
        <v>3930</v>
      </c>
      <c r="K4" s="143" t="s">
        <v>204</v>
      </c>
      <c r="L4" s="145" t="s">
        <v>3930</v>
      </c>
      <c r="M4" s="145" t="s">
        <v>3930</v>
      </c>
      <c r="N4" s="143" t="s">
        <v>204</v>
      </c>
      <c r="O4" s="143" t="s">
        <v>339</v>
      </c>
      <c r="P4" s="162">
        <v>44136</v>
      </c>
      <c r="Q4" s="143" t="s">
        <v>1211</v>
      </c>
      <c r="R4" s="143" t="s">
        <v>885</v>
      </c>
      <c r="S4" s="143" t="s">
        <v>889</v>
      </c>
      <c r="T4" s="161">
        <v>45531</v>
      </c>
      <c r="U4" s="143" t="s">
        <v>1212</v>
      </c>
      <c r="V4" s="144">
        <v>329.67016172506743</v>
      </c>
      <c r="W4" s="144">
        <v>1223.0762999999999</v>
      </c>
      <c r="X4" s="145" t="s">
        <v>3930</v>
      </c>
      <c r="Y4" s="146">
        <v>1.0581624215631826E-2</v>
      </c>
      <c r="Z4" s="147">
        <v>1.7743021701597478E-3</v>
      </c>
      <c r="AA4" s="177"/>
    </row>
    <row r="5" spans="1:27" ht="15" x14ac:dyDescent="0.2">
      <c r="A5" s="142" t="s">
        <v>1205</v>
      </c>
      <c r="B5" s="143" t="s">
        <v>1205</v>
      </c>
      <c r="C5" s="143" t="s">
        <v>3288</v>
      </c>
      <c r="D5" s="145" t="s">
        <v>3930</v>
      </c>
      <c r="E5" s="145" t="s">
        <v>3930</v>
      </c>
      <c r="F5" s="143" t="s">
        <v>3289</v>
      </c>
      <c r="G5" s="143" t="s">
        <v>3290</v>
      </c>
      <c r="H5" s="143" t="s">
        <v>312</v>
      </c>
      <c r="I5" s="143" t="s">
        <v>1000</v>
      </c>
      <c r="J5" s="145" t="s">
        <v>3930</v>
      </c>
      <c r="K5" s="143" t="s">
        <v>204</v>
      </c>
      <c r="L5" s="145" t="s">
        <v>3930</v>
      </c>
      <c r="M5" s="145" t="s">
        <v>3930</v>
      </c>
      <c r="N5" s="143" t="s">
        <v>204</v>
      </c>
      <c r="O5" s="143" t="s">
        <v>339</v>
      </c>
      <c r="P5" s="162">
        <v>44136</v>
      </c>
      <c r="Q5" s="143" t="s">
        <v>1211</v>
      </c>
      <c r="R5" s="143" t="s">
        <v>885</v>
      </c>
      <c r="S5" s="143" t="s">
        <v>889</v>
      </c>
      <c r="T5" s="161">
        <v>45550</v>
      </c>
      <c r="U5" s="143" t="s">
        <v>1212</v>
      </c>
      <c r="V5" s="144">
        <v>317.26390835579519</v>
      </c>
      <c r="W5" s="144">
        <v>1177.0491000000002</v>
      </c>
      <c r="X5" s="145" t="s">
        <v>3930</v>
      </c>
      <c r="Y5" s="146">
        <v>1.0183413271290985E-2</v>
      </c>
      <c r="Z5" s="147">
        <v>1.7075310839514924E-3</v>
      </c>
      <c r="AA5" s="177"/>
    </row>
    <row r="6" spans="1:27" ht="15" x14ac:dyDescent="0.2">
      <c r="A6" s="142" t="s">
        <v>1205</v>
      </c>
      <c r="B6" s="143" t="s">
        <v>1205</v>
      </c>
      <c r="C6" s="143" t="s">
        <v>3291</v>
      </c>
      <c r="D6" s="145" t="s">
        <v>3930</v>
      </c>
      <c r="E6" s="145" t="s">
        <v>3930</v>
      </c>
      <c r="F6" s="143" t="s">
        <v>3292</v>
      </c>
      <c r="G6" s="143" t="s">
        <v>3293</v>
      </c>
      <c r="H6" s="143" t="s">
        <v>312</v>
      </c>
      <c r="I6" s="143" t="s">
        <v>1000</v>
      </c>
      <c r="J6" s="145" t="s">
        <v>3930</v>
      </c>
      <c r="K6" s="143" t="s">
        <v>204</v>
      </c>
      <c r="L6" s="145" t="s">
        <v>3930</v>
      </c>
      <c r="M6" s="145" t="s">
        <v>3930</v>
      </c>
      <c r="N6" s="143" t="s">
        <v>204</v>
      </c>
      <c r="O6" s="143" t="s">
        <v>339</v>
      </c>
      <c r="P6" s="162">
        <v>44136</v>
      </c>
      <c r="Q6" s="143" t="s">
        <v>1211</v>
      </c>
      <c r="R6" s="143" t="s">
        <v>885</v>
      </c>
      <c r="S6" s="143" t="s">
        <v>889</v>
      </c>
      <c r="T6" s="161">
        <v>45558</v>
      </c>
      <c r="U6" s="143" t="s">
        <v>1212</v>
      </c>
      <c r="V6" s="144">
        <v>239.54409703504044</v>
      </c>
      <c r="W6" s="144">
        <v>888.70859999999993</v>
      </c>
      <c r="X6" s="145" t="s">
        <v>3930</v>
      </c>
      <c r="Y6" s="146">
        <v>7.6887924831878784E-3</v>
      </c>
      <c r="Z6" s="147">
        <v>1.2892388645473775E-3</v>
      </c>
      <c r="AA6" s="177"/>
    </row>
    <row r="7" spans="1:27" ht="15" x14ac:dyDescent="0.2">
      <c r="A7" s="142" t="s">
        <v>1205</v>
      </c>
      <c r="B7" s="143" t="s">
        <v>1205</v>
      </c>
      <c r="C7" s="143" t="s">
        <v>3294</v>
      </c>
      <c r="D7" s="145" t="s">
        <v>3930</v>
      </c>
      <c r="E7" s="145" t="s">
        <v>3930</v>
      </c>
      <c r="F7" s="143" t="s">
        <v>3295</v>
      </c>
      <c r="G7" s="143" t="s">
        <v>3296</v>
      </c>
      <c r="H7" s="143" t="s">
        <v>312</v>
      </c>
      <c r="I7" s="143" t="s">
        <v>1000</v>
      </c>
      <c r="J7" s="145" t="s">
        <v>3930</v>
      </c>
      <c r="K7" s="143" t="s">
        <v>204</v>
      </c>
      <c r="L7" s="145" t="s">
        <v>3930</v>
      </c>
      <c r="M7" s="145" t="s">
        <v>3930</v>
      </c>
      <c r="N7" s="143" t="s">
        <v>224</v>
      </c>
      <c r="O7" s="143" t="s">
        <v>339</v>
      </c>
      <c r="P7" s="162">
        <v>44136</v>
      </c>
      <c r="Q7" s="143" t="s">
        <v>1211</v>
      </c>
      <c r="R7" s="143" t="s">
        <v>885</v>
      </c>
      <c r="S7" s="143" t="s">
        <v>889</v>
      </c>
      <c r="T7" s="161">
        <v>45548</v>
      </c>
      <c r="U7" s="143" t="s">
        <v>1212</v>
      </c>
      <c r="V7" s="144">
        <v>195.53582210242587</v>
      </c>
      <c r="W7" s="144">
        <v>725.43790000000001</v>
      </c>
      <c r="X7" s="145" t="s">
        <v>3930</v>
      </c>
      <c r="Y7" s="146">
        <v>6.2762324586873412E-3</v>
      </c>
      <c r="Z7" s="147">
        <v>1.0523840806428671E-3</v>
      </c>
      <c r="AA7" s="177"/>
    </row>
    <row r="8" spans="1:27" ht="15" x14ac:dyDescent="0.2">
      <c r="A8" s="142" t="s">
        <v>1205</v>
      </c>
      <c r="B8" s="143" t="s">
        <v>1205</v>
      </c>
      <c r="C8" s="143" t="s">
        <v>3297</v>
      </c>
      <c r="D8" s="145" t="s">
        <v>3930</v>
      </c>
      <c r="E8" s="145" t="s">
        <v>3930</v>
      </c>
      <c r="F8" s="143" t="s">
        <v>3298</v>
      </c>
      <c r="G8" s="143" t="s">
        <v>3299</v>
      </c>
      <c r="H8" s="143" t="s">
        <v>312</v>
      </c>
      <c r="I8" s="143" t="s">
        <v>1000</v>
      </c>
      <c r="J8" s="145" t="s">
        <v>3930</v>
      </c>
      <c r="K8" s="143" t="s">
        <v>204</v>
      </c>
      <c r="L8" s="145" t="s">
        <v>3930</v>
      </c>
      <c r="M8" s="145" t="s">
        <v>3930</v>
      </c>
      <c r="N8" s="143" t="s">
        <v>204</v>
      </c>
      <c r="O8" s="143" t="s">
        <v>339</v>
      </c>
      <c r="P8" s="162">
        <v>44238</v>
      </c>
      <c r="Q8" s="143" t="s">
        <v>1211</v>
      </c>
      <c r="R8" s="143" t="s">
        <v>885</v>
      </c>
      <c r="S8" s="143" t="s">
        <v>889</v>
      </c>
      <c r="T8" s="161">
        <v>45525</v>
      </c>
      <c r="U8" s="143" t="s">
        <v>1212</v>
      </c>
      <c r="V8" s="144">
        <v>160.312371967655</v>
      </c>
      <c r="W8" s="144">
        <v>594.75890000000004</v>
      </c>
      <c r="X8" s="146">
        <v>1.1449084166666667E-4</v>
      </c>
      <c r="Y8" s="146">
        <v>5.1456437143938567E-3</v>
      </c>
      <c r="Z8" s="147">
        <v>8.628095860586882E-4</v>
      </c>
      <c r="AA8" s="177"/>
    </row>
    <row r="9" spans="1:27" ht="15" x14ac:dyDescent="0.2">
      <c r="A9" s="142" t="s">
        <v>1205</v>
      </c>
      <c r="B9" s="143" t="s">
        <v>1205</v>
      </c>
      <c r="C9" s="143" t="s">
        <v>3300</v>
      </c>
      <c r="D9" s="145" t="s">
        <v>3930</v>
      </c>
      <c r="E9" s="145" t="s">
        <v>3930</v>
      </c>
      <c r="F9" s="143" t="s">
        <v>3301</v>
      </c>
      <c r="G9" s="143" t="s">
        <v>3302</v>
      </c>
      <c r="H9" s="143" t="s">
        <v>312</v>
      </c>
      <c r="I9" s="143" t="s">
        <v>1000</v>
      </c>
      <c r="J9" s="145" t="s">
        <v>3930</v>
      </c>
      <c r="K9" s="143" t="s">
        <v>204</v>
      </c>
      <c r="L9" s="145" t="s">
        <v>3930</v>
      </c>
      <c r="M9" s="145" t="s">
        <v>3930</v>
      </c>
      <c r="N9" s="143" t="s">
        <v>296</v>
      </c>
      <c r="O9" s="143" t="s">
        <v>339</v>
      </c>
      <c r="P9" s="162" t="e">
        <v>#N/A</v>
      </c>
      <c r="Q9" s="143" t="s">
        <v>1211</v>
      </c>
      <c r="R9" s="143" t="s">
        <v>885</v>
      </c>
      <c r="S9" s="143" t="s">
        <v>889</v>
      </c>
      <c r="T9" s="161">
        <v>45547</v>
      </c>
      <c r="U9" s="143" t="s">
        <v>1212</v>
      </c>
      <c r="V9" s="144">
        <v>157.64679245283017</v>
      </c>
      <c r="W9" s="144">
        <v>584.86959999999999</v>
      </c>
      <c r="X9" s="145" t="s">
        <v>3930</v>
      </c>
      <c r="Y9" s="146">
        <v>5.0600852265494066E-3</v>
      </c>
      <c r="Z9" s="147">
        <v>8.4846333754669354E-4</v>
      </c>
      <c r="AA9" s="177"/>
    </row>
    <row r="10" spans="1:27" ht="15" x14ac:dyDescent="0.2">
      <c r="A10" s="142" t="s">
        <v>1205</v>
      </c>
      <c r="B10" s="143" t="s">
        <v>1205</v>
      </c>
      <c r="C10" s="143" t="s">
        <v>3303</v>
      </c>
      <c r="D10" s="145" t="s">
        <v>3930</v>
      </c>
      <c r="E10" s="145" t="s">
        <v>3930</v>
      </c>
      <c r="F10" s="143" t="s">
        <v>3304</v>
      </c>
      <c r="G10" s="143" t="s">
        <v>3305</v>
      </c>
      <c r="H10" s="143" t="s">
        <v>312</v>
      </c>
      <c r="I10" s="143" t="s">
        <v>1000</v>
      </c>
      <c r="J10" s="145" t="s">
        <v>3930</v>
      </c>
      <c r="K10" s="143" t="s">
        <v>204</v>
      </c>
      <c r="L10" s="145" t="s">
        <v>3930</v>
      </c>
      <c r="M10" s="145" t="s">
        <v>3930</v>
      </c>
      <c r="N10" s="143" t="s">
        <v>204</v>
      </c>
      <c r="O10" s="143" t="s">
        <v>339</v>
      </c>
      <c r="P10" s="162">
        <v>44560</v>
      </c>
      <c r="Q10" s="143" t="s">
        <v>1211</v>
      </c>
      <c r="R10" s="143" t="s">
        <v>885</v>
      </c>
      <c r="S10" s="143" t="s">
        <v>889</v>
      </c>
      <c r="T10" s="161">
        <v>45564</v>
      </c>
      <c r="U10" s="143" t="s">
        <v>1212</v>
      </c>
      <c r="V10" s="144">
        <v>137.03455525606469</v>
      </c>
      <c r="W10" s="144">
        <v>508.39820000000003</v>
      </c>
      <c r="X10" s="146">
        <v>2.6333717142857141E-4</v>
      </c>
      <c r="Y10" s="146">
        <v>4.3984820286849281E-3</v>
      </c>
      <c r="Z10" s="147">
        <v>7.3752725005821142E-4</v>
      </c>
      <c r="AA10" s="177"/>
    </row>
    <row r="11" spans="1:27" ht="15" x14ac:dyDescent="0.2">
      <c r="A11" s="142" t="s">
        <v>1205</v>
      </c>
      <c r="B11" s="143" t="s">
        <v>1205</v>
      </c>
      <c r="C11" s="143" t="s">
        <v>3306</v>
      </c>
      <c r="D11" s="145" t="s">
        <v>3930</v>
      </c>
      <c r="E11" s="145" t="s">
        <v>3930</v>
      </c>
      <c r="F11" s="143" t="s">
        <v>3307</v>
      </c>
      <c r="G11" s="143" t="s">
        <v>3308</v>
      </c>
      <c r="H11" s="143" t="s">
        <v>312</v>
      </c>
      <c r="I11" s="143" t="s">
        <v>1000</v>
      </c>
      <c r="J11" s="145" t="s">
        <v>3930</v>
      </c>
      <c r="K11" s="143" t="s">
        <v>204</v>
      </c>
      <c r="L11" s="145" t="s">
        <v>3930</v>
      </c>
      <c r="M11" s="145" t="s">
        <v>3930</v>
      </c>
      <c r="N11" s="143" t="s">
        <v>204</v>
      </c>
      <c r="O11" s="143" t="s">
        <v>339</v>
      </c>
      <c r="P11" s="162">
        <v>44636</v>
      </c>
      <c r="Q11" s="143" t="s">
        <v>1210</v>
      </c>
      <c r="R11" s="143" t="s">
        <v>885</v>
      </c>
      <c r="S11" s="143" t="s">
        <v>889</v>
      </c>
      <c r="T11" s="161">
        <v>45512</v>
      </c>
      <c r="U11" s="145" t="s">
        <v>3930</v>
      </c>
      <c r="V11" s="144">
        <v>490.05450000000002</v>
      </c>
      <c r="W11" s="144">
        <v>490.05450000000002</v>
      </c>
      <c r="X11" s="146">
        <v>1.1155882352941176E-3</v>
      </c>
      <c r="Y11" s="146">
        <v>4.239778087346561E-3</v>
      </c>
      <c r="Z11" s="147">
        <v>7.1091614180192016E-4</v>
      </c>
      <c r="AA11" s="177"/>
    </row>
    <row r="12" spans="1:27" ht="15" x14ac:dyDescent="0.2">
      <c r="A12" s="142" t="s">
        <v>1205</v>
      </c>
      <c r="B12" s="143" t="s">
        <v>1205</v>
      </c>
      <c r="C12" s="143" t="s">
        <v>3309</v>
      </c>
      <c r="D12" s="145" t="s">
        <v>3930</v>
      </c>
      <c r="E12" s="145" t="s">
        <v>3930</v>
      </c>
      <c r="F12" s="143" t="s">
        <v>3310</v>
      </c>
      <c r="G12" s="143" t="s">
        <v>3311</v>
      </c>
      <c r="H12" s="143" t="s">
        <v>312</v>
      </c>
      <c r="I12" s="143" t="s">
        <v>1000</v>
      </c>
      <c r="J12" s="145" t="s">
        <v>3930</v>
      </c>
      <c r="K12" s="143" t="s">
        <v>204</v>
      </c>
      <c r="L12" s="145" t="s">
        <v>3930</v>
      </c>
      <c r="M12" s="145" t="s">
        <v>3930</v>
      </c>
      <c r="N12" s="143" t="s">
        <v>204</v>
      </c>
      <c r="O12" s="143" t="s">
        <v>339</v>
      </c>
      <c r="P12" s="162">
        <v>45215</v>
      </c>
      <c r="Q12" s="143" t="s">
        <v>1211</v>
      </c>
      <c r="R12" s="143" t="s">
        <v>885</v>
      </c>
      <c r="S12" s="143" t="s">
        <v>889</v>
      </c>
      <c r="T12" s="161">
        <v>45503</v>
      </c>
      <c r="U12" s="143" t="s">
        <v>1212</v>
      </c>
      <c r="V12" s="144">
        <v>88.059946091644221</v>
      </c>
      <c r="W12" s="144">
        <v>326.70240000000001</v>
      </c>
      <c r="X12" s="146">
        <v>8.721E-5</v>
      </c>
      <c r="Y12" s="146">
        <v>2.8265138349460209E-3</v>
      </c>
      <c r="Z12" s="147">
        <v>4.7394327459887283E-4</v>
      </c>
      <c r="AA12" s="177"/>
    </row>
    <row r="13" spans="1:27" ht="15" x14ac:dyDescent="0.2">
      <c r="A13" s="142" t="s">
        <v>1205</v>
      </c>
      <c r="B13" s="143" t="s">
        <v>1205</v>
      </c>
      <c r="C13" s="143" t="s">
        <v>3312</v>
      </c>
      <c r="D13" s="145" t="s">
        <v>3930</v>
      </c>
      <c r="E13" s="145" t="s">
        <v>3930</v>
      </c>
      <c r="F13" s="143" t="s">
        <v>3313</v>
      </c>
      <c r="G13" s="143" t="s">
        <v>3314</v>
      </c>
      <c r="H13" s="143" t="s">
        <v>312</v>
      </c>
      <c r="I13" s="143" t="s">
        <v>1000</v>
      </c>
      <c r="J13" s="145" t="s">
        <v>3930</v>
      </c>
      <c r="K13" s="143" t="s">
        <v>204</v>
      </c>
      <c r="L13" s="145" t="s">
        <v>3930</v>
      </c>
      <c r="M13" s="145" t="s">
        <v>3930</v>
      </c>
      <c r="N13" s="143" t="s">
        <v>224</v>
      </c>
      <c r="O13" s="143" t="s">
        <v>339</v>
      </c>
      <c r="P13" s="162">
        <v>44938</v>
      </c>
      <c r="Q13" s="143" t="s">
        <v>1211</v>
      </c>
      <c r="R13" s="143" t="s">
        <v>885</v>
      </c>
      <c r="S13" s="143" t="s">
        <v>889</v>
      </c>
      <c r="T13" s="161">
        <v>45560</v>
      </c>
      <c r="U13" s="143" t="s">
        <v>1212</v>
      </c>
      <c r="V13" s="144">
        <v>72.874770889487877</v>
      </c>
      <c r="W13" s="144">
        <v>270.36540000000002</v>
      </c>
      <c r="X13" s="146">
        <v>2.2604571428571428E-4</v>
      </c>
      <c r="Y13" s="146">
        <v>2.3391060978601272E-3</v>
      </c>
      <c r="Z13" s="147">
        <v>3.9221587736371067E-4</v>
      </c>
      <c r="AA13" s="177"/>
    </row>
    <row r="14" spans="1:27" ht="15" x14ac:dyDescent="0.2">
      <c r="A14" s="142" t="s">
        <v>1205</v>
      </c>
      <c r="B14" s="143" t="s">
        <v>1205</v>
      </c>
      <c r="C14" s="143" t="s">
        <v>3315</v>
      </c>
      <c r="D14" s="145" t="s">
        <v>3930</v>
      </c>
      <c r="E14" s="145" t="s">
        <v>3930</v>
      </c>
      <c r="F14" s="143" t="s">
        <v>3316</v>
      </c>
      <c r="G14" s="143" t="s">
        <v>3317</v>
      </c>
      <c r="H14" s="143" t="s">
        <v>312</v>
      </c>
      <c r="I14" s="143" t="s">
        <v>1000</v>
      </c>
      <c r="J14" s="145" t="s">
        <v>3930</v>
      </c>
      <c r="K14" s="143" t="s">
        <v>204</v>
      </c>
      <c r="L14" s="145" t="s">
        <v>3930</v>
      </c>
      <c r="M14" s="145" t="s">
        <v>3930</v>
      </c>
      <c r="N14" s="143" t="s">
        <v>204</v>
      </c>
      <c r="O14" s="143" t="s">
        <v>339</v>
      </c>
      <c r="P14" s="162">
        <v>43038</v>
      </c>
      <c r="Q14" s="143" t="s">
        <v>1211</v>
      </c>
      <c r="R14" s="143" t="s">
        <v>885</v>
      </c>
      <c r="S14" s="143" t="s">
        <v>889</v>
      </c>
      <c r="T14" s="161">
        <v>45551</v>
      </c>
      <c r="U14" s="143" t="s">
        <v>1212</v>
      </c>
      <c r="V14" s="144">
        <v>72.761886792452827</v>
      </c>
      <c r="W14" s="144">
        <v>269.94659999999999</v>
      </c>
      <c r="X14" s="145" t="s">
        <v>3930</v>
      </c>
      <c r="Y14" s="146">
        <v>2.3354823683074113E-3</v>
      </c>
      <c r="Z14" s="147">
        <v>3.9160825880927766E-4</v>
      </c>
      <c r="AA14" s="177"/>
    </row>
    <row r="15" spans="1:27" ht="15" x14ac:dyDescent="0.2">
      <c r="A15" s="142" t="s">
        <v>1205</v>
      </c>
      <c r="B15" s="143" t="s">
        <v>1205</v>
      </c>
      <c r="C15" s="143" t="s">
        <v>3318</v>
      </c>
      <c r="D15" s="145" t="s">
        <v>3930</v>
      </c>
      <c r="E15" s="145" t="s">
        <v>3930</v>
      </c>
      <c r="F15" s="143" t="s">
        <v>3319</v>
      </c>
      <c r="G15" s="143" t="s">
        <v>3320</v>
      </c>
      <c r="H15" s="143" t="s">
        <v>312</v>
      </c>
      <c r="I15" s="143" t="s">
        <v>1000</v>
      </c>
      <c r="J15" s="145" t="s">
        <v>3930</v>
      </c>
      <c r="K15" s="143" t="s">
        <v>205</v>
      </c>
      <c r="L15" s="145" t="s">
        <v>3930</v>
      </c>
      <c r="M15" s="145" t="s">
        <v>3930</v>
      </c>
      <c r="N15" s="143" t="s">
        <v>224</v>
      </c>
      <c r="O15" s="143" t="s">
        <v>339</v>
      </c>
      <c r="P15" s="162">
        <v>44679</v>
      </c>
      <c r="Q15" s="143" t="s">
        <v>1211</v>
      </c>
      <c r="R15" s="143" t="s">
        <v>885</v>
      </c>
      <c r="S15" s="143" t="s">
        <v>889</v>
      </c>
      <c r="T15" s="161">
        <v>45522</v>
      </c>
      <c r="U15" s="143" t="s">
        <v>1212</v>
      </c>
      <c r="V15" s="144">
        <v>809.01676549865238</v>
      </c>
      <c r="W15" s="144">
        <v>3001.4522000000002</v>
      </c>
      <c r="X15" s="146">
        <v>1.9933893570026623E-4</v>
      </c>
      <c r="Y15" s="146">
        <v>2.5967503887824511E-2</v>
      </c>
      <c r="Z15" s="147">
        <v>4.3541707362594754E-3</v>
      </c>
      <c r="AA15" s="177"/>
    </row>
    <row r="16" spans="1:27" ht="15" x14ac:dyDescent="0.2">
      <c r="A16" s="142" t="s">
        <v>1205</v>
      </c>
      <c r="B16" s="143" t="s">
        <v>1205</v>
      </c>
      <c r="C16" s="143" t="s">
        <v>3321</v>
      </c>
      <c r="D16" s="145" t="s">
        <v>3930</v>
      </c>
      <c r="E16" s="145" t="s">
        <v>3930</v>
      </c>
      <c r="F16" s="143" t="s">
        <v>3322</v>
      </c>
      <c r="G16" s="143" t="s">
        <v>3323</v>
      </c>
      <c r="H16" s="143" t="s">
        <v>312</v>
      </c>
      <c r="I16" s="143" t="s">
        <v>1000</v>
      </c>
      <c r="J16" s="145" t="s">
        <v>3930</v>
      </c>
      <c r="K16" s="143" t="s">
        <v>205</v>
      </c>
      <c r="L16" s="145" t="s">
        <v>3930</v>
      </c>
      <c r="M16" s="145" t="s">
        <v>3930</v>
      </c>
      <c r="N16" s="143" t="s">
        <v>291</v>
      </c>
      <c r="O16" s="143" t="s">
        <v>339</v>
      </c>
      <c r="P16" s="162">
        <v>44136</v>
      </c>
      <c r="Q16" s="143" t="s">
        <v>1211</v>
      </c>
      <c r="R16" s="143" t="s">
        <v>885</v>
      </c>
      <c r="S16" s="143" t="s">
        <v>889</v>
      </c>
      <c r="T16" s="161">
        <v>45547</v>
      </c>
      <c r="U16" s="143" t="s">
        <v>1212</v>
      </c>
      <c r="V16" s="144">
        <v>596.62159029649592</v>
      </c>
      <c r="W16" s="144">
        <v>2213.4661000000001</v>
      </c>
      <c r="X16" s="145" t="s">
        <v>3930</v>
      </c>
      <c r="Y16" s="146">
        <v>1.9150126374962422E-2</v>
      </c>
      <c r="Z16" s="147">
        <v>3.2110487098695774E-3</v>
      </c>
      <c r="AA16" s="177"/>
    </row>
    <row r="17" spans="1:27" ht="15" x14ac:dyDescent="0.2">
      <c r="A17" s="142" t="s">
        <v>1205</v>
      </c>
      <c r="B17" s="143" t="s">
        <v>1205</v>
      </c>
      <c r="C17" s="143" t="s">
        <v>3324</v>
      </c>
      <c r="D17" s="145" t="s">
        <v>3930</v>
      </c>
      <c r="E17" s="145" t="s">
        <v>3930</v>
      </c>
      <c r="F17" s="143" t="s">
        <v>3325</v>
      </c>
      <c r="G17" s="143" t="s">
        <v>3326</v>
      </c>
      <c r="H17" s="143" t="s">
        <v>312</v>
      </c>
      <c r="I17" s="143" t="s">
        <v>1000</v>
      </c>
      <c r="J17" s="145" t="s">
        <v>3930</v>
      </c>
      <c r="K17" s="143" t="s">
        <v>205</v>
      </c>
      <c r="L17" s="145" t="s">
        <v>3930</v>
      </c>
      <c r="M17" s="145" t="s">
        <v>3930</v>
      </c>
      <c r="N17" s="143" t="s">
        <v>224</v>
      </c>
      <c r="O17" s="143" t="s">
        <v>339</v>
      </c>
      <c r="P17" s="162">
        <v>44136</v>
      </c>
      <c r="Q17" s="143" t="s">
        <v>1211</v>
      </c>
      <c r="R17" s="143" t="s">
        <v>885</v>
      </c>
      <c r="S17" s="143" t="s">
        <v>889</v>
      </c>
      <c r="T17" s="161">
        <v>45565</v>
      </c>
      <c r="U17" s="143" t="s">
        <v>1212</v>
      </c>
      <c r="V17" s="144">
        <v>553.30385444743933</v>
      </c>
      <c r="W17" s="144">
        <v>2052.7573000000002</v>
      </c>
      <c r="X17" s="146">
        <v>6.9889428571428571E-5</v>
      </c>
      <c r="Y17" s="146">
        <v>1.775973062720888E-2</v>
      </c>
      <c r="Z17" s="147">
        <v>2.9779103804082438E-3</v>
      </c>
      <c r="AA17" s="177"/>
    </row>
    <row r="18" spans="1:27" ht="15" x14ac:dyDescent="0.2">
      <c r="A18" s="142" t="s">
        <v>1205</v>
      </c>
      <c r="B18" s="143" t="s">
        <v>1205</v>
      </c>
      <c r="C18" s="143" t="s">
        <v>3327</v>
      </c>
      <c r="D18" s="145" t="s">
        <v>3930</v>
      </c>
      <c r="E18" s="145" t="s">
        <v>3930</v>
      </c>
      <c r="F18" s="143" t="s">
        <v>3328</v>
      </c>
      <c r="G18" s="143" t="s">
        <v>3329</v>
      </c>
      <c r="H18" s="143" t="s">
        <v>312</v>
      </c>
      <c r="I18" s="143" t="s">
        <v>1000</v>
      </c>
      <c r="J18" s="145" t="s">
        <v>3930</v>
      </c>
      <c r="K18" s="143" t="s">
        <v>205</v>
      </c>
      <c r="L18" s="145" t="s">
        <v>3930</v>
      </c>
      <c r="M18" s="145" t="s">
        <v>3930</v>
      </c>
      <c r="N18" s="143" t="s">
        <v>224</v>
      </c>
      <c r="O18" s="143" t="s">
        <v>339</v>
      </c>
      <c r="P18" s="162">
        <v>44742</v>
      </c>
      <c r="Q18" s="143" t="s">
        <v>1211</v>
      </c>
      <c r="R18" s="143" t="s">
        <v>885</v>
      </c>
      <c r="S18" s="143" t="s">
        <v>889</v>
      </c>
      <c r="T18" s="161">
        <v>45522</v>
      </c>
      <c r="U18" s="143" t="s">
        <v>1212</v>
      </c>
      <c r="V18" s="144">
        <v>488.07889487870619</v>
      </c>
      <c r="W18" s="144">
        <v>1810.7727</v>
      </c>
      <c r="X18" s="145" t="s">
        <v>3930</v>
      </c>
      <c r="Y18" s="146">
        <v>1.5666165505949802E-2</v>
      </c>
      <c r="Z18" s="147">
        <v>2.6268662436741801E-3</v>
      </c>
      <c r="AA18" s="177"/>
    </row>
    <row r="19" spans="1:27" ht="15" x14ac:dyDescent="0.2">
      <c r="A19" s="142" t="s">
        <v>1205</v>
      </c>
      <c r="B19" s="143" t="s">
        <v>1205</v>
      </c>
      <c r="C19" s="143" t="s">
        <v>3330</v>
      </c>
      <c r="D19" s="145" t="s">
        <v>3930</v>
      </c>
      <c r="E19" s="145" t="s">
        <v>3930</v>
      </c>
      <c r="F19" s="143" t="s">
        <v>3331</v>
      </c>
      <c r="G19" s="143" t="s">
        <v>3332</v>
      </c>
      <c r="H19" s="143" t="s">
        <v>312</v>
      </c>
      <c r="I19" s="143" t="s">
        <v>1000</v>
      </c>
      <c r="J19" s="145" t="s">
        <v>3930</v>
      </c>
      <c r="K19" s="143" t="s">
        <v>205</v>
      </c>
      <c r="L19" s="145" t="s">
        <v>3930</v>
      </c>
      <c r="M19" s="145" t="s">
        <v>3930</v>
      </c>
      <c r="N19" s="143" t="s">
        <v>224</v>
      </c>
      <c r="O19" s="143" t="s">
        <v>339</v>
      </c>
      <c r="P19" s="162">
        <v>44136</v>
      </c>
      <c r="Q19" s="143" t="s">
        <v>1211</v>
      </c>
      <c r="R19" s="143" t="s">
        <v>885</v>
      </c>
      <c r="S19" s="143" t="s">
        <v>889</v>
      </c>
      <c r="T19" s="161">
        <v>45559</v>
      </c>
      <c r="U19" s="143" t="s">
        <v>1212</v>
      </c>
      <c r="V19" s="144">
        <v>486.8011051212938</v>
      </c>
      <c r="W19" s="144">
        <v>1806.0321000000001</v>
      </c>
      <c r="X19" s="146">
        <v>3.1849133333333333E-4</v>
      </c>
      <c r="Y19" s="146">
        <v>1.5625151689799711E-2</v>
      </c>
      <c r="Z19" s="147">
        <v>2.6199891422463918E-3</v>
      </c>
      <c r="AA19" s="177"/>
    </row>
    <row r="20" spans="1:27" ht="15" x14ac:dyDescent="0.2">
      <c r="A20" s="142" t="s">
        <v>1205</v>
      </c>
      <c r="B20" s="143" t="s">
        <v>1205</v>
      </c>
      <c r="C20" s="143" t="s">
        <v>3333</v>
      </c>
      <c r="D20" s="145" t="s">
        <v>3930</v>
      </c>
      <c r="E20" s="145" t="s">
        <v>3930</v>
      </c>
      <c r="F20" s="143" t="s">
        <v>3334</v>
      </c>
      <c r="G20" s="143" t="s">
        <v>3335</v>
      </c>
      <c r="H20" s="143" t="s">
        <v>312</v>
      </c>
      <c r="I20" s="143" t="s">
        <v>1000</v>
      </c>
      <c r="J20" s="145" t="s">
        <v>3930</v>
      </c>
      <c r="K20" s="143" t="s">
        <v>205</v>
      </c>
      <c r="L20" s="145" t="s">
        <v>3930</v>
      </c>
      <c r="M20" s="145" t="s">
        <v>3930</v>
      </c>
      <c r="N20" s="143" t="s">
        <v>291</v>
      </c>
      <c r="O20" s="143" t="s">
        <v>339</v>
      </c>
      <c r="P20" s="162">
        <v>44136</v>
      </c>
      <c r="Q20" s="143" t="s">
        <v>1211</v>
      </c>
      <c r="R20" s="143" t="s">
        <v>885</v>
      </c>
      <c r="S20" s="143" t="s">
        <v>889</v>
      </c>
      <c r="T20" s="161">
        <v>45523</v>
      </c>
      <c r="U20" s="143" t="s">
        <v>1212</v>
      </c>
      <c r="V20" s="144">
        <v>458.28412398921836</v>
      </c>
      <c r="W20" s="144">
        <v>1700.2341000000001</v>
      </c>
      <c r="X20" s="146">
        <v>3.9780132000000003E-5</v>
      </c>
      <c r="Y20" s="146">
        <v>1.4709824886494459E-2</v>
      </c>
      <c r="Z20" s="147">
        <v>2.4665092699305028E-3</v>
      </c>
      <c r="AA20" s="177"/>
    </row>
    <row r="21" spans="1:27" ht="15" x14ac:dyDescent="0.2">
      <c r="A21" s="142" t="s">
        <v>1205</v>
      </c>
      <c r="B21" s="143" t="s">
        <v>1205</v>
      </c>
      <c r="C21" s="143" t="s">
        <v>3336</v>
      </c>
      <c r="D21" s="145" t="s">
        <v>3930</v>
      </c>
      <c r="E21" s="145" t="s">
        <v>3930</v>
      </c>
      <c r="F21" s="143" t="s">
        <v>3337</v>
      </c>
      <c r="G21" s="143" t="s">
        <v>3338</v>
      </c>
      <c r="H21" s="143" t="s">
        <v>312</v>
      </c>
      <c r="I21" s="143" t="s">
        <v>1000</v>
      </c>
      <c r="J21" s="145" t="s">
        <v>3930</v>
      </c>
      <c r="K21" s="143" t="s">
        <v>205</v>
      </c>
      <c r="L21" s="145" t="s">
        <v>3930</v>
      </c>
      <c r="M21" s="145" t="s">
        <v>3930</v>
      </c>
      <c r="N21" s="143" t="s">
        <v>224</v>
      </c>
      <c r="O21" s="143" t="s">
        <v>339</v>
      </c>
      <c r="P21" s="162">
        <v>44136</v>
      </c>
      <c r="Q21" s="143" t="s">
        <v>1211</v>
      </c>
      <c r="R21" s="143" t="s">
        <v>885</v>
      </c>
      <c r="S21" s="143" t="s">
        <v>889</v>
      </c>
      <c r="T21" s="160">
        <v>45538</v>
      </c>
      <c r="U21" s="143" t="s">
        <v>1212</v>
      </c>
      <c r="V21" s="144">
        <v>452.00851752021566</v>
      </c>
      <c r="W21" s="144">
        <v>1676.9516000000001</v>
      </c>
      <c r="X21" s="145" t="s">
        <v>3930</v>
      </c>
      <c r="Y21" s="146">
        <v>1.4508392861159463E-2</v>
      </c>
      <c r="Z21" s="147">
        <v>2.4327336157957077E-3</v>
      </c>
      <c r="AA21" s="177"/>
    </row>
    <row r="22" spans="1:27" ht="15" x14ac:dyDescent="0.2">
      <c r="A22" s="142" t="s">
        <v>1205</v>
      </c>
      <c r="B22" s="143" t="s">
        <v>1205</v>
      </c>
      <c r="C22" s="143" t="s">
        <v>3339</v>
      </c>
      <c r="D22" s="145" t="s">
        <v>3930</v>
      </c>
      <c r="E22" s="145" t="s">
        <v>3930</v>
      </c>
      <c r="F22" s="143" t="s">
        <v>3340</v>
      </c>
      <c r="G22" s="143" t="s">
        <v>3341</v>
      </c>
      <c r="H22" s="143" t="s">
        <v>312</v>
      </c>
      <c r="I22" s="143" t="s">
        <v>1000</v>
      </c>
      <c r="J22" s="145" t="s">
        <v>3930</v>
      </c>
      <c r="K22" s="143" t="s">
        <v>205</v>
      </c>
      <c r="L22" s="145" t="s">
        <v>3930</v>
      </c>
      <c r="M22" s="145" t="s">
        <v>3930</v>
      </c>
      <c r="N22" s="143" t="s">
        <v>1639</v>
      </c>
      <c r="O22" s="143" t="s">
        <v>339</v>
      </c>
      <c r="P22" s="162">
        <v>44143</v>
      </c>
      <c r="Q22" s="143" t="s">
        <v>1218</v>
      </c>
      <c r="R22" s="143" t="s">
        <v>885</v>
      </c>
      <c r="S22" s="143" t="s">
        <v>889</v>
      </c>
      <c r="T22" s="160">
        <v>45525</v>
      </c>
      <c r="U22" s="143" t="s">
        <v>1219</v>
      </c>
      <c r="V22" s="144">
        <v>394.44627203544934</v>
      </c>
      <c r="W22" s="144">
        <v>1637.8987</v>
      </c>
      <c r="X22" s="146">
        <v>6.2321807272727278E-5</v>
      </c>
      <c r="Y22" s="146">
        <v>1.4170521188759303E-2</v>
      </c>
      <c r="Z22" s="147">
        <v>2.3760800785542786E-3</v>
      </c>
      <c r="AA22" s="177"/>
    </row>
    <row r="23" spans="1:27" ht="15" x14ac:dyDescent="0.2">
      <c r="A23" s="142" t="s">
        <v>1205</v>
      </c>
      <c r="B23" s="143" t="s">
        <v>1205</v>
      </c>
      <c r="C23" s="143" t="s">
        <v>3330</v>
      </c>
      <c r="D23" s="145" t="s">
        <v>3930</v>
      </c>
      <c r="E23" s="145" t="s">
        <v>3930</v>
      </c>
      <c r="F23" s="143" t="s">
        <v>3342</v>
      </c>
      <c r="G23" s="143" t="s">
        <v>3343</v>
      </c>
      <c r="H23" s="143" t="s">
        <v>312</v>
      </c>
      <c r="I23" s="143" t="s">
        <v>1000</v>
      </c>
      <c r="J23" s="145" t="s">
        <v>3930</v>
      </c>
      <c r="K23" s="143" t="s">
        <v>205</v>
      </c>
      <c r="L23" s="145" t="s">
        <v>3930</v>
      </c>
      <c r="M23" s="145" t="s">
        <v>3930</v>
      </c>
      <c r="N23" s="143" t="s">
        <v>224</v>
      </c>
      <c r="O23" s="143" t="s">
        <v>339</v>
      </c>
      <c r="P23" s="162">
        <v>44858</v>
      </c>
      <c r="Q23" s="143" t="s">
        <v>1211</v>
      </c>
      <c r="R23" s="143" t="s">
        <v>885</v>
      </c>
      <c r="S23" s="143" t="s">
        <v>889</v>
      </c>
      <c r="T23" s="160">
        <v>45559</v>
      </c>
      <c r="U23" s="143" t="s">
        <v>1212</v>
      </c>
      <c r="V23" s="144">
        <v>400.02514824797845</v>
      </c>
      <c r="W23" s="144">
        <v>1484.0933</v>
      </c>
      <c r="X23" s="146">
        <v>3.6744210526315789E-4</v>
      </c>
      <c r="Y23" s="146">
        <v>1.2839850823858598E-2</v>
      </c>
      <c r="Z23" s="147">
        <v>2.1529563625634234E-3</v>
      </c>
      <c r="AA23" s="177"/>
    </row>
    <row r="24" spans="1:27" ht="15" x14ac:dyDescent="0.2">
      <c r="A24" s="142" t="s">
        <v>1205</v>
      </c>
      <c r="B24" s="143" t="s">
        <v>1205</v>
      </c>
      <c r="C24" s="143" t="s">
        <v>3344</v>
      </c>
      <c r="D24" s="145" t="s">
        <v>3930</v>
      </c>
      <c r="E24" s="145" t="s">
        <v>3930</v>
      </c>
      <c r="F24" s="143" t="s">
        <v>3345</v>
      </c>
      <c r="G24" s="143" t="s">
        <v>3346</v>
      </c>
      <c r="H24" s="143" t="s">
        <v>312</v>
      </c>
      <c r="I24" s="143" t="s">
        <v>1000</v>
      </c>
      <c r="J24" s="145" t="s">
        <v>3930</v>
      </c>
      <c r="K24" s="143" t="s">
        <v>205</v>
      </c>
      <c r="L24" s="145" t="s">
        <v>3930</v>
      </c>
      <c r="M24" s="145" t="s">
        <v>3930</v>
      </c>
      <c r="N24" s="143" t="s">
        <v>291</v>
      </c>
      <c r="O24" s="143" t="s">
        <v>339</v>
      </c>
      <c r="P24" s="162">
        <v>43718</v>
      </c>
      <c r="Q24" s="143" t="s">
        <v>1211</v>
      </c>
      <c r="R24" s="143" t="s">
        <v>885</v>
      </c>
      <c r="S24" s="143" t="s">
        <v>889</v>
      </c>
      <c r="T24" s="160">
        <v>45533</v>
      </c>
      <c r="U24" s="143" t="s">
        <v>1212</v>
      </c>
      <c r="V24" s="144">
        <v>395.03361185983823</v>
      </c>
      <c r="W24" s="144">
        <v>1465.5746999999999</v>
      </c>
      <c r="X24" s="145" t="s">
        <v>3930</v>
      </c>
      <c r="Y24" s="146">
        <v>1.267963433783352E-2</v>
      </c>
      <c r="Z24" s="147">
        <v>2.1260916343273069E-3</v>
      </c>
      <c r="AA24" s="177"/>
    </row>
    <row r="25" spans="1:27" ht="15" x14ac:dyDescent="0.2">
      <c r="A25" s="142" t="s">
        <v>1205</v>
      </c>
      <c r="B25" s="143" t="s">
        <v>1205</v>
      </c>
      <c r="C25" s="143" t="s">
        <v>3347</v>
      </c>
      <c r="D25" s="145" t="s">
        <v>3930</v>
      </c>
      <c r="E25" s="145" t="s">
        <v>3930</v>
      </c>
      <c r="F25" s="143" t="s">
        <v>3348</v>
      </c>
      <c r="G25" s="143" t="s">
        <v>3349</v>
      </c>
      <c r="H25" s="143" t="s">
        <v>312</v>
      </c>
      <c r="I25" s="143" t="s">
        <v>1000</v>
      </c>
      <c r="J25" s="145" t="s">
        <v>3930</v>
      </c>
      <c r="K25" s="143" t="s">
        <v>205</v>
      </c>
      <c r="L25" s="145" t="s">
        <v>3930</v>
      </c>
      <c r="M25" s="145" t="s">
        <v>3930</v>
      </c>
      <c r="N25" s="143" t="s">
        <v>291</v>
      </c>
      <c r="O25" s="143" t="s">
        <v>339</v>
      </c>
      <c r="P25" s="162">
        <v>44136</v>
      </c>
      <c r="Q25" s="143" t="s">
        <v>1211</v>
      </c>
      <c r="R25" s="143" t="s">
        <v>885</v>
      </c>
      <c r="S25" s="143" t="s">
        <v>889</v>
      </c>
      <c r="T25" s="160">
        <v>45533</v>
      </c>
      <c r="U25" s="143" t="s">
        <v>1212</v>
      </c>
      <c r="V25" s="144">
        <v>368.53258760107815</v>
      </c>
      <c r="W25" s="144">
        <v>1367.2558999999999</v>
      </c>
      <c r="X25" s="146">
        <v>1.5924775313003272E-3</v>
      </c>
      <c r="Y25" s="146">
        <v>1.1829015424883812E-2</v>
      </c>
      <c r="Z25" s="147">
        <v>1.9834618307669016E-3</v>
      </c>
      <c r="AA25" s="177"/>
    </row>
    <row r="26" spans="1:27" ht="15" x14ac:dyDescent="0.2">
      <c r="A26" s="142" t="s">
        <v>1205</v>
      </c>
      <c r="B26" s="143" t="s">
        <v>1205</v>
      </c>
      <c r="C26" s="143" t="s">
        <v>3350</v>
      </c>
      <c r="D26" s="145" t="s">
        <v>3930</v>
      </c>
      <c r="E26" s="145" t="s">
        <v>3930</v>
      </c>
      <c r="F26" s="143" t="s">
        <v>3351</v>
      </c>
      <c r="G26" s="143" t="s">
        <v>3352</v>
      </c>
      <c r="H26" s="143" t="s">
        <v>312</v>
      </c>
      <c r="I26" s="143" t="s">
        <v>1000</v>
      </c>
      <c r="J26" s="145" t="s">
        <v>3930</v>
      </c>
      <c r="K26" s="143" t="s">
        <v>205</v>
      </c>
      <c r="L26" s="145" t="s">
        <v>3930</v>
      </c>
      <c r="M26" s="145" t="s">
        <v>3930</v>
      </c>
      <c r="N26" s="143" t="s">
        <v>293</v>
      </c>
      <c r="O26" s="143" t="s">
        <v>339</v>
      </c>
      <c r="P26" s="162">
        <v>44143</v>
      </c>
      <c r="Q26" s="143" t="s">
        <v>1218</v>
      </c>
      <c r="R26" s="143" t="s">
        <v>885</v>
      </c>
      <c r="S26" s="143" t="s">
        <v>889</v>
      </c>
      <c r="T26" s="160">
        <v>45518</v>
      </c>
      <c r="U26" s="143" t="s">
        <v>1219</v>
      </c>
      <c r="V26" s="144">
        <v>315.51131875541853</v>
      </c>
      <c r="W26" s="144">
        <v>1310.1291999999999</v>
      </c>
      <c r="X26" s="146">
        <v>1.42081125E-5</v>
      </c>
      <c r="Y26" s="146">
        <v>1.1334774830688987E-2</v>
      </c>
      <c r="Z26" s="147">
        <v>1.9005887159226356E-3</v>
      </c>
      <c r="AA26" s="177"/>
    </row>
    <row r="27" spans="1:27" ht="15" x14ac:dyDescent="0.2">
      <c r="A27" s="142" t="s">
        <v>1205</v>
      </c>
      <c r="B27" s="143" t="s">
        <v>1205</v>
      </c>
      <c r="C27" s="143" t="s">
        <v>3353</v>
      </c>
      <c r="D27" s="145" t="s">
        <v>3930</v>
      </c>
      <c r="E27" s="145" t="s">
        <v>3930</v>
      </c>
      <c r="F27" s="143" t="s">
        <v>3354</v>
      </c>
      <c r="G27" s="143" t="s">
        <v>3355</v>
      </c>
      <c r="H27" s="143" t="s">
        <v>312</v>
      </c>
      <c r="I27" s="143" t="s">
        <v>1000</v>
      </c>
      <c r="J27" s="145" t="s">
        <v>3930</v>
      </c>
      <c r="K27" s="143" t="s">
        <v>205</v>
      </c>
      <c r="L27" s="145" t="s">
        <v>3930</v>
      </c>
      <c r="M27" s="145" t="s">
        <v>3930</v>
      </c>
      <c r="N27" s="143" t="s">
        <v>296</v>
      </c>
      <c r="O27" s="143" t="s">
        <v>339</v>
      </c>
      <c r="P27" s="162">
        <v>44312</v>
      </c>
      <c r="Q27" s="143" t="s">
        <v>1211</v>
      </c>
      <c r="R27" s="143" t="s">
        <v>885</v>
      </c>
      <c r="S27" s="143" t="s">
        <v>889</v>
      </c>
      <c r="T27" s="160">
        <v>45564</v>
      </c>
      <c r="U27" s="143" t="s">
        <v>1212</v>
      </c>
      <c r="V27" s="144">
        <v>349.09137466307277</v>
      </c>
      <c r="W27" s="144">
        <v>1295.1289999999999</v>
      </c>
      <c r="X27" s="146">
        <v>1.9366400666666667E-4</v>
      </c>
      <c r="Y27" s="146">
        <v>1.1204998730316299E-2</v>
      </c>
      <c r="Z27" s="147">
        <v>1.8788281608477378E-3</v>
      </c>
      <c r="AA27" s="177"/>
    </row>
    <row r="28" spans="1:27" ht="15" x14ac:dyDescent="0.2">
      <c r="A28" s="142" t="s">
        <v>1205</v>
      </c>
      <c r="B28" s="143" t="s">
        <v>1205</v>
      </c>
      <c r="C28" s="143" t="s">
        <v>3330</v>
      </c>
      <c r="D28" s="145" t="s">
        <v>3930</v>
      </c>
      <c r="E28" s="145" t="s">
        <v>3930</v>
      </c>
      <c r="F28" s="143" t="s">
        <v>3356</v>
      </c>
      <c r="G28" s="143" t="s">
        <v>3357</v>
      </c>
      <c r="H28" s="143" t="s">
        <v>312</v>
      </c>
      <c r="I28" s="143" t="s">
        <v>1000</v>
      </c>
      <c r="J28" s="145" t="s">
        <v>3930</v>
      </c>
      <c r="K28" s="143" t="s">
        <v>205</v>
      </c>
      <c r="L28" s="145" t="s">
        <v>3930</v>
      </c>
      <c r="M28" s="145" t="s">
        <v>3930</v>
      </c>
      <c r="N28" s="143" t="s">
        <v>224</v>
      </c>
      <c r="O28" s="143" t="s">
        <v>339</v>
      </c>
      <c r="P28" s="162">
        <v>44248</v>
      </c>
      <c r="Q28" s="143" t="s">
        <v>1211</v>
      </c>
      <c r="R28" s="143" t="s">
        <v>885</v>
      </c>
      <c r="S28" s="143" t="s">
        <v>889</v>
      </c>
      <c r="T28" s="160">
        <v>45504</v>
      </c>
      <c r="U28" s="143" t="s">
        <v>1212</v>
      </c>
      <c r="V28" s="144">
        <v>339.57331536388142</v>
      </c>
      <c r="W28" s="144">
        <v>1259.817</v>
      </c>
      <c r="X28" s="146">
        <v>2.1109618471337581E-4</v>
      </c>
      <c r="Y28" s="146">
        <v>1.089949127101369E-2</v>
      </c>
      <c r="Z28" s="147">
        <v>1.8276013796849895E-3</v>
      </c>
      <c r="AA28" s="177"/>
    </row>
    <row r="29" spans="1:27" ht="15" x14ac:dyDescent="0.2">
      <c r="A29" s="142" t="s">
        <v>1205</v>
      </c>
      <c r="B29" s="143" t="s">
        <v>1205</v>
      </c>
      <c r="C29" s="143" t="s">
        <v>3358</v>
      </c>
      <c r="D29" s="145" t="s">
        <v>3930</v>
      </c>
      <c r="E29" s="145" t="s">
        <v>3930</v>
      </c>
      <c r="F29" s="143" t="s">
        <v>3359</v>
      </c>
      <c r="G29" s="143" t="s">
        <v>3360</v>
      </c>
      <c r="H29" s="143" t="s">
        <v>312</v>
      </c>
      <c r="I29" s="143" t="s">
        <v>1000</v>
      </c>
      <c r="J29" s="145" t="s">
        <v>3930</v>
      </c>
      <c r="K29" s="143" t="s">
        <v>205</v>
      </c>
      <c r="L29" s="145" t="s">
        <v>3930</v>
      </c>
      <c r="M29" s="145" t="s">
        <v>3930</v>
      </c>
      <c r="N29" s="143" t="s">
        <v>268</v>
      </c>
      <c r="O29" s="143" t="s">
        <v>339</v>
      </c>
      <c r="P29" s="162">
        <v>44342</v>
      </c>
      <c r="Q29" s="143" t="s">
        <v>1211</v>
      </c>
      <c r="R29" s="143" t="s">
        <v>885</v>
      </c>
      <c r="S29" s="143" t="s">
        <v>889</v>
      </c>
      <c r="T29" s="160">
        <v>45533</v>
      </c>
      <c r="U29" s="143" t="s">
        <v>1212</v>
      </c>
      <c r="V29" s="144">
        <v>315.00981132075469</v>
      </c>
      <c r="W29" s="144">
        <v>1168.6863999999998</v>
      </c>
      <c r="X29" s="146">
        <v>1.4297887857142857E-4</v>
      </c>
      <c r="Y29" s="146">
        <v>1.0111061740687705E-2</v>
      </c>
      <c r="Z29" s="147">
        <v>1.6953993473534247E-3</v>
      </c>
      <c r="AA29" s="177"/>
    </row>
    <row r="30" spans="1:27" ht="15" x14ac:dyDescent="0.2">
      <c r="A30" s="142" t="s">
        <v>1205</v>
      </c>
      <c r="B30" s="143" t="s">
        <v>1205</v>
      </c>
      <c r="C30" s="143" t="s">
        <v>3361</v>
      </c>
      <c r="D30" s="145" t="s">
        <v>3930</v>
      </c>
      <c r="E30" s="145" t="s">
        <v>3930</v>
      </c>
      <c r="F30" s="143" t="s">
        <v>3362</v>
      </c>
      <c r="G30" s="143" t="s">
        <v>3363</v>
      </c>
      <c r="H30" s="143" t="s">
        <v>312</v>
      </c>
      <c r="I30" s="143" t="s">
        <v>1000</v>
      </c>
      <c r="J30" s="145" t="s">
        <v>3930</v>
      </c>
      <c r="K30" s="143" t="s">
        <v>205</v>
      </c>
      <c r="L30" s="145" t="s">
        <v>3930</v>
      </c>
      <c r="M30" s="145" t="s">
        <v>3930</v>
      </c>
      <c r="N30" s="143" t="s">
        <v>293</v>
      </c>
      <c r="O30" s="143" t="s">
        <v>339</v>
      </c>
      <c r="P30" s="162">
        <v>44193</v>
      </c>
      <c r="Q30" s="143" t="s">
        <v>1211</v>
      </c>
      <c r="R30" s="143" t="s">
        <v>885</v>
      </c>
      <c r="S30" s="143" t="s">
        <v>889</v>
      </c>
      <c r="T30" s="160">
        <v>45547</v>
      </c>
      <c r="U30" s="143" t="s">
        <v>1212</v>
      </c>
      <c r="V30" s="144">
        <v>309.30293800539079</v>
      </c>
      <c r="W30" s="144">
        <v>1147.5138999999999</v>
      </c>
      <c r="X30" s="146">
        <v>2.3962148E-5</v>
      </c>
      <c r="Y30" s="146">
        <v>9.9278845383947781E-3</v>
      </c>
      <c r="Z30" s="147">
        <v>1.6646846195451923E-3</v>
      </c>
      <c r="AA30" s="177"/>
    </row>
    <row r="31" spans="1:27" ht="15" x14ac:dyDescent="0.2">
      <c r="A31" s="142" t="s">
        <v>1205</v>
      </c>
      <c r="B31" s="143" t="s">
        <v>1205</v>
      </c>
      <c r="C31" s="143" t="s">
        <v>3364</v>
      </c>
      <c r="D31" s="145" t="s">
        <v>3930</v>
      </c>
      <c r="E31" s="145" t="s">
        <v>3930</v>
      </c>
      <c r="F31" s="143" t="s">
        <v>3365</v>
      </c>
      <c r="G31" s="143" t="s">
        <v>3366</v>
      </c>
      <c r="H31" s="143" t="s">
        <v>312</v>
      </c>
      <c r="I31" s="143" t="s">
        <v>1000</v>
      </c>
      <c r="J31" s="145" t="s">
        <v>3930</v>
      </c>
      <c r="K31" s="143" t="s">
        <v>205</v>
      </c>
      <c r="L31" s="145" t="s">
        <v>3930</v>
      </c>
      <c r="M31" s="145" t="s">
        <v>3930</v>
      </c>
      <c r="N31" s="143" t="s">
        <v>291</v>
      </c>
      <c r="O31" s="143" t="s">
        <v>339</v>
      </c>
      <c r="P31" s="162">
        <v>44136</v>
      </c>
      <c r="Q31" s="143" t="s">
        <v>1211</v>
      </c>
      <c r="R31" s="143" t="s">
        <v>885</v>
      </c>
      <c r="S31" s="143" t="s">
        <v>889</v>
      </c>
      <c r="T31" s="160">
        <v>45565</v>
      </c>
      <c r="U31" s="143" t="s">
        <v>1212</v>
      </c>
      <c r="V31" s="144">
        <v>308.81312668463613</v>
      </c>
      <c r="W31" s="144">
        <v>1145.6967</v>
      </c>
      <c r="X31" s="146">
        <v>1.7651799999999999E-4</v>
      </c>
      <c r="Y31" s="146">
        <v>9.912162963594557E-3</v>
      </c>
      <c r="Z31" s="147">
        <v>1.662048462399756E-3</v>
      </c>
      <c r="AA31" s="177"/>
    </row>
    <row r="32" spans="1:27" ht="15" x14ac:dyDescent="0.2">
      <c r="A32" s="142" t="s">
        <v>1205</v>
      </c>
      <c r="B32" s="143" t="s">
        <v>1205</v>
      </c>
      <c r="C32" s="143" t="s">
        <v>3367</v>
      </c>
      <c r="D32" s="145" t="s">
        <v>3930</v>
      </c>
      <c r="E32" s="145" t="s">
        <v>3930</v>
      </c>
      <c r="F32" s="143" t="s">
        <v>3368</v>
      </c>
      <c r="G32" s="143" t="s">
        <v>3369</v>
      </c>
      <c r="H32" s="143" t="s">
        <v>312</v>
      </c>
      <c r="I32" s="143" t="s">
        <v>1000</v>
      </c>
      <c r="J32" s="145" t="s">
        <v>3930</v>
      </c>
      <c r="K32" s="143" t="s">
        <v>205</v>
      </c>
      <c r="L32" s="145" t="s">
        <v>3930</v>
      </c>
      <c r="M32" s="145" t="s">
        <v>3930</v>
      </c>
      <c r="N32" s="143" t="s">
        <v>293</v>
      </c>
      <c r="O32" s="143" t="s">
        <v>339</v>
      </c>
      <c r="P32" s="162">
        <v>44136</v>
      </c>
      <c r="Q32" s="143" t="s">
        <v>1218</v>
      </c>
      <c r="R32" s="143" t="s">
        <v>885</v>
      </c>
      <c r="S32" s="143" t="s">
        <v>889</v>
      </c>
      <c r="T32" s="160">
        <v>45532</v>
      </c>
      <c r="U32" s="143" t="s">
        <v>1219</v>
      </c>
      <c r="V32" s="144">
        <v>230.69188902803199</v>
      </c>
      <c r="W32" s="144">
        <v>957.92499999999995</v>
      </c>
      <c r="X32" s="146">
        <v>6.6228671711070138E-5</v>
      </c>
      <c r="Y32" s="146">
        <v>8.2876287718906625E-3</v>
      </c>
      <c r="Z32" s="147">
        <v>1.3896503424985736E-3</v>
      </c>
      <c r="AA32" s="177"/>
    </row>
    <row r="33" spans="1:27" ht="15" x14ac:dyDescent="0.2">
      <c r="A33" s="142" t="s">
        <v>1205</v>
      </c>
      <c r="B33" s="143" t="s">
        <v>1205</v>
      </c>
      <c r="C33" s="143" t="s">
        <v>3370</v>
      </c>
      <c r="D33" s="145" t="s">
        <v>3930</v>
      </c>
      <c r="E33" s="145" t="s">
        <v>3930</v>
      </c>
      <c r="F33" s="143" t="s">
        <v>3371</v>
      </c>
      <c r="G33" s="143" t="s">
        <v>3372</v>
      </c>
      <c r="H33" s="143" t="s">
        <v>312</v>
      </c>
      <c r="I33" s="143" t="s">
        <v>1000</v>
      </c>
      <c r="J33" s="145" t="s">
        <v>3930</v>
      </c>
      <c r="K33" s="143" t="s">
        <v>205</v>
      </c>
      <c r="L33" s="145" t="s">
        <v>3930</v>
      </c>
      <c r="M33" s="145" t="s">
        <v>3930</v>
      </c>
      <c r="N33" s="143" t="s">
        <v>296</v>
      </c>
      <c r="O33" s="143" t="s">
        <v>339</v>
      </c>
      <c r="P33" s="162">
        <v>44613</v>
      </c>
      <c r="Q33" s="143" t="s">
        <v>1218</v>
      </c>
      <c r="R33" s="143" t="s">
        <v>885</v>
      </c>
      <c r="S33" s="143" t="s">
        <v>889</v>
      </c>
      <c r="T33" s="160">
        <v>45545</v>
      </c>
      <c r="U33" s="143" t="s">
        <v>1219</v>
      </c>
      <c r="V33" s="144">
        <v>226.23251613524707</v>
      </c>
      <c r="W33" s="144">
        <v>939.40790000000004</v>
      </c>
      <c r="X33" s="146">
        <v>5.2045714285714288E-4</v>
      </c>
      <c r="Y33" s="146">
        <v>8.1274253958867563E-3</v>
      </c>
      <c r="Z33" s="147">
        <v>1.3627878125203555E-3</v>
      </c>
      <c r="AA33" s="177"/>
    </row>
    <row r="34" spans="1:27" ht="15" x14ac:dyDescent="0.2">
      <c r="A34" s="142" t="s">
        <v>1205</v>
      </c>
      <c r="B34" s="143" t="s">
        <v>1205</v>
      </c>
      <c r="C34" s="143" t="s">
        <v>3373</v>
      </c>
      <c r="D34" s="145" t="s">
        <v>3930</v>
      </c>
      <c r="E34" s="145" t="s">
        <v>3930</v>
      </c>
      <c r="F34" s="143" t="s">
        <v>3374</v>
      </c>
      <c r="G34" s="143" t="s">
        <v>3375</v>
      </c>
      <c r="H34" s="143" t="s">
        <v>312</v>
      </c>
      <c r="I34" s="143" t="s">
        <v>1000</v>
      </c>
      <c r="J34" s="145" t="s">
        <v>3930</v>
      </c>
      <c r="K34" s="143" t="s">
        <v>205</v>
      </c>
      <c r="L34" s="145" t="s">
        <v>3930</v>
      </c>
      <c r="M34" s="145" t="s">
        <v>3930</v>
      </c>
      <c r="N34" s="143" t="s">
        <v>1639</v>
      </c>
      <c r="O34" s="143" t="s">
        <v>339</v>
      </c>
      <c r="P34" s="162">
        <v>44143</v>
      </c>
      <c r="Q34" s="143" t="s">
        <v>1218</v>
      </c>
      <c r="R34" s="143" t="s">
        <v>885</v>
      </c>
      <c r="S34" s="143" t="s">
        <v>889</v>
      </c>
      <c r="T34" s="163">
        <v>45525</v>
      </c>
      <c r="U34" s="143" t="s">
        <v>1219</v>
      </c>
      <c r="V34" s="144">
        <v>225.2686398227531</v>
      </c>
      <c r="W34" s="144">
        <v>935.40549999999996</v>
      </c>
      <c r="X34" s="146">
        <v>1.4030604E-5</v>
      </c>
      <c r="Y34" s="146">
        <v>8.0927980595979707E-3</v>
      </c>
      <c r="Z34" s="147">
        <v>1.3569815812016057E-3</v>
      </c>
      <c r="AA34" s="177"/>
    </row>
    <row r="35" spans="1:27" ht="15" x14ac:dyDescent="0.2">
      <c r="A35" s="142" t="s">
        <v>1205</v>
      </c>
      <c r="B35" s="143" t="s">
        <v>1205</v>
      </c>
      <c r="C35" s="143" t="s">
        <v>3376</v>
      </c>
      <c r="D35" s="145" t="s">
        <v>3930</v>
      </c>
      <c r="E35" s="145" t="s">
        <v>3930</v>
      </c>
      <c r="F35" s="143" t="s">
        <v>3377</v>
      </c>
      <c r="G35" s="143" t="s">
        <v>3378</v>
      </c>
      <c r="H35" s="143" t="s">
        <v>312</v>
      </c>
      <c r="I35" s="143" t="s">
        <v>1000</v>
      </c>
      <c r="J35" s="145" t="s">
        <v>3930</v>
      </c>
      <c r="K35" s="143" t="s">
        <v>205</v>
      </c>
      <c r="L35" s="145" t="s">
        <v>3930</v>
      </c>
      <c r="M35" s="145" t="s">
        <v>3930</v>
      </c>
      <c r="N35" s="143" t="s">
        <v>204</v>
      </c>
      <c r="O35" s="143" t="s">
        <v>339</v>
      </c>
      <c r="P35" s="162">
        <v>44136</v>
      </c>
      <c r="Q35" s="143" t="s">
        <v>1211</v>
      </c>
      <c r="R35" s="143" t="s">
        <v>885</v>
      </c>
      <c r="S35" s="143" t="s">
        <v>889</v>
      </c>
      <c r="T35" s="163">
        <v>45530</v>
      </c>
      <c r="U35" s="143" t="s">
        <v>1212</v>
      </c>
      <c r="V35" s="144">
        <v>251.37757412398923</v>
      </c>
      <c r="W35" s="144">
        <v>932.61080000000004</v>
      </c>
      <c r="X35" s="146">
        <v>4.8652800000000001E-4</v>
      </c>
      <c r="Y35" s="146">
        <v>8.0686195066650198E-3</v>
      </c>
      <c r="Z35" s="147">
        <v>1.352927377606199E-3</v>
      </c>
      <c r="AA35" s="177"/>
    </row>
    <row r="36" spans="1:27" ht="15" x14ac:dyDescent="0.2">
      <c r="A36" s="142" t="s">
        <v>1205</v>
      </c>
      <c r="B36" s="143" t="s">
        <v>1205</v>
      </c>
      <c r="C36" s="143" t="s">
        <v>3379</v>
      </c>
      <c r="D36" s="145" t="s">
        <v>3930</v>
      </c>
      <c r="E36" s="145" t="s">
        <v>3930</v>
      </c>
      <c r="F36" s="143" t="s">
        <v>3380</v>
      </c>
      <c r="G36" s="143" t="s">
        <v>3381</v>
      </c>
      <c r="H36" s="143" t="s">
        <v>312</v>
      </c>
      <c r="I36" s="143" t="s">
        <v>1000</v>
      </c>
      <c r="J36" s="145" t="s">
        <v>3930</v>
      </c>
      <c r="K36" s="143" t="s">
        <v>205</v>
      </c>
      <c r="L36" s="145" t="s">
        <v>3930</v>
      </c>
      <c r="M36" s="145" t="s">
        <v>3930</v>
      </c>
      <c r="N36" s="143" t="s">
        <v>224</v>
      </c>
      <c r="O36" s="143" t="s">
        <v>339</v>
      </c>
      <c r="P36" s="162">
        <v>44769</v>
      </c>
      <c r="Q36" s="143" t="s">
        <v>1211</v>
      </c>
      <c r="R36" s="143" t="s">
        <v>885</v>
      </c>
      <c r="S36" s="143" t="s">
        <v>889</v>
      </c>
      <c r="T36" s="163">
        <v>45538</v>
      </c>
      <c r="U36" s="143" t="s">
        <v>1212</v>
      </c>
      <c r="V36" s="144">
        <v>200.43628032345012</v>
      </c>
      <c r="W36" s="144">
        <v>743.61860000000001</v>
      </c>
      <c r="X36" s="146">
        <v>2.5991999999999999E-3</v>
      </c>
      <c r="Y36" s="146">
        <v>6.4335250480196324E-3</v>
      </c>
      <c r="Z36" s="147">
        <v>1.0787585366729773E-3</v>
      </c>
      <c r="AA36" s="177"/>
    </row>
    <row r="37" spans="1:27" ht="15" x14ac:dyDescent="0.2">
      <c r="A37" s="142" t="s">
        <v>1205</v>
      </c>
      <c r="B37" s="143" t="s">
        <v>1205</v>
      </c>
      <c r="C37" s="143" t="s">
        <v>3382</v>
      </c>
      <c r="D37" s="145" t="s">
        <v>3930</v>
      </c>
      <c r="E37" s="145" t="s">
        <v>3930</v>
      </c>
      <c r="F37" s="143" t="s">
        <v>3383</v>
      </c>
      <c r="G37" s="143" t="s">
        <v>3384</v>
      </c>
      <c r="H37" s="143" t="s">
        <v>312</v>
      </c>
      <c r="I37" s="143" t="s">
        <v>1000</v>
      </c>
      <c r="J37" s="145" t="s">
        <v>3930</v>
      </c>
      <c r="K37" s="143" t="s">
        <v>205</v>
      </c>
      <c r="L37" s="145" t="s">
        <v>3930</v>
      </c>
      <c r="M37" s="145" t="s">
        <v>3930</v>
      </c>
      <c r="N37" s="143" t="s">
        <v>268</v>
      </c>
      <c r="O37" s="143" t="s">
        <v>339</v>
      </c>
      <c r="P37" s="162">
        <v>44567</v>
      </c>
      <c r="Q37" s="143" t="s">
        <v>1211</v>
      </c>
      <c r="R37" s="143" t="s">
        <v>885</v>
      </c>
      <c r="S37" s="143" t="s">
        <v>889</v>
      </c>
      <c r="T37" s="163">
        <v>45533</v>
      </c>
      <c r="U37" s="143" t="s">
        <v>1212</v>
      </c>
      <c r="V37" s="144">
        <v>195.29603773584907</v>
      </c>
      <c r="W37" s="144">
        <v>724.54830000000004</v>
      </c>
      <c r="X37" s="146">
        <v>6.1022500000000005E-4</v>
      </c>
      <c r="Y37" s="146">
        <v>6.2685360991911986E-3</v>
      </c>
      <c r="Z37" s="147">
        <v>1.0510935729591637E-3</v>
      </c>
      <c r="AA37" s="177"/>
    </row>
    <row r="38" spans="1:27" ht="15" x14ac:dyDescent="0.2">
      <c r="A38" s="142" t="s">
        <v>1205</v>
      </c>
      <c r="B38" s="143" t="s">
        <v>1205</v>
      </c>
      <c r="C38" s="143" t="s">
        <v>3385</v>
      </c>
      <c r="D38" s="145" t="s">
        <v>3930</v>
      </c>
      <c r="E38" s="145" t="s">
        <v>3930</v>
      </c>
      <c r="F38" s="143" t="s">
        <v>3386</v>
      </c>
      <c r="G38" s="143" t="s">
        <v>3387</v>
      </c>
      <c r="H38" s="143" t="s">
        <v>312</v>
      </c>
      <c r="I38" s="143" t="s">
        <v>1000</v>
      </c>
      <c r="J38" s="145" t="s">
        <v>3930</v>
      </c>
      <c r="K38" s="143" t="s">
        <v>205</v>
      </c>
      <c r="L38" s="145" t="s">
        <v>3930</v>
      </c>
      <c r="M38" s="145" t="s">
        <v>3930</v>
      </c>
      <c r="N38" s="143" t="s">
        <v>224</v>
      </c>
      <c r="O38" s="143" t="s">
        <v>339</v>
      </c>
      <c r="P38" s="162">
        <v>44136</v>
      </c>
      <c r="Q38" s="143" t="s">
        <v>1211</v>
      </c>
      <c r="R38" s="143" t="s">
        <v>885</v>
      </c>
      <c r="S38" s="143" t="s">
        <v>889</v>
      </c>
      <c r="T38" s="163">
        <v>45533</v>
      </c>
      <c r="U38" s="143" t="s">
        <v>1212</v>
      </c>
      <c r="V38" s="144">
        <v>177.69835579514827</v>
      </c>
      <c r="W38" s="144">
        <v>659.26089999999999</v>
      </c>
      <c r="X38" s="146">
        <v>1.8580230769230769E-3</v>
      </c>
      <c r="Y38" s="146">
        <v>5.703692363548318E-3</v>
      </c>
      <c r="Z38" s="147">
        <v>9.563818873493321E-4</v>
      </c>
      <c r="AA38" s="177"/>
    </row>
    <row r="39" spans="1:27" ht="15" x14ac:dyDescent="0.2">
      <c r="A39" s="142" t="s">
        <v>1205</v>
      </c>
      <c r="B39" s="143" t="s">
        <v>1205</v>
      </c>
      <c r="C39" s="143" t="s">
        <v>3388</v>
      </c>
      <c r="D39" s="145" t="s">
        <v>3930</v>
      </c>
      <c r="E39" s="145" t="s">
        <v>3930</v>
      </c>
      <c r="F39" s="143" t="s">
        <v>3389</v>
      </c>
      <c r="G39" s="143" t="s">
        <v>3390</v>
      </c>
      <c r="H39" s="143" t="s">
        <v>312</v>
      </c>
      <c r="I39" s="143" t="s">
        <v>1000</v>
      </c>
      <c r="J39" s="145" t="s">
        <v>3930</v>
      </c>
      <c r="K39" s="143" t="s">
        <v>205</v>
      </c>
      <c r="L39" s="145" t="s">
        <v>3930</v>
      </c>
      <c r="M39" s="145" t="s">
        <v>3930</v>
      </c>
      <c r="N39" s="143" t="s">
        <v>296</v>
      </c>
      <c r="O39" s="143" t="s">
        <v>339</v>
      </c>
      <c r="P39" s="162">
        <v>45140</v>
      </c>
      <c r="Q39" s="143" t="s">
        <v>1211</v>
      </c>
      <c r="R39" s="143" t="s">
        <v>885</v>
      </c>
      <c r="S39" s="143" t="s">
        <v>889</v>
      </c>
      <c r="T39" s="163">
        <v>45565</v>
      </c>
      <c r="U39" s="143" t="s">
        <v>1212</v>
      </c>
      <c r="V39" s="144">
        <v>166.66646900269541</v>
      </c>
      <c r="W39" s="144">
        <v>618.33259999999996</v>
      </c>
      <c r="X39" s="146">
        <v>2.1157384615384613E-3</v>
      </c>
      <c r="Y39" s="146">
        <v>5.3495949824740804E-3</v>
      </c>
      <c r="Z39" s="147">
        <v>8.9700766096546803E-4</v>
      </c>
      <c r="AA39" s="177"/>
    </row>
    <row r="40" spans="1:27" ht="15" x14ac:dyDescent="0.2">
      <c r="A40" s="142" t="s">
        <v>1205</v>
      </c>
      <c r="B40" s="143" t="s">
        <v>1205</v>
      </c>
      <c r="C40" s="143" t="s">
        <v>3391</v>
      </c>
      <c r="D40" s="145" t="s">
        <v>3930</v>
      </c>
      <c r="E40" s="145" t="s">
        <v>3930</v>
      </c>
      <c r="F40" s="143" t="s">
        <v>3392</v>
      </c>
      <c r="G40" s="143" t="s">
        <v>3393</v>
      </c>
      <c r="H40" s="143" t="s">
        <v>312</v>
      </c>
      <c r="I40" s="143" t="s">
        <v>1000</v>
      </c>
      <c r="J40" s="145" t="s">
        <v>3930</v>
      </c>
      <c r="K40" s="143" t="s">
        <v>205</v>
      </c>
      <c r="L40" s="145" t="s">
        <v>3930</v>
      </c>
      <c r="M40" s="145" t="s">
        <v>3930</v>
      </c>
      <c r="N40" s="143" t="s">
        <v>224</v>
      </c>
      <c r="O40" s="143" t="s">
        <v>339</v>
      </c>
      <c r="P40" s="162">
        <v>44538</v>
      </c>
      <c r="Q40" s="143" t="s">
        <v>1211</v>
      </c>
      <c r="R40" s="143" t="s">
        <v>885</v>
      </c>
      <c r="S40" s="143" t="s">
        <v>889</v>
      </c>
      <c r="T40" s="163">
        <v>45558</v>
      </c>
      <c r="U40" s="143" t="s">
        <v>1212</v>
      </c>
      <c r="V40" s="144">
        <v>165.32196765498651</v>
      </c>
      <c r="W40" s="144">
        <v>613.34450000000004</v>
      </c>
      <c r="X40" s="145" t="s">
        <v>3930</v>
      </c>
      <c r="Y40" s="146">
        <v>5.3064400412738862E-3</v>
      </c>
      <c r="Z40" s="147">
        <v>8.8977154066254634E-4</v>
      </c>
      <c r="AA40" s="177"/>
    </row>
    <row r="41" spans="1:27" ht="15" x14ac:dyDescent="0.2">
      <c r="A41" s="142" t="s">
        <v>1205</v>
      </c>
      <c r="B41" s="143" t="s">
        <v>1205</v>
      </c>
      <c r="C41" s="143" t="s">
        <v>3394</v>
      </c>
      <c r="D41" s="145" t="s">
        <v>3930</v>
      </c>
      <c r="E41" s="145" t="s">
        <v>3930</v>
      </c>
      <c r="F41" s="143" t="s">
        <v>3395</v>
      </c>
      <c r="G41" s="143" t="s">
        <v>3396</v>
      </c>
      <c r="H41" s="143" t="s">
        <v>312</v>
      </c>
      <c r="I41" s="143" t="s">
        <v>1000</v>
      </c>
      <c r="J41" s="145" t="s">
        <v>3930</v>
      </c>
      <c r="K41" s="143" t="s">
        <v>205</v>
      </c>
      <c r="L41" s="145" t="s">
        <v>3930</v>
      </c>
      <c r="M41" s="145" t="s">
        <v>3930</v>
      </c>
      <c r="N41" s="143" t="s">
        <v>224</v>
      </c>
      <c r="O41" s="143" t="s">
        <v>339</v>
      </c>
      <c r="P41" s="162">
        <v>44136</v>
      </c>
      <c r="Q41" s="143" t="s">
        <v>1211</v>
      </c>
      <c r="R41" s="143" t="s">
        <v>885</v>
      </c>
      <c r="S41" s="143" t="s">
        <v>889</v>
      </c>
      <c r="T41" s="163">
        <v>45510</v>
      </c>
      <c r="U41" s="143" t="s">
        <v>1212</v>
      </c>
      <c r="V41" s="144">
        <v>163.72035040431265</v>
      </c>
      <c r="W41" s="144">
        <v>607.40250000000003</v>
      </c>
      <c r="X41" s="145" t="s">
        <v>3930</v>
      </c>
      <c r="Y41" s="146">
        <v>5.2550317657032511E-3</v>
      </c>
      <c r="Z41" s="147">
        <v>8.8115152042270444E-4</v>
      </c>
      <c r="AA41" s="177"/>
    </row>
    <row r="42" spans="1:27" ht="15" x14ac:dyDescent="0.2">
      <c r="A42" s="142" t="s">
        <v>1205</v>
      </c>
      <c r="B42" s="143" t="s">
        <v>1205</v>
      </c>
      <c r="C42" s="143" t="s">
        <v>3397</v>
      </c>
      <c r="D42" s="145" t="s">
        <v>3930</v>
      </c>
      <c r="E42" s="145" t="s">
        <v>3930</v>
      </c>
      <c r="F42" s="143" t="s">
        <v>3398</v>
      </c>
      <c r="G42" s="143" t="s">
        <v>3399</v>
      </c>
      <c r="H42" s="143" t="s">
        <v>312</v>
      </c>
      <c r="I42" s="143" t="s">
        <v>1000</v>
      </c>
      <c r="J42" s="145" t="s">
        <v>3930</v>
      </c>
      <c r="K42" s="143" t="s">
        <v>205</v>
      </c>
      <c r="L42" s="145" t="s">
        <v>3930</v>
      </c>
      <c r="M42" s="145" t="s">
        <v>3930</v>
      </c>
      <c r="N42" s="143" t="s">
        <v>291</v>
      </c>
      <c r="O42" s="143" t="s">
        <v>339</v>
      </c>
      <c r="P42" s="162">
        <v>44525</v>
      </c>
      <c r="Q42" s="143" t="s">
        <v>1211</v>
      </c>
      <c r="R42" s="143" t="s">
        <v>885</v>
      </c>
      <c r="S42" s="143" t="s">
        <v>889</v>
      </c>
      <c r="T42" s="163">
        <v>45538</v>
      </c>
      <c r="U42" s="143" t="s">
        <v>1212</v>
      </c>
      <c r="V42" s="144">
        <v>133.05463611859841</v>
      </c>
      <c r="W42" s="144">
        <v>493.6327</v>
      </c>
      <c r="X42" s="146">
        <v>1.8816746666666668E-5</v>
      </c>
      <c r="Y42" s="146">
        <v>4.2707354428542258E-3</v>
      </c>
      <c r="Z42" s="147">
        <v>7.1610699926768758E-4</v>
      </c>
      <c r="AA42" s="177"/>
    </row>
    <row r="43" spans="1:27" ht="15" x14ac:dyDescent="0.2">
      <c r="A43" s="142" t="s">
        <v>1205</v>
      </c>
      <c r="B43" s="143" t="s">
        <v>1205</v>
      </c>
      <c r="C43" s="143" t="s">
        <v>3400</v>
      </c>
      <c r="D43" s="145" t="s">
        <v>3930</v>
      </c>
      <c r="E43" s="145" t="s">
        <v>3930</v>
      </c>
      <c r="F43" s="143" t="s">
        <v>3401</v>
      </c>
      <c r="G43" s="143" t="s">
        <v>3402</v>
      </c>
      <c r="H43" s="143" t="s">
        <v>312</v>
      </c>
      <c r="I43" s="143" t="s">
        <v>1000</v>
      </c>
      <c r="J43" s="145" t="s">
        <v>3930</v>
      </c>
      <c r="K43" s="143" t="s">
        <v>205</v>
      </c>
      <c r="L43" s="145" t="s">
        <v>3930</v>
      </c>
      <c r="M43" s="145" t="s">
        <v>3930</v>
      </c>
      <c r="N43" s="143" t="s">
        <v>289</v>
      </c>
      <c r="O43" s="143" t="s">
        <v>339</v>
      </c>
      <c r="P43" s="162">
        <v>44525</v>
      </c>
      <c r="Q43" s="143" t="s">
        <v>1211</v>
      </c>
      <c r="R43" s="143" t="s">
        <v>885</v>
      </c>
      <c r="S43" s="143" t="s">
        <v>889</v>
      </c>
      <c r="T43" s="163">
        <v>45561</v>
      </c>
      <c r="U43" s="143" t="s">
        <v>1212</v>
      </c>
      <c r="V43" s="144">
        <v>129.67312668463612</v>
      </c>
      <c r="W43" s="144">
        <v>481.08729999999997</v>
      </c>
      <c r="X43" s="146">
        <v>2.4312444444444443E-4</v>
      </c>
      <c r="Y43" s="146">
        <v>4.1621975803951411E-3</v>
      </c>
      <c r="Z43" s="147">
        <v>6.9790762259532707E-4</v>
      </c>
      <c r="AA43" s="177"/>
    </row>
    <row r="44" spans="1:27" ht="15" x14ac:dyDescent="0.2">
      <c r="A44" s="142" t="s">
        <v>1205</v>
      </c>
      <c r="B44" s="143" t="s">
        <v>1205</v>
      </c>
      <c r="C44" s="143" t="s">
        <v>3403</v>
      </c>
      <c r="D44" s="145" t="s">
        <v>3930</v>
      </c>
      <c r="E44" s="145" t="s">
        <v>3930</v>
      </c>
      <c r="F44" s="143" t="s">
        <v>3404</v>
      </c>
      <c r="G44" s="143" t="s">
        <v>3405</v>
      </c>
      <c r="H44" s="143" t="s">
        <v>312</v>
      </c>
      <c r="I44" s="143" t="s">
        <v>1000</v>
      </c>
      <c r="J44" s="145" t="s">
        <v>3930</v>
      </c>
      <c r="K44" s="143" t="s">
        <v>205</v>
      </c>
      <c r="L44" s="145" t="s">
        <v>3930</v>
      </c>
      <c r="M44" s="145" t="s">
        <v>3930</v>
      </c>
      <c r="N44" s="143" t="s">
        <v>291</v>
      </c>
      <c r="O44" s="143" t="s">
        <v>339</v>
      </c>
      <c r="P44" s="162">
        <v>44525</v>
      </c>
      <c r="Q44" s="143" t="s">
        <v>1211</v>
      </c>
      <c r="R44" s="143" t="s">
        <v>885</v>
      </c>
      <c r="S44" s="143" t="s">
        <v>889</v>
      </c>
      <c r="T44" s="163">
        <v>45523</v>
      </c>
      <c r="U44" s="143" t="s">
        <v>1212</v>
      </c>
      <c r="V44" s="144">
        <v>128.07517520215634</v>
      </c>
      <c r="W44" s="144">
        <v>475.15890000000002</v>
      </c>
      <c r="X44" s="146">
        <v>1.3997333333333334E-5</v>
      </c>
      <c r="Y44" s="146">
        <v>4.1109071026946822E-3</v>
      </c>
      <c r="Z44" s="147">
        <v>6.8930735442874287E-4</v>
      </c>
      <c r="AA44" s="177"/>
    </row>
    <row r="45" spans="1:27" ht="15" x14ac:dyDescent="0.2">
      <c r="A45" s="142" t="s">
        <v>1205</v>
      </c>
      <c r="B45" s="143" t="s">
        <v>1205</v>
      </c>
      <c r="C45" s="143" t="s">
        <v>3406</v>
      </c>
      <c r="D45" s="145" t="s">
        <v>3930</v>
      </c>
      <c r="E45" s="145" t="s">
        <v>3930</v>
      </c>
      <c r="F45" s="143" t="s">
        <v>3407</v>
      </c>
      <c r="G45" s="143" t="s">
        <v>3408</v>
      </c>
      <c r="H45" s="143" t="s">
        <v>312</v>
      </c>
      <c r="I45" s="143" t="s">
        <v>1000</v>
      </c>
      <c r="J45" s="145" t="s">
        <v>3930</v>
      </c>
      <c r="K45" s="143" t="s">
        <v>205</v>
      </c>
      <c r="L45" s="145" t="s">
        <v>3930</v>
      </c>
      <c r="M45" s="145" t="s">
        <v>3930</v>
      </c>
      <c r="N45" s="143" t="s">
        <v>296</v>
      </c>
      <c r="O45" s="143" t="s">
        <v>339</v>
      </c>
      <c r="P45" s="162">
        <v>44420</v>
      </c>
      <c r="Q45" s="143" t="s">
        <v>1211</v>
      </c>
      <c r="R45" s="143" t="s">
        <v>885</v>
      </c>
      <c r="S45" s="143" t="s">
        <v>889</v>
      </c>
      <c r="T45" s="163">
        <v>45551</v>
      </c>
      <c r="U45" s="143" t="s">
        <v>1212</v>
      </c>
      <c r="V45" s="144">
        <v>122.61495956873316</v>
      </c>
      <c r="W45" s="144">
        <v>454.9015</v>
      </c>
      <c r="X45" s="146">
        <v>5.9197368421052634E-5</v>
      </c>
      <c r="Y45" s="146">
        <v>3.9356470488569337E-3</v>
      </c>
      <c r="Z45" s="147">
        <v>6.5992015568403092E-4</v>
      </c>
      <c r="AA45" s="177"/>
    </row>
    <row r="46" spans="1:27" ht="15" x14ac:dyDescent="0.2">
      <c r="A46" s="142" t="s">
        <v>1205</v>
      </c>
      <c r="B46" s="143" t="s">
        <v>1205</v>
      </c>
      <c r="C46" s="143" t="s">
        <v>3409</v>
      </c>
      <c r="D46" s="145" t="s">
        <v>3930</v>
      </c>
      <c r="E46" s="145" t="s">
        <v>3930</v>
      </c>
      <c r="F46" s="143" t="s">
        <v>3410</v>
      </c>
      <c r="G46" s="143" t="s">
        <v>3411</v>
      </c>
      <c r="H46" s="143" t="s">
        <v>312</v>
      </c>
      <c r="I46" s="143" t="s">
        <v>1000</v>
      </c>
      <c r="J46" s="145" t="s">
        <v>3930</v>
      </c>
      <c r="K46" s="143" t="s">
        <v>205</v>
      </c>
      <c r="L46" s="145" t="s">
        <v>3930</v>
      </c>
      <c r="M46" s="145" t="s">
        <v>3930</v>
      </c>
      <c r="N46" s="143" t="s">
        <v>291</v>
      </c>
      <c r="O46" s="143" t="s">
        <v>339</v>
      </c>
      <c r="P46" s="162">
        <v>44769</v>
      </c>
      <c r="Q46" s="143" t="s">
        <v>1211</v>
      </c>
      <c r="R46" s="143" t="s">
        <v>885</v>
      </c>
      <c r="S46" s="143" t="s">
        <v>889</v>
      </c>
      <c r="T46" s="163">
        <v>45559</v>
      </c>
      <c r="U46" s="143" t="s">
        <v>1212</v>
      </c>
      <c r="V46" s="144">
        <v>95.411671159029652</v>
      </c>
      <c r="W46" s="144">
        <v>353.97730000000001</v>
      </c>
      <c r="X46" s="146">
        <v>5.6779601794727992E-4</v>
      </c>
      <c r="Y46" s="146">
        <v>3.0624868401819784E-3</v>
      </c>
      <c r="Z46" s="147">
        <v>5.135106800138908E-4</v>
      </c>
      <c r="AA46" s="177"/>
    </row>
    <row r="47" spans="1:27" ht="15" x14ac:dyDescent="0.2">
      <c r="A47" s="142" t="s">
        <v>1205</v>
      </c>
      <c r="B47" s="143" t="s">
        <v>1205</v>
      </c>
      <c r="C47" s="143" t="s">
        <v>3412</v>
      </c>
      <c r="D47" s="145" t="s">
        <v>3930</v>
      </c>
      <c r="E47" s="145" t="s">
        <v>3930</v>
      </c>
      <c r="F47" s="143" t="s">
        <v>3413</v>
      </c>
      <c r="G47" s="143" t="s">
        <v>3414</v>
      </c>
      <c r="H47" s="143" t="s">
        <v>312</v>
      </c>
      <c r="I47" s="143" t="s">
        <v>1000</v>
      </c>
      <c r="J47" s="145" t="s">
        <v>3930</v>
      </c>
      <c r="K47" s="143" t="s">
        <v>205</v>
      </c>
      <c r="L47" s="145" t="s">
        <v>3930</v>
      </c>
      <c r="M47" s="145" t="s">
        <v>3930</v>
      </c>
      <c r="N47" s="143" t="s">
        <v>217</v>
      </c>
      <c r="O47" s="143" t="s">
        <v>339</v>
      </c>
      <c r="P47" s="162">
        <v>44136</v>
      </c>
      <c r="Q47" s="143" t="s">
        <v>1211</v>
      </c>
      <c r="R47" s="143" t="s">
        <v>885</v>
      </c>
      <c r="S47" s="143" t="s">
        <v>889</v>
      </c>
      <c r="T47" s="163">
        <v>45550</v>
      </c>
      <c r="U47" s="143" t="s">
        <v>1212</v>
      </c>
      <c r="V47" s="144">
        <v>86.805336927223721</v>
      </c>
      <c r="W47" s="144">
        <v>322.0478</v>
      </c>
      <c r="X47" s="145" t="s">
        <v>3930</v>
      </c>
      <c r="Y47" s="146">
        <v>2.7862434392991195E-3</v>
      </c>
      <c r="Z47" s="147">
        <v>4.6719082819429003E-4</v>
      </c>
      <c r="AA47" s="177"/>
    </row>
    <row r="48" spans="1:27" ht="15" x14ac:dyDescent="0.2">
      <c r="A48" s="142" t="s">
        <v>1205</v>
      </c>
      <c r="B48" s="143" t="s">
        <v>1205</v>
      </c>
      <c r="C48" s="143" t="s">
        <v>3415</v>
      </c>
      <c r="D48" s="145" t="s">
        <v>3930</v>
      </c>
      <c r="E48" s="145" t="s">
        <v>3930</v>
      </c>
      <c r="F48" s="143" t="s">
        <v>3416</v>
      </c>
      <c r="G48" s="143" t="s">
        <v>3417</v>
      </c>
      <c r="H48" s="143" t="s">
        <v>312</v>
      </c>
      <c r="I48" s="143" t="s">
        <v>1000</v>
      </c>
      <c r="J48" s="145" t="s">
        <v>3930</v>
      </c>
      <c r="K48" s="143" t="s">
        <v>205</v>
      </c>
      <c r="L48" s="145" t="s">
        <v>3930</v>
      </c>
      <c r="M48" s="145" t="s">
        <v>3930</v>
      </c>
      <c r="N48" s="143" t="s">
        <v>293</v>
      </c>
      <c r="O48" s="143" t="s">
        <v>339</v>
      </c>
      <c r="P48" s="162">
        <v>45302</v>
      </c>
      <c r="Q48" s="143" t="s">
        <v>1218</v>
      </c>
      <c r="R48" s="143" t="s">
        <v>885</v>
      </c>
      <c r="S48" s="143" t="s">
        <v>889</v>
      </c>
      <c r="T48" s="163">
        <v>45516</v>
      </c>
      <c r="U48" s="143" t="s">
        <v>1219</v>
      </c>
      <c r="V48" s="144">
        <v>76.850905500433484</v>
      </c>
      <c r="W48" s="144">
        <v>319.1157</v>
      </c>
      <c r="X48" s="146">
        <v>1.0067132941176471E-3</v>
      </c>
      <c r="Y48" s="146">
        <v>2.760876007187153E-3</v>
      </c>
      <c r="Z48" s="147">
        <v>4.6293727609959822E-4</v>
      </c>
      <c r="AA48" s="177"/>
    </row>
    <row r="49" spans="1:27" ht="15" x14ac:dyDescent="0.2">
      <c r="A49" s="142" t="s">
        <v>1205</v>
      </c>
      <c r="B49" s="143" t="s">
        <v>1205</v>
      </c>
      <c r="C49" s="143" t="s">
        <v>3361</v>
      </c>
      <c r="D49" s="145" t="s">
        <v>3930</v>
      </c>
      <c r="E49" s="145" t="s">
        <v>3930</v>
      </c>
      <c r="F49" s="143" t="s">
        <v>3418</v>
      </c>
      <c r="G49" s="143" t="s">
        <v>3419</v>
      </c>
      <c r="H49" s="143" t="s">
        <v>312</v>
      </c>
      <c r="I49" s="143" t="s">
        <v>1000</v>
      </c>
      <c r="J49" s="145" t="s">
        <v>3930</v>
      </c>
      <c r="K49" s="143" t="s">
        <v>205</v>
      </c>
      <c r="L49" s="145" t="s">
        <v>3930</v>
      </c>
      <c r="M49" s="145" t="s">
        <v>3930</v>
      </c>
      <c r="N49" s="143" t="s">
        <v>296</v>
      </c>
      <c r="O49" s="143" t="s">
        <v>339</v>
      </c>
      <c r="P49" s="162">
        <v>45475</v>
      </c>
      <c r="Q49" s="143" t="s">
        <v>1211</v>
      </c>
      <c r="R49" s="143" t="s">
        <v>885</v>
      </c>
      <c r="S49" s="143" t="s">
        <v>889</v>
      </c>
      <c r="T49" s="163">
        <v>45533</v>
      </c>
      <c r="U49" s="143" t="s">
        <v>1212</v>
      </c>
      <c r="V49" s="144">
        <v>70.910458221024257</v>
      </c>
      <c r="W49" s="144">
        <v>263.07779999999997</v>
      </c>
      <c r="X49" s="146">
        <v>5.102621E-6</v>
      </c>
      <c r="Y49" s="146">
        <v>2.2760562690566921E-3</v>
      </c>
      <c r="Z49" s="147">
        <v>3.8164382851804522E-4</v>
      </c>
      <c r="AA49" s="177"/>
    </row>
    <row r="50" spans="1:27" ht="15" x14ac:dyDescent="0.2">
      <c r="A50" s="142" t="s">
        <v>1205</v>
      </c>
      <c r="B50" s="143" t="s">
        <v>1205</v>
      </c>
      <c r="C50" s="143" t="s">
        <v>3420</v>
      </c>
      <c r="D50" s="145" t="s">
        <v>3930</v>
      </c>
      <c r="E50" s="145" t="s">
        <v>3930</v>
      </c>
      <c r="F50" s="143" t="s">
        <v>3421</v>
      </c>
      <c r="G50" s="143" t="s">
        <v>3422</v>
      </c>
      <c r="H50" s="143" t="s">
        <v>312</v>
      </c>
      <c r="I50" s="143" t="s">
        <v>1000</v>
      </c>
      <c r="J50" s="145" t="s">
        <v>3930</v>
      </c>
      <c r="K50" s="143" t="s">
        <v>205</v>
      </c>
      <c r="L50" s="145" t="s">
        <v>3930</v>
      </c>
      <c r="M50" s="145" t="s">
        <v>3930</v>
      </c>
      <c r="N50" s="143" t="s">
        <v>291</v>
      </c>
      <c r="O50" s="143" t="s">
        <v>339</v>
      </c>
      <c r="P50" s="162">
        <v>44376</v>
      </c>
      <c r="Q50" s="143" t="s">
        <v>1211</v>
      </c>
      <c r="R50" s="143" t="s">
        <v>885</v>
      </c>
      <c r="S50" s="143" t="s">
        <v>889</v>
      </c>
      <c r="T50" s="163">
        <v>45564</v>
      </c>
      <c r="U50" s="143" t="s">
        <v>1212</v>
      </c>
      <c r="V50" s="144">
        <v>52.888086253369273</v>
      </c>
      <c r="W50" s="144">
        <v>196.2148</v>
      </c>
      <c r="X50" s="146">
        <v>2.4794563636363639E-4</v>
      </c>
      <c r="Y50" s="146">
        <v>1.697581209070629E-3</v>
      </c>
      <c r="Z50" s="147">
        <v>2.8464647410431391E-4</v>
      </c>
      <c r="AA50" s="177"/>
    </row>
    <row r="51" spans="1:27" ht="15" x14ac:dyDescent="0.2">
      <c r="A51" s="142" t="s">
        <v>1205</v>
      </c>
      <c r="B51" s="143" t="s">
        <v>1205</v>
      </c>
      <c r="C51" s="143" t="s">
        <v>3423</v>
      </c>
      <c r="D51" s="145" t="s">
        <v>3930</v>
      </c>
      <c r="E51" s="145" t="s">
        <v>3930</v>
      </c>
      <c r="F51" s="143" t="s">
        <v>3424</v>
      </c>
      <c r="G51" s="143" t="s">
        <v>3425</v>
      </c>
      <c r="H51" s="143" t="s">
        <v>312</v>
      </c>
      <c r="I51" s="143" t="s">
        <v>1000</v>
      </c>
      <c r="J51" s="145" t="s">
        <v>3930</v>
      </c>
      <c r="K51" s="143" t="s">
        <v>205</v>
      </c>
      <c r="L51" s="145" t="s">
        <v>3930</v>
      </c>
      <c r="M51" s="145" t="s">
        <v>3930</v>
      </c>
      <c r="N51" s="143" t="s">
        <v>217</v>
      </c>
      <c r="O51" s="143" t="s">
        <v>339</v>
      </c>
      <c r="P51" s="162">
        <v>44560</v>
      </c>
      <c r="Q51" s="143" t="s">
        <v>1211</v>
      </c>
      <c r="R51" s="143" t="s">
        <v>885</v>
      </c>
      <c r="S51" s="143" t="s">
        <v>889</v>
      </c>
      <c r="T51" s="163">
        <v>45533</v>
      </c>
      <c r="U51" s="143" t="s">
        <v>1212</v>
      </c>
      <c r="V51" s="144">
        <v>39.846334231805926</v>
      </c>
      <c r="W51" s="144">
        <v>147.82989999999998</v>
      </c>
      <c r="X51" s="145" t="s">
        <v>3930</v>
      </c>
      <c r="Y51" s="146">
        <v>1.2789718503552574E-3</v>
      </c>
      <c r="Z51" s="147">
        <v>2.1445502915386447E-4</v>
      </c>
      <c r="AA51" s="177"/>
    </row>
    <row r="52" spans="1:27" ht="15" x14ac:dyDescent="0.2">
      <c r="A52" s="142" t="s">
        <v>1205</v>
      </c>
      <c r="B52" s="143" t="s">
        <v>1205</v>
      </c>
      <c r="C52" s="143" t="s">
        <v>3373</v>
      </c>
      <c r="D52" s="145" t="s">
        <v>3930</v>
      </c>
      <c r="E52" s="145" t="s">
        <v>3930</v>
      </c>
      <c r="F52" s="143" t="s">
        <v>3426</v>
      </c>
      <c r="G52" s="143" t="s">
        <v>3427</v>
      </c>
      <c r="H52" s="143" t="s">
        <v>312</v>
      </c>
      <c r="I52" s="143" t="s">
        <v>1000</v>
      </c>
      <c r="J52" s="145" t="s">
        <v>3930</v>
      </c>
      <c r="K52" s="143" t="s">
        <v>205</v>
      </c>
      <c r="L52" s="145" t="s">
        <v>3930</v>
      </c>
      <c r="M52" s="145" t="s">
        <v>3930</v>
      </c>
      <c r="N52" s="143" t="s">
        <v>224</v>
      </c>
      <c r="O52" s="143" t="s">
        <v>339</v>
      </c>
      <c r="P52" s="162">
        <v>45089</v>
      </c>
      <c r="Q52" s="143" t="s">
        <v>1218</v>
      </c>
      <c r="R52" s="143" t="s">
        <v>885</v>
      </c>
      <c r="S52" s="143" t="s">
        <v>889</v>
      </c>
      <c r="T52" s="163">
        <v>45530</v>
      </c>
      <c r="U52" s="143" t="s">
        <v>1219</v>
      </c>
      <c r="V52" s="144">
        <v>27.907764184567959</v>
      </c>
      <c r="W52" s="144">
        <v>115.88419999999999</v>
      </c>
      <c r="X52" s="145" t="s">
        <v>3930</v>
      </c>
      <c r="Y52" s="146">
        <v>1.0025888466008918E-3</v>
      </c>
      <c r="Z52" s="147">
        <v>1.6811176904903E-4</v>
      </c>
      <c r="AA52" s="177"/>
    </row>
    <row r="53" spans="1:27" ht="15" x14ac:dyDescent="0.2">
      <c r="A53" s="142" t="s">
        <v>1205</v>
      </c>
      <c r="B53" s="143" t="s">
        <v>1205</v>
      </c>
      <c r="C53" s="143" t="s">
        <v>3428</v>
      </c>
      <c r="D53" s="145" t="s">
        <v>3930</v>
      </c>
      <c r="E53" s="145" t="s">
        <v>3930</v>
      </c>
      <c r="F53" s="143" t="s">
        <v>3429</v>
      </c>
      <c r="G53" s="143" t="s">
        <v>3430</v>
      </c>
      <c r="H53" s="143" t="s">
        <v>312</v>
      </c>
      <c r="I53" s="143" t="s">
        <v>1000</v>
      </c>
      <c r="J53" s="145" t="s">
        <v>3930</v>
      </c>
      <c r="K53" s="143" t="s">
        <v>205</v>
      </c>
      <c r="L53" s="145" t="s">
        <v>3930</v>
      </c>
      <c r="M53" s="145" t="s">
        <v>3930</v>
      </c>
      <c r="N53" s="143" t="s">
        <v>204</v>
      </c>
      <c r="O53" s="143" t="s">
        <v>339</v>
      </c>
      <c r="P53" s="162">
        <v>44742</v>
      </c>
      <c r="Q53" s="143" t="s">
        <v>1211</v>
      </c>
      <c r="R53" s="143" t="s">
        <v>885</v>
      </c>
      <c r="S53" s="143" t="s">
        <v>889</v>
      </c>
      <c r="T53" s="163">
        <v>45512</v>
      </c>
      <c r="U53" s="143" t="s">
        <v>1212</v>
      </c>
      <c r="V53" s="144">
        <v>29.973584905660378</v>
      </c>
      <c r="W53" s="144">
        <v>111.202</v>
      </c>
      <c r="X53" s="146">
        <v>8.3098300000000004E-5</v>
      </c>
      <c r="Y53" s="146">
        <v>9.6208085212905019E-4</v>
      </c>
      <c r="Z53" s="147">
        <v>1.6131948262536059E-4</v>
      </c>
      <c r="AA53" s="177"/>
    </row>
    <row r="54" spans="1:27" ht="15" x14ac:dyDescent="0.2">
      <c r="A54" s="142" t="s">
        <v>1205</v>
      </c>
      <c r="B54" s="143" t="s">
        <v>1205</v>
      </c>
      <c r="C54" s="143" t="s">
        <v>3324</v>
      </c>
      <c r="D54" s="145" t="s">
        <v>3930</v>
      </c>
      <c r="E54" s="145" t="s">
        <v>3930</v>
      </c>
      <c r="F54" s="143" t="s">
        <v>3431</v>
      </c>
      <c r="G54" s="143" t="s">
        <v>3432</v>
      </c>
      <c r="H54" s="143" t="s">
        <v>312</v>
      </c>
      <c r="I54" s="143" t="s">
        <v>1000</v>
      </c>
      <c r="J54" s="145" t="s">
        <v>3930</v>
      </c>
      <c r="K54" s="143" t="s">
        <v>205</v>
      </c>
      <c r="L54" s="145" t="s">
        <v>3930</v>
      </c>
      <c r="M54" s="145" t="s">
        <v>3930</v>
      </c>
      <c r="N54" s="143" t="s">
        <v>296</v>
      </c>
      <c r="O54" s="143" t="s">
        <v>339</v>
      </c>
      <c r="P54" s="162">
        <v>45371</v>
      </c>
      <c r="Q54" s="143" t="s">
        <v>1211</v>
      </c>
      <c r="R54" s="143" t="s">
        <v>885</v>
      </c>
      <c r="S54" s="143" t="s">
        <v>889</v>
      </c>
      <c r="T54" s="163">
        <v>45558</v>
      </c>
      <c r="U54" s="143" t="s">
        <v>1212</v>
      </c>
      <c r="V54" s="144">
        <v>18.227493261455525</v>
      </c>
      <c r="W54" s="144">
        <v>67.623999999999995</v>
      </c>
      <c r="X54" s="146">
        <v>1.1399999999999999E-5</v>
      </c>
      <c r="Y54" s="146">
        <v>5.8505880602417216E-4</v>
      </c>
      <c r="Z54" s="147">
        <v>9.8101301657098838E-5</v>
      </c>
      <c r="AA54" s="177"/>
    </row>
    <row r="55" spans="1:27" ht="15" x14ac:dyDescent="0.2">
      <c r="A55" s="142" t="s">
        <v>1205</v>
      </c>
      <c r="B55" s="143" t="s">
        <v>1205</v>
      </c>
      <c r="C55" s="143" t="s">
        <v>3330</v>
      </c>
      <c r="D55" s="145" t="s">
        <v>3930</v>
      </c>
      <c r="E55" s="145" t="s">
        <v>3930</v>
      </c>
      <c r="F55" s="143" t="s">
        <v>3433</v>
      </c>
      <c r="G55" s="143" t="s">
        <v>3434</v>
      </c>
      <c r="H55" s="143" t="s">
        <v>312</v>
      </c>
      <c r="I55" s="143" t="s">
        <v>1000</v>
      </c>
      <c r="J55" s="145" t="s">
        <v>3930</v>
      </c>
      <c r="K55" s="143" t="s">
        <v>205</v>
      </c>
      <c r="L55" s="145" t="s">
        <v>3930</v>
      </c>
      <c r="M55" s="145" t="s">
        <v>3930</v>
      </c>
      <c r="N55" s="143" t="s">
        <v>224</v>
      </c>
      <c r="O55" s="143" t="s">
        <v>339</v>
      </c>
      <c r="P55" s="162">
        <v>45475</v>
      </c>
      <c r="Q55" s="143" t="s">
        <v>1211</v>
      </c>
      <c r="R55" s="143" t="s">
        <v>885</v>
      </c>
      <c r="S55" s="143" t="s">
        <v>889</v>
      </c>
      <c r="T55" s="163">
        <v>45551</v>
      </c>
      <c r="U55" s="143" t="s">
        <v>1212</v>
      </c>
      <c r="V55" s="144">
        <v>15.323584905660379</v>
      </c>
      <c r="W55" s="144">
        <v>56.850499999999997</v>
      </c>
      <c r="X55" s="146">
        <v>3.0614285714285714E-9</v>
      </c>
      <c r="Y55" s="146">
        <v>4.9185033356319643E-4</v>
      </c>
      <c r="Z55" s="147">
        <v>8.247232149349836E-5</v>
      </c>
      <c r="AA55" s="177"/>
    </row>
    <row r="56" spans="1:27" ht="15" x14ac:dyDescent="0.2">
      <c r="A56" s="142" t="s">
        <v>1205</v>
      </c>
      <c r="B56" s="143" t="s">
        <v>1205</v>
      </c>
      <c r="C56" s="143" t="s">
        <v>3423</v>
      </c>
      <c r="D56" s="145" t="s">
        <v>3930</v>
      </c>
      <c r="E56" s="145" t="s">
        <v>3930</v>
      </c>
      <c r="F56" s="143" t="s">
        <v>3435</v>
      </c>
      <c r="G56" s="143" t="s">
        <v>3436</v>
      </c>
      <c r="H56" s="143" t="s">
        <v>312</v>
      </c>
      <c r="I56" s="143" t="s">
        <v>1000</v>
      </c>
      <c r="J56" s="145" t="s">
        <v>3930</v>
      </c>
      <c r="K56" s="143" t="s">
        <v>205</v>
      </c>
      <c r="L56" s="145" t="s">
        <v>3930</v>
      </c>
      <c r="M56" s="145" t="s">
        <v>3930</v>
      </c>
      <c r="N56" s="143" t="s">
        <v>217</v>
      </c>
      <c r="O56" s="143" t="s">
        <v>339</v>
      </c>
      <c r="P56" s="162">
        <v>44560</v>
      </c>
      <c r="Q56" s="143" t="s">
        <v>1211</v>
      </c>
      <c r="R56" s="143" t="s">
        <v>885</v>
      </c>
      <c r="S56" s="143" t="s">
        <v>889</v>
      </c>
      <c r="T56" s="163">
        <v>45523</v>
      </c>
      <c r="U56" s="143" t="s">
        <v>1212</v>
      </c>
      <c r="V56" s="144">
        <v>4.4692183288409701</v>
      </c>
      <c r="W56" s="144">
        <v>16.5808</v>
      </c>
      <c r="X56" s="146">
        <v>3.8908416666666665E-5</v>
      </c>
      <c r="Y56" s="146">
        <v>1.4345122625766596E-4</v>
      </c>
      <c r="Z56" s="147">
        <v>2.4053568419586527E-5</v>
      </c>
      <c r="AA56" s="177"/>
    </row>
    <row r="57" spans="1:27" ht="15" x14ac:dyDescent="0.2">
      <c r="A57" s="142" t="s">
        <v>1205</v>
      </c>
      <c r="B57" s="143" t="s">
        <v>1205</v>
      </c>
      <c r="C57" s="143" t="s">
        <v>3361</v>
      </c>
      <c r="D57" s="145" t="s">
        <v>3930</v>
      </c>
      <c r="E57" s="145" t="s">
        <v>3930</v>
      </c>
      <c r="F57" s="143" t="s">
        <v>3437</v>
      </c>
      <c r="G57" s="143" t="s">
        <v>3438</v>
      </c>
      <c r="H57" s="143" t="s">
        <v>312</v>
      </c>
      <c r="I57" s="143" t="s">
        <v>1000</v>
      </c>
      <c r="J57" s="145" t="s">
        <v>3930</v>
      </c>
      <c r="K57" s="143" t="s">
        <v>205</v>
      </c>
      <c r="L57" s="145" t="s">
        <v>3930</v>
      </c>
      <c r="M57" s="145" t="s">
        <v>3930</v>
      </c>
      <c r="N57" s="143" t="s">
        <v>296</v>
      </c>
      <c r="O57" s="143" t="s">
        <v>339</v>
      </c>
      <c r="P57" s="162">
        <v>45512</v>
      </c>
      <c r="Q57" s="143" t="s">
        <v>1211</v>
      </c>
      <c r="R57" s="143" t="s">
        <v>885</v>
      </c>
      <c r="S57" s="143" t="s">
        <v>889</v>
      </c>
      <c r="T57" s="163">
        <v>45516</v>
      </c>
      <c r="U57" s="143" t="s">
        <v>1212</v>
      </c>
      <c r="V57" s="144">
        <v>3.0682479784366579</v>
      </c>
      <c r="W57" s="144">
        <v>11.3832</v>
      </c>
      <c r="X57" s="146">
        <v>5.1218999999999999E-5</v>
      </c>
      <c r="Y57" s="146">
        <v>9.8483609007937842E-5</v>
      </c>
      <c r="Z57" s="147">
        <v>1.6513502807046581E-5</v>
      </c>
      <c r="AA57" s="177"/>
    </row>
    <row r="58" spans="1:27" ht="15" x14ac:dyDescent="0.2">
      <c r="A58" s="142" t="s">
        <v>1205</v>
      </c>
      <c r="B58" s="143" t="s">
        <v>1205</v>
      </c>
      <c r="C58" s="143" t="s">
        <v>3439</v>
      </c>
      <c r="D58" s="145" t="s">
        <v>3930</v>
      </c>
      <c r="E58" s="145" t="s">
        <v>3930</v>
      </c>
      <c r="F58" s="143" t="s">
        <v>3440</v>
      </c>
      <c r="G58" s="143" t="s">
        <v>3441</v>
      </c>
      <c r="H58" s="143" t="s">
        <v>312</v>
      </c>
      <c r="I58" s="143" t="s">
        <v>1001</v>
      </c>
      <c r="J58" s="145" t="s">
        <v>3930</v>
      </c>
      <c r="K58" s="143" t="s">
        <v>204</v>
      </c>
      <c r="L58" s="145" t="s">
        <v>3930</v>
      </c>
      <c r="M58" s="145" t="s">
        <v>3930</v>
      </c>
      <c r="N58" s="143" t="s">
        <v>204</v>
      </c>
      <c r="O58" s="143" t="s">
        <v>339</v>
      </c>
      <c r="P58" s="162">
        <v>44136</v>
      </c>
      <c r="Q58" s="143" t="s">
        <v>1211</v>
      </c>
      <c r="R58" s="143" t="s">
        <v>885</v>
      </c>
      <c r="S58" s="143" t="s">
        <v>889</v>
      </c>
      <c r="T58" s="163">
        <v>45530</v>
      </c>
      <c r="U58" s="143" t="s">
        <v>1212</v>
      </c>
      <c r="V58" s="144">
        <v>508.75576819407007</v>
      </c>
      <c r="W58" s="144">
        <v>1887.4838999999999</v>
      </c>
      <c r="X58" s="145" t="s">
        <v>3930</v>
      </c>
      <c r="Y58" s="146">
        <v>1.6329843683263578E-2</v>
      </c>
      <c r="Z58" s="147">
        <v>2.7381502588970912E-3</v>
      </c>
      <c r="AA58" s="177"/>
    </row>
    <row r="59" spans="1:27" ht="15" x14ac:dyDescent="0.2">
      <c r="A59" s="142" t="s">
        <v>1205</v>
      </c>
      <c r="B59" s="143" t="s">
        <v>1205</v>
      </c>
      <c r="C59" s="143" t="s">
        <v>3442</v>
      </c>
      <c r="D59" s="145" t="s">
        <v>3930</v>
      </c>
      <c r="E59" s="145" t="s">
        <v>3930</v>
      </c>
      <c r="F59" s="143" t="s">
        <v>3443</v>
      </c>
      <c r="G59" s="143" t="s">
        <v>3444</v>
      </c>
      <c r="H59" s="143" t="s">
        <v>312</v>
      </c>
      <c r="I59" s="143" t="s">
        <v>1001</v>
      </c>
      <c r="J59" s="145" t="s">
        <v>3930</v>
      </c>
      <c r="K59" s="143" t="s">
        <v>204</v>
      </c>
      <c r="L59" s="145" t="s">
        <v>3930</v>
      </c>
      <c r="M59" s="145" t="s">
        <v>3930</v>
      </c>
      <c r="N59" s="143" t="s">
        <v>204</v>
      </c>
      <c r="O59" s="143" t="s">
        <v>339</v>
      </c>
      <c r="P59" s="162">
        <v>44136</v>
      </c>
      <c r="Q59" s="143" t="s">
        <v>1211</v>
      </c>
      <c r="R59" s="143" t="s">
        <v>885</v>
      </c>
      <c r="S59" s="143" t="s">
        <v>889</v>
      </c>
      <c r="T59" s="163">
        <v>45526</v>
      </c>
      <c r="U59" s="143" t="s">
        <v>1212</v>
      </c>
      <c r="V59" s="144">
        <v>411.44778975741241</v>
      </c>
      <c r="W59" s="144">
        <v>1526.4713000000002</v>
      </c>
      <c r="X59" s="146">
        <v>1.2642136645962733E-3</v>
      </c>
      <c r="Y59" s="146">
        <v>1.3206490355784129E-2</v>
      </c>
      <c r="Z59" s="147">
        <v>2.2144336276699299E-3</v>
      </c>
      <c r="AA59" s="177"/>
    </row>
    <row r="60" spans="1:27" ht="15" x14ac:dyDescent="0.2">
      <c r="A60" s="142" t="s">
        <v>1205</v>
      </c>
      <c r="B60" s="143" t="s">
        <v>1205</v>
      </c>
      <c r="C60" s="143" t="s">
        <v>3445</v>
      </c>
      <c r="D60" s="145" t="s">
        <v>3930</v>
      </c>
      <c r="E60" s="145" t="s">
        <v>3930</v>
      </c>
      <c r="F60" s="143" t="s">
        <v>3446</v>
      </c>
      <c r="G60" s="143" t="s">
        <v>3447</v>
      </c>
      <c r="H60" s="143" t="s">
        <v>312</v>
      </c>
      <c r="I60" s="143" t="s">
        <v>1001</v>
      </c>
      <c r="J60" s="145" t="s">
        <v>3930</v>
      </c>
      <c r="K60" s="143" t="s">
        <v>204</v>
      </c>
      <c r="L60" s="145" t="s">
        <v>3930</v>
      </c>
      <c r="M60" s="145" t="s">
        <v>3930</v>
      </c>
      <c r="N60" s="143" t="s">
        <v>204</v>
      </c>
      <c r="O60" s="143" t="s">
        <v>339</v>
      </c>
      <c r="P60" s="162">
        <v>44136</v>
      </c>
      <c r="Q60" s="143" t="s">
        <v>1210</v>
      </c>
      <c r="R60" s="143" t="s">
        <v>885</v>
      </c>
      <c r="S60" s="143" t="s">
        <v>889</v>
      </c>
      <c r="T60" s="163">
        <v>45522</v>
      </c>
      <c r="U60" s="145" t="s">
        <v>3930</v>
      </c>
      <c r="V60" s="144">
        <v>1101.6798999999999</v>
      </c>
      <c r="W60" s="144">
        <v>1101.6798999999999</v>
      </c>
      <c r="X60" s="146">
        <v>6.6932687500000001E-4</v>
      </c>
      <c r="Y60" s="146">
        <v>9.5313453846881131E-3</v>
      </c>
      <c r="Z60" s="147">
        <v>1.5981938553073477E-3</v>
      </c>
      <c r="AA60" s="177"/>
    </row>
    <row r="61" spans="1:27" ht="15" x14ac:dyDescent="0.2">
      <c r="A61" s="142" t="s">
        <v>1205</v>
      </c>
      <c r="B61" s="143" t="s">
        <v>1205</v>
      </c>
      <c r="C61" s="143" t="s">
        <v>3445</v>
      </c>
      <c r="D61" s="145" t="s">
        <v>3930</v>
      </c>
      <c r="E61" s="145" t="s">
        <v>3930</v>
      </c>
      <c r="F61" s="143" t="s">
        <v>3448</v>
      </c>
      <c r="G61" s="143" t="s">
        <v>3449</v>
      </c>
      <c r="H61" s="143" t="s">
        <v>312</v>
      </c>
      <c r="I61" s="143" t="s">
        <v>1001</v>
      </c>
      <c r="J61" s="145" t="s">
        <v>3930</v>
      </c>
      <c r="K61" s="143" t="s">
        <v>204</v>
      </c>
      <c r="L61" s="145" t="s">
        <v>3930</v>
      </c>
      <c r="M61" s="145" t="s">
        <v>3930</v>
      </c>
      <c r="N61" s="143" t="s">
        <v>204</v>
      </c>
      <c r="O61" s="143" t="s">
        <v>339</v>
      </c>
      <c r="P61" s="162">
        <v>44286</v>
      </c>
      <c r="Q61" s="143" t="s">
        <v>1210</v>
      </c>
      <c r="R61" s="143" t="s">
        <v>885</v>
      </c>
      <c r="S61" s="143" t="s">
        <v>889</v>
      </c>
      <c r="T61" s="163">
        <v>45558</v>
      </c>
      <c r="U61" s="145" t="s">
        <v>3930</v>
      </c>
      <c r="V61" s="144">
        <v>1083.7668000000001</v>
      </c>
      <c r="W61" s="144">
        <v>1083.7668000000001</v>
      </c>
      <c r="X61" s="146">
        <v>4.7503409545454546E-4</v>
      </c>
      <c r="Y61" s="146">
        <v>9.3763676886487318E-3</v>
      </c>
      <c r="Z61" s="147">
        <v>1.572207555207707E-3</v>
      </c>
      <c r="AA61" s="177"/>
    </row>
    <row r="62" spans="1:27" ht="15" x14ac:dyDescent="0.2">
      <c r="A62" s="142" t="s">
        <v>1205</v>
      </c>
      <c r="B62" s="143" t="s">
        <v>1205</v>
      </c>
      <c r="C62" s="143" t="s">
        <v>3450</v>
      </c>
      <c r="D62" s="145" t="s">
        <v>3930</v>
      </c>
      <c r="E62" s="145" t="s">
        <v>3930</v>
      </c>
      <c r="F62" s="143" t="s">
        <v>3451</v>
      </c>
      <c r="G62" s="143" t="s">
        <v>3452</v>
      </c>
      <c r="H62" s="143" t="s">
        <v>312</v>
      </c>
      <c r="I62" s="143" t="s">
        <v>1001</v>
      </c>
      <c r="J62" s="145" t="s">
        <v>3930</v>
      </c>
      <c r="K62" s="143" t="s">
        <v>204</v>
      </c>
      <c r="L62" s="145" t="s">
        <v>3930</v>
      </c>
      <c r="M62" s="145" t="s">
        <v>3930</v>
      </c>
      <c r="N62" s="143" t="s">
        <v>204</v>
      </c>
      <c r="O62" s="143" t="s">
        <v>339</v>
      </c>
      <c r="P62" s="162">
        <v>44136</v>
      </c>
      <c r="Q62" s="143" t="s">
        <v>1210</v>
      </c>
      <c r="R62" s="143" t="s">
        <v>885</v>
      </c>
      <c r="S62" s="143" t="s">
        <v>889</v>
      </c>
      <c r="T62" s="163">
        <v>45551</v>
      </c>
      <c r="U62" s="145" t="s">
        <v>3930</v>
      </c>
      <c r="V62" s="144">
        <v>278.63059999999996</v>
      </c>
      <c r="W62" s="144">
        <v>278.63059999999996</v>
      </c>
      <c r="X62" s="145" t="s">
        <v>3930</v>
      </c>
      <c r="Y62" s="146">
        <v>2.4106131162343019E-3</v>
      </c>
      <c r="Z62" s="147">
        <v>4.0420600811278074E-4</v>
      </c>
      <c r="AA62" s="177"/>
    </row>
    <row r="63" spans="1:27" ht="15" x14ac:dyDescent="0.2">
      <c r="A63" s="142" t="s">
        <v>1205</v>
      </c>
      <c r="B63" s="143" t="s">
        <v>1205</v>
      </c>
      <c r="C63" s="143" t="s">
        <v>3453</v>
      </c>
      <c r="D63" s="145" t="s">
        <v>3930</v>
      </c>
      <c r="E63" s="145" t="s">
        <v>3930</v>
      </c>
      <c r="F63" s="143" t="s">
        <v>3454</v>
      </c>
      <c r="G63" s="143" t="s">
        <v>3455</v>
      </c>
      <c r="H63" s="143" t="s">
        <v>312</v>
      </c>
      <c r="I63" s="143" t="s">
        <v>1001</v>
      </c>
      <c r="J63" s="145" t="s">
        <v>3930</v>
      </c>
      <c r="K63" s="143" t="s">
        <v>204</v>
      </c>
      <c r="L63" s="145" t="s">
        <v>3930</v>
      </c>
      <c r="M63" s="145" t="s">
        <v>3930</v>
      </c>
      <c r="N63" s="143" t="s">
        <v>204</v>
      </c>
      <c r="O63" s="143" t="s">
        <v>339</v>
      </c>
      <c r="P63" s="162">
        <v>44136</v>
      </c>
      <c r="Q63" s="143" t="s">
        <v>1211</v>
      </c>
      <c r="R63" s="143" t="s">
        <v>885</v>
      </c>
      <c r="S63" s="143" t="s">
        <v>889</v>
      </c>
      <c r="T63" s="163">
        <v>45466</v>
      </c>
      <c r="U63" s="143" t="s">
        <v>1212</v>
      </c>
      <c r="V63" s="145" t="s">
        <v>3930</v>
      </c>
      <c r="W63" s="144">
        <v>0</v>
      </c>
      <c r="X63" s="145" t="s">
        <v>3930</v>
      </c>
      <c r="Y63" s="146">
        <v>1.6806308276329816E-11</v>
      </c>
      <c r="Z63" s="147">
        <v>2.81804273516107E-12</v>
      </c>
      <c r="AA63" s="177"/>
    </row>
    <row r="64" spans="1:27" ht="15" x14ac:dyDescent="0.2">
      <c r="A64" s="142" t="s">
        <v>1205</v>
      </c>
      <c r="B64" s="143" t="s">
        <v>1205</v>
      </c>
      <c r="C64" s="143" t="s">
        <v>3456</v>
      </c>
      <c r="D64" s="145" t="s">
        <v>3930</v>
      </c>
      <c r="E64" s="145" t="s">
        <v>3930</v>
      </c>
      <c r="F64" s="143" t="s">
        <v>3457</v>
      </c>
      <c r="G64" s="143" t="s">
        <v>3458</v>
      </c>
      <c r="H64" s="143" t="s">
        <v>312</v>
      </c>
      <c r="I64" s="143" t="s">
        <v>1001</v>
      </c>
      <c r="J64" s="145" t="s">
        <v>3930</v>
      </c>
      <c r="K64" s="143" t="s">
        <v>205</v>
      </c>
      <c r="L64" s="145" t="s">
        <v>3930</v>
      </c>
      <c r="M64" s="145" t="s">
        <v>3930</v>
      </c>
      <c r="N64" s="143" t="s">
        <v>224</v>
      </c>
      <c r="O64" s="143" t="s">
        <v>339</v>
      </c>
      <c r="P64" s="162">
        <v>44136</v>
      </c>
      <c r="Q64" s="143" t="s">
        <v>1211</v>
      </c>
      <c r="R64" s="143" t="s">
        <v>885</v>
      </c>
      <c r="S64" s="143" t="s">
        <v>889</v>
      </c>
      <c r="T64" s="163">
        <v>45529</v>
      </c>
      <c r="U64" s="143" t="s">
        <v>1212</v>
      </c>
      <c r="V64" s="144">
        <v>367.57401617250679</v>
      </c>
      <c r="W64" s="144">
        <v>1363.6996000000001</v>
      </c>
      <c r="X64" s="146">
        <v>5.3483949044585987E-4</v>
      </c>
      <c r="Y64" s="146">
        <v>1.1798247343251413E-2</v>
      </c>
      <c r="Z64" s="147">
        <v>1.9783027103049055E-3</v>
      </c>
      <c r="AA64" s="177"/>
    </row>
    <row r="65" spans="1:27" ht="15" x14ac:dyDescent="0.2">
      <c r="A65" s="142" t="s">
        <v>1205</v>
      </c>
      <c r="B65" s="143" t="s">
        <v>1205</v>
      </c>
      <c r="C65" s="143" t="s">
        <v>3388</v>
      </c>
      <c r="D65" s="145" t="s">
        <v>3930</v>
      </c>
      <c r="E65" s="145" t="s">
        <v>3930</v>
      </c>
      <c r="F65" s="143" t="s">
        <v>3459</v>
      </c>
      <c r="G65" s="143" t="s">
        <v>3460</v>
      </c>
      <c r="H65" s="143" t="s">
        <v>312</v>
      </c>
      <c r="I65" s="143" t="s">
        <v>1001</v>
      </c>
      <c r="J65" s="145" t="s">
        <v>3930</v>
      </c>
      <c r="K65" s="143" t="s">
        <v>205</v>
      </c>
      <c r="L65" s="145" t="s">
        <v>3930</v>
      </c>
      <c r="M65" s="145" t="s">
        <v>3930</v>
      </c>
      <c r="N65" s="143" t="s">
        <v>291</v>
      </c>
      <c r="O65" s="143" t="s">
        <v>339</v>
      </c>
      <c r="P65" s="162">
        <v>44651</v>
      </c>
      <c r="Q65" s="143" t="s">
        <v>1211</v>
      </c>
      <c r="R65" s="143" t="s">
        <v>885</v>
      </c>
      <c r="S65" s="143" t="s">
        <v>889</v>
      </c>
      <c r="T65" s="163">
        <v>45559</v>
      </c>
      <c r="U65" s="143" t="s">
        <v>1212</v>
      </c>
      <c r="V65" s="144">
        <v>252.44417789757415</v>
      </c>
      <c r="W65" s="144">
        <v>936.56790000000001</v>
      </c>
      <c r="X65" s="146">
        <v>9.0249203999999994E-5</v>
      </c>
      <c r="Y65" s="146">
        <v>8.1028543913783235E-3</v>
      </c>
      <c r="Z65" s="147">
        <v>1.3586678035563333E-3</v>
      </c>
      <c r="AA65" s="177"/>
    </row>
    <row r="66" spans="1:27" ht="15" x14ac:dyDescent="0.2">
      <c r="A66" s="142" t="s">
        <v>1205</v>
      </c>
      <c r="B66" s="143" t="s">
        <v>1205</v>
      </c>
      <c r="C66" s="143" t="s">
        <v>3461</v>
      </c>
      <c r="D66" s="145" t="s">
        <v>3930</v>
      </c>
      <c r="E66" s="145" t="s">
        <v>3930</v>
      </c>
      <c r="F66" s="143" t="s">
        <v>3462</v>
      </c>
      <c r="G66" s="143" t="s">
        <v>3463</v>
      </c>
      <c r="H66" s="143" t="s">
        <v>321</v>
      </c>
      <c r="I66" s="143" t="s">
        <v>1002</v>
      </c>
      <c r="J66" s="145" t="s">
        <v>3930</v>
      </c>
      <c r="K66" s="143" t="s">
        <v>204</v>
      </c>
      <c r="L66" s="145" t="s">
        <v>3930</v>
      </c>
      <c r="M66" s="145" t="s">
        <v>3930</v>
      </c>
      <c r="N66" s="143" t="s">
        <v>204</v>
      </c>
      <c r="O66" s="143" t="s">
        <v>339</v>
      </c>
      <c r="P66" s="162">
        <v>43033</v>
      </c>
      <c r="Q66" s="143" t="s">
        <v>1210</v>
      </c>
      <c r="R66" s="143" t="s">
        <v>885</v>
      </c>
      <c r="S66" s="143" t="s">
        <v>889</v>
      </c>
      <c r="T66" s="163">
        <v>45565</v>
      </c>
      <c r="U66" s="145" t="s">
        <v>3930</v>
      </c>
      <c r="V66" s="144">
        <v>1337.3998999999999</v>
      </c>
      <c r="W66" s="144">
        <v>1337.3998999999999</v>
      </c>
      <c r="X66" s="145" t="s">
        <v>3930</v>
      </c>
      <c r="Y66" s="146">
        <v>1.1570711402171429E-2</v>
      </c>
      <c r="Z66" s="147">
        <v>1.9401500122104903E-3</v>
      </c>
      <c r="AA66" s="177"/>
    </row>
    <row r="67" spans="1:27" ht="15" x14ac:dyDescent="0.2">
      <c r="A67" s="142" t="s">
        <v>1205</v>
      </c>
      <c r="B67" s="143" t="s">
        <v>1205</v>
      </c>
      <c r="C67" s="143" t="s">
        <v>3464</v>
      </c>
      <c r="D67" s="145" t="s">
        <v>3930</v>
      </c>
      <c r="E67" s="145" t="s">
        <v>3930</v>
      </c>
      <c r="F67" s="143" t="s">
        <v>3465</v>
      </c>
      <c r="G67" s="143" t="s">
        <v>3466</v>
      </c>
      <c r="H67" s="143" t="s">
        <v>312</v>
      </c>
      <c r="I67" s="143" t="s">
        <v>1002</v>
      </c>
      <c r="J67" s="145" t="s">
        <v>3930</v>
      </c>
      <c r="K67" s="143" t="s">
        <v>204</v>
      </c>
      <c r="L67" s="145" t="s">
        <v>3930</v>
      </c>
      <c r="M67" s="145" t="s">
        <v>3930</v>
      </c>
      <c r="N67" s="143" t="s">
        <v>204</v>
      </c>
      <c r="O67" s="143" t="s">
        <v>339</v>
      </c>
      <c r="P67" s="162">
        <v>44136</v>
      </c>
      <c r="Q67" s="143" t="s">
        <v>1210</v>
      </c>
      <c r="R67" s="143" t="s">
        <v>885</v>
      </c>
      <c r="S67" s="143" t="s">
        <v>889</v>
      </c>
      <c r="T67" s="163">
        <v>45539</v>
      </c>
      <c r="U67" s="145" t="s">
        <v>3930</v>
      </c>
      <c r="V67" s="144">
        <v>1486.829</v>
      </c>
      <c r="W67" s="144">
        <v>1486.829</v>
      </c>
      <c r="X67" s="145" t="s">
        <v>3930</v>
      </c>
      <c r="Y67" s="146">
        <v>1.2863519415948101E-2</v>
      </c>
      <c r="Z67" s="147">
        <v>2.1569250571091053E-3</v>
      </c>
      <c r="AA67" s="177"/>
    </row>
    <row r="68" spans="1:27" ht="15" x14ac:dyDescent="0.2">
      <c r="A68" s="142" t="s">
        <v>1205</v>
      </c>
      <c r="B68" s="143" t="s">
        <v>1205</v>
      </c>
      <c r="C68" s="143" t="s">
        <v>3467</v>
      </c>
      <c r="D68" s="145" t="s">
        <v>3930</v>
      </c>
      <c r="E68" s="145" t="s">
        <v>3930</v>
      </c>
      <c r="F68" s="143" t="s">
        <v>3468</v>
      </c>
      <c r="G68" s="143" t="s">
        <v>3469</v>
      </c>
      <c r="H68" s="143" t="s">
        <v>312</v>
      </c>
      <c r="I68" s="143" t="s">
        <v>1002</v>
      </c>
      <c r="J68" s="145" t="s">
        <v>3930</v>
      </c>
      <c r="K68" s="143" t="s">
        <v>204</v>
      </c>
      <c r="L68" s="145" t="s">
        <v>3930</v>
      </c>
      <c r="M68" s="145" t="s">
        <v>3930</v>
      </c>
      <c r="N68" s="143" t="s">
        <v>217</v>
      </c>
      <c r="O68" s="143" t="s">
        <v>339</v>
      </c>
      <c r="P68" s="162">
        <v>44136</v>
      </c>
      <c r="Q68" s="143" t="s">
        <v>1210</v>
      </c>
      <c r="R68" s="143" t="s">
        <v>885</v>
      </c>
      <c r="S68" s="143" t="s">
        <v>889</v>
      </c>
      <c r="T68" s="163">
        <v>45544</v>
      </c>
      <c r="U68" s="145" t="s">
        <v>3930</v>
      </c>
      <c r="V68" s="144">
        <v>1272.3253</v>
      </c>
      <c r="W68" s="144">
        <v>1272.3253</v>
      </c>
      <c r="X68" s="145" t="s">
        <v>3930</v>
      </c>
      <c r="Y68" s="146">
        <v>1.1007709338726549E-2</v>
      </c>
      <c r="Z68" s="147">
        <v>1.8457471339171016E-3</v>
      </c>
      <c r="AA68" s="177"/>
    </row>
    <row r="69" spans="1:27" ht="15" x14ac:dyDescent="0.2">
      <c r="A69" s="142" t="s">
        <v>1205</v>
      </c>
      <c r="B69" s="143" t="s">
        <v>1205</v>
      </c>
      <c r="C69" s="143" t="s">
        <v>3470</v>
      </c>
      <c r="D69" s="145" t="s">
        <v>3930</v>
      </c>
      <c r="E69" s="145" t="s">
        <v>3930</v>
      </c>
      <c r="F69" s="143" t="s">
        <v>3471</v>
      </c>
      <c r="G69" s="143" t="s">
        <v>3472</v>
      </c>
      <c r="H69" s="143" t="s">
        <v>312</v>
      </c>
      <c r="I69" s="143" t="s">
        <v>1002</v>
      </c>
      <c r="J69" s="145" t="s">
        <v>3930</v>
      </c>
      <c r="K69" s="143" t="s">
        <v>204</v>
      </c>
      <c r="L69" s="145" t="s">
        <v>3930</v>
      </c>
      <c r="M69" s="145" t="s">
        <v>3930</v>
      </c>
      <c r="N69" s="143" t="s">
        <v>204</v>
      </c>
      <c r="O69" s="143" t="s">
        <v>339</v>
      </c>
      <c r="P69" s="162">
        <v>43614</v>
      </c>
      <c r="Q69" s="143" t="s">
        <v>1210</v>
      </c>
      <c r="R69" s="143" t="s">
        <v>885</v>
      </c>
      <c r="S69" s="143" t="s">
        <v>889</v>
      </c>
      <c r="T69" s="163">
        <v>45559</v>
      </c>
      <c r="U69" s="145" t="s">
        <v>3930</v>
      </c>
      <c r="V69" s="144">
        <v>957.48030000000006</v>
      </c>
      <c r="W69" s="144">
        <v>957.48030000000006</v>
      </c>
      <c r="X69" s="145" t="s">
        <v>3930</v>
      </c>
      <c r="Y69" s="146">
        <v>8.2837813752864257E-3</v>
      </c>
      <c r="Z69" s="147">
        <v>1.3890052199724613E-3</v>
      </c>
      <c r="AA69" s="177"/>
    </row>
    <row r="70" spans="1:27" ht="15" x14ac:dyDescent="0.2">
      <c r="A70" s="142" t="s">
        <v>1205</v>
      </c>
      <c r="B70" s="143" t="s">
        <v>1205</v>
      </c>
      <c r="C70" s="143" t="s">
        <v>3467</v>
      </c>
      <c r="D70" s="145" t="s">
        <v>3930</v>
      </c>
      <c r="E70" s="145" t="s">
        <v>3930</v>
      </c>
      <c r="F70" s="143" t="s">
        <v>3473</v>
      </c>
      <c r="G70" s="143" t="s">
        <v>3474</v>
      </c>
      <c r="H70" s="143" t="s">
        <v>312</v>
      </c>
      <c r="I70" s="143" t="s">
        <v>1002</v>
      </c>
      <c r="J70" s="145" t="s">
        <v>3930</v>
      </c>
      <c r="K70" s="143" t="s">
        <v>204</v>
      </c>
      <c r="L70" s="145" t="s">
        <v>3930</v>
      </c>
      <c r="M70" s="145" t="s">
        <v>3930</v>
      </c>
      <c r="N70" s="143" t="s">
        <v>204</v>
      </c>
      <c r="O70" s="143" t="s">
        <v>339</v>
      </c>
      <c r="P70" s="162">
        <v>45378</v>
      </c>
      <c r="Q70" s="143" t="s">
        <v>1210</v>
      </c>
      <c r="R70" s="143" t="s">
        <v>885</v>
      </c>
      <c r="S70" s="143" t="s">
        <v>889</v>
      </c>
      <c r="T70" s="163">
        <v>45545</v>
      </c>
      <c r="U70" s="145" t="s">
        <v>3930</v>
      </c>
      <c r="V70" s="144">
        <v>103.7744</v>
      </c>
      <c r="W70" s="144">
        <v>103.7744</v>
      </c>
      <c r="X70" s="146">
        <v>8.8495575221238937E-4</v>
      </c>
      <c r="Y70" s="146">
        <v>8.9781944901004692E-4</v>
      </c>
      <c r="Z70" s="147">
        <v>1.5054427981262775E-4</v>
      </c>
      <c r="AA70" s="177"/>
    </row>
    <row r="71" spans="1:27" ht="15" x14ac:dyDescent="0.2">
      <c r="A71" s="142" t="s">
        <v>1205</v>
      </c>
      <c r="B71" s="143" t="s">
        <v>1205</v>
      </c>
      <c r="C71" s="143" t="s">
        <v>3475</v>
      </c>
      <c r="D71" s="145" t="s">
        <v>3930</v>
      </c>
      <c r="E71" s="145" t="s">
        <v>3930</v>
      </c>
      <c r="F71" s="143" t="s">
        <v>3476</v>
      </c>
      <c r="G71" s="143" t="s">
        <v>3477</v>
      </c>
      <c r="H71" s="143" t="s">
        <v>312</v>
      </c>
      <c r="I71" s="143" t="s">
        <v>1002</v>
      </c>
      <c r="J71" s="145" t="s">
        <v>3930</v>
      </c>
      <c r="K71" s="143" t="s">
        <v>205</v>
      </c>
      <c r="L71" s="145" t="s">
        <v>3930</v>
      </c>
      <c r="M71" s="145" t="s">
        <v>3930</v>
      </c>
      <c r="N71" s="143" t="s">
        <v>204</v>
      </c>
      <c r="O71" s="143" t="s">
        <v>339</v>
      </c>
      <c r="P71" s="162">
        <v>44136</v>
      </c>
      <c r="Q71" s="143" t="s">
        <v>1211</v>
      </c>
      <c r="R71" s="143" t="s">
        <v>885</v>
      </c>
      <c r="S71" s="143" t="s">
        <v>889</v>
      </c>
      <c r="T71" s="163">
        <v>45544</v>
      </c>
      <c r="U71" s="143" t="s">
        <v>1212</v>
      </c>
      <c r="V71" s="144">
        <v>483.3492991913746</v>
      </c>
      <c r="W71" s="144">
        <v>1793.2258999999999</v>
      </c>
      <c r="X71" s="146">
        <v>7.3880358334918404E-7</v>
      </c>
      <c r="Y71" s="146">
        <v>1.5514357101526098E-2</v>
      </c>
      <c r="Z71" s="147">
        <v>2.6014113630312293E-3</v>
      </c>
      <c r="AA71" s="177"/>
    </row>
    <row r="72" spans="1:27" ht="15" x14ac:dyDescent="0.2">
      <c r="A72" s="142" t="s">
        <v>1205</v>
      </c>
      <c r="B72" s="143" t="s">
        <v>1205</v>
      </c>
      <c r="C72" s="143" t="s">
        <v>3478</v>
      </c>
      <c r="D72" s="145" t="s">
        <v>3930</v>
      </c>
      <c r="E72" s="145" t="s">
        <v>3930</v>
      </c>
      <c r="F72" s="143" t="s">
        <v>3479</v>
      </c>
      <c r="G72" s="143" t="s">
        <v>3480</v>
      </c>
      <c r="H72" s="143" t="s">
        <v>312</v>
      </c>
      <c r="I72" s="143" t="s">
        <v>1003</v>
      </c>
      <c r="J72" s="145" t="s">
        <v>3930</v>
      </c>
      <c r="K72" s="143" t="s">
        <v>204</v>
      </c>
      <c r="L72" s="145" t="s">
        <v>3930</v>
      </c>
      <c r="M72" s="145" t="s">
        <v>3930</v>
      </c>
      <c r="N72" s="143" t="s">
        <v>204</v>
      </c>
      <c r="O72" s="143" t="s">
        <v>339</v>
      </c>
      <c r="P72" s="162">
        <v>44136</v>
      </c>
      <c r="Q72" s="143" t="s">
        <v>1210</v>
      </c>
      <c r="R72" s="143" t="s">
        <v>885</v>
      </c>
      <c r="S72" s="143" t="s">
        <v>889</v>
      </c>
      <c r="T72" s="163">
        <v>45533</v>
      </c>
      <c r="U72" s="145" t="s">
        <v>3930</v>
      </c>
      <c r="V72" s="144">
        <v>1273.1076</v>
      </c>
      <c r="W72" s="144">
        <v>1273.1076</v>
      </c>
      <c r="X72" s="145" t="s">
        <v>3930</v>
      </c>
      <c r="Y72" s="146">
        <v>1.1014477310962017E-2</v>
      </c>
      <c r="Z72" s="147">
        <v>1.8468819717813332E-3</v>
      </c>
      <c r="AA72" s="177"/>
    </row>
    <row r="73" spans="1:27" ht="15" x14ac:dyDescent="0.2">
      <c r="A73" s="142" t="s">
        <v>1205</v>
      </c>
      <c r="B73" s="143" t="s">
        <v>1205</v>
      </c>
      <c r="C73" s="143" t="s">
        <v>3481</v>
      </c>
      <c r="D73" s="145" t="s">
        <v>3930</v>
      </c>
      <c r="E73" s="145" t="s">
        <v>3930</v>
      </c>
      <c r="F73" s="143" t="s">
        <v>3482</v>
      </c>
      <c r="G73" s="143" t="s">
        <v>3483</v>
      </c>
      <c r="H73" s="143" t="s">
        <v>312</v>
      </c>
      <c r="I73" s="143" t="s">
        <v>1003</v>
      </c>
      <c r="J73" s="145" t="s">
        <v>3930</v>
      </c>
      <c r="K73" s="143" t="s">
        <v>204</v>
      </c>
      <c r="L73" s="145" t="s">
        <v>3930</v>
      </c>
      <c r="M73" s="145" t="s">
        <v>3930</v>
      </c>
      <c r="N73" s="143" t="s">
        <v>204</v>
      </c>
      <c r="O73" s="143" t="s">
        <v>339</v>
      </c>
      <c r="P73" s="162">
        <v>44136</v>
      </c>
      <c r="Q73" s="143" t="s">
        <v>1210</v>
      </c>
      <c r="R73" s="143" t="s">
        <v>885</v>
      </c>
      <c r="S73" s="143" t="s">
        <v>889</v>
      </c>
      <c r="T73" s="163">
        <v>45547</v>
      </c>
      <c r="U73" s="145" t="s">
        <v>3930</v>
      </c>
      <c r="V73" s="144">
        <v>911.73430000000008</v>
      </c>
      <c r="W73" s="144">
        <v>911.73430000000008</v>
      </c>
      <c r="X73" s="145" t="s">
        <v>3930</v>
      </c>
      <c r="Y73" s="146">
        <v>7.8880034443854115E-3</v>
      </c>
      <c r="Z73" s="147">
        <v>1.3226420958065484E-3</v>
      </c>
      <c r="AA73" s="177"/>
    </row>
    <row r="74" spans="1:27" ht="15" x14ac:dyDescent="0.2">
      <c r="A74" s="142" t="s">
        <v>1205</v>
      </c>
      <c r="B74" s="143" t="s">
        <v>1205</v>
      </c>
      <c r="C74" s="143" t="s">
        <v>3478</v>
      </c>
      <c r="D74" s="145" t="s">
        <v>3930</v>
      </c>
      <c r="E74" s="145" t="s">
        <v>3930</v>
      </c>
      <c r="F74" s="143" t="s">
        <v>3484</v>
      </c>
      <c r="G74" s="143" t="s">
        <v>3485</v>
      </c>
      <c r="H74" s="143" t="s">
        <v>312</v>
      </c>
      <c r="I74" s="143" t="s">
        <v>1003</v>
      </c>
      <c r="J74" s="145" t="s">
        <v>3930</v>
      </c>
      <c r="K74" s="143" t="s">
        <v>204</v>
      </c>
      <c r="L74" s="145" t="s">
        <v>3930</v>
      </c>
      <c r="M74" s="145" t="s">
        <v>3930</v>
      </c>
      <c r="N74" s="143" t="s">
        <v>204</v>
      </c>
      <c r="O74" s="143" t="s">
        <v>339</v>
      </c>
      <c r="P74" s="162">
        <v>44136</v>
      </c>
      <c r="Q74" s="143" t="s">
        <v>1210</v>
      </c>
      <c r="R74" s="143" t="s">
        <v>885</v>
      </c>
      <c r="S74" s="143" t="s">
        <v>889</v>
      </c>
      <c r="T74" s="163">
        <v>45533</v>
      </c>
      <c r="U74" s="145" t="s">
        <v>3930</v>
      </c>
      <c r="V74" s="144">
        <v>888.51559999999995</v>
      </c>
      <c r="W74" s="144">
        <v>888.51559999999995</v>
      </c>
      <c r="X74" s="145" t="s">
        <v>3930</v>
      </c>
      <c r="Y74" s="146">
        <v>7.687123240419716E-3</v>
      </c>
      <c r="Z74" s="147">
        <v>1.2889589697972219E-3</v>
      </c>
      <c r="AA74" s="177"/>
    </row>
    <row r="75" spans="1:27" ht="15" x14ac:dyDescent="0.2">
      <c r="A75" s="142" t="s">
        <v>1205</v>
      </c>
      <c r="B75" s="143" t="s">
        <v>1205</v>
      </c>
      <c r="C75" s="143" t="s">
        <v>3486</v>
      </c>
      <c r="D75" s="145" t="s">
        <v>3930</v>
      </c>
      <c r="E75" s="145" t="s">
        <v>3930</v>
      </c>
      <c r="F75" s="143" t="s">
        <v>3487</v>
      </c>
      <c r="G75" s="143" t="s">
        <v>3488</v>
      </c>
      <c r="H75" s="143" t="s">
        <v>312</v>
      </c>
      <c r="I75" s="143" t="s">
        <v>1003</v>
      </c>
      <c r="J75" s="145" t="s">
        <v>3930</v>
      </c>
      <c r="K75" s="143" t="s">
        <v>204</v>
      </c>
      <c r="L75" s="145" t="s">
        <v>3930</v>
      </c>
      <c r="M75" s="145" t="s">
        <v>3930</v>
      </c>
      <c r="N75" s="143" t="s">
        <v>204</v>
      </c>
      <c r="O75" s="143" t="s">
        <v>339</v>
      </c>
      <c r="P75" s="162">
        <v>44560</v>
      </c>
      <c r="Q75" s="143" t="s">
        <v>1210</v>
      </c>
      <c r="R75" s="143" t="s">
        <v>885</v>
      </c>
      <c r="S75" s="143" t="s">
        <v>889</v>
      </c>
      <c r="T75" s="163">
        <v>45560</v>
      </c>
      <c r="U75" s="145" t="s">
        <v>3930</v>
      </c>
      <c r="V75" s="144">
        <v>803.50459999999998</v>
      </c>
      <c r="W75" s="144">
        <v>803.50459999999998</v>
      </c>
      <c r="X75" s="145" t="s">
        <v>3930</v>
      </c>
      <c r="Y75" s="146">
        <v>6.9516377790539065E-3</v>
      </c>
      <c r="Z75" s="147">
        <v>1.1656344759738151E-3</v>
      </c>
      <c r="AA75" s="177"/>
    </row>
    <row r="76" spans="1:27" ht="15" x14ac:dyDescent="0.2">
      <c r="A76" s="142" t="s">
        <v>1205</v>
      </c>
      <c r="B76" s="143" t="s">
        <v>1205</v>
      </c>
      <c r="C76" s="143" t="s">
        <v>3489</v>
      </c>
      <c r="D76" s="145" t="s">
        <v>3930</v>
      </c>
      <c r="E76" s="145" t="s">
        <v>3930</v>
      </c>
      <c r="F76" s="143" t="s">
        <v>3490</v>
      </c>
      <c r="G76" s="143" t="s">
        <v>3491</v>
      </c>
      <c r="H76" s="143" t="s">
        <v>312</v>
      </c>
      <c r="I76" s="143" t="s">
        <v>1003</v>
      </c>
      <c r="J76" s="145" t="s">
        <v>3930</v>
      </c>
      <c r="K76" s="143" t="s">
        <v>204</v>
      </c>
      <c r="L76" s="145" t="s">
        <v>3930</v>
      </c>
      <c r="M76" s="145" t="s">
        <v>3930</v>
      </c>
      <c r="N76" s="143" t="s">
        <v>204</v>
      </c>
      <c r="O76" s="143" t="s">
        <v>339</v>
      </c>
      <c r="P76" s="162">
        <v>44651</v>
      </c>
      <c r="Q76" s="143" t="s">
        <v>1210</v>
      </c>
      <c r="R76" s="143" t="s">
        <v>885</v>
      </c>
      <c r="S76" s="143" t="s">
        <v>889</v>
      </c>
      <c r="T76" s="163">
        <v>45560</v>
      </c>
      <c r="U76" s="145" t="s">
        <v>3930</v>
      </c>
      <c r="V76" s="144">
        <v>708.12209999999993</v>
      </c>
      <c r="W76" s="144">
        <v>708.12209999999993</v>
      </c>
      <c r="X76" s="146">
        <v>3.4270550499999998E-3</v>
      </c>
      <c r="Y76" s="146">
        <v>6.126422287965342E-3</v>
      </c>
      <c r="Z76" s="147">
        <v>1.0272642591856492E-3</v>
      </c>
      <c r="AA76" s="177"/>
    </row>
    <row r="77" spans="1:27" ht="15" x14ac:dyDescent="0.2">
      <c r="A77" s="142" t="s">
        <v>1205</v>
      </c>
      <c r="B77" s="143" t="s">
        <v>1205</v>
      </c>
      <c r="C77" s="143" t="s">
        <v>3492</v>
      </c>
      <c r="D77" s="145" t="s">
        <v>3930</v>
      </c>
      <c r="E77" s="145" t="s">
        <v>3930</v>
      </c>
      <c r="F77" s="143" t="s">
        <v>3493</v>
      </c>
      <c r="G77" s="143" t="s">
        <v>3494</v>
      </c>
      <c r="H77" s="143" t="s">
        <v>312</v>
      </c>
      <c r="I77" s="143" t="s">
        <v>1003</v>
      </c>
      <c r="J77" s="145" t="s">
        <v>3930</v>
      </c>
      <c r="K77" s="143" t="s">
        <v>204</v>
      </c>
      <c r="L77" s="145" t="s">
        <v>3930</v>
      </c>
      <c r="M77" s="145" t="s">
        <v>3930</v>
      </c>
      <c r="N77" s="143" t="s">
        <v>204</v>
      </c>
      <c r="O77" s="143" t="s">
        <v>339</v>
      </c>
      <c r="P77" s="162">
        <v>45056</v>
      </c>
      <c r="Q77" s="143" t="s">
        <v>1210</v>
      </c>
      <c r="R77" s="143" t="s">
        <v>885</v>
      </c>
      <c r="S77" s="143" t="s">
        <v>889</v>
      </c>
      <c r="T77" s="163">
        <v>45561</v>
      </c>
      <c r="U77" s="145" t="s">
        <v>3930</v>
      </c>
      <c r="V77" s="144">
        <v>602.28949999999998</v>
      </c>
      <c r="W77" s="144">
        <v>602.28949999999998</v>
      </c>
      <c r="X77" s="145" t="s">
        <v>3930</v>
      </c>
      <c r="Y77" s="146">
        <v>5.2107961205363372E-3</v>
      </c>
      <c r="Z77" s="147">
        <v>8.7373419018883303E-4</v>
      </c>
      <c r="AA77" s="177"/>
    </row>
    <row r="78" spans="1:27" ht="15" x14ac:dyDescent="0.2">
      <c r="A78" s="142" t="s">
        <v>1205</v>
      </c>
      <c r="B78" s="143" t="s">
        <v>1205</v>
      </c>
      <c r="C78" s="143" t="s">
        <v>3495</v>
      </c>
      <c r="D78" s="145" t="s">
        <v>3930</v>
      </c>
      <c r="E78" s="145" t="s">
        <v>3930</v>
      </c>
      <c r="F78" s="143" t="s">
        <v>3496</v>
      </c>
      <c r="G78" s="143" t="s">
        <v>3497</v>
      </c>
      <c r="H78" s="143" t="s">
        <v>312</v>
      </c>
      <c r="I78" s="143" t="s">
        <v>1003</v>
      </c>
      <c r="J78" s="145" t="s">
        <v>3930</v>
      </c>
      <c r="K78" s="143" t="s">
        <v>204</v>
      </c>
      <c r="L78" s="145" t="s">
        <v>3930</v>
      </c>
      <c r="M78" s="145" t="s">
        <v>3930</v>
      </c>
      <c r="N78" s="143" t="s">
        <v>204</v>
      </c>
      <c r="O78" s="143" t="s">
        <v>339</v>
      </c>
      <c r="P78" s="162">
        <v>45034</v>
      </c>
      <c r="Q78" s="143" t="s">
        <v>1210</v>
      </c>
      <c r="R78" s="143" t="s">
        <v>885</v>
      </c>
      <c r="S78" s="143" t="s">
        <v>889</v>
      </c>
      <c r="T78" s="163">
        <v>45554</v>
      </c>
      <c r="U78" s="145" t="s">
        <v>3930</v>
      </c>
      <c r="V78" s="144">
        <v>371.53</v>
      </c>
      <c r="W78" s="144">
        <v>371.53</v>
      </c>
      <c r="X78" s="146">
        <v>9.771428571428572E-5</v>
      </c>
      <c r="Y78" s="146">
        <v>3.2143462252010925E-3</v>
      </c>
      <c r="Z78" s="147">
        <v>5.3897410896466564E-4</v>
      </c>
      <c r="AA78" s="177"/>
    </row>
    <row r="79" spans="1:27" ht="15" x14ac:dyDescent="0.2">
      <c r="A79" s="142" t="s">
        <v>1205</v>
      </c>
      <c r="B79" s="143" t="s">
        <v>1205</v>
      </c>
      <c r="C79" s="143" t="s">
        <v>3498</v>
      </c>
      <c r="D79" s="145" t="s">
        <v>3930</v>
      </c>
      <c r="E79" s="145" t="s">
        <v>3930</v>
      </c>
      <c r="F79" s="143" t="s">
        <v>3499</v>
      </c>
      <c r="G79" s="143" t="s">
        <v>3500</v>
      </c>
      <c r="H79" s="143" t="s">
        <v>312</v>
      </c>
      <c r="I79" s="143" t="s">
        <v>1003</v>
      </c>
      <c r="J79" s="145" t="s">
        <v>3930</v>
      </c>
      <c r="K79" s="143" t="s">
        <v>204</v>
      </c>
      <c r="L79" s="145" t="s">
        <v>3930</v>
      </c>
      <c r="M79" s="145" t="s">
        <v>3930</v>
      </c>
      <c r="N79" s="143" t="s">
        <v>204</v>
      </c>
      <c r="O79" s="143" t="s">
        <v>339</v>
      </c>
      <c r="P79" s="162">
        <v>44136</v>
      </c>
      <c r="Q79" s="143" t="s">
        <v>1210</v>
      </c>
      <c r="R79" s="143" t="s">
        <v>885</v>
      </c>
      <c r="S79" s="143" t="s">
        <v>889</v>
      </c>
      <c r="T79" s="163">
        <v>45545</v>
      </c>
      <c r="U79" s="145" t="s">
        <v>3930</v>
      </c>
      <c r="V79" s="144">
        <v>270.82679999999999</v>
      </c>
      <c r="W79" s="144">
        <v>270.82679999999999</v>
      </c>
      <c r="X79" s="145" t="s">
        <v>3930</v>
      </c>
      <c r="Y79" s="146">
        <v>2.3430979161634985E-3</v>
      </c>
      <c r="Z79" s="147">
        <v>3.928852161848807E-4</v>
      </c>
      <c r="AA79" s="177"/>
    </row>
    <row r="80" spans="1:27" ht="15" x14ac:dyDescent="0.2">
      <c r="A80" s="142" t="s">
        <v>1205</v>
      </c>
      <c r="B80" s="143" t="s">
        <v>1205</v>
      </c>
      <c r="C80" s="143" t="s">
        <v>3501</v>
      </c>
      <c r="D80" s="145" t="s">
        <v>3930</v>
      </c>
      <c r="E80" s="145" t="s">
        <v>3930</v>
      </c>
      <c r="F80" s="143" t="s">
        <v>3502</v>
      </c>
      <c r="G80" s="143" t="s">
        <v>3503</v>
      </c>
      <c r="H80" s="143" t="s">
        <v>312</v>
      </c>
      <c r="I80" s="143" t="s">
        <v>1003</v>
      </c>
      <c r="J80" s="145" t="s">
        <v>3930</v>
      </c>
      <c r="K80" s="143" t="s">
        <v>204</v>
      </c>
      <c r="L80" s="145" t="s">
        <v>3930</v>
      </c>
      <c r="M80" s="145" t="s">
        <v>3930</v>
      </c>
      <c r="N80" s="143" t="s">
        <v>204</v>
      </c>
      <c r="O80" s="143" t="s">
        <v>339</v>
      </c>
      <c r="P80" s="162">
        <v>44136</v>
      </c>
      <c r="Q80" s="143" t="s">
        <v>1210</v>
      </c>
      <c r="R80" s="143" t="s">
        <v>885</v>
      </c>
      <c r="S80" s="143" t="s">
        <v>889</v>
      </c>
      <c r="T80" s="163">
        <v>45532</v>
      </c>
      <c r="U80" s="145" t="s">
        <v>3930</v>
      </c>
      <c r="V80" s="144">
        <v>225.06700000000001</v>
      </c>
      <c r="W80" s="144">
        <v>225.06700000000001</v>
      </c>
      <c r="X80" s="145" t="s">
        <v>3930</v>
      </c>
      <c r="Y80" s="146">
        <v>1.9472004471120007E-3</v>
      </c>
      <c r="Z80" s="147">
        <v>3.2650204813955034E-4</v>
      </c>
      <c r="AA80" s="177"/>
    </row>
    <row r="81" spans="1:27" ht="15" x14ac:dyDescent="0.2">
      <c r="A81" s="142" t="s">
        <v>1205</v>
      </c>
      <c r="B81" s="143" t="s">
        <v>1205</v>
      </c>
      <c r="C81" s="143" t="s">
        <v>3504</v>
      </c>
      <c r="D81" s="145" t="s">
        <v>3930</v>
      </c>
      <c r="E81" s="145" t="s">
        <v>3930</v>
      </c>
      <c r="F81" s="143" t="s">
        <v>3487</v>
      </c>
      <c r="G81" s="143" t="s">
        <v>3505</v>
      </c>
      <c r="H81" s="143" t="s">
        <v>312</v>
      </c>
      <c r="I81" s="143" t="s">
        <v>1003</v>
      </c>
      <c r="J81" s="145" t="s">
        <v>3930</v>
      </c>
      <c r="K81" s="143" t="s">
        <v>204</v>
      </c>
      <c r="L81" s="145" t="s">
        <v>3930</v>
      </c>
      <c r="M81" s="145" t="s">
        <v>3930</v>
      </c>
      <c r="N81" s="143" t="s">
        <v>204</v>
      </c>
      <c r="O81" s="143" t="s">
        <v>339</v>
      </c>
      <c r="P81" s="162">
        <v>44136</v>
      </c>
      <c r="Q81" s="143" t="s">
        <v>1210</v>
      </c>
      <c r="R81" s="143" t="s">
        <v>885</v>
      </c>
      <c r="S81" s="143" t="s">
        <v>889</v>
      </c>
      <c r="T81" s="163">
        <v>45532</v>
      </c>
      <c r="U81" s="145" t="s">
        <v>3930</v>
      </c>
      <c r="V81" s="144">
        <v>147.68350000000001</v>
      </c>
      <c r="W81" s="144">
        <v>147.68350000000001</v>
      </c>
      <c r="X81" s="145" t="s">
        <v>3930</v>
      </c>
      <c r="Y81" s="146">
        <v>1.2777058639881281E-3</v>
      </c>
      <c r="Z81" s="147">
        <v>2.142427515003761E-4</v>
      </c>
      <c r="AA81" s="177"/>
    </row>
    <row r="82" spans="1:27" ht="15" x14ac:dyDescent="0.2">
      <c r="A82" s="142" t="s">
        <v>1205</v>
      </c>
      <c r="B82" s="143" t="s">
        <v>1205</v>
      </c>
      <c r="C82" s="143" t="s">
        <v>3478</v>
      </c>
      <c r="D82" s="145" t="s">
        <v>3930</v>
      </c>
      <c r="E82" s="145" t="s">
        <v>3930</v>
      </c>
      <c r="F82" s="143" t="s">
        <v>3506</v>
      </c>
      <c r="G82" s="143" t="s">
        <v>3507</v>
      </c>
      <c r="H82" s="143" t="s">
        <v>312</v>
      </c>
      <c r="I82" s="143" t="s">
        <v>1003</v>
      </c>
      <c r="J82" s="145" t="s">
        <v>3930</v>
      </c>
      <c r="K82" s="143" t="s">
        <v>204</v>
      </c>
      <c r="L82" s="145" t="s">
        <v>3930</v>
      </c>
      <c r="M82" s="145" t="s">
        <v>3930</v>
      </c>
      <c r="N82" s="143" t="s">
        <v>204</v>
      </c>
      <c r="O82" s="143" t="s">
        <v>339</v>
      </c>
      <c r="P82" s="162">
        <v>44136</v>
      </c>
      <c r="Q82" s="143" t="s">
        <v>1210</v>
      </c>
      <c r="R82" s="143" t="s">
        <v>885</v>
      </c>
      <c r="S82" s="143" t="s">
        <v>889</v>
      </c>
      <c r="T82" s="163">
        <v>45532</v>
      </c>
      <c r="U82" s="145" t="s">
        <v>3930</v>
      </c>
      <c r="V82" s="144">
        <v>5.5886000000000005</v>
      </c>
      <c r="W82" s="144">
        <v>5.5886000000000005</v>
      </c>
      <c r="X82" s="145" t="s">
        <v>3930</v>
      </c>
      <c r="Y82" s="146">
        <v>4.8350442326073829E-5</v>
      </c>
      <c r="Z82" s="147">
        <v>8.107289863932682E-6</v>
      </c>
      <c r="AA82" s="177"/>
    </row>
    <row r="83" spans="1:27" ht="15" x14ac:dyDescent="0.2">
      <c r="A83" s="142" t="s">
        <v>1205</v>
      </c>
      <c r="B83" s="143" t="s">
        <v>1205</v>
      </c>
      <c r="C83" s="143" t="s">
        <v>3508</v>
      </c>
      <c r="D83" s="145" t="s">
        <v>3930</v>
      </c>
      <c r="E83" s="145" t="s">
        <v>3930</v>
      </c>
      <c r="F83" s="143" t="s">
        <v>3509</v>
      </c>
      <c r="G83" s="143" t="s">
        <v>3510</v>
      </c>
      <c r="H83" s="143" t="s">
        <v>312</v>
      </c>
      <c r="I83" s="143" t="s">
        <v>1003</v>
      </c>
      <c r="J83" s="145" t="s">
        <v>3930</v>
      </c>
      <c r="K83" s="143" t="s">
        <v>205</v>
      </c>
      <c r="L83" s="145" t="s">
        <v>3930</v>
      </c>
      <c r="M83" s="145" t="s">
        <v>3930</v>
      </c>
      <c r="N83" s="143" t="s">
        <v>293</v>
      </c>
      <c r="O83" s="143" t="s">
        <v>339</v>
      </c>
      <c r="P83" s="162">
        <v>44136</v>
      </c>
      <c r="Q83" s="143" t="s">
        <v>1218</v>
      </c>
      <c r="R83" s="143" t="s">
        <v>885</v>
      </c>
      <c r="S83" s="143" t="s">
        <v>889</v>
      </c>
      <c r="T83" s="163">
        <v>45540</v>
      </c>
      <c r="U83" s="143" t="s">
        <v>1219</v>
      </c>
      <c r="V83" s="144">
        <v>475.76365475387723</v>
      </c>
      <c r="W83" s="144">
        <v>1975.5609999999999</v>
      </c>
      <c r="X83" s="145" t="s">
        <v>3930</v>
      </c>
      <c r="Y83" s="146">
        <v>1.7091855919376897E-2</v>
      </c>
      <c r="Z83" s="147">
        <v>2.8659227006954712E-3</v>
      </c>
      <c r="AA83" s="177"/>
    </row>
    <row r="84" spans="1:27" ht="15" x14ac:dyDescent="0.2">
      <c r="A84" s="142" t="s">
        <v>1205</v>
      </c>
      <c r="B84" s="143" t="s">
        <v>1205</v>
      </c>
      <c r="C84" s="143" t="s">
        <v>3324</v>
      </c>
      <c r="D84" s="145" t="s">
        <v>3930</v>
      </c>
      <c r="E84" s="145" t="s">
        <v>3930</v>
      </c>
      <c r="F84" s="143" t="s">
        <v>3511</v>
      </c>
      <c r="G84" s="143" t="s">
        <v>3512</v>
      </c>
      <c r="H84" s="143" t="s">
        <v>312</v>
      </c>
      <c r="I84" s="143" t="s">
        <v>1003</v>
      </c>
      <c r="J84" s="145" t="s">
        <v>3930</v>
      </c>
      <c r="K84" s="143" t="s">
        <v>205</v>
      </c>
      <c r="L84" s="145" t="s">
        <v>3930</v>
      </c>
      <c r="M84" s="145" t="s">
        <v>3930</v>
      </c>
      <c r="N84" s="143" t="s">
        <v>224</v>
      </c>
      <c r="O84" s="143" t="s">
        <v>339</v>
      </c>
      <c r="P84" s="162">
        <v>44453</v>
      </c>
      <c r="Q84" s="143" t="s">
        <v>1211</v>
      </c>
      <c r="R84" s="143" t="s">
        <v>885</v>
      </c>
      <c r="S84" s="143" t="s">
        <v>889</v>
      </c>
      <c r="T84" s="163">
        <v>45565</v>
      </c>
      <c r="U84" s="143" t="s">
        <v>1212</v>
      </c>
      <c r="V84" s="144">
        <v>414.02064690026953</v>
      </c>
      <c r="W84" s="144">
        <v>1536.0166000000002</v>
      </c>
      <c r="X84" s="146">
        <v>8.7000000000000001E-4</v>
      </c>
      <c r="Y84" s="146">
        <v>1.3289072974486662E-2</v>
      </c>
      <c r="Z84" s="147">
        <v>2.2282808893563659E-3</v>
      </c>
      <c r="AA84" s="177"/>
    </row>
    <row r="85" spans="1:27" ht="15" x14ac:dyDescent="0.2">
      <c r="A85" s="142" t="s">
        <v>1205</v>
      </c>
      <c r="B85" s="143" t="s">
        <v>1205</v>
      </c>
      <c r="C85" s="143" t="s">
        <v>3513</v>
      </c>
      <c r="D85" s="145" t="s">
        <v>3930</v>
      </c>
      <c r="E85" s="145" t="s">
        <v>3930</v>
      </c>
      <c r="F85" s="143" t="s">
        <v>3514</v>
      </c>
      <c r="G85" s="143" t="s">
        <v>3515</v>
      </c>
      <c r="H85" s="143" t="s">
        <v>312</v>
      </c>
      <c r="I85" s="143" t="s">
        <v>1003</v>
      </c>
      <c r="J85" s="145" t="s">
        <v>3930</v>
      </c>
      <c r="K85" s="143" t="s">
        <v>205</v>
      </c>
      <c r="L85" s="145" t="s">
        <v>3930</v>
      </c>
      <c r="M85" s="145" t="s">
        <v>3930</v>
      </c>
      <c r="N85" s="143" t="s">
        <v>293</v>
      </c>
      <c r="O85" s="143" t="s">
        <v>339</v>
      </c>
      <c r="P85" s="162">
        <v>44427</v>
      </c>
      <c r="Q85" s="143" t="s">
        <v>1218</v>
      </c>
      <c r="R85" s="143" t="s">
        <v>885</v>
      </c>
      <c r="S85" s="143" t="s">
        <v>889</v>
      </c>
      <c r="T85" s="163">
        <v>45525</v>
      </c>
      <c r="U85" s="143" t="s">
        <v>1219</v>
      </c>
      <c r="V85" s="144">
        <v>297.00657451112608</v>
      </c>
      <c r="W85" s="144">
        <v>1233.2901000000002</v>
      </c>
      <c r="X85" s="146">
        <v>3.0015126000000001E-4</v>
      </c>
      <c r="Y85" s="146">
        <v>1.0669990294353317E-2</v>
      </c>
      <c r="Z85" s="147">
        <v>1.7891191889887127E-3</v>
      </c>
      <c r="AA85" s="177"/>
    </row>
    <row r="86" spans="1:27" ht="15" x14ac:dyDescent="0.2">
      <c r="A86" s="142" t="s">
        <v>1205</v>
      </c>
      <c r="B86" s="143" t="s">
        <v>1205</v>
      </c>
      <c r="C86" s="143" t="s">
        <v>3516</v>
      </c>
      <c r="D86" s="145" t="s">
        <v>3930</v>
      </c>
      <c r="E86" s="145" t="s">
        <v>3930</v>
      </c>
      <c r="F86" s="143" t="s">
        <v>3517</v>
      </c>
      <c r="G86" s="143" t="s">
        <v>3518</v>
      </c>
      <c r="H86" s="143" t="s">
        <v>312</v>
      </c>
      <c r="I86" s="143" t="s">
        <v>1003</v>
      </c>
      <c r="J86" s="145" t="s">
        <v>3930</v>
      </c>
      <c r="K86" s="143" t="s">
        <v>205</v>
      </c>
      <c r="L86" s="145" t="s">
        <v>3930</v>
      </c>
      <c r="M86" s="145" t="s">
        <v>3930</v>
      </c>
      <c r="N86" s="143" t="s">
        <v>272</v>
      </c>
      <c r="O86" s="143" t="s">
        <v>339</v>
      </c>
      <c r="P86" s="162">
        <v>44651</v>
      </c>
      <c r="Q86" s="143" t="s">
        <v>1218</v>
      </c>
      <c r="R86" s="143" t="s">
        <v>885</v>
      </c>
      <c r="S86" s="143" t="s">
        <v>889</v>
      </c>
      <c r="T86" s="163">
        <v>45544</v>
      </c>
      <c r="U86" s="143" t="s">
        <v>1219</v>
      </c>
      <c r="V86" s="144">
        <v>283.00014449475003</v>
      </c>
      <c r="W86" s="144">
        <v>1175.1298000000002</v>
      </c>
      <c r="X86" s="146">
        <v>1.4022000499999999E-3</v>
      </c>
      <c r="Y86" s="146">
        <v>1.0166807982862049E-2</v>
      </c>
      <c r="Z86" s="147">
        <v>1.7047467477574261E-3</v>
      </c>
      <c r="AA86" s="177"/>
    </row>
    <row r="87" spans="1:27" ht="15" x14ac:dyDescent="0.2">
      <c r="A87" s="142" t="s">
        <v>1205</v>
      </c>
      <c r="B87" s="143" t="s">
        <v>1205</v>
      </c>
      <c r="C87" s="143" t="s">
        <v>3519</v>
      </c>
      <c r="D87" s="145" t="s">
        <v>3930</v>
      </c>
      <c r="E87" s="145" t="s">
        <v>3930</v>
      </c>
      <c r="F87" s="143" t="s">
        <v>3520</v>
      </c>
      <c r="G87" s="143" t="s">
        <v>3521</v>
      </c>
      <c r="H87" s="143" t="s">
        <v>312</v>
      </c>
      <c r="I87" s="143" t="s">
        <v>1003</v>
      </c>
      <c r="J87" s="145" t="s">
        <v>3930</v>
      </c>
      <c r="K87" s="143" t="s">
        <v>205</v>
      </c>
      <c r="L87" s="145" t="s">
        <v>3930</v>
      </c>
      <c r="M87" s="145" t="s">
        <v>3930</v>
      </c>
      <c r="N87" s="143" t="s">
        <v>293</v>
      </c>
      <c r="O87" s="143" t="s">
        <v>339</v>
      </c>
      <c r="P87" s="162">
        <v>44136</v>
      </c>
      <c r="Q87" s="143" t="s">
        <v>1218</v>
      </c>
      <c r="R87" s="143" t="s">
        <v>885</v>
      </c>
      <c r="S87" s="143" t="s">
        <v>889</v>
      </c>
      <c r="T87" s="163">
        <v>45550</v>
      </c>
      <c r="U87" s="143" t="s">
        <v>1219</v>
      </c>
      <c r="V87" s="144">
        <v>243.73909064637317</v>
      </c>
      <c r="W87" s="144">
        <v>1012.1021999999999</v>
      </c>
      <c r="X87" s="146">
        <v>4.5775090000000002E-4</v>
      </c>
      <c r="Y87" s="146">
        <v>8.75635029346058E-3</v>
      </c>
      <c r="Z87" s="147">
        <v>1.4682444785191588E-3</v>
      </c>
      <c r="AA87" s="177"/>
    </row>
    <row r="88" spans="1:27" ht="15" x14ac:dyDescent="0.2">
      <c r="A88" s="142" t="s">
        <v>1205</v>
      </c>
      <c r="B88" s="143" t="s">
        <v>1205</v>
      </c>
      <c r="C88" s="143" t="s">
        <v>3522</v>
      </c>
      <c r="D88" s="145" t="s">
        <v>3930</v>
      </c>
      <c r="E88" s="145" t="s">
        <v>3930</v>
      </c>
      <c r="F88" s="143" t="s">
        <v>3523</v>
      </c>
      <c r="G88" s="143" t="s">
        <v>3524</v>
      </c>
      <c r="H88" s="143" t="s">
        <v>312</v>
      </c>
      <c r="I88" s="143" t="s">
        <v>1003</v>
      </c>
      <c r="J88" s="145" t="s">
        <v>3930</v>
      </c>
      <c r="K88" s="143" t="s">
        <v>205</v>
      </c>
      <c r="L88" s="145" t="s">
        <v>3930</v>
      </c>
      <c r="M88" s="145" t="s">
        <v>3930</v>
      </c>
      <c r="N88" s="143" t="s">
        <v>224</v>
      </c>
      <c r="O88" s="143" t="s">
        <v>339</v>
      </c>
      <c r="P88" s="162">
        <v>44560</v>
      </c>
      <c r="Q88" s="143" t="s">
        <v>1211</v>
      </c>
      <c r="R88" s="143" t="s">
        <v>885</v>
      </c>
      <c r="S88" s="143" t="s">
        <v>889</v>
      </c>
      <c r="T88" s="163">
        <v>45522</v>
      </c>
      <c r="U88" s="143" t="s">
        <v>1212</v>
      </c>
      <c r="V88" s="144">
        <v>272.00660377358486</v>
      </c>
      <c r="W88" s="144">
        <v>1009.1445</v>
      </c>
      <c r="X88" s="146">
        <v>3.6584615384615386E-7</v>
      </c>
      <c r="Y88" s="146">
        <v>8.7307618717916563E-3</v>
      </c>
      <c r="Z88" s="147">
        <v>1.4639538714088568E-3</v>
      </c>
      <c r="AA88" s="177"/>
    </row>
    <row r="89" spans="1:27" ht="15" x14ac:dyDescent="0.2">
      <c r="A89" s="142" t="s">
        <v>1205</v>
      </c>
      <c r="B89" s="143" t="s">
        <v>1205</v>
      </c>
      <c r="C89" s="143" t="s">
        <v>3525</v>
      </c>
      <c r="D89" s="145" t="s">
        <v>3930</v>
      </c>
      <c r="E89" s="145" t="s">
        <v>3930</v>
      </c>
      <c r="F89" s="143" t="s">
        <v>3526</v>
      </c>
      <c r="G89" s="143" t="s">
        <v>3527</v>
      </c>
      <c r="H89" s="143" t="s">
        <v>312</v>
      </c>
      <c r="I89" s="143" t="s">
        <v>1003</v>
      </c>
      <c r="J89" s="145" t="s">
        <v>3930</v>
      </c>
      <c r="K89" s="143" t="s">
        <v>205</v>
      </c>
      <c r="L89" s="145" t="s">
        <v>3930</v>
      </c>
      <c r="M89" s="145" t="s">
        <v>3930</v>
      </c>
      <c r="N89" s="143" t="s">
        <v>291</v>
      </c>
      <c r="O89" s="143" t="s">
        <v>339</v>
      </c>
      <c r="P89" s="162">
        <v>45124</v>
      </c>
      <c r="Q89" s="143" t="s">
        <v>1211</v>
      </c>
      <c r="R89" s="143" t="s">
        <v>885</v>
      </c>
      <c r="S89" s="143" t="s">
        <v>889</v>
      </c>
      <c r="T89" s="163">
        <v>45560</v>
      </c>
      <c r="U89" s="143" t="s">
        <v>1212</v>
      </c>
      <c r="V89" s="144">
        <v>222.03140161725068</v>
      </c>
      <c r="W89" s="144">
        <v>823.73649999999998</v>
      </c>
      <c r="X89" s="145" t="s">
        <v>3930</v>
      </c>
      <c r="Y89" s="146">
        <v>7.1266775537000664E-3</v>
      </c>
      <c r="Z89" s="147">
        <v>1.1949847388153321E-3</v>
      </c>
      <c r="AA89" s="177"/>
    </row>
    <row r="90" spans="1:27" ht="15" x14ac:dyDescent="0.2">
      <c r="A90" s="142" t="s">
        <v>1205</v>
      </c>
      <c r="B90" s="143" t="s">
        <v>1205</v>
      </c>
      <c r="C90" s="143" t="s">
        <v>3528</v>
      </c>
      <c r="D90" s="145" t="s">
        <v>3930</v>
      </c>
      <c r="E90" s="145" t="s">
        <v>3930</v>
      </c>
      <c r="F90" s="143" t="s">
        <v>3529</v>
      </c>
      <c r="G90" s="143" t="s">
        <v>3530</v>
      </c>
      <c r="H90" s="143" t="s">
        <v>312</v>
      </c>
      <c r="I90" s="143" t="s">
        <v>1003</v>
      </c>
      <c r="J90" s="145" t="s">
        <v>3930</v>
      </c>
      <c r="K90" s="143" t="s">
        <v>205</v>
      </c>
      <c r="L90" s="145" t="s">
        <v>3930</v>
      </c>
      <c r="M90" s="145" t="s">
        <v>3930</v>
      </c>
      <c r="N90" s="143" t="s">
        <v>289</v>
      </c>
      <c r="O90" s="143" t="s">
        <v>339</v>
      </c>
      <c r="P90" s="162">
        <v>44731</v>
      </c>
      <c r="Q90" s="143" t="s">
        <v>1211</v>
      </c>
      <c r="R90" s="143" t="s">
        <v>885</v>
      </c>
      <c r="S90" s="143" t="s">
        <v>889</v>
      </c>
      <c r="T90" s="163">
        <v>45533</v>
      </c>
      <c r="U90" s="143" t="s">
        <v>1212</v>
      </c>
      <c r="V90" s="144">
        <v>217.17250673854448</v>
      </c>
      <c r="W90" s="144">
        <v>805.71</v>
      </c>
      <c r="X90" s="146">
        <v>2.0369978999999999E-4</v>
      </c>
      <c r="Y90" s="146">
        <v>6.9707178861003914E-3</v>
      </c>
      <c r="Z90" s="147">
        <v>1.168833784005322E-3</v>
      </c>
      <c r="AA90" s="177"/>
    </row>
    <row r="91" spans="1:27" ht="15" x14ac:dyDescent="0.2">
      <c r="A91" s="142" t="s">
        <v>1205</v>
      </c>
      <c r="B91" s="143" t="s">
        <v>1205</v>
      </c>
      <c r="C91" s="143" t="s">
        <v>3531</v>
      </c>
      <c r="D91" s="145" t="s">
        <v>3930</v>
      </c>
      <c r="E91" s="145" t="s">
        <v>3930</v>
      </c>
      <c r="F91" s="143" t="s">
        <v>3532</v>
      </c>
      <c r="G91" s="143" t="s">
        <v>3533</v>
      </c>
      <c r="H91" s="143" t="s">
        <v>312</v>
      </c>
      <c r="I91" s="143" t="s">
        <v>1003</v>
      </c>
      <c r="J91" s="145" t="s">
        <v>3930</v>
      </c>
      <c r="K91" s="143" t="s">
        <v>205</v>
      </c>
      <c r="L91" s="145" t="s">
        <v>3930</v>
      </c>
      <c r="M91" s="145" t="s">
        <v>3930</v>
      </c>
      <c r="N91" s="143" t="s">
        <v>293</v>
      </c>
      <c r="O91" s="143" t="s">
        <v>339</v>
      </c>
      <c r="P91" s="162">
        <v>45271</v>
      </c>
      <c r="Q91" s="143" t="s">
        <v>1218</v>
      </c>
      <c r="R91" s="143" t="s">
        <v>885</v>
      </c>
      <c r="S91" s="143" t="s">
        <v>889</v>
      </c>
      <c r="T91" s="163">
        <v>45518</v>
      </c>
      <c r="U91" s="143" t="s">
        <v>1219</v>
      </c>
      <c r="V91" s="144">
        <v>166.37624024660437</v>
      </c>
      <c r="W91" s="144">
        <v>690.86069999999995</v>
      </c>
      <c r="X91" s="146">
        <v>7.6767795E-5</v>
      </c>
      <c r="Y91" s="146">
        <v>5.9770824236688481E-3</v>
      </c>
      <c r="Z91" s="147">
        <v>1.0022232976174624E-3</v>
      </c>
      <c r="AA91" s="177"/>
    </row>
    <row r="92" spans="1:27" ht="15" x14ac:dyDescent="0.2">
      <c r="A92" s="142" t="s">
        <v>1205</v>
      </c>
      <c r="B92" s="143" t="s">
        <v>1205</v>
      </c>
      <c r="C92" s="143" t="s">
        <v>3534</v>
      </c>
      <c r="D92" s="145" t="s">
        <v>3930</v>
      </c>
      <c r="E92" s="145" t="s">
        <v>3930</v>
      </c>
      <c r="F92" s="143" t="s">
        <v>3535</v>
      </c>
      <c r="G92" s="143" t="s">
        <v>3536</v>
      </c>
      <c r="H92" s="143" t="s">
        <v>312</v>
      </c>
      <c r="I92" s="143" t="s">
        <v>1003</v>
      </c>
      <c r="J92" s="145" t="s">
        <v>3930</v>
      </c>
      <c r="K92" s="143" t="s">
        <v>205</v>
      </c>
      <c r="L92" s="145" t="s">
        <v>3930</v>
      </c>
      <c r="M92" s="145" t="s">
        <v>3930</v>
      </c>
      <c r="N92" s="143" t="s">
        <v>296</v>
      </c>
      <c r="O92" s="143" t="s">
        <v>339</v>
      </c>
      <c r="P92" s="162">
        <v>45012</v>
      </c>
      <c r="Q92" s="143" t="s">
        <v>1211</v>
      </c>
      <c r="R92" s="143" t="s">
        <v>885</v>
      </c>
      <c r="S92" s="143" t="s">
        <v>889</v>
      </c>
      <c r="T92" s="163">
        <v>45551</v>
      </c>
      <c r="U92" s="143" t="s">
        <v>1212</v>
      </c>
      <c r="V92" s="144">
        <v>131.11072776280324</v>
      </c>
      <c r="W92" s="144">
        <v>486.42079999999999</v>
      </c>
      <c r="X92" s="146">
        <v>1.4835200000000001E-3</v>
      </c>
      <c r="Y92" s="146">
        <v>4.2083405489425664E-3</v>
      </c>
      <c r="Z92" s="147">
        <v>7.0564476838343442E-4</v>
      </c>
      <c r="AA92" s="177"/>
    </row>
    <row r="93" spans="1:27" ht="15" x14ac:dyDescent="0.2">
      <c r="A93" s="142" t="s">
        <v>1205</v>
      </c>
      <c r="B93" s="143" t="s">
        <v>1205</v>
      </c>
      <c r="C93" s="143" t="s">
        <v>3537</v>
      </c>
      <c r="D93" s="145" t="s">
        <v>3930</v>
      </c>
      <c r="E93" s="145" t="s">
        <v>3930</v>
      </c>
      <c r="F93" s="143" t="s">
        <v>3538</v>
      </c>
      <c r="G93" s="143" t="s">
        <v>3539</v>
      </c>
      <c r="H93" s="143" t="s">
        <v>312</v>
      </c>
      <c r="I93" s="143" t="s">
        <v>1003</v>
      </c>
      <c r="J93" s="145" t="s">
        <v>3930</v>
      </c>
      <c r="K93" s="143" t="s">
        <v>205</v>
      </c>
      <c r="L93" s="145" t="s">
        <v>3930</v>
      </c>
      <c r="M93" s="145" t="s">
        <v>3930</v>
      </c>
      <c r="N93" s="143" t="s">
        <v>291</v>
      </c>
      <c r="O93" s="143" t="s">
        <v>339</v>
      </c>
      <c r="P93" s="162">
        <v>44651</v>
      </c>
      <c r="Q93" s="143" t="s">
        <v>1211</v>
      </c>
      <c r="R93" s="143" t="s">
        <v>885</v>
      </c>
      <c r="S93" s="143" t="s">
        <v>889</v>
      </c>
      <c r="T93" s="163">
        <v>45565</v>
      </c>
      <c r="U93" s="143" t="s">
        <v>1212</v>
      </c>
      <c r="V93" s="144">
        <v>124.54493261455526</v>
      </c>
      <c r="W93" s="144">
        <v>462.06170000000003</v>
      </c>
      <c r="X93" s="146">
        <v>7.7315157575757578E-5</v>
      </c>
      <c r="Y93" s="146">
        <v>3.9975949110772728E-3</v>
      </c>
      <c r="Z93" s="147">
        <v>6.7030742933261989E-4</v>
      </c>
      <c r="AA93" s="177"/>
    </row>
    <row r="94" spans="1:27" ht="15" x14ac:dyDescent="0.2">
      <c r="A94" s="142" t="s">
        <v>1205</v>
      </c>
      <c r="B94" s="143" t="s">
        <v>1205</v>
      </c>
      <c r="C94" s="143" t="s">
        <v>3522</v>
      </c>
      <c r="D94" s="145" t="s">
        <v>3930</v>
      </c>
      <c r="E94" s="145" t="s">
        <v>3930</v>
      </c>
      <c r="F94" s="143" t="s">
        <v>3540</v>
      </c>
      <c r="G94" s="143" t="s">
        <v>3541</v>
      </c>
      <c r="H94" s="143" t="s">
        <v>312</v>
      </c>
      <c r="I94" s="143" t="s">
        <v>1003</v>
      </c>
      <c r="J94" s="145" t="s">
        <v>3930</v>
      </c>
      <c r="K94" s="143" t="s">
        <v>205</v>
      </c>
      <c r="L94" s="145" t="s">
        <v>3930</v>
      </c>
      <c r="M94" s="145" t="s">
        <v>3930</v>
      </c>
      <c r="N94" s="143" t="s">
        <v>224</v>
      </c>
      <c r="O94" s="143" t="s">
        <v>339</v>
      </c>
      <c r="P94" s="162">
        <v>44560</v>
      </c>
      <c r="Q94" s="143" t="s">
        <v>1211</v>
      </c>
      <c r="R94" s="143" t="s">
        <v>885</v>
      </c>
      <c r="S94" s="143" t="s">
        <v>889</v>
      </c>
      <c r="T94" s="163">
        <v>45522</v>
      </c>
      <c r="U94" s="143" t="s">
        <v>1212</v>
      </c>
      <c r="V94" s="144">
        <v>66.773234501347716</v>
      </c>
      <c r="W94" s="144">
        <v>247.7287</v>
      </c>
      <c r="X94" s="145" t="s">
        <v>3930</v>
      </c>
      <c r="Y94" s="146">
        <v>2.1432612778698058E-3</v>
      </c>
      <c r="Z94" s="147">
        <v>3.5937707284350838E-4</v>
      </c>
      <c r="AA94" s="177"/>
    </row>
    <row r="95" spans="1:27" ht="15" x14ac:dyDescent="0.2">
      <c r="A95" s="142" t="s">
        <v>1205</v>
      </c>
      <c r="B95" s="143" t="s">
        <v>1205</v>
      </c>
      <c r="C95" s="143" t="s">
        <v>3542</v>
      </c>
      <c r="D95" s="145" t="s">
        <v>3930</v>
      </c>
      <c r="E95" s="145" t="s">
        <v>3930</v>
      </c>
      <c r="F95" s="143" t="s">
        <v>3543</v>
      </c>
      <c r="G95" s="143" t="s">
        <v>3544</v>
      </c>
      <c r="H95" s="143" t="s">
        <v>312</v>
      </c>
      <c r="I95" s="143" t="s">
        <v>1003</v>
      </c>
      <c r="J95" s="145" t="s">
        <v>3930</v>
      </c>
      <c r="K95" s="143" t="s">
        <v>205</v>
      </c>
      <c r="L95" s="145" t="s">
        <v>3930</v>
      </c>
      <c r="M95" s="145" t="s">
        <v>3930</v>
      </c>
      <c r="N95" s="143" t="s">
        <v>204</v>
      </c>
      <c r="O95" s="143" t="s">
        <v>339</v>
      </c>
      <c r="P95" s="162">
        <v>45119</v>
      </c>
      <c r="Q95" s="143" t="s">
        <v>1210</v>
      </c>
      <c r="R95" s="143" t="s">
        <v>885</v>
      </c>
      <c r="S95" s="143" t="s">
        <v>889</v>
      </c>
      <c r="T95" s="163">
        <v>45533</v>
      </c>
      <c r="U95" s="145" t="s">
        <v>3930</v>
      </c>
      <c r="V95" s="144">
        <v>214.19399999999999</v>
      </c>
      <c r="W95" s="144">
        <v>214.19399999999999</v>
      </c>
      <c r="X95" s="146">
        <v>2.906267806267806E-4</v>
      </c>
      <c r="Y95" s="146">
        <v>1.8531308914537476E-3</v>
      </c>
      <c r="Z95" s="147">
        <v>3.1072868354549914E-4</v>
      </c>
      <c r="AA95" s="177"/>
    </row>
    <row r="96" spans="1:27" ht="15" x14ac:dyDescent="0.2">
      <c r="A96" s="142" t="s">
        <v>1205</v>
      </c>
      <c r="B96" s="143" t="s">
        <v>1205</v>
      </c>
      <c r="C96" s="143" t="s">
        <v>3545</v>
      </c>
      <c r="D96" s="145" t="s">
        <v>3930</v>
      </c>
      <c r="E96" s="145" t="s">
        <v>3930</v>
      </c>
      <c r="F96" s="143" t="s">
        <v>3546</v>
      </c>
      <c r="G96" s="143" t="s">
        <v>3547</v>
      </c>
      <c r="H96" s="143" t="s">
        <v>312</v>
      </c>
      <c r="I96" s="143" t="s">
        <v>1003</v>
      </c>
      <c r="J96" s="145" t="s">
        <v>3930</v>
      </c>
      <c r="K96" s="143" t="s">
        <v>205</v>
      </c>
      <c r="L96" s="145" t="s">
        <v>3930</v>
      </c>
      <c r="M96" s="145" t="s">
        <v>3930</v>
      </c>
      <c r="N96" s="143" t="s">
        <v>224</v>
      </c>
      <c r="O96" s="143" t="s">
        <v>339</v>
      </c>
      <c r="P96" s="162">
        <v>45498</v>
      </c>
      <c r="Q96" s="143" t="s">
        <v>1211</v>
      </c>
      <c r="R96" s="143" t="s">
        <v>885</v>
      </c>
      <c r="S96" s="143" t="s">
        <v>889</v>
      </c>
      <c r="T96" s="163">
        <v>45498</v>
      </c>
      <c r="U96" s="143" t="s">
        <v>1212</v>
      </c>
      <c r="V96" s="144">
        <v>57</v>
      </c>
      <c r="W96" s="144">
        <v>211.47</v>
      </c>
      <c r="X96" s="146">
        <v>1.14E-3</v>
      </c>
      <c r="Y96" s="146">
        <v>1.8295637352001516E-3</v>
      </c>
      <c r="Z96" s="147">
        <v>3.0677699752517377E-4</v>
      </c>
      <c r="AA96" s="177"/>
    </row>
    <row r="97" spans="1:27" ht="15" x14ac:dyDescent="0.2">
      <c r="A97" s="142" t="s">
        <v>1205</v>
      </c>
      <c r="B97" s="143" t="s">
        <v>1205</v>
      </c>
      <c r="C97" s="143" t="s">
        <v>3548</v>
      </c>
      <c r="D97" s="145" t="s">
        <v>3930</v>
      </c>
      <c r="E97" s="145" t="s">
        <v>3930</v>
      </c>
      <c r="F97" s="143" t="s">
        <v>3548</v>
      </c>
      <c r="G97" s="143" t="s">
        <v>3549</v>
      </c>
      <c r="H97" s="143" t="s">
        <v>312</v>
      </c>
      <c r="I97" s="143" t="s">
        <v>1003</v>
      </c>
      <c r="J97" s="145" t="s">
        <v>3930</v>
      </c>
      <c r="K97" s="143" t="s">
        <v>205</v>
      </c>
      <c r="L97" s="145" t="s">
        <v>3930</v>
      </c>
      <c r="M97" s="145" t="s">
        <v>3930</v>
      </c>
      <c r="N97" s="143" t="s">
        <v>302</v>
      </c>
      <c r="O97" s="143" t="s">
        <v>339</v>
      </c>
      <c r="P97" s="162">
        <v>45503</v>
      </c>
      <c r="Q97" s="143" t="s">
        <v>1211</v>
      </c>
      <c r="R97" s="143" t="s">
        <v>885</v>
      </c>
      <c r="S97" s="143" t="s">
        <v>889</v>
      </c>
      <c r="T97" s="163">
        <v>45538</v>
      </c>
      <c r="U97" s="143" t="s">
        <v>1212</v>
      </c>
      <c r="V97" s="144">
        <v>12.5</v>
      </c>
      <c r="W97" s="144">
        <v>46.375</v>
      </c>
      <c r="X97" s="146">
        <v>5.0000000000000001E-4</v>
      </c>
      <c r="Y97" s="146">
        <v>4.0122011736845429E-4</v>
      </c>
      <c r="Z97" s="147">
        <v>6.7275657352011795E-5</v>
      </c>
      <c r="AA97" s="177"/>
    </row>
    <row r="98" spans="1:27" ht="15" x14ac:dyDescent="0.2">
      <c r="A98" s="142" t="s">
        <v>1205</v>
      </c>
      <c r="B98" s="143" t="s">
        <v>1205</v>
      </c>
      <c r="C98" s="143" t="s">
        <v>3537</v>
      </c>
      <c r="D98" s="145" t="s">
        <v>3930</v>
      </c>
      <c r="E98" s="145" t="s">
        <v>3930</v>
      </c>
      <c r="F98" s="143" t="s">
        <v>3550</v>
      </c>
      <c r="G98" s="143" t="s">
        <v>3551</v>
      </c>
      <c r="H98" s="143" t="s">
        <v>312</v>
      </c>
      <c r="I98" s="143" t="s">
        <v>1003</v>
      </c>
      <c r="J98" s="145" t="s">
        <v>3930</v>
      </c>
      <c r="K98" s="143" t="s">
        <v>205</v>
      </c>
      <c r="L98" s="145" t="s">
        <v>3930</v>
      </c>
      <c r="M98" s="145" t="s">
        <v>3930</v>
      </c>
      <c r="N98" s="143" t="s">
        <v>291</v>
      </c>
      <c r="O98" s="143" t="s">
        <v>339</v>
      </c>
      <c r="P98" s="162">
        <v>44651</v>
      </c>
      <c r="Q98" s="143" t="s">
        <v>1211</v>
      </c>
      <c r="R98" s="143" t="s">
        <v>885</v>
      </c>
      <c r="S98" s="143" t="s">
        <v>889</v>
      </c>
      <c r="T98" s="163">
        <v>44651</v>
      </c>
      <c r="U98" s="143" t="s">
        <v>1212</v>
      </c>
      <c r="V98" s="145" t="s">
        <v>3930</v>
      </c>
      <c r="W98" s="144">
        <v>0</v>
      </c>
      <c r="X98" s="146">
        <v>6.0606060606060602E-12</v>
      </c>
      <c r="Y98" s="146">
        <v>3.2097609389476344E-10</v>
      </c>
      <c r="Z98" s="147">
        <v>5.3820525881609434E-11</v>
      </c>
      <c r="AA98" s="177"/>
    </row>
    <row r="99" spans="1:27" ht="15" x14ac:dyDescent="0.2">
      <c r="A99" s="142" t="s">
        <v>1205</v>
      </c>
      <c r="B99" s="143" t="s">
        <v>1205</v>
      </c>
      <c r="C99" s="143" t="s">
        <v>3552</v>
      </c>
      <c r="D99" s="145" t="s">
        <v>3930</v>
      </c>
      <c r="E99" s="145" t="s">
        <v>3930</v>
      </c>
      <c r="F99" s="143" t="s">
        <v>3553</v>
      </c>
      <c r="G99" s="143" t="s">
        <v>3554</v>
      </c>
      <c r="H99" s="143" t="s">
        <v>312</v>
      </c>
      <c r="I99" s="143" t="s">
        <v>1004</v>
      </c>
      <c r="J99" s="145" t="s">
        <v>3930</v>
      </c>
      <c r="K99" s="143" t="s">
        <v>204</v>
      </c>
      <c r="L99" s="145" t="s">
        <v>3930</v>
      </c>
      <c r="M99" s="145" t="s">
        <v>3930</v>
      </c>
      <c r="N99" s="143" t="s">
        <v>204</v>
      </c>
      <c r="O99" s="143" t="s">
        <v>339</v>
      </c>
      <c r="P99" s="162">
        <v>44136</v>
      </c>
      <c r="Q99" s="143" t="s">
        <v>1210</v>
      </c>
      <c r="R99" s="143" t="s">
        <v>885</v>
      </c>
      <c r="S99" s="143" t="s">
        <v>889</v>
      </c>
      <c r="T99" s="163">
        <v>45515</v>
      </c>
      <c r="U99" s="145" t="s">
        <v>3930</v>
      </c>
      <c r="V99" s="144">
        <v>1781.6179</v>
      </c>
      <c r="W99" s="144">
        <v>1781.6179</v>
      </c>
      <c r="X99" s="145" t="s">
        <v>3930</v>
      </c>
      <c r="Y99" s="146">
        <v>1.5413928418500001E-2</v>
      </c>
      <c r="Z99" s="147">
        <v>2.5845717147307107E-3</v>
      </c>
      <c r="AA99" s="177"/>
    </row>
    <row r="100" spans="1:27" ht="15" x14ac:dyDescent="0.2">
      <c r="A100" s="142" t="s">
        <v>1205</v>
      </c>
      <c r="B100" s="143" t="s">
        <v>1205</v>
      </c>
      <c r="C100" s="143" t="s">
        <v>3555</v>
      </c>
      <c r="D100" s="145" t="s">
        <v>3930</v>
      </c>
      <c r="E100" s="145" t="s">
        <v>3930</v>
      </c>
      <c r="F100" s="143" t="s">
        <v>3556</v>
      </c>
      <c r="G100" s="143" t="s">
        <v>3557</v>
      </c>
      <c r="H100" s="143" t="s">
        <v>312</v>
      </c>
      <c r="I100" s="143" t="s">
        <v>1004</v>
      </c>
      <c r="J100" s="145" t="s">
        <v>3930</v>
      </c>
      <c r="K100" s="143" t="s">
        <v>204</v>
      </c>
      <c r="L100" s="145" t="s">
        <v>3930</v>
      </c>
      <c r="M100" s="145" t="s">
        <v>3930</v>
      </c>
      <c r="N100" s="143" t="s">
        <v>204</v>
      </c>
      <c r="O100" s="143" t="s">
        <v>339</v>
      </c>
      <c r="P100" s="162">
        <v>44722</v>
      </c>
      <c r="Q100" s="143" t="s">
        <v>1210</v>
      </c>
      <c r="R100" s="143" t="s">
        <v>885</v>
      </c>
      <c r="S100" s="143" t="s">
        <v>889</v>
      </c>
      <c r="T100" s="163">
        <v>45551</v>
      </c>
      <c r="U100" s="145" t="s">
        <v>3930</v>
      </c>
      <c r="V100" s="144">
        <v>640.63109999999995</v>
      </c>
      <c r="W100" s="144">
        <v>640.63109999999995</v>
      </c>
      <c r="X100" s="146">
        <v>4.4547199999999998E-4</v>
      </c>
      <c r="Y100" s="146">
        <v>5.5425135830512477E-3</v>
      </c>
      <c r="Z100" s="147">
        <v>9.2935580381130721E-4</v>
      </c>
      <c r="AA100" s="177"/>
    </row>
    <row r="101" spans="1:27" ht="15" x14ac:dyDescent="0.2">
      <c r="A101" s="142" t="s">
        <v>1205</v>
      </c>
      <c r="B101" s="143" t="s">
        <v>1205</v>
      </c>
      <c r="C101" s="143" t="s">
        <v>3558</v>
      </c>
      <c r="D101" s="145" t="s">
        <v>3930</v>
      </c>
      <c r="E101" s="145" t="s">
        <v>3930</v>
      </c>
      <c r="F101" s="143" t="s">
        <v>3558</v>
      </c>
      <c r="G101" s="143" t="s">
        <v>3559</v>
      </c>
      <c r="H101" s="143" t="s">
        <v>312</v>
      </c>
      <c r="I101" s="143" t="s">
        <v>1004</v>
      </c>
      <c r="J101" s="145" t="s">
        <v>3930</v>
      </c>
      <c r="K101" s="143" t="s">
        <v>204</v>
      </c>
      <c r="L101" s="145" t="s">
        <v>3930</v>
      </c>
      <c r="M101" s="145" t="s">
        <v>3930</v>
      </c>
      <c r="N101" s="143" t="s">
        <v>204</v>
      </c>
      <c r="O101" s="143" t="s">
        <v>339</v>
      </c>
      <c r="P101" s="162">
        <v>44192</v>
      </c>
      <c r="Q101" s="143" t="s">
        <v>1210</v>
      </c>
      <c r="R101" s="143" t="s">
        <v>885</v>
      </c>
      <c r="S101" s="143" t="s">
        <v>889</v>
      </c>
      <c r="T101" s="163">
        <v>45522</v>
      </c>
      <c r="U101" s="145" t="s">
        <v>3930</v>
      </c>
      <c r="V101" s="144">
        <v>323.61670000000004</v>
      </c>
      <c r="W101" s="144">
        <v>323.61670000000004</v>
      </c>
      <c r="X101" s="145" t="s">
        <v>3930</v>
      </c>
      <c r="Y101" s="146">
        <v>2.7998176079620128E-3</v>
      </c>
      <c r="Z101" s="147">
        <v>4.6946691326647642E-4</v>
      </c>
      <c r="AA101" s="177"/>
    </row>
    <row r="102" spans="1:27" ht="15" x14ac:dyDescent="0.2">
      <c r="A102" s="142" t="s">
        <v>1205</v>
      </c>
      <c r="B102" s="143" t="s">
        <v>1205</v>
      </c>
      <c r="C102" s="143" t="s">
        <v>3552</v>
      </c>
      <c r="D102" s="145" t="s">
        <v>3930</v>
      </c>
      <c r="E102" s="145" t="s">
        <v>3930</v>
      </c>
      <c r="F102" s="143" t="s">
        <v>3560</v>
      </c>
      <c r="G102" s="143" t="s">
        <v>3561</v>
      </c>
      <c r="H102" s="143" t="s">
        <v>312</v>
      </c>
      <c r="I102" s="143" t="s">
        <v>1004</v>
      </c>
      <c r="J102" s="145" t="s">
        <v>3930</v>
      </c>
      <c r="K102" s="143" t="s">
        <v>204</v>
      </c>
      <c r="L102" s="145" t="s">
        <v>3930</v>
      </c>
      <c r="M102" s="145" t="s">
        <v>3930</v>
      </c>
      <c r="N102" s="143" t="s">
        <v>204</v>
      </c>
      <c r="O102" s="143" t="s">
        <v>339</v>
      </c>
      <c r="P102" s="162">
        <v>45250</v>
      </c>
      <c r="Q102" s="143" t="s">
        <v>1210</v>
      </c>
      <c r="R102" s="143" t="s">
        <v>885</v>
      </c>
      <c r="S102" s="143" t="s">
        <v>889</v>
      </c>
      <c r="T102" s="163">
        <v>45250</v>
      </c>
      <c r="U102" s="145" t="s">
        <v>3930</v>
      </c>
      <c r="V102" s="144">
        <v>9.8859999999999992</v>
      </c>
      <c r="W102" s="144">
        <v>9.8859999999999992</v>
      </c>
      <c r="X102" s="146">
        <v>6.1401438455709726E-6</v>
      </c>
      <c r="Y102" s="146">
        <v>8.5530179629208402E-5</v>
      </c>
      <c r="Z102" s="147">
        <v>1.4341501856215387E-5</v>
      </c>
      <c r="AA102" s="177"/>
    </row>
    <row r="103" spans="1:27" ht="15" x14ac:dyDescent="0.2">
      <c r="A103" s="142" t="s">
        <v>1205</v>
      </c>
      <c r="B103" s="143" t="s">
        <v>1205</v>
      </c>
      <c r="C103" s="143" t="s">
        <v>3562</v>
      </c>
      <c r="D103" s="145" t="s">
        <v>3930</v>
      </c>
      <c r="E103" s="145" t="s">
        <v>3930</v>
      </c>
      <c r="F103" s="143" t="s">
        <v>3563</v>
      </c>
      <c r="G103" s="143" t="s">
        <v>3564</v>
      </c>
      <c r="H103" s="143" t="s">
        <v>312</v>
      </c>
      <c r="I103" s="143" t="s">
        <v>1004</v>
      </c>
      <c r="J103" s="145" t="s">
        <v>3930</v>
      </c>
      <c r="K103" s="143" t="s">
        <v>204</v>
      </c>
      <c r="L103" s="145" t="s">
        <v>3930</v>
      </c>
      <c r="M103" s="145" t="s">
        <v>3930</v>
      </c>
      <c r="N103" s="143" t="s">
        <v>204</v>
      </c>
      <c r="O103" s="143" t="s">
        <v>339</v>
      </c>
      <c r="P103" s="162">
        <v>42283</v>
      </c>
      <c r="Q103" s="143" t="s">
        <v>1211</v>
      </c>
      <c r="R103" s="143" t="s">
        <v>885</v>
      </c>
      <c r="S103" s="143" t="s">
        <v>889</v>
      </c>
      <c r="T103" s="163">
        <v>45382</v>
      </c>
      <c r="U103" s="143" t="s">
        <v>1212</v>
      </c>
      <c r="V103" s="144">
        <v>0.16204851752021565</v>
      </c>
      <c r="W103" s="144">
        <v>0.60120000000000007</v>
      </c>
      <c r="X103" s="145" t="s">
        <v>3930</v>
      </c>
      <c r="Y103" s="146">
        <v>5.2014862602769821E-6</v>
      </c>
      <c r="Z103" s="147">
        <v>8.7217313444489013E-7</v>
      </c>
      <c r="AA103" s="177"/>
    </row>
    <row r="104" spans="1:27" ht="15" x14ac:dyDescent="0.2">
      <c r="A104" s="142" t="s">
        <v>1205</v>
      </c>
      <c r="B104" s="143" t="s">
        <v>1205</v>
      </c>
      <c r="C104" s="143" t="s">
        <v>3562</v>
      </c>
      <c r="D104" s="145" t="s">
        <v>3930</v>
      </c>
      <c r="E104" s="145" t="s">
        <v>3930</v>
      </c>
      <c r="F104" s="143" t="s">
        <v>3565</v>
      </c>
      <c r="G104" s="143" t="s">
        <v>3566</v>
      </c>
      <c r="H104" s="143" t="s">
        <v>312</v>
      </c>
      <c r="I104" s="143" t="s">
        <v>1004</v>
      </c>
      <c r="J104" s="145" t="s">
        <v>3930</v>
      </c>
      <c r="K104" s="143" t="s">
        <v>204</v>
      </c>
      <c r="L104" s="145" t="s">
        <v>3930</v>
      </c>
      <c r="M104" s="145" t="s">
        <v>3930</v>
      </c>
      <c r="N104" s="143" t="s">
        <v>204</v>
      </c>
      <c r="O104" s="143" t="s">
        <v>339</v>
      </c>
      <c r="P104" s="162">
        <v>42528</v>
      </c>
      <c r="Q104" s="143" t="s">
        <v>1210</v>
      </c>
      <c r="R104" s="143" t="s">
        <v>885</v>
      </c>
      <c r="S104" s="143" t="s">
        <v>889</v>
      </c>
      <c r="T104" s="163">
        <v>45386</v>
      </c>
      <c r="U104" s="145" t="s">
        <v>3930</v>
      </c>
      <c r="V104" s="145" t="s">
        <v>3930</v>
      </c>
      <c r="W104" s="144">
        <v>0</v>
      </c>
      <c r="X104" s="145" t="s">
        <v>3930</v>
      </c>
      <c r="Y104" s="146">
        <v>4.0097281869816083E-11</v>
      </c>
      <c r="Z104" s="147">
        <v>6.7234190885386459E-12</v>
      </c>
      <c r="AA104" s="177"/>
    </row>
    <row r="105" spans="1:27" ht="15" x14ac:dyDescent="0.2">
      <c r="A105" s="142" t="s">
        <v>1205</v>
      </c>
      <c r="B105" s="143" t="s">
        <v>1205</v>
      </c>
      <c r="C105" s="143" t="s">
        <v>3567</v>
      </c>
      <c r="D105" s="145" t="s">
        <v>3930</v>
      </c>
      <c r="E105" s="145" t="s">
        <v>3930</v>
      </c>
      <c r="F105" s="143" t="s">
        <v>3568</v>
      </c>
      <c r="G105" s="143" t="s">
        <v>3569</v>
      </c>
      <c r="H105" s="143" t="s">
        <v>312</v>
      </c>
      <c r="I105" s="143" t="s">
        <v>1004</v>
      </c>
      <c r="J105" s="145" t="s">
        <v>3930</v>
      </c>
      <c r="K105" s="143" t="s">
        <v>205</v>
      </c>
      <c r="L105" s="145" t="s">
        <v>3930</v>
      </c>
      <c r="M105" s="145" t="s">
        <v>3930</v>
      </c>
      <c r="N105" s="143" t="s">
        <v>291</v>
      </c>
      <c r="O105" s="143" t="s">
        <v>339</v>
      </c>
      <c r="P105" s="162">
        <v>44136</v>
      </c>
      <c r="Q105" s="143" t="s">
        <v>1211</v>
      </c>
      <c r="R105" s="143" t="s">
        <v>885</v>
      </c>
      <c r="S105" s="143" t="s">
        <v>889</v>
      </c>
      <c r="T105" s="163">
        <v>45564</v>
      </c>
      <c r="U105" s="143" t="s">
        <v>1212</v>
      </c>
      <c r="V105" s="144">
        <v>691.35679245283029</v>
      </c>
      <c r="W105" s="144">
        <v>2564.9337</v>
      </c>
      <c r="X105" s="146">
        <v>2.7628964000000001E-5</v>
      </c>
      <c r="Y105" s="146">
        <v>2.2190900620297285E-2</v>
      </c>
      <c r="Z105" s="147">
        <v>3.7209186724121248E-3</v>
      </c>
      <c r="AA105" s="177"/>
    </row>
    <row r="106" spans="1:27" ht="15" x14ac:dyDescent="0.2">
      <c r="A106" s="142" t="s">
        <v>1205</v>
      </c>
      <c r="B106" s="143" t="s">
        <v>1205</v>
      </c>
      <c r="C106" s="143" t="s">
        <v>3570</v>
      </c>
      <c r="D106" s="145" t="s">
        <v>3930</v>
      </c>
      <c r="E106" s="145" t="s">
        <v>3930</v>
      </c>
      <c r="F106" s="143" t="s">
        <v>3571</v>
      </c>
      <c r="G106" s="143" t="s">
        <v>3572</v>
      </c>
      <c r="H106" s="143" t="s">
        <v>312</v>
      </c>
      <c r="I106" s="143" t="s">
        <v>1004</v>
      </c>
      <c r="J106" s="145" t="s">
        <v>3930</v>
      </c>
      <c r="K106" s="143" t="s">
        <v>205</v>
      </c>
      <c r="L106" s="145" t="s">
        <v>3930</v>
      </c>
      <c r="M106" s="145" t="s">
        <v>3930</v>
      </c>
      <c r="N106" s="143" t="s">
        <v>224</v>
      </c>
      <c r="O106" s="143" t="s">
        <v>339</v>
      </c>
      <c r="P106" s="162">
        <v>44136</v>
      </c>
      <c r="Q106" s="143" t="s">
        <v>1211</v>
      </c>
      <c r="R106" s="143" t="s">
        <v>885</v>
      </c>
      <c r="S106" s="143" t="s">
        <v>889</v>
      </c>
      <c r="T106" s="163">
        <v>45561</v>
      </c>
      <c r="U106" s="143" t="s">
        <v>1212</v>
      </c>
      <c r="V106" s="144">
        <v>587.51673854447449</v>
      </c>
      <c r="W106" s="144">
        <v>2179.6871000000001</v>
      </c>
      <c r="X106" s="145" t="s">
        <v>3930</v>
      </c>
      <c r="Y106" s="146">
        <v>1.8857883082341768E-2</v>
      </c>
      <c r="Z106" s="147">
        <v>3.1620460333669038E-3</v>
      </c>
      <c r="AA106" s="177"/>
    </row>
    <row r="107" spans="1:27" ht="15" x14ac:dyDescent="0.2">
      <c r="A107" s="142" t="s">
        <v>1205</v>
      </c>
      <c r="B107" s="143" t="s">
        <v>1205</v>
      </c>
      <c r="C107" s="143" t="s">
        <v>3573</v>
      </c>
      <c r="D107" s="145" t="s">
        <v>3930</v>
      </c>
      <c r="E107" s="145" t="s">
        <v>3930</v>
      </c>
      <c r="F107" s="143" t="s">
        <v>3574</v>
      </c>
      <c r="G107" s="143" t="s">
        <v>3575</v>
      </c>
      <c r="H107" s="143" t="s">
        <v>312</v>
      </c>
      <c r="I107" s="143" t="s">
        <v>1004</v>
      </c>
      <c r="J107" s="145" t="s">
        <v>3930</v>
      </c>
      <c r="K107" s="143" t="s">
        <v>205</v>
      </c>
      <c r="L107" s="145" t="s">
        <v>3930</v>
      </c>
      <c r="M107" s="145" t="s">
        <v>3930</v>
      </c>
      <c r="N107" s="143" t="s">
        <v>224</v>
      </c>
      <c r="O107" s="143" t="s">
        <v>339</v>
      </c>
      <c r="P107" s="162">
        <v>44376</v>
      </c>
      <c r="Q107" s="143" t="s">
        <v>1211</v>
      </c>
      <c r="R107" s="143" t="s">
        <v>885</v>
      </c>
      <c r="S107" s="143" t="s">
        <v>889</v>
      </c>
      <c r="T107" s="163">
        <v>45533</v>
      </c>
      <c r="U107" s="143" t="s">
        <v>1212</v>
      </c>
      <c r="V107" s="144">
        <v>496.32460916442051</v>
      </c>
      <c r="W107" s="144">
        <v>1841.3643</v>
      </c>
      <c r="X107" s="146">
        <v>2.5045572142857143E-3</v>
      </c>
      <c r="Y107" s="146">
        <v>1.5930833037670102E-2</v>
      </c>
      <c r="Z107" s="147">
        <v>2.6712450806402888E-3</v>
      </c>
      <c r="AA107" s="177"/>
    </row>
    <row r="108" spans="1:27" ht="15" x14ac:dyDescent="0.2">
      <c r="A108" s="142" t="s">
        <v>1205</v>
      </c>
      <c r="B108" s="143" t="s">
        <v>1205</v>
      </c>
      <c r="C108" s="143" t="s">
        <v>3576</v>
      </c>
      <c r="D108" s="145" t="s">
        <v>3930</v>
      </c>
      <c r="E108" s="145" t="s">
        <v>3930</v>
      </c>
      <c r="F108" s="143" t="s">
        <v>3577</v>
      </c>
      <c r="G108" s="143" t="s">
        <v>3578</v>
      </c>
      <c r="H108" s="143" t="s">
        <v>312</v>
      </c>
      <c r="I108" s="143" t="s">
        <v>1004</v>
      </c>
      <c r="J108" s="145" t="s">
        <v>3930</v>
      </c>
      <c r="K108" s="143" t="s">
        <v>205</v>
      </c>
      <c r="L108" s="145" t="s">
        <v>3930</v>
      </c>
      <c r="M108" s="145" t="s">
        <v>3930</v>
      </c>
      <c r="N108" s="143" t="s">
        <v>291</v>
      </c>
      <c r="O108" s="143" t="s">
        <v>339</v>
      </c>
      <c r="P108" s="162">
        <v>44136</v>
      </c>
      <c r="Q108" s="143" t="s">
        <v>1211</v>
      </c>
      <c r="R108" s="143" t="s">
        <v>885</v>
      </c>
      <c r="S108" s="143" t="s">
        <v>889</v>
      </c>
      <c r="T108" s="163">
        <v>45518</v>
      </c>
      <c r="U108" s="143" t="s">
        <v>1212</v>
      </c>
      <c r="V108" s="144">
        <v>421.55097035040433</v>
      </c>
      <c r="W108" s="144">
        <v>1563.9541000000002</v>
      </c>
      <c r="X108" s="146">
        <v>2.1471297714285715E-4</v>
      </c>
      <c r="Y108" s="146">
        <v>1.3530778697042157E-2</v>
      </c>
      <c r="Z108" s="147">
        <v>2.2688095434959363E-3</v>
      </c>
      <c r="AA108" s="177"/>
    </row>
    <row r="109" spans="1:27" ht="15" x14ac:dyDescent="0.2">
      <c r="A109" s="142" t="s">
        <v>1205</v>
      </c>
      <c r="B109" s="143" t="s">
        <v>1205</v>
      </c>
      <c r="C109" s="143" t="s">
        <v>3579</v>
      </c>
      <c r="D109" s="145" t="s">
        <v>3930</v>
      </c>
      <c r="E109" s="145" t="s">
        <v>3930</v>
      </c>
      <c r="F109" s="143" t="s">
        <v>3580</v>
      </c>
      <c r="G109" s="143" t="s">
        <v>3581</v>
      </c>
      <c r="H109" s="143" t="s">
        <v>312</v>
      </c>
      <c r="I109" s="143" t="s">
        <v>1004</v>
      </c>
      <c r="J109" s="145" t="s">
        <v>3930</v>
      </c>
      <c r="K109" s="143" t="s">
        <v>205</v>
      </c>
      <c r="L109" s="145" t="s">
        <v>3930</v>
      </c>
      <c r="M109" s="145" t="s">
        <v>3930</v>
      </c>
      <c r="N109" s="143" t="s">
        <v>291</v>
      </c>
      <c r="O109" s="143" t="s">
        <v>339</v>
      </c>
      <c r="P109" s="162">
        <v>44136</v>
      </c>
      <c r="Q109" s="143" t="s">
        <v>1211</v>
      </c>
      <c r="R109" s="143" t="s">
        <v>885</v>
      </c>
      <c r="S109" s="143" t="s">
        <v>889</v>
      </c>
      <c r="T109" s="163">
        <v>45525</v>
      </c>
      <c r="U109" s="143" t="s">
        <v>1212</v>
      </c>
      <c r="V109" s="144">
        <v>405.98388140161728</v>
      </c>
      <c r="W109" s="144">
        <v>1506.2002</v>
      </c>
      <c r="X109" s="146">
        <v>2.7468736842105263E-3</v>
      </c>
      <c r="Y109" s="146">
        <v>1.3031112403800064E-2</v>
      </c>
      <c r="Z109" s="147">
        <v>2.1850266600378899E-3</v>
      </c>
      <c r="AA109" s="177"/>
    </row>
    <row r="110" spans="1:27" ht="15" x14ac:dyDescent="0.2">
      <c r="A110" s="142" t="s">
        <v>1205</v>
      </c>
      <c r="B110" s="143" t="s">
        <v>1205</v>
      </c>
      <c r="C110" s="143" t="s">
        <v>3582</v>
      </c>
      <c r="D110" s="145" t="s">
        <v>3930</v>
      </c>
      <c r="E110" s="145" t="s">
        <v>3930</v>
      </c>
      <c r="F110" s="143" t="s">
        <v>3583</v>
      </c>
      <c r="G110" s="143" t="s">
        <v>3584</v>
      </c>
      <c r="H110" s="143" t="s">
        <v>312</v>
      </c>
      <c r="I110" s="143" t="s">
        <v>1004</v>
      </c>
      <c r="J110" s="145" t="s">
        <v>3930</v>
      </c>
      <c r="K110" s="143" t="s">
        <v>205</v>
      </c>
      <c r="L110" s="145" t="s">
        <v>3930</v>
      </c>
      <c r="M110" s="145" t="s">
        <v>3930</v>
      </c>
      <c r="N110" s="143" t="s">
        <v>293</v>
      </c>
      <c r="O110" s="143" t="s">
        <v>339</v>
      </c>
      <c r="P110" s="162">
        <v>44136</v>
      </c>
      <c r="Q110" s="143" t="s">
        <v>1218</v>
      </c>
      <c r="R110" s="143" t="s">
        <v>885</v>
      </c>
      <c r="S110" s="143" t="s">
        <v>889</v>
      </c>
      <c r="T110" s="163">
        <v>45564</v>
      </c>
      <c r="U110" s="143" t="s">
        <v>1219</v>
      </c>
      <c r="V110" s="144">
        <v>337.58871977651472</v>
      </c>
      <c r="W110" s="144">
        <v>1401.8034</v>
      </c>
      <c r="X110" s="146">
        <v>9.0249140877598155E-4</v>
      </c>
      <c r="Y110" s="146">
        <v>1.2127907383690899E-2</v>
      </c>
      <c r="Z110" s="147">
        <v>2.0335793401726207E-3</v>
      </c>
      <c r="AA110" s="177"/>
    </row>
    <row r="111" spans="1:27" ht="15" x14ac:dyDescent="0.2">
      <c r="A111" s="142" t="s">
        <v>1205</v>
      </c>
      <c r="B111" s="143" t="s">
        <v>1205</v>
      </c>
      <c r="C111" s="143" t="s">
        <v>3585</v>
      </c>
      <c r="D111" s="145" t="s">
        <v>3930</v>
      </c>
      <c r="E111" s="145" t="s">
        <v>3930</v>
      </c>
      <c r="F111" s="143" t="s">
        <v>3586</v>
      </c>
      <c r="G111" s="143" t="s">
        <v>3587</v>
      </c>
      <c r="H111" s="143" t="s">
        <v>312</v>
      </c>
      <c r="I111" s="143" t="s">
        <v>1004</v>
      </c>
      <c r="J111" s="145" t="s">
        <v>3930</v>
      </c>
      <c r="K111" s="143" t="s">
        <v>205</v>
      </c>
      <c r="L111" s="145" t="s">
        <v>3930</v>
      </c>
      <c r="M111" s="145" t="s">
        <v>3930</v>
      </c>
      <c r="N111" s="143" t="s">
        <v>224</v>
      </c>
      <c r="O111" s="143" t="s">
        <v>339</v>
      </c>
      <c r="P111" s="162">
        <v>42716</v>
      </c>
      <c r="Q111" s="143" t="s">
        <v>1211</v>
      </c>
      <c r="R111" s="143" t="s">
        <v>885</v>
      </c>
      <c r="S111" s="143" t="s">
        <v>889</v>
      </c>
      <c r="T111" s="163">
        <v>45525</v>
      </c>
      <c r="U111" s="143" t="s">
        <v>1212</v>
      </c>
      <c r="V111" s="144">
        <v>326.0256873315364</v>
      </c>
      <c r="W111" s="144">
        <v>1209.5553</v>
      </c>
      <c r="X111" s="145" t="s">
        <v>3930</v>
      </c>
      <c r="Y111" s="146">
        <v>1.0464645267716777E-2</v>
      </c>
      <c r="Z111" s="147">
        <v>1.7546874118845427E-3</v>
      </c>
      <c r="AA111" s="177"/>
    </row>
    <row r="112" spans="1:27" ht="15" x14ac:dyDescent="0.2">
      <c r="A112" s="142" t="s">
        <v>1205</v>
      </c>
      <c r="B112" s="143" t="s">
        <v>1205</v>
      </c>
      <c r="C112" s="143" t="s">
        <v>3588</v>
      </c>
      <c r="D112" s="145" t="s">
        <v>3930</v>
      </c>
      <c r="E112" s="145" t="s">
        <v>3930</v>
      </c>
      <c r="F112" s="143" t="s">
        <v>3589</v>
      </c>
      <c r="G112" s="143" t="s">
        <v>3590</v>
      </c>
      <c r="H112" s="143" t="s">
        <v>312</v>
      </c>
      <c r="I112" s="143" t="s">
        <v>1004</v>
      </c>
      <c r="J112" s="145" t="s">
        <v>3930</v>
      </c>
      <c r="K112" s="143" t="s">
        <v>205</v>
      </c>
      <c r="L112" s="145" t="s">
        <v>3930</v>
      </c>
      <c r="M112" s="145" t="s">
        <v>3930</v>
      </c>
      <c r="N112" s="143" t="s">
        <v>291</v>
      </c>
      <c r="O112" s="143" t="s">
        <v>339</v>
      </c>
      <c r="P112" s="162">
        <v>44136</v>
      </c>
      <c r="Q112" s="143" t="s">
        <v>1211</v>
      </c>
      <c r="R112" s="143" t="s">
        <v>885</v>
      </c>
      <c r="S112" s="143" t="s">
        <v>889</v>
      </c>
      <c r="T112" s="163">
        <v>45525</v>
      </c>
      <c r="U112" s="143" t="s">
        <v>1212</v>
      </c>
      <c r="V112" s="144">
        <v>297.75557951482477</v>
      </c>
      <c r="W112" s="144">
        <v>1104.6732</v>
      </c>
      <c r="X112" s="145" t="s">
        <v>3930</v>
      </c>
      <c r="Y112" s="146">
        <v>9.5572419405627745E-3</v>
      </c>
      <c r="Z112" s="147">
        <v>1.6025361296455533E-3</v>
      </c>
      <c r="AA112" s="177"/>
    </row>
    <row r="113" spans="1:27" ht="15" x14ac:dyDescent="0.2">
      <c r="A113" s="142" t="s">
        <v>1205</v>
      </c>
      <c r="B113" s="143" t="s">
        <v>1205</v>
      </c>
      <c r="C113" s="143" t="s">
        <v>3591</v>
      </c>
      <c r="D113" s="145" t="s">
        <v>3930</v>
      </c>
      <c r="E113" s="145" t="s">
        <v>3930</v>
      </c>
      <c r="F113" s="143" t="s">
        <v>3592</v>
      </c>
      <c r="G113" s="143" t="s">
        <v>3593</v>
      </c>
      <c r="H113" s="143" t="s">
        <v>312</v>
      </c>
      <c r="I113" s="143" t="s">
        <v>1004</v>
      </c>
      <c r="J113" s="145" t="s">
        <v>3930</v>
      </c>
      <c r="K113" s="143" t="s">
        <v>205</v>
      </c>
      <c r="L113" s="145" t="s">
        <v>3930</v>
      </c>
      <c r="M113" s="145" t="s">
        <v>3930</v>
      </c>
      <c r="N113" s="143" t="s">
        <v>291</v>
      </c>
      <c r="O113" s="143" t="s">
        <v>339</v>
      </c>
      <c r="P113" s="162">
        <v>44136</v>
      </c>
      <c r="Q113" s="143" t="s">
        <v>1211</v>
      </c>
      <c r="R113" s="143" t="s">
        <v>885</v>
      </c>
      <c r="S113" s="143" t="s">
        <v>889</v>
      </c>
      <c r="T113" s="163">
        <v>45539</v>
      </c>
      <c r="U113" s="143" t="s">
        <v>1212</v>
      </c>
      <c r="V113" s="144">
        <v>242.36150943396225</v>
      </c>
      <c r="W113" s="144">
        <v>899.16120000000001</v>
      </c>
      <c r="X113" s="146">
        <v>4.333647190637409E-3</v>
      </c>
      <c r="Y113" s="146">
        <v>7.7792247883798123E-3</v>
      </c>
      <c r="Z113" s="147">
        <v>1.3044023434316081E-3</v>
      </c>
      <c r="AA113" s="177"/>
    </row>
    <row r="114" spans="1:27" ht="15" x14ac:dyDescent="0.2">
      <c r="A114" s="142" t="s">
        <v>1205</v>
      </c>
      <c r="B114" s="143" t="s">
        <v>1205</v>
      </c>
      <c r="C114" s="143" t="s">
        <v>3594</v>
      </c>
      <c r="D114" s="145" t="s">
        <v>3930</v>
      </c>
      <c r="E114" s="145" t="s">
        <v>3930</v>
      </c>
      <c r="F114" s="143" t="s">
        <v>3595</v>
      </c>
      <c r="G114" s="143" t="s">
        <v>3596</v>
      </c>
      <c r="H114" s="143" t="s">
        <v>312</v>
      </c>
      <c r="I114" s="143" t="s">
        <v>1004</v>
      </c>
      <c r="J114" s="145" t="s">
        <v>3930</v>
      </c>
      <c r="K114" s="143" t="s">
        <v>205</v>
      </c>
      <c r="L114" s="145" t="s">
        <v>3930</v>
      </c>
      <c r="M114" s="145" t="s">
        <v>3930</v>
      </c>
      <c r="N114" s="143" t="s">
        <v>293</v>
      </c>
      <c r="O114" s="143" t="s">
        <v>339</v>
      </c>
      <c r="P114" s="162">
        <v>44136</v>
      </c>
      <c r="Q114" s="143" t="s">
        <v>1218</v>
      </c>
      <c r="R114" s="143" t="s">
        <v>885</v>
      </c>
      <c r="S114" s="143" t="s">
        <v>889</v>
      </c>
      <c r="T114" s="163">
        <v>45516</v>
      </c>
      <c r="U114" s="143" t="s">
        <v>1219</v>
      </c>
      <c r="V114" s="144">
        <v>134.29908005009153</v>
      </c>
      <c r="W114" s="144">
        <v>557.6635</v>
      </c>
      <c r="X114" s="145" t="s">
        <v>3930</v>
      </c>
      <c r="Y114" s="146">
        <v>4.8247075663081489E-3</v>
      </c>
      <c r="Z114" s="147">
        <v>8.0899575819755754E-4</v>
      </c>
      <c r="AA114" s="177"/>
    </row>
    <row r="115" spans="1:27" ht="15" x14ac:dyDescent="0.2">
      <c r="A115" s="142" t="s">
        <v>1205</v>
      </c>
      <c r="B115" s="143" t="s">
        <v>1205</v>
      </c>
      <c r="C115" s="143" t="s">
        <v>3597</v>
      </c>
      <c r="D115" s="145" t="s">
        <v>3930</v>
      </c>
      <c r="E115" s="145" t="s">
        <v>3930</v>
      </c>
      <c r="F115" s="143" t="s">
        <v>3598</v>
      </c>
      <c r="G115" s="143" t="s">
        <v>3599</v>
      </c>
      <c r="H115" s="143" t="s">
        <v>312</v>
      </c>
      <c r="I115" s="143" t="s">
        <v>1004</v>
      </c>
      <c r="J115" s="145" t="s">
        <v>3930</v>
      </c>
      <c r="K115" s="143" t="s">
        <v>205</v>
      </c>
      <c r="L115" s="145" t="s">
        <v>3930</v>
      </c>
      <c r="M115" s="145" t="s">
        <v>3930</v>
      </c>
      <c r="N115" s="143" t="s">
        <v>224</v>
      </c>
      <c r="O115" s="143" t="s">
        <v>339</v>
      </c>
      <c r="P115" s="162">
        <v>45218</v>
      </c>
      <c r="Q115" s="143" t="s">
        <v>1211</v>
      </c>
      <c r="R115" s="143" t="s">
        <v>885</v>
      </c>
      <c r="S115" s="143" t="s">
        <v>889</v>
      </c>
      <c r="T115" s="163">
        <v>45533</v>
      </c>
      <c r="U115" s="143" t="s">
        <v>1212</v>
      </c>
      <c r="V115" s="144">
        <v>44.369649595687335</v>
      </c>
      <c r="W115" s="144">
        <v>164.6114</v>
      </c>
      <c r="X115" s="145" t="s">
        <v>3930</v>
      </c>
      <c r="Y115" s="146">
        <v>1.4241594677616225E-3</v>
      </c>
      <c r="Z115" s="147">
        <v>2.3879975160808701E-4</v>
      </c>
      <c r="AA115" s="177"/>
    </row>
    <row r="116" spans="1:27" ht="15" x14ac:dyDescent="0.2">
      <c r="A116" s="142" t="s">
        <v>1205</v>
      </c>
      <c r="B116" s="143" t="s">
        <v>1205</v>
      </c>
      <c r="C116" s="143" t="s">
        <v>3600</v>
      </c>
      <c r="D116" s="145" t="s">
        <v>3930</v>
      </c>
      <c r="E116" s="145" t="s">
        <v>3930</v>
      </c>
      <c r="F116" s="143" t="s">
        <v>3601</v>
      </c>
      <c r="G116" s="143" t="s">
        <v>3602</v>
      </c>
      <c r="H116" s="143" t="s">
        <v>312</v>
      </c>
      <c r="I116" s="143" t="s">
        <v>1004</v>
      </c>
      <c r="J116" s="145" t="s">
        <v>3930</v>
      </c>
      <c r="K116" s="143" t="s">
        <v>205</v>
      </c>
      <c r="L116" s="145" t="s">
        <v>3930</v>
      </c>
      <c r="M116" s="145" t="s">
        <v>3930</v>
      </c>
      <c r="N116" s="143" t="s">
        <v>224</v>
      </c>
      <c r="O116" s="143" t="s">
        <v>339</v>
      </c>
      <c r="P116" s="162">
        <v>45449</v>
      </c>
      <c r="Q116" s="143" t="s">
        <v>1211</v>
      </c>
      <c r="R116" s="143" t="s">
        <v>885</v>
      </c>
      <c r="S116" s="143" t="s">
        <v>889</v>
      </c>
      <c r="T116" s="163">
        <v>45544</v>
      </c>
      <c r="U116" s="143" t="s">
        <v>1212</v>
      </c>
      <c r="V116" s="144">
        <v>42.885067385444742</v>
      </c>
      <c r="W116" s="144">
        <v>159.1036</v>
      </c>
      <c r="X116" s="146">
        <v>4.6915303943115604E-5</v>
      </c>
      <c r="Y116" s="146">
        <v>1.3765077925356973E-3</v>
      </c>
      <c r="Z116" s="147">
        <v>2.3080962938845588E-4</v>
      </c>
      <c r="AA116" s="177"/>
    </row>
    <row r="117" spans="1:27" ht="15" x14ac:dyDescent="0.2">
      <c r="A117" s="142" t="s">
        <v>1205</v>
      </c>
      <c r="B117" s="143" t="s">
        <v>1205</v>
      </c>
      <c r="C117" s="143" t="s">
        <v>3603</v>
      </c>
      <c r="D117" s="145" t="s">
        <v>3930</v>
      </c>
      <c r="E117" s="145" t="s">
        <v>3930</v>
      </c>
      <c r="F117" s="143" t="s">
        <v>3604</v>
      </c>
      <c r="G117" s="143" t="s">
        <v>3605</v>
      </c>
      <c r="H117" s="143" t="s">
        <v>312</v>
      </c>
      <c r="I117" s="143" t="s">
        <v>1004</v>
      </c>
      <c r="J117" s="145" t="s">
        <v>3930</v>
      </c>
      <c r="K117" s="143" t="s">
        <v>205</v>
      </c>
      <c r="L117" s="145" t="s">
        <v>3930</v>
      </c>
      <c r="M117" s="145" t="s">
        <v>3930</v>
      </c>
      <c r="N117" s="143" t="s">
        <v>224</v>
      </c>
      <c r="O117" s="143" t="s">
        <v>339</v>
      </c>
      <c r="P117" s="162">
        <v>45350</v>
      </c>
      <c r="Q117" s="143" t="s">
        <v>1211</v>
      </c>
      <c r="R117" s="143" t="s">
        <v>885</v>
      </c>
      <c r="S117" s="143" t="s">
        <v>889</v>
      </c>
      <c r="T117" s="163">
        <v>45551</v>
      </c>
      <c r="U117" s="143" t="s">
        <v>1212</v>
      </c>
      <c r="V117" s="144">
        <v>8.4242857142857144</v>
      </c>
      <c r="W117" s="144">
        <v>31.254099999999998</v>
      </c>
      <c r="X117" s="146">
        <v>4.3749999999999996E-6</v>
      </c>
      <c r="Y117" s="146">
        <v>2.7039900809550739E-4</v>
      </c>
      <c r="Z117" s="147">
        <v>4.5339877611998062E-5</v>
      </c>
      <c r="AA117" s="177"/>
    </row>
    <row r="118" spans="1:27" ht="15" x14ac:dyDescent="0.2">
      <c r="A118" s="142" t="s">
        <v>1205</v>
      </c>
      <c r="B118" s="143" t="s">
        <v>1205</v>
      </c>
      <c r="C118" s="143" t="s">
        <v>3606</v>
      </c>
      <c r="D118" s="145" t="s">
        <v>3930</v>
      </c>
      <c r="E118" s="145" t="s">
        <v>3930</v>
      </c>
      <c r="F118" s="143" t="s">
        <v>3607</v>
      </c>
      <c r="G118" s="143" t="s">
        <v>3608</v>
      </c>
      <c r="H118" s="143" t="s">
        <v>312</v>
      </c>
      <c r="I118" s="143" t="s">
        <v>1005</v>
      </c>
      <c r="J118" s="145" t="s">
        <v>3930</v>
      </c>
      <c r="K118" s="143" t="s">
        <v>204</v>
      </c>
      <c r="L118" s="145" t="s">
        <v>3930</v>
      </c>
      <c r="M118" s="145" t="s">
        <v>3930</v>
      </c>
      <c r="N118" s="143" t="s">
        <v>204</v>
      </c>
      <c r="O118" s="143" t="s">
        <v>339</v>
      </c>
      <c r="P118" s="162">
        <v>44136</v>
      </c>
      <c r="Q118" s="143" t="s">
        <v>1211</v>
      </c>
      <c r="R118" s="143" t="s">
        <v>885</v>
      </c>
      <c r="S118" s="143" t="s">
        <v>889</v>
      </c>
      <c r="T118" s="163">
        <v>45537</v>
      </c>
      <c r="U118" s="143" t="s">
        <v>1212</v>
      </c>
      <c r="V118" s="144">
        <v>312.68431266846363</v>
      </c>
      <c r="W118" s="144">
        <v>1160.0588</v>
      </c>
      <c r="X118" s="146">
        <v>1.8643736842105262E-3</v>
      </c>
      <c r="Y118" s="146">
        <v>1.0036418802967333E-2</v>
      </c>
      <c r="Z118" s="147">
        <v>1.6828833929322965E-3</v>
      </c>
      <c r="AA118" s="177"/>
    </row>
    <row r="119" spans="1:27" ht="15" x14ac:dyDescent="0.2">
      <c r="A119" s="142" t="s">
        <v>1205</v>
      </c>
      <c r="B119" s="143" t="s">
        <v>1205</v>
      </c>
      <c r="C119" s="143" t="s">
        <v>314</v>
      </c>
      <c r="D119" s="145" t="s">
        <v>3930</v>
      </c>
      <c r="E119" s="145" t="s">
        <v>3930</v>
      </c>
      <c r="F119" s="143" t="s">
        <v>3609</v>
      </c>
      <c r="G119" s="143" t="s">
        <v>3610</v>
      </c>
      <c r="H119" s="143" t="s">
        <v>312</v>
      </c>
      <c r="I119" s="143" t="s">
        <v>1005</v>
      </c>
      <c r="J119" s="145" t="s">
        <v>3930</v>
      </c>
      <c r="K119" s="143" t="s">
        <v>204</v>
      </c>
      <c r="L119" s="145" t="s">
        <v>3930</v>
      </c>
      <c r="M119" s="145" t="s">
        <v>3930</v>
      </c>
      <c r="N119" s="143" t="s">
        <v>224</v>
      </c>
      <c r="O119" s="143" t="s">
        <v>339</v>
      </c>
      <c r="P119" s="162">
        <v>44560</v>
      </c>
      <c r="Q119" s="143" t="s">
        <v>1211</v>
      </c>
      <c r="R119" s="143" t="s">
        <v>885</v>
      </c>
      <c r="S119" s="143" t="s">
        <v>889</v>
      </c>
      <c r="T119" s="163">
        <v>45564</v>
      </c>
      <c r="U119" s="143" t="s">
        <v>1212</v>
      </c>
      <c r="V119" s="144">
        <v>232.49876010781671</v>
      </c>
      <c r="W119" s="144">
        <v>862.57040000000006</v>
      </c>
      <c r="X119" s="146">
        <v>5.7660000000000001E-7</v>
      </c>
      <c r="Y119" s="146">
        <v>7.4626542355497967E-3</v>
      </c>
      <c r="Z119" s="147">
        <v>1.2513205284428277E-3</v>
      </c>
      <c r="AA119" s="177"/>
    </row>
    <row r="120" spans="1:27" ht="15" x14ac:dyDescent="0.2">
      <c r="A120" s="142" t="s">
        <v>1205</v>
      </c>
      <c r="B120" s="143" t="s">
        <v>1205</v>
      </c>
      <c r="C120" s="143" t="s">
        <v>314</v>
      </c>
      <c r="D120" s="145" t="s">
        <v>3930</v>
      </c>
      <c r="E120" s="145" t="s">
        <v>3930</v>
      </c>
      <c r="F120" s="143" t="s">
        <v>3611</v>
      </c>
      <c r="G120" s="143" t="s">
        <v>3612</v>
      </c>
      <c r="H120" s="143" t="s">
        <v>312</v>
      </c>
      <c r="I120" s="143" t="s">
        <v>1005</v>
      </c>
      <c r="J120" s="145" t="s">
        <v>3930</v>
      </c>
      <c r="K120" s="143" t="s">
        <v>204</v>
      </c>
      <c r="L120" s="145" t="s">
        <v>3930</v>
      </c>
      <c r="M120" s="145" t="s">
        <v>3930</v>
      </c>
      <c r="N120" s="143" t="s">
        <v>293</v>
      </c>
      <c r="O120" s="143" t="s">
        <v>339</v>
      </c>
      <c r="P120" s="162">
        <v>44136</v>
      </c>
      <c r="Q120" s="143" t="s">
        <v>1218</v>
      </c>
      <c r="R120" s="143" t="s">
        <v>885</v>
      </c>
      <c r="S120" s="143" t="s">
        <v>889</v>
      </c>
      <c r="T120" s="163">
        <v>45533</v>
      </c>
      <c r="U120" s="143" t="s">
        <v>1219</v>
      </c>
      <c r="V120" s="144">
        <v>156.9357720836143</v>
      </c>
      <c r="W120" s="144">
        <v>651.66009999999994</v>
      </c>
      <c r="X120" s="146">
        <v>2.0274597935248263E-3</v>
      </c>
      <c r="Y120" s="146">
        <v>5.6379333085945253E-3</v>
      </c>
      <c r="Z120" s="147">
        <v>9.4535556175559142E-4</v>
      </c>
      <c r="AA120" s="177"/>
    </row>
    <row r="121" spans="1:27" ht="15" x14ac:dyDescent="0.2">
      <c r="A121" s="142" t="s">
        <v>1205</v>
      </c>
      <c r="B121" s="143" t="s">
        <v>1205</v>
      </c>
      <c r="C121" s="143" t="s">
        <v>3613</v>
      </c>
      <c r="D121" s="145" t="s">
        <v>3930</v>
      </c>
      <c r="E121" s="145" t="s">
        <v>3930</v>
      </c>
      <c r="F121" s="143" t="s">
        <v>3614</v>
      </c>
      <c r="G121" s="143" t="s">
        <v>3615</v>
      </c>
      <c r="H121" s="143" t="s">
        <v>312</v>
      </c>
      <c r="I121" s="143" t="s">
        <v>1005</v>
      </c>
      <c r="J121" s="145" t="s">
        <v>3930</v>
      </c>
      <c r="K121" s="143" t="s">
        <v>204</v>
      </c>
      <c r="L121" s="145" t="s">
        <v>3930</v>
      </c>
      <c r="M121" s="145" t="s">
        <v>3930</v>
      </c>
      <c r="N121" s="143" t="s">
        <v>224</v>
      </c>
      <c r="O121" s="143" t="s">
        <v>339</v>
      </c>
      <c r="P121" s="162">
        <v>44524</v>
      </c>
      <c r="Q121" s="143" t="s">
        <v>1211</v>
      </c>
      <c r="R121" s="143" t="s">
        <v>885</v>
      </c>
      <c r="S121" s="143" t="s">
        <v>889</v>
      </c>
      <c r="T121" s="163">
        <v>45539</v>
      </c>
      <c r="U121" s="143" t="s">
        <v>1212</v>
      </c>
      <c r="V121" s="144">
        <v>160.80749326145553</v>
      </c>
      <c r="W121" s="144">
        <v>596.59580000000005</v>
      </c>
      <c r="X121" s="146">
        <v>1.392E-3</v>
      </c>
      <c r="Y121" s="146">
        <v>5.1615361293125611E-3</v>
      </c>
      <c r="Z121" s="147">
        <v>8.6547438927837535E-4</v>
      </c>
      <c r="AA121" s="177"/>
    </row>
    <row r="122" spans="1:27" ht="15" x14ac:dyDescent="0.2">
      <c r="A122" s="142" t="s">
        <v>1205</v>
      </c>
      <c r="B122" s="143" t="s">
        <v>1205</v>
      </c>
      <c r="C122" s="143" t="s">
        <v>3616</v>
      </c>
      <c r="D122" s="145" t="s">
        <v>3930</v>
      </c>
      <c r="E122" s="145" t="s">
        <v>3930</v>
      </c>
      <c r="F122" s="143" t="s">
        <v>3617</v>
      </c>
      <c r="G122" s="143" t="s">
        <v>3618</v>
      </c>
      <c r="H122" s="143" t="s">
        <v>312</v>
      </c>
      <c r="I122" s="143" t="s">
        <v>1005</v>
      </c>
      <c r="J122" s="145" t="s">
        <v>3930</v>
      </c>
      <c r="K122" s="143" t="s">
        <v>204</v>
      </c>
      <c r="L122" s="145" t="s">
        <v>3930</v>
      </c>
      <c r="M122" s="145" t="s">
        <v>3930</v>
      </c>
      <c r="N122" s="143" t="s">
        <v>204</v>
      </c>
      <c r="O122" s="143" t="s">
        <v>339</v>
      </c>
      <c r="P122" s="162">
        <v>44136</v>
      </c>
      <c r="Q122" s="143" t="s">
        <v>1211</v>
      </c>
      <c r="R122" s="143" t="s">
        <v>885</v>
      </c>
      <c r="S122" s="143" t="s">
        <v>889</v>
      </c>
      <c r="T122" s="163">
        <v>45531</v>
      </c>
      <c r="U122" s="143" t="s">
        <v>1212</v>
      </c>
      <c r="V122" s="144">
        <v>156.77725067385444</v>
      </c>
      <c r="W122" s="144">
        <v>581.64359999999999</v>
      </c>
      <c r="X122" s="146">
        <v>9.290298E-4</v>
      </c>
      <c r="Y122" s="146">
        <v>5.0321753364633102E-3</v>
      </c>
      <c r="Z122" s="147">
        <v>8.4378347200435777E-4</v>
      </c>
      <c r="AA122" s="177"/>
    </row>
    <row r="123" spans="1:27" ht="15" x14ac:dyDescent="0.2">
      <c r="A123" s="142" t="s">
        <v>1205</v>
      </c>
      <c r="B123" s="143" t="s">
        <v>1205</v>
      </c>
      <c r="C123" s="143" t="s">
        <v>3619</v>
      </c>
      <c r="D123" s="145" t="s">
        <v>3930</v>
      </c>
      <c r="E123" s="145" t="s">
        <v>3930</v>
      </c>
      <c r="F123" s="143" t="s">
        <v>3620</v>
      </c>
      <c r="G123" s="143" t="s">
        <v>3621</v>
      </c>
      <c r="H123" s="143" t="s">
        <v>312</v>
      </c>
      <c r="I123" s="143" t="s">
        <v>1005</v>
      </c>
      <c r="J123" s="145" t="s">
        <v>3930</v>
      </c>
      <c r="K123" s="143" t="s">
        <v>204</v>
      </c>
      <c r="L123" s="145" t="s">
        <v>3930</v>
      </c>
      <c r="M123" s="145" t="s">
        <v>3930</v>
      </c>
      <c r="N123" s="143" t="s">
        <v>204</v>
      </c>
      <c r="O123" s="143" t="s">
        <v>339</v>
      </c>
      <c r="P123" s="162">
        <v>44136</v>
      </c>
      <c r="Q123" s="143" t="s">
        <v>1211</v>
      </c>
      <c r="R123" s="143" t="s">
        <v>885</v>
      </c>
      <c r="S123" s="143" t="s">
        <v>889</v>
      </c>
      <c r="T123" s="163">
        <v>45518</v>
      </c>
      <c r="U123" s="143" t="s">
        <v>1212</v>
      </c>
      <c r="V123" s="144">
        <v>131.62307277628031</v>
      </c>
      <c r="W123" s="144">
        <v>488.32159999999999</v>
      </c>
      <c r="X123" s="145" t="s">
        <v>3930</v>
      </c>
      <c r="Y123" s="146">
        <v>4.2247859732043192E-3</v>
      </c>
      <c r="Z123" s="147">
        <v>7.0840229892526942E-4</v>
      </c>
      <c r="AA123" s="177"/>
    </row>
    <row r="124" spans="1:27" ht="15" x14ac:dyDescent="0.2">
      <c r="A124" s="142" t="s">
        <v>1205</v>
      </c>
      <c r="B124" s="143" t="s">
        <v>1205</v>
      </c>
      <c r="C124" s="143" t="s">
        <v>3622</v>
      </c>
      <c r="D124" s="145" t="s">
        <v>3930</v>
      </c>
      <c r="E124" s="145" t="s">
        <v>3930</v>
      </c>
      <c r="F124" s="143" t="s">
        <v>3623</v>
      </c>
      <c r="G124" s="143" t="s">
        <v>3624</v>
      </c>
      <c r="H124" s="143" t="s">
        <v>312</v>
      </c>
      <c r="I124" s="143" t="s">
        <v>1005</v>
      </c>
      <c r="J124" s="145" t="s">
        <v>3930</v>
      </c>
      <c r="K124" s="143" t="s">
        <v>204</v>
      </c>
      <c r="L124" s="145" t="s">
        <v>3930</v>
      </c>
      <c r="M124" s="145" t="s">
        <v>3930</v>
      </c>
      <c r="N124" s="143" t="s">
        <v>204</v>
      </c>
      <c r="O124" s="143" t="s">
        <v>339</v>
      </c>
      <c r="P124" s="162">
        <v>44633</v>
      </c>
      <c r="Q124" s="143" t="s">
        <v>1211</v>
      </c>
      <c r="R124" s="143" t="s">
        <v>885</v>
      </c>
      <c r="S124" s="143" t="s">
        <v>889</v>
      </c>
      <c r="T124" s="163">
        <v>45539</v>
      </c>
      <c r="U124" s="143" t="s">
        <v>1212</v>
      </c>
      <c r="V124" s="144">
        <v>107.11458221024259</v>
      </c>
      <c r="W124" s="144">
        <v>397.39509999999996</v>
      </c>
      <c r="X124" s="146">
        <v>1.1576900000000001E-3</v>
      </c>
      <c r="Y124" s="146">
        <v>3.4381217123910196E-3</v>
      </c>
      <c r="Z124" s="147">
        <v>5.7649626288533721E-4</v>
      </c>
      <c r="AA124" s="177"/>
    </row>
    <row r="125" spans="1:27" ht="15" x14ac:dyDescent="0.2">
      <c r="A125" s="142" t="s">
        <v>1205</v>
      </c>
      <c r="B125" s="143" t="s">
        <v>1205</v>
      </c>
      <c r="C125" s="143" t="s">
        <v>3625</v>
      </c>
      <c r="D125" s="145" t="s">
        <v>3930</v>
      </c>
      <c r="E125" s="145" t="s">
        <v>3930</v>
      </c>
      <c r="F125" s="143" t="s">
        <v>3626</v>
      </c>
      <c r="G125" s="143" t="s">
        <v>3627</v>
      </c>
      <c r="H125" s="143" t="s">
        <v>312</v>
      </c>
      <c r="I125" s="143" t="s">
        <v>1005</v>
      </c>
      <c r="J125" s="145" t="s">
        <v>3930</v>
      </c>
      <c r="K125" s="143" t="s">
        <v>204</v>
      </c>
      <c r="L125" s="145" t="s">
        <v>3930</v>
      </c>
      <c r="M125" s="145" t="s">
        <v>3930</v>
      </c>
      <c r="N125" s="143" t="s">
        <v>204</v>
      </c>
      <c r="O125" s="143" t="s">
        <v>339</v>
      </c>
      <c r="P125" s="162">
        <v>44143</v>
      </c>
      <c r="Q125" s="143" t="s">
        <v>1211</v>
      </c>
      <c r="R125" s="143" t="s">
        <v>885</v>
      </c>
      <c r="S125" s="143" t="s">
        <v>889</v>
      </c>
      <c r="T125" s="163">
        <v>45523</v>
      </c>
      <c r="U125" s="143" t="s">
        <v>1212</v>
      </c>
      <c r="V125" s="144">
        <v>95.150134770889494</v>
      </c>
      <c r="W125" s="144">
        <v>353.00700000000001</v>
      </c>
      <c r="X125" s="146">
        <v>3.1209314356435642E-4</v>
      </c>
      <c r="Y125" s="146">
        <v>3.0540921048339774E-3</v>
      </c>
      <c r="Z125" s="147">
        <v>5.1210307028949035E-4</v>
      </c>
      <c r="AA125" s="177"/>
    </row>
    <row r="126" spans="1:27" ht="15" x14ac:dyDescent="0.2">
      <c r="A126" s="142" t="s">
        <v>1205</v>
      </c>
      <c r="B126" s="143" t="s">
        <v>1205</v>
      </c>
      <c r="C126" s="143" t="s">
        <v>314</v>
      </c>
      <c r="D126" s="145" t="s">
        <v>3930</v>
      </c>
      <c r="E126" s="145" t="s">
        <v>3930</v>
      </c>
      <c r="F126" s="143" t="s">
        <v>3628</v>
      </c>
      <c r="G126" s="143" t="s">
        <v>3629</v>
      </c>
      <c r="H126" s="143" t="s">
        <v>312</v>
      </c>
      <c r="I126" s="143" t="s">
        <v>1005</v>
      </c>
      <c r="J126" s="145" t="s">
        <v>3930</v>
      </c>
      <c r="K126" s="143" t="s">
        <v>204</v>
      </c>
      <c r="L126" s="145" t="s">
        <v>3930</v>
      </c>
      <c r="M126" s="145" t="s">
        <v>3930</v>
      </c>
      <c r="N126" s="143" t="s">
        <v>224</v>
      </c>
      <c r="O126" s="143" t="s">
        <v>339</v>
      </c>
      <c r="P126" s="162">
        <v>44136</v>
      </c>
      <c r="Q126" s="143" t="s">
        <v>1211</v>
      </c>
      <c r="R126" s="143" t="s">
        <v>885</v>
      </c>
      <c r="S126" s="143" t="s">
        <v>889</v>
      </c>
      <c r="T126" s="163">
        <v>45131</v>
      </c>
      <c r="U126" s="143" t="s">
        <v>1212</v>
      </c>
      <c r="V126" s="144">
        <v>1.8557142857142859</v>
      </c>
      <c r="W126" s="144">
        <v>6.8846999999999996</v>
      </c>
      <c r="X126" s="145" t="s">
        <v>3930</v>
      </c>
      <c r="Y126" s="146">
        <v>5.9563881430491779E-5</v>
      </c>
      <c r="Z126" s="147">
        <v>9.9875332871050268E-6</v>
      </c>
      <c r="AA126" s="177"/>
    </row>
    <row r="127" spans="1:27" ht="15" x14ac:dyDescent="0.2">
      <c r="A127" s="142" t="s">
        <v>1205</v>
      </c>
      <c r="B127" s="143" t="s">
        <v>1205</v>
      </c>
      <c r="C127" s="143" t="s">
        <v>3606</v>
      </c>
      <c r="D127" s="145" t="s">
        <v>3930</v>
      </c>
      <c r="E127" s="145" t="s">
        <v>3930</v>
      </c>
      <c r="F127" s="143" t="s">
        <v>3630</v>
      </c>
      <c r="G127" s="143" t="s">
        <v>3631</v>
      </c>
      <c r="H127" s="143" t="s">
        <v>312</v>
      </c>
      <c r="I127" s="143" t="s">
        <v>1005</v>
      </c>
      <c r="J127" s="145" t="s">
        <v>3930</v>
      </c>
      <c r="K127" s="143" t="s">
        <v>204</v>
      </c>
      <c r="L127" s="145" t="s">
        <v>3930</v>
      </c>
      <c r="M127" s="145" t="s">
        <v>3930</v>
      </c>
      <c r="N127" s="143" t="s">
        <v>204</v>
      </c>
      <c r="O127" s="143" t="s">
        <v>339</v>
      </c>
      <c r="P127" s="162">
        <v>44136</v>
      </c>
      <c r="Q127" s="143" t="s">
        <v>1211</v>
      </c>
      <c r="R127" s="143" t="s">
        <v>885</v>
      </c>
      <c r="S127" s="143" t="s">
        <v>889</v>
      </c>
      <c r="T127" s="163">
        <v>45379</v>
      </c>
      <c r="U127" s="143" t="s">
        <v>1212</v>
      </c>
      <c r="V127" s="145" t="s">
        <v>3930</v>
      </c>
      <c r="W127" s="144">
        <v>0</v>
      </c>
      <c r="X127" s="145" t="s">
        <v>3930</v>
      </c>
      <c r="Y127" s="146">
        <v>5.5276898010086687E-11</v>
      </c>
      <c r="Z127" s="147">
        <v>9.2687018647013689E-12</v>
      </c>
      <c r="AA127" s="177"/>
    </row>
    <row r="128" spans="1:27" ht="15" x14ac:dyDescent="0.2">
      <c r="A128" s="142" t="s">
        <v>1205</v>
      </c>
      <c r="B128" s="143" t="s">
        <v>1205</v>
      </c>
      <c r="C128" s="143" t="s">
        <v>314</v>
      </c>
      <c r="D128" s="145" t="s">
        <v>3930</v>
      </c>
      <c r="E128" s="145" t="s">
        <v>3930</v>
      </c>
      <c r="F128" s="143" t="s">
        <v>3632</v>
      </c>
      <c r="G128" s="143" t="s">
        <v>3633</v>
      </c>
      <c r="H128" s="143" t="s">
        <v>136</v>
      </c>
      <c r="I128" s="143" t="s">
        <v>1005</v>
      </c>
      <c r="J128" s="145" t="s">
        <v>3930</v>
      </c>
      <c r="K128" s="143" t="s">
        <v>205</v>
      </c>
      <c r="L128" s="145" t="s">
        <v>3930</v>
      </c>
      <c r="M128" s="145" t="s">
        <v>3930</v>
      </c>
      <c r="N128" s="143" t="s">
        <v>224</v>
      </c>
      <c r="O128" s="143" t="s">
        <v>339</v>
      </c>
      <c r="P128" s="162">
        <v>45313</v>
      </c>
      <c r="Q128" s="143" t="s">
        <v>1211</v>
      </c>
      <c r="R128" s="143" t="s">
        <v>885</v>
      </c>
      <c r="S128" s="143" t="s">
        <v>889</v>
      </c>
      <c r="T128" s="163">
        <v>45561</v>
      </c>
      <c r="U128" s="143" t="s">
        <v>1212</v>
      </c>
      <c r="V128" s="144">
        <v>334.01342318059301</v>
      </c>
      <c r="W128" s="144">
        <v>1239.1898000000001</v>
      </c>
      <c r="X128" s="146">
        <v>5.6857895999999999E-5</v>
      </c>
      <c r="Y128" s="146">
        <v>1.072103215083618E-2</v>
      </c>
      <c r="Z128" s="147">
        <v>1.797677768927012E-3</v>
      </c>
      <c r="AA128" s="177"/>
    </row>
    <row r="129" spans="1:27" ht="15" x14ac:dyDescent="0.2">
      <c r="A129" s="142" t="s">
        <v>1205</v>
      </c>
      <c r="B129" s="143" t="s">
        <v>1205</v>
      </c>
      <c r="C129" s="143" t="s">
        <v>314</v>
      </c>
      <c r="D129" s="145" t="s">
        <v>3930</v>
      </c>
      <c r="E129" s="145" t="s">
        <v>3930</v>
      </c>
      <c r="F129" s="143" t="s">
        <v>3634</v>
      </c>
      <c r="G129" s="143" t="s">
        <v>3635</v>
      </c>
      <c r="H129" s="143" t="s">
        <v>312</v>
      </c>
      <c r="I129" s="143" t="s">
        <v>1005</v>
      </c>
      <c r="J129" s="145" t="s">
        <v>3930</v>
      </c>
      <c r="K129" s="143" t="s">
        <v>205</v>
      </c>
      <c r="L129" s="145" t="s">
        <v>3930</v>
      </c>
      <c r="M129" s="145" t="s">
        <v>3930</v>
      </c>
      <c r="N129" s="143" t="s">
        <v>224</v>
      </c>
      <c r="O129" s="143" t="s">
        <v>339</v>
      </c>
      <c r="P129" s="162">
        <v>44136</v>
      </c>
      <c r="Q129" s="143" t="s">
        <v>1211</v>
      </c>
      <c r="R129" s="143" t="s">
        <v>885</v>
      </c>
      <c r="S129" s="143" t="s">
        <v>889</v>
      </c>
      <c r="T129" s="163">
        <v>45530</v>
      </c>
      <c r="U129" s="143" t="s">
        <v>1212</v>
      </c>
      <c r="V129" s="144">
        <v>710.69894878706214</v>
      </c>
      <c r="W129" s="144">
        <v>2636.6931</v>
      </c>
      <c r="X129" s="146">
        <v>2.7298775454545454E-5</v>
      </c>
      <c r="Y129" s="146">
        <v>2.2811736997434013E-2</v>
      </c>
      <c r="Z129" s="147">
        <v>3.8250190740915318E-3</v>
      </c>
      <c r="AA129" s="177"/>
    </row>
    <row r="130" spans="1:27" ht="15" x14ac:dyDescent="0.2">
      <c r="A130" s="142" t="s">
        <v>1205</v>
      </c>
      <c r="B130" s="143" t="s">
        <v>1205</v>
      </c>
      <c r="C130" s="143" t="s">
        <v>3636</v>
      </c>
      <c r="D130" s="145" t="s">
        <v>3930</v>
      </c>
      <c r="E130" s="145" t="s">
        <v>3930</v>
      </c>
      <c r="F130" s="143" t="s">
        <v>3637</v>
      </c>
      <c r="G130" s="143" t="s">
        <v>3638</v>
      </c>
      <c r="H130" s="143" t="s">
        <v>312</v>
      </c>
      <c r="I130" s="143" t="s">
        <v>1005</v>
      </c>
      <c r="J130" s="145" t="s">
        <v>3930</v>
      </c>
      <c r="K130" s="143" t="s">
        <v>205</v>
      </c>
      <c r="L130" s="145" t="s">
        <v>3930</v>
      </c>
      <c r="M130" s="145" t="s">
        <v>3930</v>
      </c>
      <c r="N130" s="143" t="s">
        <v>291</v>
      </c>
      <c r="O130" s="143" t="s">
        <v>339</v>
      </c>
      <c r="P130" s="162">
        <v>44136</v>
      </c>
      <c r="Q130" s="143" t="s">
        <v>1211</v>
      </c>
      <c r="R130" s="143" t="s">
        <v>885</v>
      </c>
      <c r="S130" s="143" t="s">
        <v>889</v>
      </c>
      <c r="T130" s="163">
        <v>45564</v>
      </c>
      <c r="U130" s="143" t="s">
        <v>1212</v>
      </c>
      <c r="V130" s="144">
        <v>557.16951482479783</v>
      </c>
      <c r="W130" s="144">
        <v>2067.0989</v>
      </c>
      <c r="X130" s="145" t="s">
        <v>3930</v>
      </c>
      <c r="Y130" s="146">
        <v>1.7883809488548372E-2</v>
      </c>
      <c r="Z130" s="147">
        <v>2.9987156356752367E-3</v>
      </c>
      <c r="AA130" s="177"/>
    </row>
    <row r="131" spans="1:27" ht="15" x14ac:dyDescent="0.2">
      <c r="A131" s="142" t="s">
        <v>1205</v>
      </c>
      <c r="B131" s="143" t="s">
        <v>1205</v>
      </c>
      <c r="C131" s="143" t="s">
        <v>314</v>
      </c>
      <c r="D131" s="145" t="s">
        <v>3930</v>
      </c>
      <c r="E131" s="145" t="s">
        <v>3930</v>
      </c>
      <c r="F131" s="143" t="s">
        <v>3639</v>
      </c>
      <c r="G131" s="143" t="s">
        <v>3640</v>
      </c>
      <c r="H131" s="143" t="s">
        <v>312</v>
      </c>
      <c r="I131" s="143" t="s">
        <v>1005</v>
      </c>
      <c r="J131" s="145" t="s">
        <v>3930</v>
      </c>
      <c r="K131" s="143" t="s">
        <v>205</v>
      </c>
      <c r="L131" s="145" t="s">
        <v>3930</v>
      </c>
      <c r="M131" s="145" t="s">
        <v>3930</v>
      </c>
      <c r="N131" s="143" t="s">
        <v>291</v>
      </c>
      <c r="O131" s="143" t="s">
        <v>339</v>
      </c>
      <c r="P131" s="162">
        <v>44136</v>
      </c>
      <c r="Q131" s="143" t="s">
        <v>1211</v>
      </c>
      <c r="R131" s="143" t="s">
        <v>885</v>
      </c>
      <c r="S131" s="143" t="s">
        <v>889</v>
      </c>
      <c r="T131" s="163">
        <v>45557</v>
      </c>
      <c r="U131" s="143" t="s">
        <v>1212</v>
      </c>
      <c r="V131" s="144">
        <v>373.0458490566038</v>
      </c>
      <c r="W131" s="144">
        <v>1384.0001000000002</v>
      </c>
      <c r="X131" s="146">
        <v>9.1480250000000002E-5</v>
      </c>
      <c r="Y131" s="146">
        <v>1.1973879906761565E-2</v>
      </c>
      <c r="Z131" s="147">
        <v>2.0077523706062447E-3</v>
      </c>
      <c r="AA131" s="177"/>
    </row>
    <row r="132" spans="1:27" ht="15" x14ac:dyDescent="0.2">
      <c r="A132" s="142" t="s">
        <v>1205</v>
      </c>
      <c r="B132" s="143" t="s">
        <v>1205</v>
      </c>
      <c r="C132" s="143" t="s">
        <v>314</v>
      </c>
      <c r="D132" s="145" t="s">
        <v>3930</v>
      </c>
      <c r="E132" s="145" t="s">
        <v>3930</v>
      </c>
      <c r="F132" s="143" t="s">
        <v>3641</v>
      </c>
      <c r="G132" s="143" t="s">
        <v>3642</v>
      </c>
      <c r="H132" s="143" t="s">
        <v>312</v>
      </c>
      <c r="I132" s="143" t="s">
        <v>1005</v>
      </c>
      <c r="J132" s="145" t="s">
        <v>3930</v>
      </c>
      <c r="K132" s="143" t="s">
        <v>205</v>
      </c>
      <c r="L132" s="145" t="s">
        <v>3930</v>
      </c>
      <c r="M132" s="145" t="s">
        <v>3930</v>
      </c>
      <c r="N132" s="143" t="s">
        <v>224</v>
      </c>
      <c r="O132" s="143" t="s">
        <v>339</v>
      </c>
      <c r="P132" s="162">
        <v>44769</v>
      </c>
      <c r="Q132" s="143" t="s">
        <v>1211</v>
      </c>
      <c r="R132" s="143" t="s">
        <v>885</v>
      </c>
      <c r="S132" s="143" t="s">
        <v>889</v>
      </c>
      <c r="T132" s="163">
        <v>45552</v>
      </c>
      <c r="U132" s="143" t="s">
        <v>1212</v>
      </c>
      <c r="V132" s="144">
        <v>350.70579514824794</v>
      </c>
      <c r="W132" s="144">
        <v>1301.1185</v>
      </c>
      <c r="X132" s="146">
        <v>1.3115571428571429E-3</v>
      </c>
      <c r="Y132" s="146">
        <v>1.1256817443603795E-2</v>
      </c>
      <c r="Z132" s="147">
        <v>1.8875170023306047E-3</v>
      </c>
      <c r="AA132" s="177"/>
    </row>
    <row r="133" spans="1:27" ht="15" x14ac:dyDescent="0.2">
      <c r="A133" s="142" t="s">
        <v>1205</v>
      </c>
      <c r="B133" s="143" t="s">
        <v>1205</v>
      </c>
      <c r="C133" s="143" t="s">
        <v>314</v>
      </c>
      <c r="D133" s="145" t="s">
        <v>3930</v>
      </c>
      <c r="E133" s="145" t="s">
        <v>3930</v>
      </c>
      <c r="F133" s="143" t="s">
        <v>3643</v>
      </c>
      <c r="G133" s="143" t="s">
        <v>3644</v>
      </c>
      <c r="H133" s="143" t="s">
        <v>312</v>
      </c>
      <c r="I133" s="143" t="s">
        <v>1005</v>
      </c>
      <c r="J133" s="145" t="s">
        <v>3930</v>
      </c>
      <c r="K133" s="143" t="s">
        <v>205</v>
      </c>
      <c r="L133" s="145" t="s">
        <v>3930</v>
      </c>
      <c r="M133" s="145" t="s">
        <v>3930</v>
      </c>
      <c r="N133" s="143" t="s">
        <v>220</v>
      </c>
      <c r="O133" s="143" t="s">
        <v>339</v>
      </c>
      <c r="P133" s="162">
        <v>44136</v>
      </c>
      <c r="Q133" s="143" t="s">
        <v>1218</v>
      </c>
      <c r="R133" s="143" t="s">
        <v>885</v>
      </c>
      <c r="S133" s="143" t="s">
        <v>889</v>
      </c>
      <c r="T133" s="163">
        <v>45533</v>
      </c>
      <c r="U133" s="143" t="s">
        <v>1219</v>
      </c>
      <c r="V133" s="144">
        <v>220.0965224930161</v>
      </c>
      <c r="W133" s="144">
        <v>913.92880000000002</v>
      </c>
      <c r="X133" s="145" t="s">
        <v>3930</v>
      </c>
      <c r="Y133" s="146">
        <v>7.9069893706720969E-3</v>
      </c>
      <c r="Z133" s="147">
        <v>1.3258256118270091E-3</v>
      </c>
      <c r="AA133" s="177"/>
    </row>
    <row r="134" spans="1:27" ht="15" x14ac:dyDescent="0.2">
      <c r="A134" s="142" t="s">
        <v>1205</v>
      </c>
      <c r="B134" s="143" t="s">
        <v>1205</v>
      </c>
      <c r="C134" s="143" t="s">
        <v>3645</v>
      </c>
      <c r="D134" s="145" t="s">
        <v>3930</v>
      </c>
      <c r="E134" s="145" t="s">
        <v>3930</v>
      </c>
      <c r="F134" s="143" t="s">
        <v>3646</v>
      </c>
      <c r="G134" s="143" t="s">
        <v>3647</v>
      </c>
      <c r="H134" s="143" t="s">
        <v>312</v>
      </c>
      <c r="I134" s="143" t="s">
        <v>1005</v>
      </c>
      <c r="J134" s="145" t="s">
        <v>3930</v>
      </c>
      <c r="K134" s="143" t="s">
        <v>205</v>
      </c>
      <c r="L134" s="145" t="s">
        <v>3930</v>
      </c>
      <c r="M134" s="145" t="s">
        <v>3930</v>
      </c>
      <c r="N134" s="143" t="s">
        <v>224</v>
      </c>
      <c r="O134" s="143" t="s">
        <v>339</v>
      </c>
      <c r="P134" s="162">
        <v>44139</v>
      </c>
      <c r="Q134" s="143" t="s">
        <v>1211</v>
      </c>
      <c r="R134" s="143" t="s">
        <v>885</v>
      </c>
      <c r="S134" s="143" t="s">
        <v>889</v>
      </c>
      <c r="T134" s="163">
        <v>45564</v>
      </c>
      <c r="U134" s="143" t="s">
        <v>1212</v>
      </c>
      <c r="V134" s="144">
        <v>125.82277628032345</v>
      </c>
      <c r="W134" s="144">
        <v>466.80250000000001</v>
      </c>
      <c r="X134" s="146">
        <v>1.2358529411764705E-3</v>
      </c>
      <c r="Y134" s="146">
        <v>4.0386106403408478E-3</v>
      </c>
      <c r="Z134" s="147">
        <v>6.7718485154683343E-4</v>
      </c>
      <c r="AA134" s="177"/>
    </row>
    <row r="135" spans="1:27" ht="15" x14ac:dyDescent="0.2">
      <c r="A135" s="142" t="s">
        <v>1205</v>
      </c>
      <c r="B135" s="143" t="s">
        <v>1205</v>
      </c>
      <c r="C135" s="143" t="s">
        <v>314</v>
      </c>
      <c r="D135" s="145" t="s">
        <v>3930</v>
      </c>
      <c r="E135" s="145" t="s">
        <v>3930</v>
      </c>
      <c r="F135" s="143" t="s">
        <v>3648</v>
      </c>
      <c r="G135" s="143" t="s">
        <v>3649</v>
      </c>
      <c r="H135" s="143" t="s">
        <v>312</v>
      </c>
      <c r="I135" s="143" t="s">
        <v>1005</v>
      </c>
      <c r="J135" s="145" t="s">
        <v>3930</v>
      </c>
      <c r="K135" s="143" t="s">
        <v>205</v>
      </c>
      <c r="L135" s="145" t="s">
        <v>3930</v>
      </c>
      <c r="M135" s="145" t="s">
        <v>3930</v>
      </c>
      <c r="N135" s="143" t="s">
        <v>224</v>
      </c>
      <c r="O135" s="143" t="s">
        <v>339</v>
      </c>
      <c r="P135" s="162">
        <v>44136</v>
      </c>
      <c r="Q135" s="143" t="s">
        <v>1211</v>
      </c>
      <c r="R135" s="143" t="s">
        <v>885</v>
      </c>
      <c r="S135" s="143" t="s">
        <v>889</v>
      </c>
      <c r="T135" s="163">
        <v>45553</v>
      </c>
      <c r="U135" s="143" t="s">
        <v>1212</v>
      </c>
      <c r="V135" s="144">
        <v>112.85078167115904</v>
      </c>
      <c r="W135" s="144">
        <v>418.6764</v>
      </c>
      <c r="X135" s="145" t="s">
        <v>3930</v>
      </c>
      <c r="Y135" s="146">
        <v>3.6222407019464962E-3</v>
      </c>
      <c r="Z135" s="147">
        <v>6.0736890739423088E-4</v>
      </c>
      <c r="AA135" s="177"/>
    </row>
    <row r="136" spans="1:27" ht="15" x14ac:dyDescent="0.2">
      <c r="A136" s="142" t="s">
        <v>1205</v>
      </c>
      <c r="B136" s="143" t="s">
        <v>1205</v>
      </c>
      <c r="C136" s="143" t="s">
        <v>3650</v>
      </c>
      <c r="D136" s="145" t="s">
        <v>3930</v>
      </c>
      <c r="E136" s="145" t="s">
        <v>3930</v>
      </c>
      <c r="F136" s="143" t="s">
        <v>3651</v>
      </c>
      <c r="G136" s="143" t="s">
        <v>3652</v>
      </c>
      <c r="H136" s="143" t="s">
        <v>312</v>
      </c>
      <c r="I136" s="143" t="s">
        <v>1005</v>
      </c>
      <c r="J136" s="145" t="s">
        <v>3930</v>
      </c>
      <c r="K136" s="143" t="s">
        <v>205</v>
      </c>
      <c r="L136" s="145" t="s">
        <v>3930</v>
      </c>
      <c r="M136" s="145" t="s">
        <v>3930</v>
      </c>
      <c r="N136" s="143" t="s">
        <v>291</v>
      </c>
      <c r="O136" s="143" t="s">
        <v>339</v>
      </c>
      <c r="P136" s="162">
        <v>44742</v>
      </c>
      <c r="Q136" s="143" t="s">
        <v>1211</v>
      </c>
      <c r="R136" s="143" t="s">
        <v>885</v>
      </c>
      <c r="S136" s="143" t="s">
        <v>889</v>
      </c>
      <c r="T136" s="163">
        <v>45564</v>
      </c>
      <c r="U136" s="143" t="s">
        <v>1212</v>
      </c>
      <c r="V136" s="144">
        <v>81.832318059299197</v>
      </c>
      <c r="W136" s="144">
        <v>303.59790000000004</v>
      </c>
      <c r="X136" s="146">
        <v>2.2800002499999999E-4</v>
      </c>
      <c r="Y136" s="146">
        <v>2.6266215145272429E-3</v>
      </c>
      <c r="Z136" s="147">
        <v>4.4042579460810098E-4</v>
      </c>
      <c r="AA136" s="177"/>
    </row>
    <row r="137" spans="1:27" ht="15" x14ac:dyDescent="0.2">
      <c r="A137" s="142" t="s">
        <v>1205</v>
      </c>
      <c r="B137" s="143" t="s">
        <v>1205</v>
      </c>
      <c r="C137" s="143" t="s">
        <v>3653</v>
      </c>
      <c r="D137" s="145" t="s">
        <v>3930</v>
      </c>
      <c r="E137" s="145" t="s">
        <v>3930</v>
      </c>
      <c r="F137" s="143" t="s">
        <v>3646</v>
      </c>
      <c r="G137" s="143" t="s">
        <v>3654</v>
      </c>
      <c r="H137" s="143" t="s">
        <v>312</v>
      </c>
      <c r="I137" s="143" t="s">
        <v>1005</v>
      </c>
      <c r="J137" s="145" t="s">
        <v>3930</v>
      </c>
      <c r="K137" s="143" t="s">
        <v>205</v>
      </c>
      <c r="L137" s="145" t="s">
        <v>3930</v>
      </c>
      <c r="M137" s="145" t="s">
        <v>3930</v>
      </c>
      <c r="N137" s="143" t="s">
        <v>224</v>
      </c>
      <c r="O137" s="143" t="s">
        <v>339</v>
      </c>
      <c r="P137" s="162">
        <v>44136</v>
      </c>
      <c r="Q137" s="143" t="s">
        <v>1211</v>
      </c>
      <c r="R137" s="143" t="s">
        <v>885</v>
      </c>
      <c r="S137" s="143" t="s">
        <v>889</v>
      </c>
      <c r="T137" s="163">
        <v>45564</v>
      </c>
      <c r="U137" s="143" t="s">
        <v>1212</v>
      </c>
      <c r="V137" s="144">
        <v>76.606361185983829</v>
      </c>
      <c r="W137" s="144">
        <v>284.20959999999997</v>
      </c>
      <c r="X137" s="145" t="s">
        <v>3930</v>
      </c>
      <c r="Y137" s="146">
        <v>2.458881435501061E-3</v>
      </c>
      <c r="Z137" s="147">
        <v>4.1229952777287768E-4</v>
      </c>
      <c r="AA137" s="177"/>
    </row>
    <row r="138" spans="1:27" ht="15" x14ac:dyDescent="0.2">
      <c r="A138" s="142" t="s">
        <v>1205</v>
      </c>
      <c r="B138" s="143" t="s">
        <v>1205</v>
      </c>
      <c r="C138" s="143" t="s">
        <v>3655</v>
      </c>
      <c r="D138" s="145" t="s">
        <v>3930</v>
      </c>
      <c r="E138" s="145" t="s">
        <v>3930</v>
      </c>
      <c r="F138" s="143" t="s">
        <v>3656</v>
      </c>
      <c r="G138" s="143" t="s">
        <v>3657</v>
      </c>
      <c r="H138" s="143" t="s">
        <v>312</v>
      </c>
      <c r="I138" s="143" t="s">
        <v>1005</v>
      </c>
      <c r="J138" s="145" t="s">
        <v>3930</v>
      </c>
      <c r="K138" s="143" t="s">
        <v>205</v>
      </c>
      <c r="L138" s="145" t="s">
        <v>3930</v>
      </c>
      <c r="M138" s="145" t="s">
        <v>3930</v>
      </c>
      <c r="N138" s="143" t="s">
        <v>224</v>
      </c>
      <c r="O138" s="143" t="s">
        <v>339</v>
      </c>
      <c r="P138" s="162">
        <v>45252</v>
      </c>
      <c r="Q138" s="143" t="s">
        <v>1211</v>
      </c>
      <c r="R138" s="143" t="s">
        <v>885</v>
      </c>
      <c r="S138" s="143" t="s">
        <v>889</v>
      </c>
      <c r="T138" s="163">
        <v>45558</v>
      </c>
      <c r="U138" s="143" t="s">
        <v>1212</v>
      </c>
      <c r="V138" s="144">
        <v>59.576145552560654</v>
      </c>
      <c r="W138" s="144">
        <v>221.0275</v>
      </c>
      <c r="X138" s="146">
        <v>1.4607069821793748E-4</v>
      </c>
      <c r="Y138" s="146">
        <v>1.9122519916288511E-3</v>
      </c>
      <c r="Z138" s="147">
        <v>3.2064197230016457E-4</v>
      </c>
      <c r="AA138" s="177"/>
    </row>
    <row r="139" spans="1:27" ht="15" x14ac:dyDescent="0.2">
      <c r="A139" s="142" t="s">
        <v>1205</v>
      </c>
      <c r="B139" s="143" t="s">
        <v>1205</v>
      </c>
      <c r="C139" s="143" t="s">
        <v>314</v>
      </c>
      <c r="D139" s="145" t="s">
        <v>3930</v>
      </c>
      <c r="E139" s="145" t="s">
        <v>3930</v>
      </c>
      <c r="F139" s="143" t="s">
        <v>3658</v>
      </c>
      <c r="G139" s="143" t="s">
        <v>3659</v>
      </c>
      <c r="H139" s="143" t="s">
        <v>312</v>
      </c>
      <c r="I139" s="143" t="s">
        <v>1005</v>
      </c>
      <c r="J139" s="145" t="s">
        <v>3930</v>
      </c>
      <c r="K139" s="143" t="s">
        <v>205</v>
      </c>
      <c r="L139" s="145" t="s">
        <v>3930</v>
      </c>
      <c r="M139" s="145" t="s">
        <v>3930</v>
      </c>
      <c r="N139" s="143" t="s">
        <v>244</v>
      </c>
      <c r="O139" s="143" t="s">
        <v>339</v>
      </c>
      <c r="P139" s="162">
        <v>45055</v>
      </c>
      <c r="Q139" s="143" t="s">
        <v>1211</v>
      </c>
      <c r="R139" s="143" t="s">
        <v>885</v>
      </c>
      <c r="S139" s="143" t="s">
        <v>889</v>
      </c>
      <c r="T139" s="163">
        <v>45516</v>
      </c>
      <c r="U139" s="143" t="s">
        <v>1212</v>
      </c>
      <c r="V139" s="144">
        <v>58.036522911051215</v>
      </c>
      <c r="W139" s="144">
        <v>215.31549999999999</v>
      </c>
      <c r="X139" s="146">
        <v>3.2930500000000001E-3</v>
      </c>
      <c r="Y139" s="146">
        <v>1.8628334086007098E-3</v>
      </c>
      <c r="Z139" s="147">
        <v>3.1235557908431788E-4</v>
      </c>
      <c r="AA139" s="177"/>
    </row>
    <row r="140" spans="1:27" ht="15" x14ac:dyDescent="0.2">
      <c r="A140" s="142" t="s">
        <v>1205</v>
      </c>
      <c r="B140" s="143" t="s">
        <v>1205</v>
      </c>
      <c r="C140" s="143" t="s">
        <v>3660</v>
      </c>
      <c r="D140" s="145" t="s">
        <v>3930</v>
      </c>
      <c r="E140" s="145" t="s">
        <v>3930</v>
      </c>
      <c r="F140" s="143" t="s">
        <v>3661</v>
      </c>
      <c r="G140" s="143" t="s">
        <v>3662</v>
      </c>
      <c r="H140" s="143" t="s">
        <v>312</v>
      </c>
      <c r="I140" s="143" t="s">
        <v>1005</v>
      </c>
      <c r="J140" s="145" t="s">
        <v>3930</v>
      </c>
      <c r="K140" s="143" t="s">
        <v>205</v>
      </c>
      <c r="L140" s="145" t="s">
        <v>3930</v>
      </c>
      <c r="M140" s="145" t="s">
        <v>3930</v>
      </c>
      <c r="N140" s="143" t="s">
        <v>204</v>
      </c>
      <c r="O140" s="143" t="s">
        <v>339</v>
      </c>
      <c r="P140" s="162">
        <v>45503</v>
      </c>
      <c r="Q140" s="143" t="s">
        <v>1211</v>
      </c>
      <c r="R140" s="143" t="s">
        <v>885</v>
      </c>
      <c r="S140" s="143" t="s">
        <v>889</v>
      </c>
      <c r="T140" s="163">
        <v>45504</v>
      </c>
      <c r="U140" s="143" t="s">
        <v>1212</v>
      </c>
      <c r="V140" s="145" t="s">
        <v>3930</v>
      </c>
      <c r="W140" s="144">
        <v>0</v>
      </c>
      <c r="X140" s="145" t="s">
        <v>3930</v>
      </c>
      <c r="Y140" s="146">
        <v>3.1776633295581584E-10</v>
      </c>
      <c r="Z140" s="147">
        <v>5.3282320622793341E-11</v>
      </c>
      <c r="AA140" s="177"/>
    </row>
    <row r="141" spans="1:27" ht="15" x14ac:dyDescent="0.2">
      <c r="A141" s="142" t="s">
        <v>1205</v>
      </c>
      <c r="B141" s="143" t="s">
        <v>1205</v>
      </c>
      <c r="C141" s="143" t="s">
        <v>314</v>
      </c>
      <c r="D141" s="145" t="s">
        <v>3930</v>
      </c>
      <c r="E141" s="145" t="s">
        <v>3930</v>
      </c>
      <c r="F141" s="143" t="s">
        <v>3663</v>
      </c>
      <c r="G141" s="143" t="s">
        <v>3664</v>
      </c>
      <c r="H141" s="143" t="s">
        <v>312</v>
      </c>
      <c r="I141" s="143" t="s">
        <v>1005</v>
      </c>
      <c r="J141" s="145" t="s">
        <v>3930</v>
      </c>
      <c r="K141" s="143" t="s">
        <v>205</v>
      </c>
      <c r="L141" s="145" t="s">
        <v>3930</v>
      </c>
      <c r="M141" s="145" t="s">
        <v>3930</v>
      </c>
      <c r="N141" s="143" t="s">
        <v>224</v>
      </c>
      <c r="O141" s="143" t="s">
        <v>339</v>
      </c>
      <c r="P141" s="162">
        <v>39136</v>
      </c>
      <c r="Q141" s="143" t="s">
        <v>1211</v>
      </c>
      <c r="R141" s="143" t="s">
        <v>885</v>
      </c>
      <c r="S141" s="143" t="s">
        <v>889</v>
      </c>
      <c r="T141" s="163">
        <v>44136</v>
      </c>
      <c r="U141" s="143" t="s">
        <v>1212</v>
      </c>
      <c r="V141" s="145" t="s">
        <v>3930</v>
      </c>
      <c r="W141" s="144">
        <v>0</v>
      </c>
      <c r="X141" s="145" t="s">
        <v>3930</v>
      </c>
      <c r="Y141" s="146">
        <v>9.6292828168429042E-12</v>
      </c>
      <c r="Z141" s="147">
        <v>1.614615776448283E-12</v>
      </c>
      <c r="AA141" s="177"/>
    </row>
    <row r="142" spans="1:27" ht="15" x14ac:dyDescent="0.2">
      <c r="A142" s="142" t="s">
        <v>1220</v>
      </c>
      <c r="B142" s="143" t="s">
        <v>1220</v>
      </c>
      <c r="C142" s="143" t="s">
        <v>3282</v>
      </c>
      <c r="D142" s="145" t="s">
        <v>3930</v>
      </c>
      <c r="E142" s="145" t="s">
        <v>3930</v>
      </c>
      <c r="F142" s="143" t="s">
        <v>3283</v>
      </c>
      <c r="G142" s="143" t="s">
        <v>3284</v>
      </c>
      <c r="H142" s="143" t="s">
        <v>312</v>
      </c>
      <c r="I142" s="143" t="s">
        <v>1000</v>
      </c>
      <c r="J142" s="145" t="s">
        <v>3930</v>
      </c>
      <c r="K142" s="143" t="s">
        <v>204</v>
      </c>
      <c r="L142" s="145" t="s">
        <v>3930</v>
      </c>
      <c r="M142" s="145" t="s">
        <v>3930</v>
      </c>
      <c r="N142" s="143" t="s">
        <v>204</v>
      </c>
      <c r="O142" s="143" t="s">
        <v>339</v>
      </c>
      <c r="P142" s="162">
        <v>44136</v>
      </c>
      <c r="Q142" s="143" t="s">
        <v>1211</v>
      </c>
      <c r="R142" s="143" t="s">
        <v>885</v>
      </c>
      <c r="S142" s="143" t="s">
        <v>889</v>
      </c>
      <c r="T142" s="163">
        <v>45558</v>
      </c>
      <c r="U142" s="143" t="s">
        <v>1212</v>
      </c>
      <c r="V142" s="144">
        <v>4287.226469002695</v>
      </c>
      <c r="W142" s="144">
        <v>15905.610199999999</v>
      </c>
      <c r="X142" s="145" t="s">
        <v>3930</v>
      </c>
      <c r="Y142" s="146">
        <v>1.3642841495826858E-2</v>
      </c>
      <c r="Z142" s="147">
        <v>2.0302306976313867E-3</v>
      </c>
      <c r="AA142" s="177"/>
    </row>
    <row r="143" spans="1:27" ht="15" x14ac:dyDescent="0.2">
      <c r="A143" s="142" t="s">
        <v>1220</v>
      </c>
      <c r="B143" s="143" t="s">
        <v>1220</v>
      </c>
      <c r="C143" s="143" t="s">
        <v>3288</v>
      </c>
      <c r="D143" s="145" t="s">
        <v>3930</v>
      </c>
      <c r="E143" s="145" t="s">
        <v>3930</v>
      </c>
      <c r="F143" s="143" t="s">
        <v>3289</v>
      </c>
      <c r="G143" s="143" t="s">
        <v>3290</v>
      </c>
      <c r="H143" s="143" t="s">
        <v>312</v>
      </c>
      <c r="I143" s="143" t="s">
        <v>1000</v>
      </c>
      <c r="J143" s="145" t="s">
        <v>3930</v>
      </c>
      <c r="K143" s="143" t="s">
        <v>204</v>
      </c>
      <c r="L143" s="145" t="s">
        <v>3930</v>
      </c>
      <c r="M143" s="145" t="s">
        <v>3930</v>
      </c>
      <c r="N143" s="143" t="s">
        <v>204</v>
      </c>
      <c r="O143" s="143" t="s">
        <v>339</v>
      </c>
      <c r="P143" s="162">
        <v>44136</v>
      </c>
      <c r="Q143" s="143" t="s">
        <v>1211</v>
      </c>
      <c r="R143" s="143" t="s">
        <v>885</v>
      </c>
      <c r="S143" s="143" t="s">
        <v>889</v>
      </c>
      <c r="T143" s="163">
        <v>45550</v>
      </c>
      <c r="U143" s="143" t="s">
        <v>1212</v>
      </c>
      <c r="V143" s="144">
        <v>3214.2933962264151</v>
      </c>
      <c r="W143" s="144">
        <v>11925.0285</v>
      </c>
      <c r="X143" s="145" t="s">
        <v>3930</v>
      </c>
      <c r="Y143" s="146">
        <v>1.0228546533426437E-2</v>
      </c>
      <c r="Z143" s="147">
        <v>1.5221395902507231E-3</v>
      </c>
      <c r="AA143" s="177"/>
    </row>
    <row r="144" spans="1:27" ht="15" x14ac:dyDescent="0.2">
      <c r="A144" s="142" t="s">
        <v>1220</v>
      </c>
      <c r="B144" s="143" t="s">
        <v>1220</v>
      </c>
      <c r="C144" s="143" t="s">
        <v>3285</v>
      </c>
      <c r="D144" s="145" t="s">
        <v>3930</v>
      </c>
      <c r="E144" s="145" t="s">
        <v>3930</v>
      </c>
      <c r="F144" s="143" t="s">
        <v>3286</v>
      </c>
      <c r="G144" s="143" t="s">
        <v>3287</v>
      </c>
      <c r="H144" s="143" t="s">
        <v>312</v>
      </c>
      <c r="I144" s="143" t="s">
        <v>1000</v>
      </c>
      <c r="J144" s="145" t="s">
        <v>3930</v>
      </c>
      <c r="K144" s="143" t="s">
        <v>204</v>
      </c>
      <c r="L144" s="145" t="s">
        <v>3930</v>
      </c>
      <c r="M144" s="145" t="s">
        <v>3930</v>
      </c>
      <c r="N144" s="143" t="s">
        <v>204</v>
      </c>
      <c r="O144" s="143" t="s">
        <v>339</v>
      </c>
      <c r="P144" s="162">
        <v>44136</v>
      </c>
      <c r="Q144" s="143" t="s">
        <v>1211</v>
      </c>
      <c r="R144" s="143" t="s">
        <v>885</v>
      </c>
      <c r="S144" s="143" t="s">
        <v>889</v>
      </c>
      <c r="T144" s="163">
        <v>45531</v>
      </c>
      <c r="U144" s="143" t="s">
        <v>1212</v>
      </c>
      <c r="V144" s="144">
        <v>3176.8266037735848</v>
      </c>
      <c r="W144" s="144">
        <v>11786.026699999999</v>
      </c>
      <c r="X144" s="145" t="s">
        <v>3930</v>
      </c>
      <c r="Y144" s="146">
        <v>1.0109319432101667E-2</v>
      </c>
      <c r="Z144" s="147">
        <v>1.5043970605018292E-3</v>
      </c>
      <c r="AA144" s="177"/>
    </row>
    <row r="145" spans="1:27" ht="15" x14ac:dyDescent="0.2">
      <c r="A145" s="142" t="s">
        <v>1220</v>
      </c>
      <c r="B145" s="143" t="s">
        <v>1220</v>
      </c>
      <c r="C145" s="143" t="s">
        <v>3291</v>
      </c>
      <c r="D145" s="145" t="s">
        <v>3930</v>
      </c>
      <c r="E145" s="145" t="s">
        <v>3930</v>
      </c>
      <c r="F145" s="143" t="s">
        <v>3292</v>
      </c>
      <c r="G145" s="143" t="s">
        <v>3293</v>
      </c>
      <c r="H145" s="143" t="s">
        <v>312</v>
      </c>
      <c r="I145" s="143" t="s">
        <v>1000</v>
      </c>
      <c r="J145" s="145" t="s">
        <v>3930</v>
      </c>
      <c r="K145" s="143" t="s">
        <v>204</v>
      </c>
      <c r="L145" s="145" t="s">
        <v>3930</v>
      </c>
      <c r="M145" s="145" t="s">
        <v>3930</v>
      </c>
      <c r="N145" s="143" t="s">
        <v>204</v>
      </c>
      <c r="O145" s="143" t="s">
        <v>339</v>
      </c>
      <c r="P145" s="162">
        <v>44136</v>
      </c>
      <c r="Q145" s="143" t="s">
        <v>1211</v>
      </c>
      <c r="R145" s="143" t="s">
        <v>885</v>
      </c>
      <c r="S145" s="143" t="s">
        <v>889</v>
      </c>
      <c r="T145" s="163">
        <v>45558</v>
      </c>
      <c r="U145" s="143" t="s">
        <v>1212</v>
      </c>
      <c r="V145" s="144">
        <v>2334.00525606469</v>
      </c>
      <c r="W145" s="144">
        <v>8659.1594999999998</v>
      </c>
      <c r="X145" s="145" t="s">
        <v>3930</v>
      </c>
      <c r="Y145" s="146">
        <v>7.4272875582653405E-3</v>
      </c>
      <c r="Z145" s="147">
        <v>1.1052761410105393E-3</v>
      </c>
      <c r="AA145" s="177"/>
    </row>
    <row r="146" spans="1:27" ht="15" x14ac:dyDescent="0.2">
      <c r="A146" s="142" t="s">
        <v>1220</v>
      </c>
      <c r="B146" s="143" t="s">
        <v>1220</v>
      </c>
      <c r="C146" s="143" t="s">
        <v>3294</v>
      </c>
      <c r="D146" s="145" t="s">
        <v>3930</v>
      </c>
      <c r="E146" s="145" t="s">
        <v>3930</v>
      </c>
      <c r="F146" s="143" t="s">
        <v>3295</v>
      </c>
      <c r="G146" s="143" t="s">
        <v>3296</v>
      </c>
      <c r="H146" s="143" t="s">
        <v>312</v>
      </c>
      <c r="I146" s="143" t="s">
        <v>1000</v>
      </c>
      <c r="J146" s="145" t="s">
        <v>3930</v>
      </c>
      <c r="K146" s="143" t="s">
        <v>204</v>
      </c>
      <c r="L146" s="145" t="s">
        <v>3930</v>
      </c>
      <c r="M146" s="145" t="s">
        <v>3930</v>
      </c>
      <c r="N146" s="143" t="s">
        <v>224</v>
      </c>
      <c r="O146" s="143" t="s">
        <v>339</v>
      </c>
      <c r="P146" s="162">
        <v>44136</v>
      </c>
      <c r="Q146" s="143" t="s">
        <v>1211</v>
      </c>
      <c r="R146" s="143" t="s">
        <v>885</v>
      </c>
      <c r="S146" s="143" t="s">
        <v>889</v>
      </c>
      <c r="T146" s="163">
        <v>45548</v>
      </c>
      <c r="U146" s="143" t="s">
        <v>1212</v>
      </c>
      <c r="V146" s="144">
        <v>1876.83102425876</v>
      </c>
      <c r="W146" s="144">
        <v>6963.0430999999999</v>
      </c>
      <c r="X146" s="145" t="s">
        <v>3930</v>
      </c>
      <c r="Y146" s="146">
        <v>5.9724645881308481E-3</v>
      </c>
      <c r="Z146" s="147">
        <v>8.8877972752587128E-4</v>
      </c>
      <c r="AA146" s="177"/>
    </row>
    <row r="147" spans="1:27" ht="15" x14ac:dyDescent="0.2">
      <c r="A147" s="142" t="s">
        <v>1220</v>
      </c>
      <c r="B147" s="143" t="s">
        <v>1220</v>
      </c>
      <c r="C147" s="143" t="s">
        <v>3300</v>
      </c>
      <c r="D147" s="145" t="s">
        <v>3930</v>
      </c>
      <c r="E147" s="145" t="s">
        <v>3930</v>
      </c>
      <c r="F147" s="143" t="s">
        <v>3301</v>
      </c>
      <c r="G147" s="143" t="s">
        <v>3302</v>
      </c>
      <c r="H147" s="143" t="s">
        <v>312</v>
      </c>
      <c r="I147" s="143" t="s">
        <v>1000</v>
      </c>
      <c r="J147" s="145" t="s">
        <v>3930</v>
      </c>
      <c r="K147" s="143" t="s">
        <v>204</v>
      </c>
      <c r="L147" s="145" t="s">
        <v>3930</v>
      </c>
      <c r="M147" s="145" t="s">
        <v>3930</v>
      </c>
      <c r="N147" s="143" t="s">
        <v>296</v>
      </c>
      <c r="O147" s="143" t="s">
        <v>339</v>
      </c>
      <c r="P147" s="162" t="e">
        <v>#N/A</v>
      </c>
      <c r="Q147" s="143" t="s">
        <v>1211</v>
      </c>
      <c r="R147" s="143" t="s">
        <v>885</v>
      </c>
      <c r="S147" s="143" t="s">
        <v>889</v>
      </c>
      <c r="T147" s="163">
        <v>45547</v>
      </c>
      <c r="U147" s="143" t="s">
        <v>1212</v>
      </c>
      <c r="V147" s="144">
        <v>1665.5726415094339</v>
      </c>
      <c r="W147" s="144">
        <v>6179.2745000000004</v>
      </c>
      <c r="X147" s="145" t="s">
        <v>3930</v>
      </c>
      <c r="Y147" s="146">
        <v>5.3001967323566771E-3</v>
      </c>
      <c r="Z147" s="147">
        <v>7.887376037321556E-4</v>
      </c>
      <c r="AA147" s="177"/>
    </row>
    <row r="148" spans="1:27" ht="15" x14ac:dyDescent="0.2">
      <c r="A148" s="142" t="s">
        <v>1220</v>
      </c>
      <c r="B148" s="143" t="s">
        <v>1220</v>
      </c>
      <c r="C148" s="143" t="s">
        <v>3297</v>
      </c>
      <c r="D148" s="145" t="s">
        <v>3930</v>
      </c>
      <c r="E148" s="145" t="s">
        <v>3930</v>
      </c>
      <c r="F148" s="143" t="s">
        <v>3298</v>
      </c>
      <c r="G148" s="143" t="s">
        <v>3299</v>
      </c>
      <c r="H148" s="143" t="s">
        <v>312</v>
      </c>
      <c r="I148" s="143" t="s">
        <v>1000</v>
      </c>
      <c r="J148" s="145" t="s">
        <v>3930</v>
      </c>
      <c r="K148" s="143" t="s">
        <v>204</v>
      </c>
      <c r="L148" s="145" t="s">
        <v>3930</v>
      </c>
      <c r="M148" s="145" t="s">
        <v>3930</v>
      </c>
      <c r="N148" s="143" t="s">
        <v>204</v>
      </c>
      <c r="O148" s="143" t="s">
        <v>339</v>
      </c>
      <c r="P148" s="162">
        <v>44238</v>
      </c>
      <c r="Q148" s="143" t="s">
        <v>1211</v>
      </c>
      <c r="R148" s="143" t="s">
        <v>885</v>
      </c>
      <c r="S148" s="143" t="s">
        <v>889</v>
      </c>
      <c r="T148" s="163">
        <v>45525</v>
      </c>
      <c r="U148" s="143" t="s">
        <v>1212</v>
      </c>
      <c r="V148" s="144">
        <v>1636.9458760107818</v>
      </c>
      <c r="W148" s="144">
        <v>6073.0691999999999</v>
      </c>
      <c r="X148" s="146">
        <v>1.1690633416666667E-3</v>
      </c>
      <c r="Y148" s="146">
        <v>5.2091003930640678E-3</v>
      </c>
      <c r="Z148" s="147">
        <v>7.751812940344821E-4</v>
      </c>
      <c r="AA148" s="177"/>
    </row>
    <row r="149" spans="1:27" ht="15" x14ac:dyDescent="0.2">
      <c r="A149" s="142" t="s">
        <v>1220</v>
      </c>
      <c r="B149" s="143" t="s">
        <v>1220</v>
      </c>
      <c r="C149" s="143" t="s">
        <v>3303</v>
      </c>
      <c r="D149" s="145" t="s">
        <v>3930</v>
      </c>
      <c r="E149" s="145" t="s">
        <v>3930</v>
      </c>
      <c r="F149" s="143" t="s">
        <v>3304</v>
      </c>
      <c r="G149" s="143" t="s">
        <v>3305</v>
      </c>
      <c r="H149" s="143" t="s">
        <v>312</v>
      </c>
      <c r="I149" s="143" t="s">
        <v>1000</v>
      </c>
      <c r="J149" s="145" t="s">
        <v>3930</v>
      </c>
      <c r="K149" s="143" t="s">
        <v>204</v>
      </c>
      <c r="L149" s="145" t="s">
        <v>3930</v>
      </c>
      <c r="M149" s="145" t="s">
        <v>3930</v>
      </c>
      <c r="N149" s="143" t="s">
        <v>204</v>
      </c>
      <c r="O149" s="143" t="s">
        <v>339</v>
      </c>
      <c r="P149" s="162">
        <v>44560</v>
      </c>
      <c r="Q149" s="143" t="s">
        <v>1211</v>
      </c>
      <c r="R149" s="143" t="s">
        <v>885</v>
      </c>
      <c r="S149" s="143" t="s">
        <v>889</v>
      </c>
      <c r="T149" s="163">
        <v>45564</v>
      </c>
      <c r="U149" s="143" t="s">
        <v>1212</v>
      </c>
      <c r="V149" s="144">
        <v>1438.8657951482478</v>
      </c>
      <c r="W149" s="144">
        <v>5338.1920999999993</v>
      </c>
      <c r="X149" s="146">
        <v>2.7650457428571428E-3</v>
      </c>
      <c r="Y149" s="146">
        <v>4.5787686073744099E-3</v>
      </c>
      <c r="Z149" s="147">
        <v>6.8137979810774284E-4</v>
      </c>
      <c r="AA149" s="177"/>
    </row>
    <row r="150" spans="1:27" ht="15" x14ac:dyDescent="0.2">
      <c r="A150" s="142" t="s">
        <v>1220</v>
      </c>
      <c r="B150" s="143" t="s">
        <v>1220</v>
      </c>
      <c r="C150" s="143" t="s">
        <v>3306</v>
      </c>
      <c r="D150" s="145" t="s">
        <v>3930</v>
      </c>
      <c r="E150" s="145" t="s">
        <v>3930</v>
      </c>
      <c r="F150" s="143" t="s">
        <v>3307</v>
      </c>
      <c r="G150" s="143" t="s">
        <v>3308</v>
      </c>
      <c r="H150" s="143" t="s">
        <v>312</v>
      </c>
      <c r="I150" s="143" t="s">
        <v>1000</v>
      </c>
      <c r="J150" s="145" t="s">
        <v>3930</v>
      </c>
      <c r="K150" s="143" t="s">
        <v>204</v>
      </c>
      <c r="L150" s="145" t="s">
        <v>3930</v>
      </c>
      <c r="M150" s="145" t="s">
        <v>3930</v>
      </c>
      <c r="N150" s="143" t="s">
        <v>204</v>
      </c>
      <c r="O150" s="143" t="s">
        <v>339</v>
      </c>
      <c r="P150" s="162">
        <v>44636</v>
      </c>
      <c r="Q150" s="143" t="s">
        <v>1210</v>
      </c>
      <c r="R150" s="143" t="s">
        <v>885</v>
      </c>
      <c r="S150" s="143" t="s">
        <v>889</v>
      </c>
      <c r="T150" s="163">
        <v>45512</v>
      </c>
      <c r="U150" s="145" t="s">
        <v>3930</v>
      </c>
      <c r="V150" s="144">
        <v>5145.5757000000003</v>
      </c>
      <c r="W150" s="144">
        <v>5145.5757000000003</v>
      </c>
      <c r="X150" s="146">
        <v>1.1713685294117647E-2</v>
      </c>
      <c r="Y150" s="146">
        <v>4.4135542879630797E-3</v>
      </c>
      <c r="Z150" s="147">
        <v>6.5679377744190439E-4</v>
      </c>
      <c r="AA150" s="177"/>
    </row>
    <row r="151" spans="1:27" ht="15" x14ac:dyDescent="0.2">
      <c r="A151" s="142" t="s">
        <v>1220</v>
      </c>
      <c r="B151" s="143" t="s">
        <v>1220</v>
      </c>
      <c r="C151" s="143" t="s">
        <v>3315</v>
      </c>
      <c r="D151" s="145" t="s">
        <v>3930</v>
      </c>
      <c r="E151" s="145" t="s">
        <v>3930</v>
      </c>
      <c r="F151" s="143" t="s">
        <v>3316</v>
      </c>
      <c r="G151" s="143" t="s">
        <v>3317</v>
      </c>
      <c r="H151" s="143" t="s">
        <v>312</v>
      </c>
      <c r="I151" s="143" t="s">
        <v>1000</v>
      </c>
      <c r="J151" s="145" t="s">
        <v>3930</v>
      </c>
      <c r="K151" s="143" t="s">
        <v>204</v>
      </c>
      <c r="L151" s="145" t="s">
        <v>3930</v>
      </c>
      <c r="M151" s="145" t="s">
        <v>3930</v>
      </c>
      <c r="N151" s="143" t="s">
        <v>204</v>
      </c>
      <c r="O151" s="143" t="s">
        <v>339</v>
      </c>
      <c r="P151" s="162">
        <v>43038</v>
      </c>
      <c r="Q151" s="143" t="s">
        <v>1211</v>
      </c>
      <c r="R151" s="143" t="s">
        <v>885</v>
      </c>
      <c r="S151" s="143" t="s">
        <v>889</v>
      </c>
      <c r="T151" s="163">
        <v>45551</v>
      </c>
      <c r="U151" s="143" t="s">
        <v>1212</v>
      </c>
      <c r="V151" s="144">
        <v>921.63172506738545</v>
      </c>
      <c r="W151" s="144">
        <v>3419.2537000000002</v>
      </c>
      <c r="X151" s="145" t="s">
        <v>3930</v>
      </c>
      <c r="Y151" s="146">
        <v>2.9328228211180111E-3</v>
      </c>
      <c r="Z151" s="147">
        <v>4.3644184563523705E-4</v>
      </c>
      <c r="AA151" s="177"/>
    </row>
    <row r="152" spans="1:27" ht="15" x14ac:dyDescent="0.2">
      <c r="A152" s="142" t="s">
        <v>1220</v>
      </c>
      <c r="B152" s="143" t="s">
        <v>1220</v>
      </c>
      <c r="C152" s="143" t="s">
        <v>3309</v>
      </c>
      <c r="D152" s="145" t="s">
        <v>3930</v>
      </c>
      <c r="E152" s="145" t="s">
        <v>3930</v>
      </c>
      <c r="F152" s="143" t="s">
        <v>3310</v>
      </c>
      <c r="G152" s="143" t="s">
        <v>3311</v>
      </c>
      <c r="H152" s="143" t="s">
        <v>312</v>
      </c>
      <c r="I152" s="143" t="s">
        <v>1000</v>
      </c>
      <c r="J152" s="145" t="s">
        <v>3930</v>
      </c>
      <c r="K152" s="143" t="s">
        <v>204</v>
      </c>
      <c r="L152" s="145" t="s">
        <v>3930</v>
      </c>
      <c r="M152" s="145" t="s">
        <v>3930</v>
      </c>
      <c r="N152" s="143" t="s">
        <v>204</v>
      </c>
      <c r="O152" s="143" t="s">
        <v>339</v>
      </c>
      <c r="P152" s="162">
        <v>45215</v>
      </c>
      <c r="Q152" s="143" t="s">
        <v>1211</v>
      </c>
      <c r="R152" s="143" t="s">
        <v>885</v>
      </c>
      <c r="S152" s="143" t="s">
        <v>889</v>
      </c>
      <c r="T152" s="163">
        <v>45503</v>
      </c>
      <c r="U152" s="143" t="s">
        <v>1212</v>
      </c>
      <c r="V152" s="144">
        <v>743.1023719676549</v>
      </c>
      <c r="W152" s="144">
        <v>2756.9097999999999</v>
      </c>
      <c r="X152" s="146">
        <v>7.3592999999999998E-4</v>
      </c>
      <c r="Y152" s="146">
        <v>2.3647054755573001E-3</v>
      </c>
      <c r="Z152" s="147">
        <v>3.5189866046614858E-4</v>
      </c>
      <c r="AA152" s="177"/>
    </row>
    <row r="153" spans="1:27" ht="15" x14ac:dyDescent="0.2">
      <c r="A153" s="142" t="s">
        <v>1220</v>
      </c>
      <c r="B153" s="143" t="s">
        <v>1220</v>
      </c>
      <c r="C153" s="143" t="s">
        <v>3312</v>
      </c>
      <c r="D153" s="145" t="s">
        <v>3930</v>
      </c>
      <c r="E153" s="145" t="s">
        <v>3930</v>
      </c>
      <c r="F153" s="143" t="s">
        <v>3313</v>
      </c>
      <c r="G153" s="143" t="s">
        <v>3314</v>
      </c>
      <c r="H153" s="143" t="s">
        <v>312</v>
      </c>
      <c r="I153" s="143" t="s">
        <v>1000</v>
      </c>
      <c r="J153" s="145" t="s">
        <v>3930</v>
      </c>
      <c r="K153" s="143" t="s">
        <v>204</v>
      </c>
      <c r="L153" s="145" t="s">
        <v>3930</v>
      </c>
      <c r="M153" s="145" t="s">
        <v>3930</v>
      </c>
      <c r="N153" s="143" t="s">
        <v>224</v>
      </c>
      <c r="O153" s="143" t="s">
        <v>339</v>
      </c>
      <c r="P153" s="162">
        <v>44938</v>
      </c>
      <c r="Q153" s="143" t="s">
        <v>1211</v>
      </c>
      <c r="R153" s="143" t="s">
        <v>885</v>
      </c>
      <c r="S153" s="143" t="s">
        <v>889</v>
      </c>
      <c r="T153" s="163">
        <v>45560</v>
      </c>
      <c r="U153" s="143" t="s">
        <v>1212</v>
      </c>
      <c r="V153" s="144">
        <v>614.96083557951488</v>
      </c>
      <c r="W153" s="144">
        <v>2281.5047000000004</v>
      </c>
      <c r="X153" s="146">
        <v>1.9075085714285714E-3</v>
      </c>
      <c r="Y153" s="146">
        <v>1.9569325750796993E-3</v>
      </c>
      <c r="Z153" s="147">
        <v>2.91216795880604E-4</v>
      </c>
      <c r="AA153" s="177"/>
    </row>
    <row r="154" spans="1:27" ht="15" x14ac:dyDescent="0.2">
      <c r="A154" s="142" t="s">
        <v>1220</v>
      </c>
      <c r="B154" s="143" t="s">
        <v>1220</v>
      </c>
      <c r="C154" s="143" t="s">
        <v>3318</v>
      </c>
      <c r="D154" s="145" t="s">
        <v>3930</v>
      </c>
      <c r="E154" s="145" t="s">
        <v>3930</v>
      </c>
      <c r="F154" s="143" t="s">
        <v>3319</v>
      </c>
      <c r="G154" s="143" t="s">
        <v>3320</v>
      </c>
      <c r="H154" s="143" t="s">
        <v>312</v>
      </c>
      <c r="I154" s="143" t="s">
        <v>1000</v>
      </c>
      <c r="J154" s="145" t="s">
        <v>3930</v>
      </c>
      <c r="K154" s="143" t="s">
        <v>205</v>
      </c>
      <c r="L154" s="145" t="s">
        <v>3930</v>
      </c>
      <c r="M154" s="145" t="s">
        <v>3930</v>
      </c>
      <c r="N154" s="143" t="s">
        <v>224</v>
      </c>
      <c r="O154" s="143" t="s">
        <v>339</v>
      </c>
      <c r="P154" s="162">
        <v>44679</v>
      </c>
      <c r="Q154" s="143" t="s">
        <v>1211</v>
      </c>
      <c r="R154" s="143" t="s">
        <v>885</v>
      </c>
      <c r="S154" s="143" t="s">
        <v>889</v>
      </c>
      <c r="T154" s="163">
        <v>45522</v>
      </c>
      <c r="U154" s="143" t="s">
        <v>1212</v>
      </c>
      <c r="V154" s="144">
        <v>6827.0234231805925</v>
      </c>
      <c r="W154" s="144">
        <v>25328.2569</v>
      </c>
      <c r="X154" s="146">
        <v>1.6821550013988379E-3</v>
      </c>
      <c r="Y154" s="146">
        <v>2.172500084770175E-2</v>
      </c>
      <c r="Z154" s="147">
        <v>3.2329602041160999E-3</v>
      </c>
      <c r="AA154" s="177"/>
    </row>
    <row r="155" spans="1:27" ht="15" x14ac:dyDescent="0.2">
      <c r="A155" s="142" t="s">
        <v>1220</v>
      </c>
      <c r="B155" s="143" t="s">
        <v>1220</v>
      </c>
      <c r="C155" s="143" t="s">
        <v>3321</v>
      </c>
      <c r="D155" s="145" t="s">
        <v>3930</v>
      </c>
      <c r="E155" s="145" t="s">
        <v>3930</v>
      </c>
      <c r="F155" s="143" t="s">
        <v>3322</v>
      </c>
      <c r="G155" s="143" t="s">
        <v>3323</v>
      </c>
      <c r="H155" s="143" t="s">
        <v>312</v>
      </c>
      <c r="I155" s="143" t="s">
        <v>1000</v>
      </c>
      <c r="J155" s="145" t="s">
        <v>3930</v>
      </c>
      <c r="K155" s="143" t="s">
        <v>205</v>
      </c>
      <c r="L155" s="145" t="s">
        <v>3930</v>
      </c>
      <c r="M155" s="145" t="s">
        <v>3930</v>
      </c>
      <c r="N155" s="143" t="s">
        <v>291</v>
      </c>
      <c r="O155" s="143" t="s">
        <v>339</v>
      </c>
      <c r="P155" s="162">
        <v>44136</v>
      </c>
      <c r="Q155" s="143" t="s">
        <v>1211</v>
      </c>
      <c r="R155" s="143" t="s">
        <v>885</v>
      </c>
      <c r="S155" s="143" t="s">
        <v>889</v>
      </c>
      <c r="T155" s="163">
        <v>45547</v>
      </c>
      <c r="U155" s="143" t="s">
        <v>1212</v>
      </c>
      <c r="V155" s="144">
        <v>5962.729433962264</v>
      </c>
      <c r="W155" s="144">
        <v>22121.726200000001</v>
      </c>
      <c r="X155" s="145" t="s">
        <v>3930</v>
      </c>
      <c r="Y155" s="146">
        <v>1.8974638579826734E-2</v>
      </c>
      <c r="Z155" s="147">
        <v>2.8236708410787179E-3</v>
      </c>
      <c r="AA155" s="177"/>
    </row>
    <row r="156" spans="1:27" ht="15" x14ac:dyDescent="0.2">
      <c r="A156" s="142" t="s">
        <v>1220</v>
      </c>
      <c r="B156" s="143" t="s">
        <v>1220</v>
      </c>
      <c r="C156" s="143" t="s">
        <v>3324</v>
      </c>
      <c r="D156" s="145" t="s">
        <v>3930</v>
      </c>
      <c r="E156" s="145" t="s">
        <v>3930</v>
      </c>
      <c r="F156" s="143" t="s">
        <v>3325</v>
      </c>
      <c r="G156" s="143" t="s">
        <v>3326</v>
      </c>
      <c r="H156" s="143" t="s">
        <v>312</v>
      </c>
      <c r="I156" s="143" t="s">
        <v>1000</v>
      </c>
      <c r="J156" s="145" t="s">
        <v>3930</v>
      </c>
      <c r="K156" s="143" t="s">
        <v>205</v>
      </c>
      <c r="L156" s="145" t="s">
        <v>3930</v>
      </c>
      <c r="M156" s="145" t="s">
        <v>3930</v>
      </c>
      <c r="N156" s="143" t="s">
        <v>224</v>
      </c>
      <c r="O156" s="143" t="s">
        <v>339</v>
      </c>
      <c r="P156" s="162">
        <v>44136</v>
      </c>
      <c r="Q156" s="143" t="s">
        <v>1211</v>
      </c>
      <c r="R156" s="143" t="s">
        <v>885</v>
      </c>
      <c r="S156" s="143" t="s">
        <v>889</v>
      </c>
      <c r="T156" s="163">
        <v>45565</v>
      </c>
      <c r="U156" s="143" t="s">
        <v>1212</v>
      </c>
      <c r="V156" s="144">
        <v>5602.8808355795145</v>
      </c>
      <c r="W156" s="144">
        <v>20786.687899999997</v>
      </c>
      <c r="X156" s="146">
        <v>7.0771628571428572E-4</v>
      </c>
      <c r="Y156" s="146">
        <v>1.7829525893326606E-2</v>
      </c>
      <c r="Z156" s="147">
        <v>2.6532633105733725E-3</v>
      </c>
      <c r="AA156" s="177"/>
    </row>
    <row r="157" spans="1:27" ht="15" x14ac:dyDescent="0.2">
      <c r="A157" s="142" t="s">
        <v>1220</v>
      </c>
      <c r="B157" s="143" t="s">
        <v>1220</v>
      </c>
      <c r="C157" s="143" t="s">
        <v>3330</v>
      </c>
      <c r="D157" s="145" t="s">
        <v>3930</v>
      </c>
      <c r="E157" s="145" t="s">
        <v>3930</v>
      </c>
      <c r="F157" s="143" t="s">
        <v>3331</v>
      </c>
      <c r="G157" s="143" t="s">
        <v>3332</v>
      </c>
      <c r="H157" s="143" t="s">
        <v>312</v>
      </c>
      <c r="I157" s="143" t="s">
        <v>1000</v>
      </c>
      <c r="J157" s="145" t="s">
        <v>3930</v>
      </c>
      <c r="K157" s="143" t="s">
        <v>205</v>
      </c>
      <c r="L157" s="145" t="s">
        <v>3930</v>
      </c>
      <c r="M157" s="145" t="s">
        <v>3930</v>
      </c>
      <c r="N157" s="143" t="s">
        <v>224</v>
      </c>
      <c r="O157" s="143" t="s">
        <v>339</v>
      </c>
      <c r="P157" s="162">
        <v>44136</v>
      </c>
      <c r="Q157" s="143" t="s">
        <v>1211</v>
      </c>
      <c r="R157" s="143" t="s">
        <v>885</v>
      </c>
      <c r="S157" s="143" t="s">
        <v>889</v>
      </c>
      <c r="T157" s="163">
        <v>45559</v>
      </c>
      <c r="U157" s="143" t="s">
        <v>1212</v>
      </c>
      <c r="V157" s="144">
        <v>4923.8334501347708</v>
      </c>
      <c r="W157" s="144">
        <v>18267.4221</v>
      </c>
      <c r="X157" s="146">
        <v>3.2214353333333335E-3</v>
      </c>
      <c r="Y157" s="146">
        <v>1.5668656573384551E-2</v>
      </c>
      <c r="Z157" s="147">
        <v>2.3316980979116147E-3</v>
      </c>
      <c r="AA157" s="177"/>
    </row>
    <row r="158" spans="1:27" ht="15" x14ac:dyDescent="0.2">
      <c r="A158" s="142" t="s">
        <v>1220</v>
      </c>
      <c r="B158" s="143" t="s">
        <v>1220</v>
      </c>
      <c r="C158" s="143" t="s">
        <v>3333</v>
      </c>
      <c r="D158" s="145" t="s">
        <v>3930</v>
      </c>
      <c r="E158" s="145" t="s">
        <v>3930</v>
      </c>
      <c r="F158" s="143" t="s">
        <v>3334</v>
      </c>
      <c r="G158" s="143" t="s">
        <v>3335</v>
      </c>
      <c r="H158" s="143" t="s">
        <v>312</v>
      </c>
      <c r="I158" s="143" t="s">
        <v>1000</v>
      </c>
      <c r="J158" s="145" t="s">
        <v>3930</v>
      </c>
      <c r="K158" s="143" t="s">
        <v>205</v>
      </c>
      <c r="L158" s="145" t="s">
        <v>3930</v>
      </c>
      <c r="M158" s="145" t="s">
        <v>3930</v>
      </c>
      <c r="N158" s="143" t="s">
        <v>291</v>
      </c>
      <c r="O158" s="143" t="s">
        <v>339</v>
      </c>
      <c r="P158" s="162">
        <v>44136</v>
      </c>
      <c r="Q158" s="143" t="s">
        <v>1211</v>
      </c>
      <c r="R158" s="143" t="s">
        <v>885</v>
      </c>
      <c r="S158" s="143" t="s">
        <v>889</v>
      </c>
      <c r="T158" s="163">
        <v>45523</v>
      </c>
      <c r="U158" s="143" t="s">
        <v>1212</v>
      </c>
      <c r="V158" s="144">
        <v>4643.8591374663065</v>
      </c>
      <c r="W158" s="144">
        <v>17228.717399999998</v>
      </c>
      <c r="X158" s="146">
        <v>4.0309781333333335E-4</v>
      </c>
      <c r="Y158" s="146">
        <v>1.4777720418017611E-2</v>
      </c>
      <c r="Z158" s="147">
        <v>2.1991153120741527E-3</v>
      </c>
      <c r="AA158" s="177"/>
    </row>
    <row r="159" spans="1:27" ht="15" x14ac:dyDescent="0.2">
      <c r="A159" s="142" t="s">
        <v>1220</v>
      </c>
      <c r="B159" s="143" t="s">
        <v>1220</v>
      </c>
      <c r="C159" s="143" t="s">
        <v>3336</v>
      </c>
      <c r="D159" s="145" t="s">
        <v>3930</v>
      </c>
      <c r="E159" s="145" t="s">
        <v>3930</v>
      </c>
      <c r="F159" s="143" t="s">
        <v>3337</v>
      </c>
      <c r="G159" s="143" t="s">
        <v>3338</v>
      </c>
      <c r="H159" s="143" t="s">
        <v>312</v>
      </c>
      <c r="I159" s="143" t="s">
        <v>1000</v>
      </c>
      <c r="J159" s="145" t="s">
        <v>3930</v>
      </c>
      <c r="K159" s="143" t="s">
        <v>205</v>
      </c>
      <c r="L159" s="145" t="s">
        <v>3930</v>
      </c>
      <c r="M159" s="145" t="s">
        <v>3930</v>
      </c>
      <c r="N159" s="143" t="s">
        <v>224</v>
      </c>
      <c r="O159" s="143" t="s">
        <v>339</v>
      </c>
      <c r="P159" s="162">
        <v>44136</v>
      </c>
      <c r="Q159" s="143" t="s">
        <v>1211</v>
      </c>
      <c r="R159" s="143" t="s">
        <v>885</v>
      </c>
      <c r="S159" s="143" t="s">
        <v>889</v>
      </c>
      <c r="T159" s="163">
        <v>45538</v>
      </c>
      <c r="U159" s="143" t="s">
        <v>1212</v>
      </c>
      <c r="V159" s="144">
        <v>4517.4493800539085</v>
      </c>
      <c r="W159" s="144">
        <v>16759.7372</v>
      </c>
      <c r="X159" s="145" t="s">
        <v>3930</v>
      </c>
      <c r="Y159" s="146">
        <v>1.437545840858317E-2</v>
      </c>
      <c r="Z159" s="147">
        <v>2.1392535391220519E-3</v>
      </c>
      <c r="AA159" s="177"/>
    </row>
    <row r="160" spans="1:27" ht="15" x14ac:dyDescent="0.2">
      <c r="A160" s="142" t="s">
        <v>1220</v>
      </c>
      <c r="B160" s="143" t="s">
        <v>1220</v>
      </c>
      <c r="C160" s="143" t="s">
        <v>3339</v>
      </c>
      <c r="D160" s="145" t="s">
        <v>3930</v>
      </c>
      <c r="E160" s="145" t="s">
        <v>3930</v>
      </c>
      <c r="F160" s="143" t="s">
        <v>3340</v>
      </c>
      <c r="G160" s="143" t="s">
        <v>3341</v>
      </c>
      <c r="H160" s="143" t="s">
        <v>312</v>
      </c>
      <c r="I160" s="143" t="s">
        <v>1000</v>
      </c>
      <c r="J160" s="145" t="s">
        <v>3930</v>
      </c>
      <c r="K160" s="143" t="s">
        <v>205</v>
      </c>
      <c r="L160" s="145" t="s">
        <v>3930</v>
      </c>
      <c r="M160" s="145" t="s">
        <v>3930</v>
      </c>
      <c r="N160" s="143" t="s">
        <v>1639</v>
      </c>
      <c r="O160" s="143" t="s">
        <v>339</v>
      </c>
      <c r="P160" s="162">
        <v>44143</v>
      </c>
      <c r="Q160" s="143" t="s">
        <v>1218</v>
      </c>
      <c r="R160" s="143" t="s">
        <v>885</v>
      </c>
      <c r="S160" s="143" t="s">
        <v>889</v>
      </c>
      <c r="T160" s="163">
        <v>45525</v>
      </c>
      <c r="U160" s="143" t="s">
        <v>1219</v>
      </c>
      <c r="V160" s="144">
        <v>4026.6291542240633</v>
      </c>
      <c r="W160" s="144">
        <v>16720.174900000002</v>
      </c>
      <c r="X160" s="146">
        <v>6.3620021090909093E-4</v>
      </c>
      <c r="Y160" s="146">
        <v>1.434152434012529E-2</v>
      </c>
      <c r="Z160" s="147">
        <v>2.1342037122586534E-3</v>
      </c>
      <c r="AA160" s="177"/>
    </row>
    <row r="161" spans="1:27" ht="15" x14ac:dyDescent="0.2">
      <c r="A161" s="142" t="s">
        <v>1220</v>
      </c>
      <c r="B161" s="143" t="s">
        <v>1220</v>
      </c>
      <c r="C161" s="143" t="s">
        <v>3327</v>
      </c>
      <c r="D161" s="145" t="s">
        <v>3930</v>
      </c>
      <c r="E161" s="145" t="s">
        <v>3930</v>
      </c>
      <c r="F161" s="143" t="s">
        <v>3328</v>
      </c>
      <c r="G161" s="143" t="s">
        <v>3329</v>
      </c>
      <c r="H161" s="143" t="s">
        <v>312</v>
      </c>
      <c r="I161" s="143" t="s">
        <v>1000</v>
      </c>
      <c r="J161" s="145" t="s">
        <v>3930</v>
      </c>
      <c r="K161" s="143" t="s">
        <v>205</v>
      </c>
      <c r="L161" s="145" t="s">
        <v>3930</v>
      </c>
      <c r="M161" s="145" t="s">
        <v>3930</v>
      </c>
      <c r="N161" s="143" t="s">
        <v>224</v>
      </c>
      <c r="O161" s="143" t="s">
        <v>339</v>
      </c>
      <c r="P161" s="162">
        <v>44742</v>
      </c>
      <c r="Q161" s="143" t="s">
        <v>1211</v>
      </c>
      <c r="R161" s="143" t="s">
        <v>885</v>
      </c>
      <c r="S161" s="143" t="s">
        <v>889</v>
      </c>
      <c r="T161" s="163">
        <v>45522</v>
      </c>
      <c r="U161" s="143" t="s">
        <v>1212</v>
      </c>
      <c r="V161" s="144">
        <v>4118.7006738544478</v>
      </c>
      <c r="W161" s="144">
        <v>15280.379499999999</v>
      </c>
      <c r="X161" s="145" t="s">
        <v>3930</v>
      </c>
      <c r="Y161" s="146">
        <v>1.3106557520194604E-2</v>
      </c>
      <c r="Z161" s="147">
        <v>1.950424728302384E-3</v>
      </c>
      <c r="AA161" s="177"/>
    </row>
    <row r="162" spans="1:27" ht="15" x14ac:dyDescent="0.2">
      <c r="A162" s="142" t="s">
        <v>1220</v>
      </c>
      <c r="B162" s="143" t="s">
        <v>1220</v>
      </c>
      <c r="C162" s="143" t="s">
        <v>3344</v>
      </c>
      <c r="D162" s="145" t="s">
        <v>3930</v>
      </c>
      <c r="E162" s="145" t="s">
        <v>3930</v>
      </c>
      <c r="F162" s="143" t="s">
        <v>3345</v>
      </c>
      <c r="G162" s="143" t="s">
        <v>3346</v>
      </c>
      <c r="H162" s="143" t="s">
        <v>312</v>
      </c>
      <c r="I162" s="143" t="s">
        <v>1000</v>
      </c>
      <c r="J162" s="145" t="s">
        <v>3930</v>
      </c>
      <c r="K162" s="143" t="s">
        <v>205</v>
      </c>
      <c r="L162" s="145" t="s">
        <v>3930</v>
      </c>
      <c r="M162" s="145" t="s">
        <v>3930</v>
      </c>
      <c r="N162" s="143" t="s">
        <v>291</v>
      </c>
      <c r="O162" s="143" t="s">
        <v>339</v>
      </c>
      <c r="P162" s="162">
        <v>43718</v>
      </c>
      <c r="Q162" s="143" t="s">
        <v>1211</v>
      </c>
      <c r="R162" s="143" t="s">
        <v>885</v>
      </c>
      <c r="S162" s="143" t="s">
        <v>889</v>
      </c>
      <c r="T162" s="163">
        <v>45533</v>
      </c>
      <c r="U162" s="143" t="s">
        <v>1212</v>
      </c>
      <c r="V162" s="144">
        <v>3956.7352830188679</v>
      </c>
      <c r="W162" s="144">
        <v>14679.4879</v>
      </c>
      <c r="X162" s="145" t="s">
        <v>3930</v>
      </c>
      <c r="Y162" s="146">
        <v>1.2591150206687936E-2</v>
      </c>
      <c r="Z162" s="147">
        <v>1.8737254754388924E-3</v>
      </c>
      <c r="AA162" s="177"/>
    </row>
    <row r="163" spans="1:27" ht="15" x14ac:dyDescent="0.2">
      <c r="A163" s="142" t="s">
        <v>1220</v>
      </c>
      <c r="B163" s="143" t="s">
        <v>1220</v>
      </c>
      <c r="C163" s="143" t="s">
        <v>3347</v>
      </c>
      <c r="D163" s="145" t="s">
        <v>3930</v>
      </c>
      <c r="E163" s="145" t="s">
        <v>3930</v>
      </c>
      <c r="F163" s="143" t="s">
        <v>3348</v>
      </c>
      <c r="G163" s="143" t="s">
        <v>3349</v>
      </c>
      <c r="H163" s="143" t="s">
        <v>312</v>
      </c>
      <c r="I163" s="143" t="s">
        <v>1000</v>
      </c>
      <c r="J163" s="145" t="s">
        <v>3930</v>
      </c>
      <c r="K163" s="143" t="s">
        <v>205</v>
      </c>
      <c r="L163" s="145" t="s">
        <v>3930</v>
      </c>
      <c r="M163" s="145" t="s">
        <v>3930</v>
      </c>
      <c r="N163" s="143" t="s">
        <v>291</v>
      </c>
      <c r="O163" s="143" t="s">
        <v>339</v>
      </c>
      <c r="P163" s="162">
        <v>44136</v>
      </c>
      <c r="Q163" s="143" t="s">
        <v>1211</v>
      </c>
      <c r="R163" s="143" t="s">
        <v>885</v>
      </c>
      <c r="S163" s="143" t="s">
        <v>889</v>
      </c>
      <c r="T163" s="163">
        <v>45533</v>
      </c>
      <c r="U163" s="143" t="s">
        <v>1212</v>
      </c>
      <c r="V163" s="144">
        <v>3756.1011859838277</v>
      </c>
      <c r="W163" s="144">
        <v>13935.135400000001</v>
      </c>
      <c r="X163" s="146">
        <v>1.6230604187230505E-2</v>
      </c>
      <c r="Y163" s="146">
        <v>1.1952690997302938E-2</v>
      </c>
      <c r="Z163" s="147">
        <v>1.7787145140878145E-3</v>
      </c>
      <c r="AA163" s="177"/>
    </row>
    <row r="164" spans="1:27" ht="15" x14ac:dyDescent="0.2">
      <c r="A164" s="142" t="s">
        <v>1220</v>
      </c>
      <c r="B164" s="143" t="s">
        <v>1220</v>
      </c>
      <c r="C164" s="143" t="s">
        <v>3353</v>
      </c>
      <c r="D164" s="145" t="s">
        <v>3930</v>
      </c>
      <c r="E164" s="145" t="s">
        <v>3930</v>
      </c>
      <c r="F164" s="143" t="s">
        <v>3354</v>
      </c>
      <c r="G164" s="143" t="s">
        <v>3355</v>
      </c>
      <c r="H164" s="143" t="s">
        <v>312</v>
      </c>
      <c r="I164" s="143" t="s">
        <v>1000</v>
      </c>
      <c r="J164" s="145" t="s">
        <v>3930</v>
      </c>
      <c r="K164" s="143" t="s">
        <v>205</v>
      </c>
      <c r="L164" s="145" t="s">
        <v>3930</v>
      </c>
      <c r="M164" s="145" t="s">
        <v>3930</v>
      </c>
      <c r="N164" s="143" t="s">
        <v>296</v>
      </c>
      <c r="O164" s="143" t="s">
        <v>339</v>
      </c>
      <c r="P164" s="162">
        <v>44312</v>
      </c>
      <c r="Q164" s="143" t="s">
        <v>1211</v>
      </c>
      <c r="R164" s="143" t="s">
        <v>885</v>
      </c>
      <c r="S164" s="143" t="s">
        <v>889</v>
      </c>
      <c r="T164" s="163">
        <v>45564</v>
      </c>
      <c r="U164" s="143" t="s">
        <v>1212</v>
      </c>
      <c r="V164" s="144">
        <v>3605.018274932615</v>
      </c>
      <c r="W164" s="144">
        <v>13374.6178</v>
      </c>
      <c r="X164" s="146">
        <v>1.9999413399999998E-3</v>
      </c>
      <c r="Y164" s="146">
        <v>1.1471913862410544E-2</v>
      </c>
      <c r="Z164" s="147">
        <v>1.7071686782532212E-3</v>
      </c>
      <c r="AA164" s="177"/>
    </row>
    <row r="165" spans="1:27" ht="15" x14ac:dyDescent="0.2">
      <c r="A165" s="142" t="s">
        <v>1220</v>
      </c>
      <c r="B165" s="143" t="s">
        <v>1220</v>
      </c>
      <c r="C165" s="143" t="s">
        <v>3350</v>
      </c>
      <c r="D165" s="145" t="s">
        <v>3930</v>
      </c>
      <c r="E165" s="145" t="s">
        <v>3930</v>
      </c>
      <c r="F165" s="143" t="s">
        <v>3351</v>
      </c>
      <c r="G165" s="143" t="s">
        <v>3352</v>
      </c>
      <c r="H165" s="143" t="s">
        <v>312</v>
      </c>
      <c r="I165" s="143" t="s">
        <v>1000</v>
      </c>
      <c r="J165" s="145" t="s">
        <v>3930</v>
      </c>
      <c r="K165" s="143" t="s">
        <v>205</v>
      </c>
      <c r="L165" s="145" t="s">
        <v>3930</v>
      </c>
      <c r="M165" s="145" t="s">
        <v>3930</v>
      </c>
      <c r="N165" s="143" t="s">
        <v>293</v>
      </c>
      <c r="O165" s="143" t="s">
        <v>339</v>
      </c>
      <c r="P165" s="162">
        <v>44143</v>
      </c>
      <c r="Q165" s="143" t="s">
        <v>1218</v>
      </c>
      <c r="R165" s="143" t="s">
        <v>885</v>
      </c>
      <c r="S165" s="143" t="s">
        <v>889</v>
      </c>
      <c r="T165" s="163">
        <v>45518</v>
      </c>
      <c r="U165" s="143" t="s">
        <v>1219</v>
      </c>
      <c r="V165" s="144">
        <v>3206.43061843753</v>
      </c>
      <c r="W165" s="144">
        <v>13314.3825</v>
      </c>
      <c r="X165" s="146">
        <v>1.4439205449999999E-4</v>
      </c>
      <c r="Y165" s="146">
        <v>1.1420247775693735E-2</v>
      </c>
      <c r="Z165" s="147">
        <v>1.6994800984723129E-3</v>
      </c>
      <c r="AA165" s="177"/>
    </row>
    <row r="166" spans="1:27" ht="15" x14ac:dyDescent="0.2">
      <c r="A166" s="142" t="s">
        <v>1220</v>
      </c>
      <c r="B166" s="143" t="s">
        <v>1220</v>
      </c>
      <c r="C166" s="143" t="s">
        <v>3330</v>
      </c>
      <c r="D166" s="145" t="s">
        <v>3930</v>
      </c>
      <c r="E166" s="145" t="s">
        <v>3930</v>
      </c>
      <c r="F166" s="143" t="s">
        <v>3356</v>
      </c>
      <c r="G166" s="143" t="s">
        <v>3357</v>
      </c>
      <c r="H166" s="143" t="s">
        <v>312</v>
      </c>
      <c r="I166" s="143" t="s">
        <v>1000</v>
      </c>
      <c r="J166" s="145" t="s">
        <v>3930</v>
      </c>
      <c r="K166" s="143" t="s">
        <v>205</v>
      </c>
      <c r="L166" s="145" t="s">
        <v>3930</v>
      </c>
      <c r="M166" s="145" t="s">
        <v>3930</v>
      </c>
      <c r="N166" s="143" t="s">
        <v>224</v>
      </c>
      <c r="O166" s="143" t="s">
        <v>339</v>
      </c>
      <c r="P166" s="162">
        <v>44248</v>
      </c>
      <c r="Q166" s="143" t="s">
        <v>1211</v>
      </c>
      <c r="R166" s="143" t="s">
        <v>885</v>
      </c>
      <c r="S166" s="143" t="s">
        <v>889</v>
      </c>
      <c r="T166" s="163">
        <v>45504</v>
      </c>
      <c r="U166" s="143" t="s">
        <v>1212</v>
      </c>
      <c r="V166" s="144">
        <v>3487.3145822102429</v>
      </c>
      <c r="W166" s="144">
        <v>12937.937099999999</v>
      </c>
      <c r="X166" s="146">
        <v>2.167893636942675E-3</v>
      </c>
      <c r="Y166" s="146">
        <v>1.1097356432935931E-2</v>
      </c>
      <c r="Z166" s="147">
        <v>1.651429703965653E-3</v>
      </c>
      <c r="AA166" s="177"/>
    </row>
    <row r="167" spans="1:27" ht="15" x14ac:dyDescent="0.2">
      <c r="A167" s="142" t="s">
        <v>1220</v>
      </c>
      <c r="B167" s="143" t="s">
        <v>1220</v>
      </c>
      <c r="C167" s="143" t="s">
        <v>3330</v>
      </c>
      <c r="D167" s="145" t="s">
        <v>3930</v>
      </c>
      <c r="E167" s="145" t="s">
        <v>3930</v>
      </c>
      <c r="F167" s="143" t="s">
        <v>3342</v>
      </c>
      <c r="G167" s="143" t="s">
        <v>3343</v>
      </c>
      <c r="H167" s="143" t="s">
        <v>312</v>
      </c>
      <c r="I167" s="143" t="s">
        <v>1000</v>
      </c>
      <c r="J167" s="145" t="s">
        <v>3930</v>
      </c>
      <c r="K167" s="143" t="s">
        <v>205</v>
      </c>
      <c r="L167" s="145" t="s">
        <v>3930</v>
      </c>
      <c r="M167" s="145" t="s">
        <v>3930</v>
      </c>
      <c r="N167" s="143" t="s">
        <v>224</v>
      </c>
      <c r="O167" s="143" t="s">
        <v>339</v>
      </c>
      <c r="P167" s="162">
        <v>44858</v>
      </c>
      <c r="Q167" s="143" t="s">
        <v>1211</v>
      </c>
      <c r="R167" s="143" t="s">
        <v>885</v>
      </c>
      <c r="S167" s="143" t="s">
        <v>889</v>
      </c>
      <c r="T167" s="163">
        <v>45559</v>
      </c>
      <c r="U167" s="143" t="s">
        <v>1212</v>
      </c>
      <c r="V167" s="144">
        <v>3375.6371698113207</v>
      </c>
      <c r="W167" s="144">
        <v>12523.6139</v>
      </c>
      <c r="X167" s="146">
        <v>3.1006831578947367E-3</v>
      </c>
      <c r="Y167" s="146">
        <v>1.0741975768416595E-2</v>
      </c>
      <c r="Z167" s="147">
        <v>1.5985444795296368E-3</v>
      </c>
      <c r="AA167" s="177"/>
    </row>
    <row r="168" spans="1:27" ht="15" x14ac:dyDescent="0.2">
      <c r="A168" s="142" t="s">
        <v>1220</v>
      </c>
      <c r="B168" s="143" t="s">
        <v>1220</v>
      </c>
      <c r="C168" s="143" t="s">
        <v>3358</v>
      </c>
      <c r="D168" s="145" t="s">
        <v>3930</v>
      </c>
      <c r="E168" s="145" t="s">
        <v>3930</v>
      </c>
      <c r="F168" s="143" t="s">
        <v>3359</v>
      </c>
      <c r="G168" s="143" t="s">
        <v>3360</v>
      </c>
      <c r="H168" s="143" t="s">
        <v>312</v>
      </c>
      <c r="I168" s="143" t="s">
        <v>1000</v>
      </c>
      <c r="J168" s="145" t="s">
        <v>3930</v>
      </c>
      <c r="K168" s="143" t="s">
        <v>205</v>
      </c>
      <c r="L168" s="145" t="s">
        <v>3930</v>
      </c>
      <c r="M168" s="145" t="s">
        <v>3930</v>
      </c>
      <c r="N168" s="143" t="s">
        <v>268</v>
      </c>
      <c r="O168" s="143" t="s">
        <v>339</v>
      </c>
      <c r="P168" s="162">
        <v>44342</v>
      </c>
      <c r="Q168" s="143" t="s">
        <v>1211</v>
      </c>
      <c r="R168" s="143" t="s">
        <v>885</v>
      </c>
      <c r="S168" s="143" t="s">
        <v>889</v>
      </c>
      <c r="T168" s="163">
        <v>45533</v>
      </c>
      <c r="U168" s="143" t="s">
        <v>1212</v>
      </c>
      <c r="V168" s="144">
        <v>3284.7959299191375</v>
      </c>
      <c r="W168" s="144">
        <v>12186.5929</v>
      </c>
      <c r="X168" s="146">
        <v>1.4909263964285715E-3</v>
      </c>
      <c r="Y168" s="146">
        <v>1.0452900116880558E-2</v>
      </c>
      <c r="Z168" s="147">
        <v>1.5555262958275263E-3</v>
      </c>
      <c r="AA168" s="177"/>
    </row>
    <row r="169" spans="1:27" ht="15" x14ac:dyDescent="0.2">
      <c r="A169" s="142" t="s">
        <v>1220</v>
      </c>
      <c r="B169" s="143" t="s">
        <v>1220</v>
      </c>
      <c r="C169" s="143" t="s">
        <v>3361</v>
      </c>
      <c r="D169" s="145" t="s">
        <v>3930</v>
      </c>
      <c r="E169" s="145" t="s">
        <v>3930</v>
      </c>
      <c r="F169" s="143" t="s">
        <v>3362</v>
      </c>
      <c r="G169" s="143" t="s">
        <v>3363</v>
      </c>
      <c r="H169" s="143" t="s">
        <v>312</v>
      </c>
      <c r="I169" s="143" t="s">
        <v>1000</v>
      </c>
      <c r="J169" s="145" t="s">
        <v>3930</v>
      </c>
      <c r="K169" s="143" t="s">
        <v>205</v>
      </c>
      <c r="L169" s="145" t="s">
        <v>3930</v>
      </c>
      <c r="M169" s="145" t="s">
        <v>3930</v>
      </c>
      <c r="N169" s="143" t="s">
        <v>293</v>
      </c>
      <c r="O169" s="143" t="s">
        <v>339</v>
      </c>
      <c r="P169" s="162">
        <v>44193</v>
      </c>
      <c r="Q169" s="143" t="s">
        <v>1211</v>
      </c>
      <c r="R169" s="143" t="s">
        <v>885</v>
      </c>
      <c r="S169" s="143" t="s">
        <v>889</v>
      </c>
      <c r="T169" s="163">
        <v>45547</v>
      </c>
      <c r="U169" s="143" t="s">
        <v>1212</v>
      </c>
      <c r="V169" s="144">
        <v>3160.424339622642</v>
      </c>
      <c r="W169" s="144">
        <v>11725.174300000001</v>
      </c>
      <c r="X169" s="146">
        <v>2.4484267300000002E-4</v>
      </c>
      <c r="Y169" s="146">
        <v>1.0057123988591125E-2</v>
      </c>
      <c r="Z169" s="147">
        <v>1.4966297056055635E-3</v>
      </c>
      <c r="AA169" s="177"/>
    </row>
    <row r="170" spans="1:27" ht="15" x14ac:dyDescent="0.2">
      <c r="A170" s="142" t="s">
        <v>1220</v>
      </c>
      <c r="B170" s="143" t="s">
        <v>1220</v>
      </c>
      <c r="C170" s="143" t="s">
        <v>3364</v>
      </c>
      <c r="D170" s="145" t="s">
        <v>3930</v>
      </c>
      <c r="E170" s="145" t="s">
        <v>3930</v>
      </c>
      <c r="F170" s="143" t="s">
        <v>3365</v>
      </c>
      <c r="G170" s="143" t="s">
        <v>3366</v>
      </c>
      <c r="H170" s="143" t="s">
        <v>312</v>
      </c>
      <c r="I170" s="143" t="s">
        <v>1000</v>
      </c>
      <c r="J170" s="145" t="s">
        <v>3930</v>
      </c>
      <c r="K170" s="143" t="s">
        <v>205</v>
      </c>
      <c r="L170" s="145" t="s">
        <v>3930</v>
      </c>
      <c r="M170" s="145" t="s">
        <v>3930</v>
      </c>
      <c r="N170" s="143" t="s">
        <v>291</v>
      </c>
      <c r="O170" s="143" t="s">
        <v>339</v>
      </c>
      <c r="P170" s="162">
        <v>44136</v>
      </c>
      <c r="Q170" s="143" t="s">
        <v>1211</v>
      </c>
      <c r="R170" s="143" t="s">
        <v>885</v>
      </c>
      <c r="S170" s="143" t="s">
        <v>889</v>
      </c>
      <c r="T170" s="163">
        <v>45565</v>
      </c>
      <c r="U170" s="143" t="s">
        <v>1212</v>
      </c>
      <c r="V170" s="144">
        <v>3144.7930997304584</v>
      </c>
      <c r="W170" s="144">
        <v>11667.1824</v>
      </c>
      <c r="X170" s="146">
        <v>1.797568E-3</v>
      </c>
      <c r="Y170" s="146">
        <v>1.0007382150294598E-2</v>
      </c>
      <c r="Z170" s="147">
        <v>1.489227478796939E-3</v>
      </c>
      <c r="AA170" s="177"/>
    </row>
    <row r="171" spans="1:27" ht="15" x14ac:dyDescent="0.2">
      <c r="A171" s="142" t="s">
        <v>1220</v>
      </c>
      <c r="B171" s="143" t="s">
        <v>1220</v>
      </c>
      <c r="C171" s="143" t="s">
        <v>3370</v>
      </c>
      <c r="D171" s="145" t="s">
        <v>3930</v>
      </c>
      <c r="E171" s="145" t="s">
        <v>3930</v>
      </c>
      <c r="F171" s="143" t="s">
        <v>3371</v>
      </c>
      <c r="G171" s="143" t="s">
        <v>3372</v>
      </c>
      <c r="H171" s="143" t="s">
        <v>312</v>
      </c>
      <c r="I171" s="143" t="s">
        <v>1000</v>
      </c>
      <c r="J171" s="145" t="s">
        <v>3930</v>
      </c>
      <c r="K171" s="143" t="s">
        <v>205</v>
      </c>
      <c r="L171" s="145" t="s">
        <v>3930</v>
      </c>
      <c r="M171" s="145" t="s">
        <v>3930</v>
      </c>
      <c r="N171" s="143" t="s">
        <v>296</v>
      </c>
      <c r="O171" s="143" t="s">
        <v>339</v>
      </c>
      <c r="P171" s="162">
        <v>44613</v>
      </c>
      <c r="Q171" s="143" t="s">
        <v>1218</v>
      </c>
      <c r="R171" s="143" t="s">
        <v>885</v>
      </c>
      <c r="S171" s="143" t="s">
        <v>889</v>
      </c>
      <c r="T171" s="163">
        <v>45545</v>
      </c>
      <c r="U171" s="143" t="s">
        <v>1219</v>
      </c>
      <c r="V171" s="144">
        <v>2390.1957422213663</v>
      </c>
      <c r="W171" s="144">
        <v>9925.0488000000005</v>
      </c>
      <c r="X171" s="146">
        <v>5.4987428571428567E-3</v>
      </c>
      <c r="Y171" s="146">
        <v>8.5130885345041669E-3</v>
      </c>
      <c r="Z171" s="147">
        <v>1.2668573243844348E-3</v>
      </c>
      <c r="AA171" s="177"/>
    </row>
    <row r="172" spans="1:27" ht="15" x14ac:dyDescent="0.2">
      <c r="A172" s="142" t="s">
        <v>1220</v>
      </c>
      <c r="B172" s="143" t="s">
        <v>1220</v>
      </c>
      <c r="C172" s="143" t="s">
        <v>3367</v>
      </c>
      <c r="D172" s="145" t="s">
        <v>3930</v>
      </c>
      <c r="E172" s="145" t="s">
        <v>3930</v>
      </c>
      <c r="F172" s="143" t="s">
        <v>3368</v>
      </c>
      <c r="G172" s="143" t="s">
        <v>3369</v>
      </c>
      <c r="H172" s="143" t="s">
        <v>312</v>
      </c>
      <c r="I172" s="143" t="s">
        <v>1000</v>
      </c>
      <c r="J172" s="145" t="s">
        <v>3930</v>
      </c>
      <c r="K172" s="143" t="s">
        <v>205</v>
      </c>
      <c r="L172" s="145" t="s">
        <v>3930</v>
      </c>
      <c r="M172" s="145" t="s">
        <v>3930</v>
      </c>
      <c r="N172" s="143" t="s">
        <v>293</v>
      </c>
      <c r="O172" s="143" t="s">
        <v>339</v>
      </c>
      <c r="P172" s="162">
        <v>44136</v>
      </c>
      <c r="Q172" s="143" t="s">
        <v>1218</v>
      </c>
      <c r="R172" s="143" t="s">
        <v>885</v>
      </c>
      <c r="S172" s="143" t="s">
        <v>889</v>
      </c>
      <c r="T172" s="163">
        <v>45532</v>
      </c>
      <c r="U172" s="143" t="s">
        <v>1219</v>
      </c>
      <c r="V172" s="144">
        <v>2307.901165590984</v>
      </c>
      <c r="W172" s="144">
        <v>9583.3288000000011</v>
      </c>
      <c r="X172" s="146">
        <v>6.6256871113371907E-4</v>
      </c>
      <c r="Y172" s="146">
        <v>8.219982414438165E-3</v>
      </c>
      <c r="Z172" s="147">
        <v>1.2232393550044012E-3</v>
      </c>
      <c r="AA172" s="177"/>
    </row>
    <row r="173" spans="1:27" ht="15" x14ac:dyDescent="0.2">
      <c r="A173" s="142" t="s">
        <v>1220</v>
      </c>
      <c r="B173" s="143" t="s">
        <v>1220</v>
      </c>
      <c r="C173" s="143" t="s">
        <v>3373</v>
      </c>
      <c r="D173" s="145" t="s">
        <v>3930</v>
      </c>
      <c r="E173" s="145" t="s">
        <v>3930</v>
      </c>
      <c r="F173" s="143" t="s">
        <v>3374</v>
      </c>
      <c r="G173" s="143" t="s">
        <v>3375</v>
      </c>
      <c r="H173" s="143" t="s">
        <v>312</v>
      </c>
      <c r="I173" s="143" t="s">
        <v>1000</v>
      </c>
      <c r="J173" s="145" t="s">
        <v>3930</v>
      </c>
      <c r="K173" s="143" t="s">
        <v>205</v>
      </c>
      <c r="L173" s="145" t="s">
        <v>3930</v>
      </c>
      <c r="M173" s="145" t="s">
        <v>3930</v>
      </c>
      <c r="N173" s="143" t="s">
        <v>1639</v>
      </c>
      <c r="O173" s="143" t="s">
        <v>339</v>
      </c>
      <c r="P173" s="162">
        <v>44143</v>
      </c>
      <c r="Q173" s="143" t="s">
        <v>1218</v>
      </c>
      <c r="R173" s="143" t="s">
        <v>885</v>
      </c>
      <c r="S173" s="143" t="s">
        <v>889</v>
      </c>
      <c r="T173" s="163">
        <v>45525</v>
      </c>
      <c r="U173" s="143" t="s">
        <v>1219</v>
      </c>
      <c r="V173" s="144">
        <v>2300.1961516231577</v>
      </c>
      <c r="W173" s="144">
        <v>9551.3345000000008</v>
      </c>
      <c r="X173" s="146">
        <v>1.4326513E-4</v>
      </c>
      <c r="Y173" s="146">
        <v>8.1925397118074294E-3</v>
      </c>
      <c r="Z173" s="147">
        <v>1.2191555270625514E-3</v>
      </c>
      <c r="AA173" s="177"/>
    </row>
    <row r="174" spans="1:27" ht="15" x14ac:dyDescent="0.2">
      <c r="A174" s="142" t="s">
        <v>1220</v>
      </c>
      <c r="B174" s="143" t="s">
        <v>1220</v>
      </c>
      <c r="C174" s="143" t="s">
        <v>3376</v>
      </c>
      <c r="D174" s="145" t="s">
        <v>3930</v>
      </c>
      <c r="E174" s="145" t="s">
        <v>3930</v>
      </c>
      <c r="F174" s="143" t="s">
        <v>3377</v>
      </c>
      <c r="G174" s="143" t="s">
        <v>3378</v>
      </c>
      <c r="H174" s="143" t="s">
        <v>312</v>
      </c>
      <c r="I174" s="143" t="s">
        <v>1000</v>
      </c>
      <c r="J174" s="145" t="s">
        <v>3930</v>
      </c>
      <c r="K174" s="143" t="s">
        <v>205</v>
      </c>
      <c r="L174" s="145" t="s">
        <v>3930</v>
      </c>
      <c r="M174" s="145" t="s">
        <v>3930</v>
      </c>
      <c r="N174" s="143" t="s">
        <v>204</v>
      </c>
      <c r="O174" s="143" t="s">
        <v>339</v>
      </c>
      <c r="P174" s="162">
        <v>44136</v>
      </c>
      <c r="Q174" s="143" t="s">
        <v>1211</v>
      </c>
      <c r="R174" s="143" t="s">
        <v>885</v>
      </c>
      <c r="S174" s="143" t="s">
        <v>889</v>
      </c>
      <c r="T174" s="163">
        <v>45530</v>
      </c>
      <c r="U174" s="143" t="s">
        <v>1212</v>
      </c>
      <c r="V174" s="144">
        <v>2545.0771428571429</v>
      </c>
      <c r="W174" s="144">
        <v>9442.2361999999994</v>
      </c>
      <c r="X174" s="146">
        <v>4.9258619999999996E-3</v>
      </c>
      <c r="Y174" s="146">
        <v>8.0989619404470831E-3</v>
      </c>
      <c r="Z174" s="147">
        <v>1.20522994828266E-3</v>
      </c>
      <c r="AA174" s="177"/>
    </row>
    <row r="175" spans="1:27" ht="15" x14ac:dyDescent="0.2">
      <c r="A175" s="142" t="s">
        <v>1220</v>
      </c>
      <c r="B175" s="143" t="s">
        <v>1220</v>
      </c>
      <c r="C175" s="143" t="s">
        <v>3382</v>
      </c>
      <c r="D175" s="145" t="s">
        <v>3930</v>
      </c>
      <c r="E175" s="145" t="s">
        <v>3930</v>
      </c>
      <c r="F175" s="143" t="s">
        <v>3383</v>
      </c>
      <c r="G175" s="143" t="s">
        <v>3384</v>
      </c>
      <c r="H175" s="143" t="s">
        <v>312</v>
      </c>
      <c r="I175" s="143" t="s">
        <v>1000</v>
      </c>
      <c r="J175" s="145" t="s">
        <v>3930</v>
      </c>
      <c r="K175" s="143" t="s">
        <v>205</v>
      </c>
      <c r="L175" s="145" t="s">
        <v>3930</v>
      </c>
      <c r="M175" s="145" t="s">
        <v>3930</v>
      </c>
      <c r="N175" s="143" t="s">
        <v>268</v>
      </c>
      <c r="O175" s="143" t="s">
        <v>339</v>
      </c>
      <c r="P175" s="162">
        <v>44567</v>
      </c>
      <c r="Q175" s="143" t="s">
        <v>1211</v>
      </c>
      <c r="R175" s="143" t="s">
        <v>885</v>
      </c>
      <c r="S175" s="143" t="s">
        <v>889</v>
      </c>
      <c r="T175" s="163">
        <v>45533</v>
      </c>
      <c r="U175" s="143" t="s">
        <v>1212</v>
      </c>
      <c r="V175" s="144">
        <v>2050.6092452830189</v>
      </c>
      <c r="W175" s="144">
        <v>7607.7602999999999</v>
      </c>
      <c r="X175" s="146">
        <v>6.4073649999999999E-3</v>
      </c>
      <c r="Y175" s="146">
        <v>6.5254628342326657E-3</v>
      </c>
      <c r="Z175" s="147">
        <v>9.7107299578055623E-4</v>
      </c>
      <c r="AA175" s="177"/>
    </row>
    <row r="176" spans="1:27" ht="15" x14ac:dyDescent="0.2">
      <c r="A176" s="142" t="s">
        <v>1220</v>
      </c>
      <c r="B176" s="143" t="s">
        <v>1220</v>
      </c>
      <c r="C176" s="143" t="s">
        <v>3385</v>
      </c>
      <c r="D176" s="145" t="s">
        <v>3930</v>
      </c>
      <c r="E176" s="145" t="s">
        <v>3930</v>
      </c>
      <c r="F176" s="143" t="s">
        <v>3386</v>
      </c>
      <c r="G176" s="143" t="s">
        <v>3387</v>
      </c>
      <c r="H176" s="143" t="s">
        <v>312</v>
      </c>
      <c r="I176" s="143" t="s">
        <v>1000</v>
      </c>
      <c r="J176" s="145" t="s">
        <v>3930</v>
      </c>
      <c r="K176" s="143" t="s">
        <v>205</v>
      </c>
      <c r="L176" s="145" t="s">
        <v>3930</v>
      </c>
      <c r="M176" s="145" t="s">
        <v>3930</v>
      </c>
      <c r="N176" s="143" t="s">
        <v>224</v>
      </c>
      <c r="O176" s="143" t="s">
        <v>339</v>
      </c>
      <c r="P176" s="162">
        <v>44136</v>
      </c>
      <c r="Q176" s="143" t="s">
        <v>1211</v>
      </c>
      <c r="R176" s="143" t="s">
        <v>885</v>
      </c>
      <c r="S176" s="143" t="s">
        <v>889</v>
      </c>
      <c r="T176" s="163">
        <v>45533</v>
      </c>
      <c r="U176" s="143" t="s">
        <v>1212</v>
      </c>
      <c r="V176" s="144">
        <v>1814.4664420485176</v>
      </c>
      <c r="W176" s="144">
        <v>6731.6705000000002</v>
      </c>
      <c r="X176" s="146">
        <v>1.8972153846153847E-2</v>
      </c>
      <c r="Y176" s="146">
        <v>5.7740075573620951E-3</v>
      </c>
      <c r="Z176" s="147">
        <v>8.5924676284613482E-4</v>
      </c>
      <c r="AA176" s="177"/>
    </row>
    <row r="177" spans="1:27" ht="15" x14ac:dyDescent="0.2">
      <c r="A177" s="142" t="s">
        <v>1220</v>
      </c>
      <c r="B177" s="143" t="s">
        <v>1220</v>
      </c>
      <c r="C177" s="143" t="s">
        <v>3391</v>
      </c>
      <c r="D177" s="145" t="s">
        <v>3930</v>
      </c>
      <c r="E177" s="145" t="s">
        <v>3930</v>
      </c>
      <c r="F177" s="143" t="s">
        <v>3392</v>
      </c>
      <c r="G177" s="143" t="s">
        <v>3393</v>
      </c>
      <c r="H177" s="143" t="s">
        <v>312</v>
      </c>
      <c r="I177" s="143" t="s">
        <v>1000</v>
      </c>
      <c r="J177" s="145" t="s">
        <v>3930</v>
      </c>
      <c r="K177" s="143" t="s">
        <v>205</v>
      </c>
      <c r="L177" s="145" t="s">
        <v>3930</v>
      </c>
      <c r="M177" s="145" t="s">
        <v>3930</v>
      </c>
      <c r="N177" s="143" t="s">
        <v>224</v>
      </c>
      <c r="O177" s="143" t="s">
        <v>339</v>
      </c>
      <c r="P177" s="162">
        <v>44538</v>
      </c>
      <c r="Q177" s="143" t="s">
        <v>1211</v>
      </c>
      <c r="R177" s="143" t="s">
        <v>885</v>
      </c>
      <c r="S177" s="143" t="s">
        <v>889</v>
      </c>
      <c r="T177" s="163">
        <v>45558</v>
      </c>
      <c r="U177" s="143" t="s">
        <v>1212</v>
      </c>
      <c r="V177" s="144">
        <v>1735.9021832884096</v>
      </c>
      <c r="W177" s="144">
        <v>6440.1970999999994</v>
      </c>
      <c r="X177" s="145" t="s">
        <v>3930</v>
      </c>
      <c r="Y177" s="146">
        <v>5.5239998303412046E-3</v>
      </c>
      <c r="Z177" s="147">
        <v>8.2204238997424304E-4</v>
      </c>
      <c r="AA177" s="177"/>
    </row>
    <row r="178" spans="1:27" ht="15" x14ac:dyDescent="0.2">
      <c r="A178" s="142" t="s">
        <v>1220</v>
      </c>
      <c r="B178" s="143" t="s">
        <v>1220</v>
      </c>
      <c r="C178" s="143" t="s">
        <v>3379</v>
      </c>
      <c r="D178" s="145" t="s">
        <v>3930</v>
      </c>
      <c r="E178" s="145" t="s">
        <v>3930</v>
      </c>
      <c r="F178" s="143" t="s">
        <v>3380</v>
      </c>
      <c r="G178" s="143" t="s">
        <v>3381</v>
      </c>
      <c r="H178" s="143" t="s">
        <v>312</v>
      </c>
      <c r="I178" s="143" t="s">
        <v>1000</v>
      </c>
      <c r="J178" s="145" t="s">
        <v>3930</v>
      </c>
      <c r="K178" s="143" t="s">
        <v>205</v>
      </c>
      <c r="L178" s="145" t="s">
        <v>3930</v>
      </c>
      <c r="M178" s="145" t="s">
        <v>3930</v>
      </c>
      <c r="N178" s="143" t="s">
        <v>224</v>
      </c>
      <c r="O178" s="143" t="s">
        <v>339</v>
      </c>
      <c r="P178" s="162">
        <v>44769</v>
      </c>
      <c r="Q178" s="143" t="s">
        <v>1211</v>
      </c>
      <c r="R178" s="143" t="s">
        <v>885</v>
      </c>
      <c r="S178" s="143" t="s">
        <v>889</v>
      </c>
      <c r="T178" s="163">
        <v>45538</v>
      </c>
      <c r="U178" s="143" t="s">
        <v>1212</v>
      </c>
      <c r="V178" s="144">
        <v>1691.4007816711592</v>
      </c>
      <c r="W178" s="144">
        <v>6275.0969000000005</v>
      </c>
      <c r="X178" s="146">
        <v>2.1933600000000001E-2</v>
      </c>
      <c r="Y178" s="146">
        <v>5.3823872079075113E-3</v>
      </c>
      <c r="Z178" s="147">
        <v>8.0096860609095812E-4</v>
      </c>
      <c r="AA178" s="177"/>
    </row>
    <row r="179" spans="1:27" ht="15" x14ac:dyDescent="0.2">
      <c r="A179" s="142" t="s">
        <v>1220</v>
      </c>
      <c r="B179" s="143" t="s">
        <v>1220</v>
      </c>
      <c r="C179" s="143" t="s">
        <v>3394</v>
      </c>
      <c r="D179" s="145" t="s">
        <v>3930</v>
      </c>
      <c r="E179" s="145" t="s">
        <v>3930</v>
      </c>
      <c r="F179" s="143" t="s">
        <v>3395</v>
      </c>
      <c r="G179" s="143" t="s">
        <v>3396</v>
      </c>
      <c r="H179" s="143" t="s">
        <v>312</v>
      </c>
      <c r="I179" s="143" t="s">
        <v>1000</v>
      </c>
      <c r="J179" s="145" t="s">
        <v>3930</v>
      </c>
      <c r="K179" s="143" t="s">
        <v>205</v>
      </c>
      <c r="L179" s="145" t="s">
        <v>3930</v>
      </c>
      <c r="M179" s="145" t="s">
        <v>3930</v>
      </c>
      <c r="N179" s="143" t="s">
        <v>224</v>
      </c>
      <c r="O179" s="143" t="s">
        <v>339</v>
      </c>
      <c r="P179" s="162">
        <v>44136</v>
      </c>
      <c r="Q179" s="143" t="s">
        <v>1211</v>
      </c>
      <c r="R179" s="143" t="s">
        <v>885</v>
      </c>
      <c r="S179" s="143" t="s">
        <v>889</v>
      </c>
      <c r="T179" s="163">
        <v>45510</v>
      </c>
      <c r="U179" s="143" t="s">
        <v>1212</v>
      </c>
      <c r="V179" s="144">
        <v>1636.2447708894879</v>
      </c>
      <c r="W179" s="144">
        <v>6070.4681</v>
      </c>
      <c r="X179" s="145" t="s">
        <v>3930</v>
      </c>
      <c r="Y179" s="146">
        <v>5.2068693389822783E-3</v>
      </c>
      <c r="Z179" s="147">
        <v>7.7484928442443787E-4</v>
      </c>
      <c r="AA179" s="177"/>
    </row>
    <row r="180" spans="1:27" ht="15" x14ac:dyDescent="0.2">
      <c r="A180" s="142" t="s">
        <v>1220</v>
      </c>
      <c r="B180" s="143" t="s">
        <v>1220</v>
      </c>
      <c r="C180" s="143" t="s">
        <v>3388</v>
      </c>
      <c r="D180" s="145" t="s">
        <v>3930</v>
      </c>
      <c r="E180" s="145" t="s">
        <v>3930</v>
      </c>
      <c r="F180" s="143" t="s">
        <v>3389</v>
      </c>
      <c r="G180" s="143" t="s">
        <v>3390</v>
      </c>
      <c r="H180" s="143" t="s">
        <v>312</v>
      </c>
      <c r="I180" s="143" t="s">
        <v>1000</v>
      </c>
      <c r="J180" s="145" t="s">
        <v>3930</v>
      </c>
      <c r="K180" s="143" t="s">
        <v>205</v>
      </c>
      <c r="L180" s="145" t="s">
        <v>3930</v>
      </c>
      <c r="M180" s="145" t="s">
        <v>3930</v>
      </c>
      <c r="N180" s="143" t="s">
        <v>296</v>
      </c>
      <c r="O180" s="143" t="s">
        <v>339</v>
      </c>
      <c r="P180" s="162">
        <v>45140</v>
      </c>
      <c r="Q180" s="143" t="s">
        <v>1211</v>
      </c>
      <c r="R180" s="143" t="s">
        <v>885</v>
      </c>
      <c r="S180" s="143" t="s">
        <v>889</v>
      </c>
      <c r="T180" s="163">
        <v>45565</v>
      </c>
      <c r="U180" s="143" t="s">
        <v>1212</v>
      </c>
      <c r="V180" s="144">
        <v>1406.4042318059298</v>
      </c>
      <c r="W180" s="144">
        <v>5217.7597000000005</v>
      </c>
      <c r="X180" s="146">
        <v>1.7853523076923079E-2</v>
      </c>
      <c r="Y180" s="146">
        <v>4.4754691906794585E-3</v>
      </c>
      <c r="Z180" s="147">
        <v>6.6600751317093872E-4</v>
      </c>
      <c r="AA180" s="177"/>
    </row>
    <row r="181" spans="1:27" ht="15" x14ac:dyDescent="0.2">
      <c r="A181" s="142" t="s">
        <v>1220</v>
      </c>
      <c r="B181" s="143" t="s">
        <v>1220</v>
      </c>
      <c r="C181" s="143" t="s">
        <v>3397</v>
      </c>
      <c r="D181" s="145" t="s">
        <v>3930</v>
      </c>
      <c r="E181" s="145" t="s">
        <v>3930</v>
      </c>
      <c r="F181" s="143" t="s">
        <v>3398</v>
      </c>
      <c r="G181" s="143" t="s">
        <v>3399</v>
      </c>
      <c r="H181" s="143" t="s">
        <v>312</v>
      </c>
      <c r="I181" s="143" t="s">
        <v>1000</v>
      </c>
      <c r="J181" s="145" t="s">
        <v>3930</v>
      </c>
      <c r="K181" s="143" t="s">
        <v>205</v>
      </c>
      <c r="L181" s="145" t="s">
        <v>3930</v>
      </c>
      <c r="M181" s="145" t="s">
        <v>3930</v>
      </c>
      <c r="N181" s="143" t="s">
        <v>291</v>
      </c>
      <c r="O181" s="143" t="s">
        <v>339</v>
      </c>
      <c r="P181" s="162">
        <v>44525</v>
      </c>
      <c r="Q181" s="143" t="s">
        <v>1211</v>
      </c>
      <c r="R181" s="143" t="s">
        <v>885</v>
      </c>
      <c r="S181" s="143" t="s">
        <v>889</v>
      </c>
      <c r="T181" s="163">
        <v>45538</v>
      </c>
      <c r="U181" s="143" t="s">
        <v>1212</v>
      </c>
      <c r="V181" s="144">
        <v>1397.0735849056605</v>
      </c>
      <c r="W181" s="144">
        <v>5183.143</v>
      </c>
      <c r="X181" s="146">
        <v>1.9757584E-4</v>
      </c>
      <c r="Y181" s="146">
        <v>4.4457771467809873E-3</v>
      </c>
      <c r="Z181" s="147">
        <v>6.6158895425001783E-4</v>
      </c>
      <c r="AA181" s="177"/>
    </row>
    <row r="182" spans="1:27" ht="15" x14ac:dyDescent="0.2">
      <c r="A182" s="142" t="s">
        <v>1220</v>
      </c>
      <c r="B182" s="143" t="s">
        <v>1220</v>
      </c>
      <c r="C182" s="143" t="s">
        <v>3400</v>
      </c>
      <c r="D182" s="145" t="s">
        <v>3930</v>
      </c>
      <c r="E182" s="145" t="s">
        <v>3930</v>
      </c>
      <c r="F182" s="143" t="s">
        <v>3401</v>
      </c>
      <c r="G182" s="143" t="s">
        <v>3402</v>
      </c>
      <c r="H182" s="143" t="s">
        <v>312</v>
      </c>
      <c r="I182" s="143" t="s">
        <v>1000</v>
      </c>
      <c r="J182" s="145" t="s">
        <v>3930</v>
      </c>
      <c r="K182" s="143" t="s">
        <v>205</v>
      </c>
      <c r="L182" s="145" t="s">
        <v>3930</v>
      </c>
      <c r="M182" s="145" t="s">
        <v>3930</v>
      </c>
      <c r="N182" s="143" t="s">
        <v>289</v>
      </c>
      <c r="O182" s="143" t="s">
        <v>339</v>
      </c>
      <c r="P182" s="162">
        <v>44525</v>
      </c>
      <c r="Q182" s="143" t="s">
        <v>1211</v>
      </c>
      <c r="R182" s="143" t="s">
        <v>885</v>
      </c>
      <c r="S182" s="143" t="s">
        <v>889</v>
      </c>
      <c r="T182" s="163">
        <v>45561</v>
      </c>
      <c r="U182" s="143" t="s">
        <v>1212</v>
      </c>
      <c r="V182" s="144">
        <v>1353.4383018867923</v>
      </c>
      <c r="W182" s="144">
        <v>5021.2560999999996</v>
      </c>
      <c r="X182" s="146">
        <v>2.5375644444444443E-3</v>
      </c>
      <c r="Y182" s="146">
        <v>4.3069206192853137E-3</v>
      </c>
      <c r="Z182" s="147">
        <v>6.4092531282499321E-4</v>
      </c>
      <c r="AA182" s="177"/>
    </row>
    <row r="183" spans="1:27" ht="15" x14ac:dyDescent="0.2">
      <c r="A183" s="142" t="s">
        <v>1220</v>
      </c>
      <c r="B183" s="143" t="s">
        <v>1220</v>
      </c>
      <c r="C183" s="143" t="s">
        <v>3403</v>
      </c>
      <c r="D183" s="145" t="s">
        <v>3930</v>
      </c>
      <c r="E183" s="145" t="s">
        <v>3930</v>
      </c>
      <c r="F183" s="143" t="s">
        <v>3404</v>
      </c>
      <c r="G183" s="143" t="s">
        <v>3405</v>
      </c>
      <c r="H183" s="143" t="s">
        <v>312</v>
      </c>
      <c r="I183" s="143" t="s">
        <v>1000</v>
      </c>
      <c r="J183" s="145" t="s">
        <v>3930</v>
      </c>
      <c r="K183" s="143" t="s">
        <v>205</v>
      </c>
      <c r="L183" s="145" t="s">
        <v>3930</v>
      </c>
      <c r="M183" s="145" t="s">
        <v>3930</v>
      </c>
      <c r="N183" s="143" t="s">
        <v>291</v>
      </c>
      <c r="O183" s="143" t="s">
        <v>339</v>
      </c>
      <c r="P183" s="162">
        <v>44525</v>
      </c>
      <c r="Q183" s="143" t="s">
        <v>1211</v>
      </c>
      <c r="R183" s="143" t="s">
        <v>885</v>
      </c>
      <c r="S183" s="143" t="s">
        <v>889</v>
      </c>
      <c r="T183" s="163">
        <v>45523</v>
      </c>
      <c r="U183" s="143" t="s">
        <v>1212</v>
      </c>
      <c r="V183" s="144">
        <v>1344.7893800539084</v>
      </c>
      <c r="W183" s="144">
        <v>4989.1686</v>
      </c>
      <c r="X183" s="146">
        <v>1.4697199999999999E-4</v>
      </c>
      <c r="Y183" s="146">
        <v>4.2793980320835062E-3</v>
      </c>
      <c r="Z183" s="147">
        <v>6.3682959702909847E-4</v>
      </c>
      <c r="AA183" s="177"/>
    </row>
    <row r="184" spans="1:27" ht="15" x14ac:dyDescent="0.2">
      <c r="A184" s="142" t="s">
        <v>1220</v>
      </c>
      <c r="B184" s="143" t="s">
        <v>1220</v>
      </c>
      <c r="C184" s="143" t="s">
        <v>3406</v>
      </c>
      <c r="D184" s="145" t="s">
        <v>3930</v>
      </c>
      <c r="E184" s="145" t="s">
        <v>3930</v>
      </c>
      <c r="F184" s="143" t="s">
        <v>3407</v>
      </c>
      <c r="G184" s="143" t="s">
        <v>3408</v>
      </c>
      <c r="H184" s="143" t="s">
        <v>312</v>
      </c>
      <c r="I184" s="143" t="s">
        <v>1000</v>
      </c>
      <c r="J184" s="145" t="s">
        <v>3930</v>
      </c>
      <c r="K184" s="143" t="s">
        <v>205</v>
      </c>
      <c r="L184" s="145" t="s">
        <v>3930</v>
      </c>
      <c r="M184" s="145" t="s">
        <v>3930</v>
      </c>
      <c r="N184" s="143" t="s">
        <v>296</v>
      </c>
      <c r="O184" s="143" t="s">
        <v>339</v>
      </c>
      <c r="P184" s="162">
        <v>44420</v>
      </c>
      <c r="Q184" s="143" t="s">
        <v>1211</v>
      </c>
      <c r="R184" s="143" t="s">
        <v>885</v>
      </c>
      <c r="S184" s="143" t="s">
        <v>889</v>
      </c>
      <c r="T184" s="163">
        <v>45551</v>
      </c>
      <c r="U184" s="143" t="s">
        <v>1212</v>
      </c>
      <c r="V184" s="144">
        <v>1287.5012129380054</v>
      </c>
      <c r="W184" s="144">
        <v>4776.6295</v>
      </c>
      <c r="X184" s="146">
        <v>6.2159368421052627E-4</v>
      </c>
      <c r="Y184" s="146">
        <v>4.0970952128858698E-3</v>
      </c>
      <c r="Z184" s="147">
        <v>6.0970058729069461E-4</v>
      </c>
      <c r="AA184" s="177"/>
    </row>
    <row r="185" spans="1:27" ht="15" x14ac:dyDescent="0.2">
      <c r="A185" s="142" t="s">
        <v>1220</v>
      </c>
      <c r="B185" s="143" t="s">
        <v>1220</v>
      </c>
      <c r="C185" s="143" t="s">
        <v>3412</v>
      </c>
      <c r="D185" s="145" t="s">
        <v>3930</v>
      </c>
      <c r="E185" s="145" t="s">
        <v>3930</v>
      </c>
      <c r="F185" s="143" t="s">
        <v>3413</v>
      </c>
      <c r="G185" s="143" t="s">
        <v>3414</v>
      </c>
      <c r="H185" s="143" t="s">
        <v>312</v>
      </c>
      <c r="I185" s="143" t="s">
        <v>1000</v>
      </c>
      <c r="J185" s="145" t="s">
        <v>3930</v>
      </c>
      <c r="K185" s="143" t="s">
        <v>205</v>
      </c>
      <c r="L185" s="145" t="s">
        <v>3930</v>
      </c>
      <c r="M185" s="145" t="s">
        <v>3930</v>
      </c>
      <c r="N185" s="143" t="s">
        <v>217</v>
      </c>
      <c r="O185" s="143" t="s">
        <v>339</v>
      </c>
      <c r="P185" s="162">
        <v>44136</v>
      </c>
      <c r="Q185" s="143" t="s">
        <v>1211</v>
      </c>
      <c r="R185" s="143" t="s">
        <v>885</v>
      </c>
      <c r="S185" s="143" t="s">
        <v>889</v>
      </c>
      <c r="T185" s="163">
        <v>45550</v>
      </c>
      <c r="U185" s="143" t="s">
        <v>1212</v>
      </c>
      <c r="V185" s="144">
        <v>863.26274932614547</v>
      </c>
      <c r="W185" s="144">
        <v>3202.7048</v>
      </c>
      <c r="X185" s="145" t="s">
        <v>3930</v>
      </c>
      <c r="Y185" s="146">
        <v>2.7470806870249853E-3</v>
      </c>
      <c r="Z185" s="147">
        <v>4.0880102150086769E-4</v>
      </c>
      <c r="AA185" s="177"/>
    </row>
    <row r="186" spans="1:27" ht="15" x14ac:dyDescent="0.2">
      <c r="A186" s="142" t="s">
        <v>1220</v>
      </c>
      <c r="B186" s="143" t="s">
        <v>1220</v>
      </c>
      <c r="C186" s="143" t="s">
        <v>3409</v>
      </c>
      <c r="D186" s="145" t="s">
        <v>3930</v>
      </c>
      <c r="E186" s="145" t="s">
        <v>3930</v>
      </c>
      <c r="F186" s="143" t="s">
        <v>3410</v>
      </c>
      <c r="G186" s="143" t="s">
        <v>3411</v>
      </c>
      <c r="H186" s="143" t="s">
        <v>312</v>
      </c>
      <c r="I186" s="143" t="s">
        <v>1000</v>
      </c>
      <c r="J186" s="145" t="s">
        <v>3930</v>
      </c>
      <c r="K186" s="143" t="s">
        <v>205</v>
      </c>
      <c r="L186" s="145" t="s">
        <v>3930</v>
      </c>
      <c r="M186" s="145" t="s">
        <v>3930</v>
      </c>
      <c r="N186" s="143" t="s">
        <v>291</v>
      </c>
      <c r="O186" s="143" t="s">
        <v>339</v>
      </c>
      <c r="P186" s="162">
        <v>44769</v>
      </c>
      <c r="Q186" s="143" t="s">
        <v>1211</v>
      </c>
      <c r="R186" s="143" t="s">
        <v>885</v>
      </c>
      <c r="S186" s="143" t="s">
        <v>889</v>
      </c>
      <c r="T186" s="163">
        <v>45559</v>
      </c>
      <c r="U186" s="143" t="s">
        <v>1212</v>
      </c>
      <c r="V186" s="144">
        <v>805.1417789757412</v>
      </c>
      <c r="W186" s="144">
        <v>2987.076</v>
      </c>
      <c r="X186" s="146">
        <v>4.7914080762759392E-3</v>
      </c>
      <c r="Y186" s="146">
        <v>2.5621276898984109E-3</v>
      </c>
      <c r="Z186" s="147">
        <v>3.8127763112063353E-4</v>
      </c>
      <c r="AA186" s="177"/>
    </row>
    <row r="187" spans="1:27" ht="15" x14ac:dyDescent="0.2">
      <c r="A187" s="142" t="s">
        <v>1220</v>
      </c>
      <c r="B187" s="143" t="s">
        <v>1220</v>
      </c>
      <c r="C187" s="143" t="s">
        <v>3415</v>
      </c>
      <c r="D187" s="145" t="s">
        <v>3930</v>
      </c>
      <c r="E187" s="145" t="s">
        <v>3930</v>
      </c>
      <c r="F187" s="143" t="s">
        <v>3416</v>
      </c>
      <c r="G187" s="143" t="s">
        <v>3417</v>
      </c>
      <c r="H187" s="143" t="s">
        <v>312</v>
      </c>
      <c r="I187" s="143" t="s">
        <v>1000</v>
      </c>
      <c r="J187" s="145" t="s">
        <v>3930</v>
      </c>
      <c r="K187" s="143" t="s">
        <v>205</v>
      </c>
      <c r="L187" s="145" t="s">
        <v>3930</v>
      </c>
      <c r="M187" s="145" t="s">
        <v>3930</v>
      </c>
      <c r="N187" s="143" t="s">
        <v>293</v>
      </c>
      <c r="O187" s="143" t="s">
        <v>339</v>
      </c>
      <c r="P187" s="162">
        <v>45302</v>
      </c>
      <c r="Q187" s="143" t="s">
        <v>1218</v>
      </c>
      <c r="R187" s="143" t="s">
        <v>885</v>
      </c>
      <c r="S187" s="143" t="s">
        <v>889</v>
      </c>
      <c r="T187" s="163">
        <v>45516</v>
      </c>
      <c r="U187" s="143" t="s">
        <v>1219</v>
      </c>
      <c r="V187" s="144">
        <v>648.51367883633566</v>
      </c>
      <c r="W187" s="144">
        <v>2692.8882000000003</v>
      </c>
      <c r="X187" s="146">
        <v>8.495246823529411E-3</v>
      </c>
      <c r="Y187" s="146">
        <v>2.3097917252729513E-3</v>
      </c>
      <c r="Z187" s="147">
        <v>3.4372678647762124E-4</v>
      </c>
      <c r="AA187" s="177"/>
    </row>
    <row r="188" spans="1:27" ht="15" x14ac:dyDescent="0.2">
      <c r="A188" s="142" t="s">
        <v>1220</v>
      </c>
      <c r="B188" s="143" t="s">
        <v>1220</v>
      </c>
      <c r="C188" s="143" t="s">
        <v>3324</v>
      </c>
      <c r="D188" s="145" t="s">
        <v>3930</v>
      </c>
      <c r="E188" s="145" t="s">
        <v>3930</v>
      </c>
      <c r="F188" s="143" t="s">
        <v>3431</v>
      </c>
      <c r="G188" s="143" t="s">
        <v>3432</v>
      </c>
      <c r="H188" s="143" t="s">
        <v>312</v>
      </c>
      <c r="I188" s="143" t="s">
        <v>1000</v>
      </c>
      <c r="J188" s="145" t="s">
        <v>3930</v>
      </c>
      <c r="K188" s="143" t="s">
        <v>205</v>
      </c>
      <c r="L188" s="145" t="s">
        <v>3930</v>
      </c>
      <c r="M188" s="145" t="s">
        <v>3930</v>
      </c>
      <c r="N188" s="143" t="s">
        <v>296</v>
      </c>
      <c r="O188" s="143" t="s">
        <v>339</v>
      </c>
      <c r="P188" s="162">
        <v>45371</v>
      </c>
      <c r="Q188" s="143" t="s">
        <v>1211</v>
      </c>
      <c r="R188" s="143" t="s">
        <v>885</v>
      </c>
      <c r="S188" s="143" t="s">
        <v>889</v>
      </c>
      <c r="T188" s="163">
        <v>45558</v>
      </c>
      <c r="U188" s="143" t="s">
        <v>1212</v>
      </c>
      <c r="V188" s="144">
        <v>656.18959568733146</v>
      </c>
      <c r="W188" s="144">
        <v>2434.4634000000001</v>
      </c>
      <c r="X188" s="146">
        <v>4.104E-4</v>
      </c>
      <c r="Y188" s="146">
        <v>2.0881310055904448E-3</v>
      </c>
      <c r="Z188" s="147">
        <v>3.1074081374634336E-4</v>
      </c>
      <c r="AA188" s="177"/>
    </row>
    <row r="189" spans="1:27" ht="15" x14ac:dyDescent="0.2">
      <c r="A189" s="142" t="s">
        <v>1220</v>
      </c>
      <c r="B189" s="143" t="s">
        <v>1220</v>
      </c>
      <c r="C189" s="143" t="s">
        <v>3361</v>
      </c>
      <c r="D189" s="145" t="s">
        <v>3930</v>
      </c>
      <c r="E189" s="145" t="s">
        <v>3930</v>
      </c>
      <c r="F189" s="143" t="s">
        <v>3418</v>
      </c>
      <c r="G189" s="143" t="s">
        <v>3419</v>
      </c>
      <c r="H189" s="143" t="s">
        <v>312</v>
      </c>
      <c r="I189" s="143" t="s">
        <v>1000</v>
      </c>
      <c r="J189" s="145" t="s">
        <v>3930</v>
      </c>
      <c r="K189" s="143" t="s">
        <v>205</v>
      </c>
      <c r="L189" s="145" t="s">
        <v>3930</v>
      </c>
      <c r="M189" s="145" t="s">
        <v>3930</v>
      </c>
      <c r="N189" s="143" t="s">
        <v>296</v>
      </c>
      <c r="O189" s="143" t="s">
        <v>339</v>
      </c>
      <c r="P189" s="162">
        <v>45475</v>
      </c>
      <c r="Q189" s="143" t="s">
        <v>1211</v>
      </c>
      <c r="R189" s="143" t="s">
        <v>885</v>
      </c>
      <c r="S189" s="143" t="s">
        <v>889</v>
      </c>
      <c r="T189" s="163">
        <v>45533</v>
      </c>
      <c r="U189" s="143" t="s">
        <v>1212</v>
      </c>
      <c r="V189" s="144">
        <v>598.38477088948798</v>
      </c>
      <c r="W189" s="144">
        <v>2220.0075000000002</v>
      </c>
      <c r="X189" s="146">
        <v>4.3058959999999999E-5</v>
      </c>
      <c r="Y189" s="146">
        <v>1.9041841215268723E-3</v>
      </c>
      <c r="Z189" s="147">
        <v>2.8336714596065949E-4</v>
      </c>
      <c r="AA189" s="177"/>
    </row>
    <row r="190" spans="1:27" ht="15" x14ac:dyDescent="0.2">
      <c r="A190" s="142" t="s">
        <v>1220</v>
      </c>
      <c r="B190" s="143" t="s">
        <v>1220</v>
      </c>
      <c r="C190" s="143" t="s">
        <v>3420</v>
      </c>
      <c r="D190" s="145" t="s">
        <v>3930</v>
      </c>
      <c r="E190" s="145" t="s">
        <v>3930</v>
      </c>
      <c r="F190" s="143" t="s">
        <v>3421</v>
      </c>
      <c r="G190" s="143" t="s">
        <v>3422</v>
      </c>
      <c r="H190" s="143" t="s">
        <v>312</v>
      </c>
      <c r="I190" s="143" t="s">
        <v>1000</v>
      </c>
      <c r="J190" s="145" t="s">
        <v>3930</v>
      </c>
      <c r="K190" s="143" t="s">
        <v>205</v>
      </c>
      <c r="L190" s="145" t="s">
        <v>3930</v>
      </c>
      <c r="M190" s="145" t="s">
        <v>3930</v>
      </c>
      <c r="N190" s="143" t="s">
        <v>291</v>
      </c>
      <c r="O190" s="143" t="s">
        <v>339</v>
      </c>
      <c r="P190" s="162">
        <v>44376</v>
      </c>
      <c r="Q190" s="143" t="s">
        <v>1211</v>
      </c>
      <c r="R190" s="143" t="s">
        <v>885</v>
      </c>
      <c r="S190" s="143" t="s">
        <v>889</v>
      </c>
      <c r="T190" s="163">
        <v>45564</v>
      </c>
      <c r="U190" s="143" t="s">
        <v>1212</v>
      </c>
      <c r="V190" s="144">
        <v>551.96226415094338</v>
      </c>
      <c r="W190" s="144">
        <v>2047.78</v>
      </c>
      <c r="X190" s="146">
        <v>2.5876645909090911E-3</v>
      </c>
      <c r="Y190" s="146">
        <v>1.756458097503484E-3</v>
      </c>
      <c r="Z190" s="147">
        <v>2.6138360910706087E-4</v>
      </c>
      <c r="AA190" s="177"/>
    </row>
    <row r="191" spans="1:27" ht="15" x14ac:dyDescent="0.2">
      <c r="A191" s="142" t="s">
        <v>1220</v>
      </c>
      <c r="B191" s="143" t="s">
        <v>1220</v>
      </c>
      <c r="C191" s="143" t="s">
        <v>3330</v>
      </c>
      <c r="D191" s="145" t="s">
        <v>3930</v>
      </c>
      <c r="E191" s="145" t="s">
        <v>3930</v>
      </c>
      <c r="F191" s="143" t="s">
        <v>3433</v>
      </c>
      <c r="G191" s="143" t="s">
        <v>3434</v>
      </c>
      <c r="H191" s="143" t="s">
        <v>312</v>
      </c>
      <c r="I191" s="143" t="s">
        <v>1000</v>
      </c>
      <c r="J191" s="145" t="s">
        <v>3930</v>
      </c>
      <c r="K191" s="143" t="s">
        <v>205</v>
      </c>
      <c r="L191" s="145" t="s">
        <v>3930</v>
      </c>
      <c r="M191" s="145" t="s">
        <v>3930</v>
      </c>
      <c r="N191" s="143" t="s">
        <v>224</v>
      </c>
      <c r="O191" s="143" t="s">
        <v>339</v>
      </c>
      <c r="P191" s="162">
        <v>45475</v>
      </c>
      <c r="Q191" s="143" t="s">
        <v>1211</v>
      </c>
      <c r="R191" s="143" t="s">
        <v>885</v>
      </c>
      <c r="S191" s="143" t="s">
        <v>889</v>
      </c>
      <c r="T191" s="163">
        <v>45551</v>
      </c>
      <c r="U191" s="143" t="s">
        <v>1212</v>
      </c>
      <c r="V191" s="144">
        <v>545.75956873315363</v>
      </c>
      <c r="W191" s="144">
        <v>2024.768</v>
      </c>
      <c r="X191" s="146">
        <v>1.0903482142857143E-7</v>
      </c>
      <c r="Y191" s="146">
        <v>1.7367198840029243E-3</v>
      </c>
      <c r="Z191" s="147">
        <v>2.5844630847379497E-4</v>
      </c>
      <c r="AA191" s="177"/>
    </row>
    <row r="192" spans="1:27" ht="15" x14ac:dyDescent="0.2">
      <c r="A192" s="142" t="s">
        <v>1220</v>
      </c>
      <c r="B192" s="143" t="s">
        <v>1220</v>
      </c>
      <c r="C192" s="143" t="s">
        <v>3423</v>
      </c>
      <c r="D192" s="145" t="s">
        <v>3930</v>
      </c>
      <c r="E192" s="145" t="s">
        <v>3930</v>
      </c>
      <c r="F192" s="143" t="s">
        <v>3424</v>
      </c>
      <c r="G192" s="143" t="s">
        <v>3425</v>
      </c>
      <c r="H192" s="143" t="s">
        <v>312</v>
      </c>
      <c r="I192" s="143" t="s">
        <v>1000</v>
      </c>
      <c r="J192" s="145" t="s">
        <v>3930</v>
      </c>
      <c r="K192" s="143" t="s">
        <v>205</v>
      </c>
      <c r="L192" s="145" t="s">
        <v>3930</v>
      </c>
      <c r="M192" s="145" t="s">
        <v>3930</v>
      </c>
      <c r="N192" s="143" t="s">
        <v>217</v>
      </c>
      <c r="O192" s="143" t="s">
        <v>339</v>
      </c>
      <c r="P192" s="162">
        <v>44560</v>
      </c>
      <c r="Q192" s="143" t="s">
        <v>1211</v>
      </c>
      <c r="R192" s="143" t="s">
        <v>885</v>
      </c>
      <c r="S192" s="143" t="s">
        <v>889</v>
      </c>
      <c r="T192" s="163">
        <v>45533</v>
      </c>
      <c r="U192" s="143" t="s">
        <v>1212</v>
      </c>
      <c r="V192" s="144">
        <v>418.41148247978441</v>
      </c>
      <c r="W192" s="144">
        <v>1552.3066000000001</v>
      </c>
      <c r="X192" s="145" t="s">
        <v>3930</v>
      </c>
      <c r="Y192" s="146">
        <v>1.3314718671263459E-3</v>
      </c>
      <c r="Z192" s="147">
        <v>1.9814017911879675E-4</v>
      </c>
      <c r="AA192" s="177"/>
    </row>
    <row r="193" spans="1:27" ht="15" x14ac:dyDescent="0.2">
      <c r="A193" s="142" t="s">
        <v>1220</v>
      </c>
      <c r="B193" s="143" t="s">
        <v>1220</v>
      </c>
      <c r="C193" s="143" t="s">
        <v>3373</v>
      </c>
      <c r="D193" s="145" t="s">
        <v>3930</v>
      </c>
      <c r="E193" s="145" t="s">
        <v>3930</v>
      </c>
      <c r="F193" s="143" t="s">
        <v>3426</v>
      </c>
      <c r="G193" s="143" t="s">
        <v>3427</v>
      </c>
      <c r="H193" s="143" t="s">
        <v>312</v>
      </c>
      <c r="I193" s="143" t="s">
        <v>1000</v>
      </c>
      <c r="J193" s="145" t="s">
        <v>3930</v>
      </c>
      <c r="K193" s="143" t="s">
        <v>205</v>
      </c>
      <c r="L193" s="145" t="s">
        <v>3930</v>
      </c>
      <c r="M193" s="145" t="s">
        <v>3930</v>
      </c>
      <c r="N193" s="143" t="s">
        <v>224</v>
      </c>
      <c r="O193" s="143" t="s">
        <v>339</v>
      </c>
      <c r="P193" s="162">
        <v>45089</v>
      </c>
      <c r="Q193" s="143" t="s">
        <v>1218</v>
      </c>
      <c r="R193" s="143" t="s">
        <v>885</v>
      </c>
      <c r="S193" s="143" t="s">
        <v>889</v>
      </c>
      <c r="T193" s="163">
        <v>45530</v>
      </c>
      <c r="U193" s="143" t="s">
        <v>1219</v>
      </c>
      <c r="V193" s="144">
        <v>235.50221558616704</v>
      </c>
      <c r="W193" s="144">
        <v>977.89940000000001</v>
      </c>
      <c r="X193" s="145" t="s">
        <v>3930</v>
      </c>
      <c r="Y193" s="146">
        <v>8.3878116969022826E-4</v>
      </c>
      <c r="Z193" s="147">
        <v>1.2482145158845102E-4</v>
      </c>
      <c r="AA193" s="177"/>
    </row>
    <row r="194" spans="1:27" ht="15" x14ac:dyDescent="0.2">
      <c r="A194" s="142" t="s">
        <v>1220</v>
      </c>
      <c r="B194" s="143" t="s">
        <v>1220</v>
      </c>
      <c r="C194" s="143" t="s">
        <v>3428</v>
      </c>
      <c r="D194" s="145" t="s">
        <v>3930</v>
      </c>
      <c r="E194" s="145" t="s">
        <v>3930</v>
      </c>
      <c r="F194" s="143" t="s">
        <v>3429</v>
      </c>
      <c r="G194" s="143" t="s">
        <v>3430</v>
      </c>
      <c r="H194" s="143" t="s">
        <v>312</v>
      </c>
      <c r="I194" s="143" t="s">
        <v>1000</v>
      </c>
      <c r="J194" s="145" t="s">
        <v>3930</v>
      </c>
      <c r="K194" s="143" t="s">
        <v>205</v>
      </c>
      <c r="L194" s="145" t="s">
        <v>3930</v>
      </c>
      <c r="M194" s="145" t="s">
        <v>3930</v>
      </c>
      <c r="N194" s="143" t="s">
        <v>204</v>
      </c>
      <c r="O194" s="143" t="s">
        <v>339</v>
      </c>
      <c r="P194" s="162">
        <v>44742</v>
      </c>
      <c r="Q194" s="143" t="s">
        <v>1211</v>
      </c>
      <c r="R194" s="143" t="s">
        <v>885</v>
      </c>
      <c r="S194" s="143" t="s">
        <v>889</v>
      </c>
      <c r="T194" s="163">
        <v>45512</v>
      </c>
      <c r="U194" s="143" t="s">
        <v>1212</v>
      </c>
      <c r="V194" s="144">
        <v>252.93498652291106</v>
      </c>
      <c r="W194" s="144">
        <v>938.38880000000006</v>
      </c>
      <c r="X194" s="146">
        <v>7.0123273999999995E-4</v>
      </c>
      <c r="Y194" s="146">
        <v>8.0489149329775449E-4</v>
      </c>
      <c r="Z194" s="147">
        <v>1.1977823083668606E-4</v>
      </c>
      <c r="AA194" s="177"/>
    </row>
    <row r="195" spans="1:27" ht="15" x14ac:dyDescent="0.2">
      <c r="A195" s="142" t="s">
        <v>1220</v>
      </c>
      <c r="B195" s="143" t="s">
        <v>1220</v>
      </c>
      <c r="C195" s="143" t="s">
        <v>3423</v>
      </c>
      <c r="D195" s="145" t="s">
        <v>3930</v>
      </c>
      <c r="E195" s="145" t="s">
        <v>3930</v>
      </c>
      <c r="F195" s="143" t="s">
        <v>3435</v>
      </c>
      <c r="G195" s="143" t="s">
        <v>3436</v>
      </c>
      <c r="H195" s="143" t="s">
        <v>312</v>
      </c>
      <c r="I195" s="143" t="s">
        <v>1000</v>
      </c>
      <c r="J195" s="145" t="s">
        <v>3930</v>
      </c>
      <c r="K195" s="143" t="s">
        <v>205</v>
      </c>
      <c r="L195" s="145" t="s">
        <v>3930</v>
      </c>
      <c r="M195" s="145" t="s">
        <v>3930</v>
      </c>
      <c r="N195" s="143" t="s">
        <v>217</v>
      </c>
      <c r="O195" s="143" t="s">
        <v>339</v>
      </c>
      <c r="P195" s="162">
        <v>44560</v>
      </c>
      <c r="Q195" s="143" t="s">
        <v>1211</v>
      </c>
      <c r="R195" s="143" t="s">
        <v>885</v>
      </c>
      <c r="S195" s="143" t="s">
        <v>889</v>
      </c>
      <c r="T195" s="163">
        <v>45523</v>
      </c>
      <c r="U195" s="143" t="s">
        <v>1212</v>
      </c>
      <c r="V195" s="144">
        <v>46.928140161725068</v>
      </c>
      <c r="W195" s="144">
        <v>174.10339999999999</v>
      </c>
      <c r="X195" s="146">
        <v>4.0855008333333333E-4</v>
      </c>
      <c r="Y195" s="146">
        <v>1.4933504294465278E-4</v>
      </c>
      <c r="Z195" s="147">
        <v>2.2222979612500461E-5</v>
      </c>
      <c r="AA195" s="177"/>
    </row>
    <row r="196" spans="1:27" ht="15" x14ac:dyDescent="0.2">
      <c r="A196" s="142" t="s">
        <v>1220</v>
      </c>
      <c r="B196" s="143" t="s">
        <v>1220</v>
      </c>
      <c r="C196" s="143" t="s">
        <v>3361</v>
      </c>
      <c r="D196" s="145" t="s">
        <v>3930</v>
      </c>
      <c r="E196" s="145" t="s">
        <v>3930</v>
      </c>
      <c r="F196" s="143" t="s">
        <v>3437</v>
      </c>
      <c r="G196" s="143" t="s">
        <v>3438</v>
      </c>
      <c r="H196" s="143" t="s">
        <v>312</v>
      </c>
      <c r="I196" s="143" t="s">
        <v>1000</v>
      </c>
      <c r="J196" s="145" t="s">
        <v>3930</v>
      </c>
      <c r="K196" s="143" t="s">
        <v>205</v>
      </c>
      <c r="L196" s="145" t="s">
        <v>3930</v>
      </c>
      <c r="M196" s="145" t="s">
        <v>3930</v>
      </c>
      <c r="N196" s="143" t="s">
        <v>296</v>
      </c>
      <c r="O196" s="143" t="s">
        <v>339</v>
      </c>
      <c r="P196" s="162">
        <v>45512</v>
      </c>
      <c r="Q196" s="143" t="s">
        <v>1211</v>
      </c>
      <c r="R196" s="143" t="s">
        <v>885</v>
      </c>
      <c r="S196" s="143" t="s">
        <v>889</v>
      </c>
      <c r="T196" s="163">
        <v>45516</v>
      </c>
      <c r="U196" s="143" t="s">
        <v>1212</v>
      </c>
      <c r="V196" s="144">
        <v>25.891725067385448</v>
      </c>
      <c r="W196" s="144">
        <v>96.058300000000003</v>
      </c>
      <c r="X196" s="146">
        <v>4.3221600000000002E-4</v>
      </c>
      <c r="Y196" s="146">
        <v>8.2392830123894761E-5</v>
      </c>
      <c r="Z196" s="147">
        <v>1.226111532802214E-5</v>
      </c>
      <c r="AA196" s="177"/>
    </row>
    <row r="197" spans="1:27" ht="15" x14ac:dyDescent="0.2">
      <c r="A197" s="142" t="s">
        <v>1220</v>
      </c>
      <c r="B197" s="143" t="s">
        <v>1220</v>
      </c>
      <c r="C197" s="143" t="s">
        <v>3439</v>
      </c>
      <c r="D197" s="145" t="s">
        <v>3930</v>
      </c>
      <c r="E197" s="145" t="s">
        <v>3930</v>
      </c>
      <c r="F197" s="143" t="s">
        <v>3440</v>
      </c>
      <c r="G197" s="143" t="s">
        <v>3441</v>
      </c>
      <c r="H197" s="143" t="s">
        <v>312</v>
      </c>
      <c r="I197" s="143" t="s">
        <v>1001</v>
      </c>
      <c r="J197" s="145" t="s">
        <v>3930</v>
      </c>
      <c r="K197" s="143" t="s">
        <v>204</v>
      </c>
      <c r="L197" s="145" t="s">
        <v>3930</v>
      </c>
      <c r="M197" s="145" t="s">
        <v>3930</v>
      </c>
      <c r="N197" s="143" t="s">
        <v>204</v>
      </c>
      <c r="O197" s="143" t="s">
        <v>339</v>
      </c>
      <c r="P197" s="162">
        <v>44136</v>
      </c>
      <c r="Q197" s="143" t="s">
        <v>1211</v>
      </c>
      <c r="R197" s="143" t="s">
        <v>885</v>
      </c>
      <c r="S197" s="143" t="s">
        <v>889</v>
      </c>
      <c r="T197" s="163">
        <v>45530</v>
      </c>
      <c r="U197" s="143" t="s">
        <v>1212</v>
      </c>
      <c r="V197" s="144">
        <v>4912.9640700808623</v>
      </c>
      <c r="W197" s="144">
        <v>18227.096699999998</v>
      </c>
      <c r="X197" s="145" t="s">
        <v>3930</v>
      </c>
      <c r="Y197" s="146">
        <v>1.563406802360048E-2</v>
      </c>
      <c r="Z197" s="147">
        <v>2.3265508757893279E-3</v>
      </c>
      <c r="AA197" s="177"/>
    </row>
    <row r="198" spans="1:27" ht="15" x14ac:dyDescent="0.2">
      <c r="A198" s="142" t="s">
        <v>1220</v>
      </c>
      <c r="B198" s="143" t="s">
        <v>1220</v>
      </c>
      <c r="C198" s="143" t="s">
        <v>3442</v>
      </c>
      <c r="D198" s="145" t="s">
        <v>3930</v>
      </c>
      <c r="E198" s="145" t="s">
        <v>3930</v>
      </c>
      <c r="F198" s="143" t="s">
        <v>3443</v>
      </c>
      <c r="G198" s="143" t="s">
        <v>3444</v>
      </c>
      <c r="H198" s="143" t="s">
        <v>312</v>
      </c>
      <c r="I198" s="143" t="s">
        <v>1001</v>
      </c>
      <c r="J198" s="145" t="s">
        <v>3930</v>
      </c>
      <c r="K198" s="143" t="s">
        <v>204</v>
      </c>
      <c r="L198" s="145" t="s">
        <v>3930</v>
      </c>
      <c r="M198" s="145" t="s">
        <v>3930</v>
      </c>
      <c r="N198" s="143" t="s">
        <v>204</v>
      </c>
      <c r="O198" s="143" t="s">
        <v>339</v>
      </c>
      <c r="P198" s="162">
        <v>44136</v>
      </c>
      <c r="Q198" s="143" t="s">
        <v>1211</v>
      </c>
      <c r="R198" s="143" t="s">
        <v>885</v>
      </c>
      <c r="S198" s="143" t="s">
        <v>889</v>
      </c>
      <c r="T198" s="163">
        <v>45526</v>
      </c>
      <c r="U198" s="143" t="s">
        <v>1212</v>
      </c>
      <c r="V198" s="144">
        <v>4193.5248247978434</v>
      </c>
      <c r="W198" s="144">
        <v>15557.9771</v>
      </c>
      <c r="X198" s="146">
        <v>1.2885016149068323E-2</v>
      </c>
      <c r="Y198" s="146">
        <v>1.334466347639008E-2</v>
      </c>
      <c r="Z198" s="147">
        <v>1.9858579642382263E-3</v>
      </c>
      <c r="AA198" s="177"/>
    </row>
    <row r="199" spans="1:27" ht="15" x14ac:dyDescent="0.2">
      <c r="A199" s="142" t="s">
        <v>1220</v>
      </c>
      <c r="B199" s="143" t="s">
        <v>1220</v>
      </c>
      <c r="C199" s="143" t="s">
        <v>3445</v>
      </c>
      <c r="D199" s="145" t="s">
        <v>3930</v>
      </c>
      <c r="E199" s="145" t="s">
        <v>3930</v>
      </c>
      <c r="F199" s="143" t="s">
        <v>3446</v>
      </c>
      <c r="G199" s="143" t="s">
        <v>3447</v>
      </c>
      <c r="H199" s="143" t="s">
        <v>312</v>
      </c>
      <c r="I199" s="143" t="s">
        <v>1001</v>
      </c>
      <c r="J199" s="145" t="s">
        <v>3930</v>
      </c>
      <c r="K199" s="143" t="s">
        <v>204</v>
      </c>
      <c r="L199" s="145" t="s">
        <v>3930</v>
      </c>
      <c r="M199" s="145" t="s">
        <v>3930</v>
      </c>
      <c r="N199" s="143" t="s">
        <v>204</v>
      </c>
      <c r="O199" s="143" t="s">
        <v>339</v>
      </c>
      <c r="P199" s="162">
        <v>44136</v>
      </c>
      <c r="Q199" s="143" t="s">
        <v>1210</v>
      </c>
      <c r="R199" s="143" t="s">
        <v>885</v>
      </c>
      <c r="S199" s="143" t="s">
        <v>889</v>
      </c>
      <c r="T199" s="163">
        <v>45522</v>
      </c>
      <c r="U199" s="145" t="s">
        <v>3930</v>
      </c>
      <c r="V199" s="144">
        <v>11024.782999999999</v>
      </c>
      <c r="W199" s="144">
        <v>11024.782999999999</v>
      </c>
      <c r="X199" s="146">
        <v>6.6981193749999996E-3</v>
      </c>
      <c r="Y199" s="146">
        <v>9.4563719928916525E-3</v>
      </c>
      <c r="Z199" s="147">
        <v>1.4072300637710186E-3</v>
      </c>
      <c r="AA199" s="177"/>
    </row>
    <row r="200" spans="1:27" ht="15" x14ac:dyDescent="0.2">
      <c r="A200" s="142" t="s">
        <v>1220</v>
      </c>
      <c r="B200" s="143" t="s">
        <v>1220</v>
      </c>
      <c r="C200" s="143" t="s">
        <v>3445</v>
      </c>
      <c r="D200" s="145" t="s">
        <v>3930</v>
      </c>
      <c r="E200" s="145" t="s">
        <v>3930</v>
      </c>
      <c r="F200" s="143" t="s">
        <v>3448</v>
      </c>
      <c r="G200" s="143" t="s">
        <v>3449</v>
      </c>
      <c r="H200" s="143" t="s">
        <v>312</v>
      </c>
      <c r="I200" s="143" t="s">
        <v>1001</v>
      </c>
      <c r="J200" s="145" t="s">
        <v>3930</v>
      </c>
      <c r="K200" s="143" t="s">
        <v>204</v>
      </c>
      <c r="L200" s="145" t="s">
        <v>3930</v>
      </c>
      <c r="M200" s="145" t="s">
        <v>3930</v>
      </c>
      <c r="N200" s="143" t="s">
        <v>204</v>
      </c>
      <c r="O200" s="143" t="s">
        <v>339</v>
      </c>
      <c r="P200" s="162">
        <v>44286</v>
      </c>
      <c r="Q200" s="143" t="s">
        <v>1210</v>
      </c>
      <c r="R200" s="143" t="s">
        <v>885</v>
      </c>
      <c r="S200" s="143" t="s">
        <v>889</v>
      </c>
      <c r="T200" s="163">
        <v>45558</v>
      </c>
      <c r="U200" s="145" t="s">
        <v>3930</v>
      </c>
      <c r="V200" s="144">
        <v>10862.9352</v>
      </c>
      <c r="W200" s="144">
        <v>10862.9352</v>
      </c>
      <c r="X200" s="146">
        <v>4.7614159136363634E-3</v>
      </c>
      <c r="Y200" s="146">
        <v>9.3175490430981115E-3</v>
      </c>
      <c r="Z200" s="147">
        <v>1.3865714191409538E-3</v>
      </c>
      <c r="AA200" s="177"/>
    </row>
    <row r="201" spans="1:27" ht="15" x14ac:dyDescent="0.2">
      <c r="A201" s="142" t="s">
        <v>1220</v>
      </c>
      <c r="B201" s="143" t="s">
        <v>1220</v>
      </c>
      <c r="C201" s="143" t="s">
        <v>3665</v>
      </c>
      <c r="D201" s="145" t="s">
        <v>3930</v>
      </c>
      <c r="E201" s="145" t="s">
        <v>3930</v>
      </c>
      <c r="F201" s="143" t="s">
        <v>3666</v>
      </c>
      <c r="G201" s="143" t="s">
        <v>3667</v>
      </c>
      <c r="H201" s="143" t="s">
        <v>312</v>
      </c>
      <c r="I201" s="143" t="s">
        <v>1001</v>
      </c>
      <c r="J201" s="145" t="s">
        <v>3930</v>
      </c>
      <c r="K201" s="143" t="s">
        <v>204</v>
      </c>
      <c r="L201" s="145" t="s">
        <v>3930</v>
      </c>
      <c r="M201" s="145" t="s">
        <v>3930</v>
      </c>
      <c r="N201" s="143" t="s">
        <v>204</v>
      </c>
      <c r="O201" s="143" t="s">
        <v>339</v>
      </c>
      <c r="P201" s="162">
        <v>43480</v>
      </c>
      <c r="Q201" s="143" t="s">
        <v>1211</v>
      </c>
      <c r="R201" s="143" t="s">
        <v>885</v>
      </c>
      <c r="S201" s="143" t="s">
        <v>889</v>
      </c>
      <c r="T201" s="163">
        <v>45525</v>
      </c>
      <c r="U201" s="143" t="s">
        <v>1212</v>
      </c>
      <c r="V201" s="144">
        <v>1035.0978706199462</v>
      </c>
      <c r="W201" s="144">
        <v>3840.2130999999999</v>
      </c>
      <c r="X201" s="145" t="s">
        <v>3930</v>
      </c>
      <c r="Y201" s="146">
        <v>3.2938955355733173E-3</v>
      </c>
      <c r="Z201" s="147">
        <v>4.9017412048344127E-4</v>
      </c>
      <c r="AA201" s="177"/>
    </row>
    <row r="202" spans="1:27" ht="15" x14ac:dyDescent="0.2">
      <c r="A202" s="142" t="s">
        <v>1220</v>
      </c>
      <c r="B202" s="143" t="s">
        <v>1220</v>
      </c>
      <c r="C202" s="143" t="s">
        <v>3450</v>
      </c>
      <c r="D202" s="145" t="s">
        <v>3930</v>
      </c>
      <c r="E202" s="145" t="s">
        <v>3930</v>
      </c>
      <c r="F202" s="143" t="s">
        <v>3451</v>
      </c>
      <c r="G202" s="143" t="s">
        <v>3452</v>
      </c>
      <c r="H202" s="143" t="s">
        <v>312</v>
      </c>
      <c r="I202" s="143" t="s">
        <v>1001</v>
      </c>
      <c r="J202" s="145" t="s">
        <v>3930</v>
      </c>
      <c r="K202" s="143" t="s">
        <v>204</v>
      </c>
      <c r="L202" s="145" t="s">
        <v>3930</v>
      </c>
      <c r="M202" s="145" t="s">
        <v>3930</v>
      </c>
      <c r="N202" s="143" t="s">
        <v>204</v>
      </c>
      <c r="O202" s="143" t="s">
        <v>339</v>
      </c>
      <c r="P202" s="162">
        <v>44136</v>
      </c>
      <c r="Q202" s="143" t="s">
        <v>1210</v>
      </c>
      <c r="R202" s="143" t="s">
        <v>885</v>
      </c>
      <c r="S202" s="143" t="s">
        <v>889</v>
      </c>
      <c r="T202" s="163">
        <v>45551</v>
      </c>
      <c r="U202" s="145" t="s">
        <v>3930</v>
      </c>
      <c r="V202" s="144">
        <v>2772.5116000000003</v>
      </c>
      <c r="W202" s="144">
        <v>2772.5116000000003</v>
      </c>
      <c r="X202" s="145" t="s">
        <v>3930</v>
      </c>
      <c r="Y202" s="146">
        <v>2.3780877050985387E-3</v>
      </c>
      <c r="Z202" s="147">
        <v>3.5389010874513664E-4</v>
      </c>
      <c r="AA202" s="177"/>
    </row>
    <row r="203" spans="1:27" ht="15" x14ac:dyDescent="0.2">
      <c r="A203" s="142" t="s">
        <v>1220</v>
      </c>
      <c r="B203" s="143" t="s">
        <v>1220</v>
      </c>
      <c r="C203" s="143" t="s">
        <v>3453</v>
      </c>
      <c r="D203" s="145" t="s">
        <v>3930</v>
      </c>
      <c r="E203" s="145" t="s">
        <v>3930</v>
      </c>
      <c r="F203" s="143" t="s">
        <v>3454</v>
      </c>
      <c r="G203" s="143" t="s">
        <v>3455</v>
      </c>
      <c r="H203" s="143" t="s">
        <v>312</v>
      </c>
      <c r="I203" s="143" t="s">
        <v>1001</v>
      </c>
      <c r="J203" s="145" t="s">
        <v>3930</v>
      </c>
      <c r="K203" s="143" t="s">
        <v>204</v>
      </c>
      <c r="L203" s="145" t="s">
        <v>3930</v>
      </c>
      <c r="M203" s="145" t="s">
        <v>3930</v>
      </c>
      <c r="N203" s="143" t="s">
        <v>204</v>
      </c>
      <c r="O203" s="143" t="s">
        <v>339</v>
      </c>
      <c r="P203" s="162">
        <v>44136</v>
      </c>
      <c r="Q203" s="143" t="s">
        <v>1211</v>
      </c>
      <c r="R203" s="143" t="s">
        <v>885</v>
      </c>
      <c r="S203" s="143" t="s">
        <v>889</v>
      </c>
      <c r="T203" s="163">
        <v>45466</v>
      </c>
      <c r="U203" s="143" t="s">
        <v>1212</v>
      </c>
      <c r="V203" s="145" t="s">
        <v>3930</v>
      </c>
      <c r="W203" s="144">
        <v>0</v>
      </c>
      <c r="X203" s="145" t="s">
        <v>3930</v>
      </c>
      <c r="Y203" s="146">
        <v>1.755464417312421E-11</v>
      </c>
      <c r="Z203" s="147">
        <v>2.6123573668413921E-12</v>
      </c>
      <c r="AA203" s="177"/>
    </row>
    <row r="204" spans="1:27" ht="15" x14ac:dyDescent="0.2">
      <c r="A204" s="142" t="s">
        <v>1220</v>
      </c>
      <c r="B204" s="143" t="s">
        <v>1220</v>
      </c>
      <c r="C204" s="143" t="s">
        <v>3456</v>
      </c>
      <c r="D204" s="145" t="s">
        <v>3930</v>
      </c>
      <c r="E204" s="145" t="s">
        <v>3930</v>
      </c>
      <c r="F204" s="143" t="s">
        <v>3457</v>
      </c>
      <c r="G204" s="143" t="s">
        <v>3458</v>
      </c>
      <c r="H204" s="143" t="s">
        <v>312</v>
      </c>
      <c r="I204" s="143" t="s">
        <v>1001</v>
      </c>
      <c r="J204" s="145" t="s">
        <v>3930</v>
      </c>
      <c r="K204" s="143" t="s">
        <v>205</v>
      </c>
      <c r="L204" s="145" t="s">
        <v>3930</v>
      </c>
      <c r="M204" s="145" t="s">
        <v>3930</v>
      </c>
      <c r="N204" s="143" t="s">
        <v>224</v>
      </c>
      <c r="O204" s="143" t="s">
        <v>339</v>
      </c>
      <c r="P204" s="162">
        <v>44136</v>
      </c>
      <c r="Q204" s="143" t="s">
        <v>1211</v>
      </c>
      <c r="R204" s="143" t="s">
        <v>885</v>
      </c>
      <c r="S204" s="143" t="s">
        <v>889</v>
      </c>
      <c r="T204" s="163">
        <v>45529</v>
      </c>
      <c r="U204" s="143" t="s">
        <v>1212</v>
      </c>
      <c r="V204" s="144">
        <v>3682.2582479784369</v>
      </c>
      <c r="W204" s="144">
        <v>13661.178099999999</v>
      </c>
      <c r="X204" s="146">
        <v>5.3578789808917194E-3</v>
      </c>
      <c r="Y204" s="146">
        <v>1.171770744868882E-2</v>
      </c>
      <c r="Z204" s="147">
        <v>1.7437459326540517E-3</v>
      </c>
      <c r="AA204" s="177"/>
    </row>
    <row r="205" spans="1:27" ht="15" x14ac:dyDescent="0.2">
      <c r="A205" s="142" t="s">
        <v>1220</v>
      </c>
      <c r="B205" s="143" t="s">
        <v>1220</v>
      </c>
      <c r="C205" s="143" t="s">
        <v>3388</v>
      </c>
      <c r="D205" s="145" t="s">
        <v>3930</v>
      </c>
      <c r="E205" s="145" t="s">
        <v>3930</v>
      </c>
      <c r="F205" s="143" t="s">
        <v>3459</v>
      </c>
      <c r="G205" s="143" t="s">
        <v>3460</v>
      </c>
      <c r="H205" s="143" t="s">
        <v>312</v>
      </c>
      <c r="I205" s="143" t="s">
        <v>1001</v>
      </c>
      <c r="J205" s="145" t="s">
        <v>3930</v>
      </c>
      <c r="K205" s="143" t="s">
        <v>205</v>
      </c>
      <c r="L205" s="145" t="s">
        <v>3930</v>
      </c>
      <c r="M205" s="145" t="s">
        <v>3930</v>
      </c>
      <c r="N205" s="143" t="s">
        <v>291</v>
      </c>
      <c r="O205" s="143" t="s">
        <v>339</v>
      </c>
      <c r="P205" s="162">
        <v>44651</v>
      </c>
      <c r="Q205" s="143" t="s">
        <v>1211</v>
      </c>
      <c r="R205" s="143" t="s">
        <v>885</v>
      </c>
      <c r="S205" s="143" t="s">
        <v>889</v>
      </c>
      <c r="T205" s="163">
        <v>45559</v>
      </c>
      <c r="U205" s="143" t="s">
        <v>1212</v>
      </c>
      <c r="V205" s="144">
        <v>2667.1497574123987</v>
      </c>
      <c r="W205" s="144">
        <v>9895.1255999999994</v>
      </c>
      <c r="X205" s="146">
        <v>9.5351040399999998E-4</v>
      </c>
      <c r="Y205" s="146">
        <v>8.4874222995554287E-3</v>
      </c>
      <c r="Z205" s="147">
        <v>1.2630378577358275E-3</v>
      </c>
      <c r="AA205" s="177"/>
    </row>
    <row r="206" spans="1:27" ht="15" x14ac:dyDescent="0.2">
      <c r="A206" s="142" t="s">
        <v>1220</v>
      </c>
      <c r="B206" s="143" t="s">
        <v>1220</v>
      </c>
      <c r="C206" s="143" t="s">
        <v>3461</v>
      </c>
      <c r="D206" s="145" t="s">
        <v>3930</v>
      </c>
      <c r="E206" s="145" t="s">
        <v>3930</v>
      </c>
      <c r="F206" s="143" t="s">
        <v>3462</v>
      </c>
      <c r="G206" s="143" t="s">
        <v>3463</v>
      </c>
      <c r="H206" s="143" t="s">
        <v>321</v>
      </c>
      <c r="I206" s="143" t="s">
        <v>1002</v>
      </c>
      <c r="J206" s="145" t="s">
        <v>3930</v>
      </c>
      <c r="K206" s="143" t="s">
        <v>204</v>
      </c>
      <c r="L206" s="145" t="s">
        <v>3930</v>
      </c>
      <c r="M206" s="145" t="s">
        <v>3930</v>
      </c>
      <c r="N206" s="143" t="s">
        <v>204</v>
      </c>
      <c r="O206" s="143" t="s">
        <v>339</v>
      </c>
      <c r="P206" s="162">
        <v>43033</v>
      </c>
      <c r="Q206" s="143" t="s">
        <v>1210</v>
      </c>
      <c r="R206" s="143" t="s">
        <v>885</v>
      </c>
      <c r="S206" s="143" t="s">
        <v>889</v>
      </c>
      <c r="T206" s="163">
        <v>45565</v>
      </c>
      <c r="U206" s="145" t="s">
        <v>3930</v>
      </c>
      <c r="V206" s="144">
        <v>13591.0419</v>
      </c>
      <c r="W206" s="144">
        <v>13591.0419</v>
      </c>
      <c r="X206" s="145" t="s">
        <v>3930</v>
      </c>
      <c r="Y206" s="146">
        <v>1.1657548974465682E-2</v>
      </c>
      <c r="Z206" s="147">
        <v>1.7347935761286284E-3</v>
      </c>
      <c r="AA206" s="177"/>
    </row>
    <row r="207" spans="1:27" ht="15" x14ac:dyDescent="0.2">
      <c r="A207" s="142" t="s">
        <v>1220</v>
      </c>
      <c r="B207" s="143" t="s">
        <v>1220</v>
      </c>
      <c r="C207" s="143" t="s">
        <v>3464</v>
      </c>
      <c r="D207" s="145" t="s">
        <v>3930</v>
      </c>
      <c r="E207" s="145" t="s">
        <v>3930</v>
      </c>
      <c r="F207" s="143" t="s">
        <v>3465</v>
      </c>
      <c r="G207" s="143" t="s">
        <v>3466</v>
      </c>
      <c r="H207" s="143" t="s">
        <v>312</v>
      </c>
      <c r="I207" s="143" t="s">
        <v>1002</v>
      </c>
      <c r="J207" s="145" t="s">
        <v>3930</v>
      </c>
      <c r="K207" s="143" t="s">
        <v>204</v>
      </c>
      <c r="L207" s="145" t="s">
        <v>3930</v>
      </c>
      <c r="M207" s="145" t="s">
        <v>3930</v>
      </c>
      <c r="N207" s="143" t="s">
        <v>204</v>
      </c>
      <c r="O207" s="143" t="s">
        <v>339</v>
      </c>
      <c r="P207" s="162">
        <v>44136</v>
      </c>
      <c r="Q207" s="143" t="s">
        <v>1210</v>
      </c>
      <c r="R207" s="143" t="s">
        <v>885</v>
      </c>
      <c r="S207" s="143" t="s">
        <v>889</v>
      </c>
      <c r="T207" s="163">
        <v>45539</v>
      </c>
      <c r="U207" s="145" t="s">
        <v>3930</v>
      </c>
      <c r="V207" s="144">
        <v>14631.507300000001</v>
      </c>
      <c r="W207" s="144">
        <v>14631.507300000001</v>
      </c>
      <c r="X207" s="145" t="s">
        <v>3930</v>
      </c>
      <c r="Y207" s="146">
        <v>1.2549995379994667E-2</v>
      </c>
      <c r="Z207" s="147">
        <v>1.8676011066602967E-3</v>
      </c>
      <c r="AA207" s="177"/>
    </row>
    <row r="208" spans="1:27" ht="15" x14ac:dyDescent="0.2">
      <c r="A208" s="142" t="s">
        <v>1220</v>
      </c>
      <c r="B208" s="143" t="s">
        <v>1220</v>
      </c>
      <c r="C208" s="143" t="s">
        <v>3467</v>
      </c>
      <c r="D208" s="145" t="s">
        <v>3930</v>
      </c>
      <c r="E208" s="145" t="s">
        <v>3930</v>
      </c>
      <c r="F208" s="143" t="s">
        <v>3468</v>
      </c>
      <c r="G208" s="143" t="s">
        <v>3469</v>
      </c>
      <c r="H208" s="143" t="s">
        <v>312</v>
      </c>
      <c r="I208" s="143" t="s">
        <v>1002</v>
      </c>
      <c r="J208" s="145" t="s">
        <v>3930</v>
      </c>
      <c r="K208" s="143" t="s">
        <v>204</v>
      </c>
      <c r="L208" s="145" t="s">
        <v>3930</v>
      </c>
      <c r="M208" s="145" t="s">
        <v>3930</v>
      </c>
      <c r="N208" s="143" t="s">
        <v>217</v>
      </c>
      <c r="O208" s="143" t="s">
        <v>339</v>
      </c>
      <c r="P208" s="162">
        <v>44136</v>
      </c>
      <c r="Q208" s="143" t="s">
        <v>1210</v>
      </c>
      <c r="R208" s="143" t="s">
        <v>885</v>
      </c>
      <c r="S208" s="143" t="s">
        <v>889</v>
      </c>
      <c r="T208" s="163">
        <v>45544</v>
      </c>
      <c r="U208" s="145" t="s">
        <v>3930</v>
      </c>
      <c r="V208" s="144">
        <v>12625.247800000001</v>
      </c>
      <c r="W208" s="144">
        <v>12625.247800000001</v>
      </c>
      <c r="X208" s="145" t="s">
        <v>3930</v>
      </c>
      <c r="Y208" s="146">
        <v>1.082915096237202E-2</v>
      </c>
      <c r="Z208" s="147">
        <v>1.611517272249864E-3</v>
      </c>
      <c r="AA208" s="177"/>
    </row>
    <row r="209" spans="1:27" ht="15" x14ac:dyDescent="0.2">
      <c r="A209" s="142" t="s">
        <v>1220</v>
      </c>
      <c r="B209" s="143" t="s">
        <v>1220</v>
      </c>
      <c r="C209" s="143" t="s">
        <v>3470</v>
      </c>
      <c r="D209" s="145" t="s">
        <v>3930</v>
      </c>
      <c r="E209" s="145" t="s">
        <v>3930</v>
      </c>
      <c r="F209" s="143" t="s">
        <v>3471</v>
      </c>
      <c r="G209" s="143" t="s">
        <v>3472</v>
      </c>
      <c r="H209" s="143" t="s">
        <v>312</v>
      </c>
      <c r="I209" s="143" t="s">
        <v>1002</v>
      </c>
      <c r="J209" s="145" t="s">
        <v>3930</v>
      </c>
      <c r="K209" s="143" t="s">
        <v>204</v>
      </c>
      <c r="L209" s="145" t="s">
        <v>3930</v>
      </c>
      <c r="M209" s="145" t="s">
        <v>3930</v>
      </c>
      <c r="N209" s="143" t="s">
        <v>204</v>
      </c>
      <c r="O209" s="143" t="s">
        <v>339</v>
      </c>
      <c r="P209" s="162">
        <v>43614</v>
      </c>
      <c r="Q209" s="143" t="s">
        <v>1210</v>
      </c>
      <c r="R209" s="143" t="s">
        <v>885</v>
      </c>
      <c r="S209" s="143" t="s">
        <v>889</v>
      </c>
      <c r="T209" s="163">
        <v>45559</v>
      </c>
      <c r="U209" s="145" t="s">
        <v>3930</v>
      </c>
      <c r="V209" s="144">
        <v>9640.8849000000009</v>
      </c>
      <c r="W209" s="144">
        <v>9640.8849000000009</v>
      </c>
      <c r="X209" s="145" t="s">
        <v>3930</v>
      </c>
      <c r="Y209" s="146">
        <v>8.2693504231652476E-3</v>
      </c>
      <c r="Z209" s="147">
        <v>1.2305859511536944E-3</v>
      </c>
      <c r="AA209" s="177"/>
    </row>
    <row r="210" spans="1:27" ht="15" x14ac:dyDescent="0.2">
      <c r="A210" s="142" t="s">
        <v>1220</v>
      </c>
      <c r="B210" s="143" t="s">
        <v>1220</v>
      </c>
      <c r="C210" s="143" t="s">
        <v>3467</v>
      </c>
      <c r="D210" s="145" t="s">
        <v>3930</v>
      </c>
      <c r="E210" s="145" t="s">
        <v>3930</v>
      </c>
      <c r="F210" s="143" t="s">
        <v>3473</v>
      </c>
      <c r="G210" s="143" t="s">
        <v>3474</v>
      </c>
      <c r="H210" s="143" t="s">
        <v>312</v>
      </c>
      <c r="I210" s="143" t="s">
        <v>1002</v>
      </c>
      <c r="J210" s="145" t="s">
        <v>3930</v>
      </c>
      <c r="K210" s="143" t="s">
        <v>204</v>
      </c>
      <c r="L210" s="145" t="s">
        <v>3930</v>
      </c>
      <c r="M210" s="145" t="s">
        <v>3930</v>
      </c>
      <c r="N210" s="143" t="s">
        <v>204</v>
      </c>
      <c r="O210" s="143" t="s">
        <v>339</v>
      </c>
      <c r="P210" s="162">
        <v>45378</v>
      </c>
      <c r="Q210" s="143" t="s">
        <v>1210</v>
      </c>
      <c r="R210" s="143" t="s">
        <v>885</v>
      </c>
      <c r="S210" s="143" t="s">
        <v>889</v>
      </c>
      <c r="T210" s="163">
        <v>45545</v>
      </c>
      <c r="U210" s="145" t="s">
        <v>3930</v>
      </c>
      <c r="V210" s="144">
        <v>3735.8784000000001</v>
      </c>
      <c r="W210" s="144">
        <v>3735.8784000000001</v>
      </c>
      <c r="X210" s="146">
        <v>3.1858407079646017E-2</v>
      </c>
      <c r="Y210" s="146">
        <v>3.2044037447110079E-3</v>
      </c>
      <c r="Z210" s="147">
        <v>4.7685658827798069E-4</v>
      </c>
      <c r="AA210" s="177"/>
    </row>
    <row r="211" spans="1:27" ht="15" x14ac:dyDescent="0.2">
      <c r="A211" s="142" t="s">
        <v>1220</v>
      </c>
      <c r="B211" s="143" t="s">
        <v>1220</v>
      </c>
      <c r="C211" s="143" t="s">
        <v>3475</v>
      </c>
      <c r="D211" s="145" t="s">
        <v>3930</v>
      </c>
      <c r="E211" s="145" t="s">
        <v>3930</v>
      </c>
      <c r="F211" s="143" t="s">
        <v>3476</v>
      </c>
      <c r="G211" s="143" t="s">
        <v>3477</v>
      </c>
      <c r="H211" s="143" t="s">
        <v>312</v>
      </c>
      <c r="I211" s="143" t="s">
        <v>1002</v>
      </c>
      <c r="J211" s="145" t="s">
        <v>3930</v>
      </c>
      <c r="K211" s="143" t="s">
        <v>205</v>
      </c>
      <c r="L211" s="145" t="s">
        <v>3930</v>
      </c>
      <c r="M211" s="145" t="s">
        <v>3930</v>
      </c>
      <c r="N211" s="143" t="s">
        <v>204</v>
      </c>
      <c r="O211" s="143" t="s">
        <v>339</v>
      </c>
      <c r="P211" s="162">
        <v>44136</v>
      </c>
      <c r="Q211" s="143" t="s">
        <v>1211</v>
      </c>
      <c r="R211" s="143" t="s">
        <v>885</v>
      </c>
      <c r="S211" s="143" t="s">
        <v>889</v>
      </c>
      <c r="T211" s="163">
        <v>45544</v>
      </c>
      <c r="U211" s="143" t="s">
        <v>1212</v>
      </c>
      <c r="V211" s="144">
        <v>4809.5277088948787</v>
      </c>
      <c r="W211" s="144">
        <v>17843.3478</v>
      </c>
      <c r="X211" s="146">
        <v>7.3514046641882857E-6</v>
      </c>
      <c r="Y211" s="146">
        <v>1.5304912134621327E-2</v>
      </c>
      <c r="Z211" s="147">
        <v>2.2775682360426128E-3</v>
      </c>
      <c r="AA211" s="177"/>
    </row>
    <row r="212" spans="1:27" ht="15" x14ac:dyDescent="0.2">
      <c r="A212" s="142" t="s">
        <v>1220</v>
      </c>
      <c r="B212" s="143" t="s">
        <v>1220</v>
      </c>
      <c r="C212" s="143" t="s">
        <v>3478</v>
      </c>
      <c r="D212" s="145" t="s">
        <v>3930</v>
      </c>
      <c r="E212" s="145" t="s">
        <v>3930</v>
      </c>
      <c r="F212" s="143" t="s">
        <v>3479</v>
      </c>
      <c r="G212" s="143" t="s">
        <v>3480</v>
      </c>
      <c r="H212" s="143" t="s">
        <v>312</v>
      </c>
      <c r="I212" s="143" t="s">
        <v>1003</v>
      </c>
      <c r="J212" s="145" t="s">
        <v>3930</v>
      </c>
      <c r="K212" s="143" t="s">
        <v>204</v>
      </c>
      <c r="L212" s="145" t="s">
        <v>3930</v>
      </c>
      <c r="M212" s="145" t="s">
        <v>3930</v>
      </c>
      <c r="N212" s="143" t="s">
        <v>204</v>
      </c>
      <c r="O212" s="143" t="s">
        <v>339</v>
      </c>
      <c r="P212" s="162">
        <v>44136</v>
      </c>
      <c r="Q212" s="143" t="s">
        <v>1210</v>
      </c>
      <c r="R212" s="143" t="s">
        <v>885</v>
      </c>
      <c r="S212" s="143" t="s">
        <v>889</v>
      </c>
      <c r="T212" s="163">
        <v>45533</v>
      </c>
      <c r="U212" s="145" t="s">
        <v>3930</v>
      </c>
      <c r="V212" s="144">
        <v>12867.395199999999</v>
      </c>
      <c r="W212" s="144">
        <v>12867.395199999999</v>
      </c>
      <c r="X212" s="145" t="s">
        <v>3930</v>
      </c>
      <c r="Y212" s="146">
        <v>1.1036849924244748E-2</v>
      </c>
      <c r="Z212" s="147">
        <v>1.6424255554245359E-3</v>
      </c>
      <c r="AA212" s="177"/>
    </row>
    <row r="213" spans="1:27" ht="15" x14ac:dyDescent="0.2">
      <c r="A213" s="142" t="s">
        <v>1220</v>
      </c>
      <c r="B213" s="143" t="s">
        <v>1220</v>
      </c>
      <c r="C213" s="143" t="s">
        <v>3481</v>
      </c>
      <c r="D213" s="145" t="s">
        <v>3930</v>
      </c>
      <c r="E213" s="145" t="s">
        <v>3930</v>
      </c>
      <c r="F213" s="143" t="s">
        <v>3482</v>
      </c>
      <c r="G213" s="143" t="s">
        <v>3483</v>
      </c>
      <c r="H213" s="143" t="s">
        <v>312</v>
      </c>
      <c r="I213" s="143" t="s">
        <v>1003</v>
      </c>
      <c r="J213" s="145" t="s">
        <v>3930</v>
      </c>
      <c r="K213" s="143" t="s">
        <v>204</v>
      </c>
      <c r="L213" s="145" t="s">
        <v>3930</v>
      </c>
      <c r="M213" s="145" t="s">
        <v>3930</v>
      </c>
      <c r="N213" s="143" t="s">
        <v>204</v>
      </c>
      <c r="O213" s="143" t="s">
        <v>339</v>
      </c>
      <c r="P213" s="162">
        <v>44136</v>
      </c>
      <c r="Q213" s="143" t="s">
        <v>1210</v>
      </c>
      <c r="R213" s="143" t="s">
        <v>885</v>
      </c>
      <c r="S213" s="143" t="s">
        <v>889</v>
      </c>
      <c r="T213" s="163">
        <v>45547</v>
      </c>
      <c r="U213" s="145" t="s">
        <v>3930</v>
      </c>
      <c r="V213" s="144">
        <v>9227.1103000000003</v>
      </c>
      <c r="W213" s="144">
        <v>9227.1103000000003</v>
      </c>
      <c r="X213" s="145" t="s">
        <v>3930</v>
      </c>
      <c r="Y213" s="146">
        <v>7.9144403867884051E-3</v>
      </c>
      <c r="Z213" s="147">
        <v>1.1777707622526033E-3</v>
      </c>
      <c r="AA213" s="177"/>
    </row>
    <row r="214" spans="1:27" ht="15" x14ac:dyDescent="0.2">
      <c r="A214" s="142" t="s">
        <v>1220</v>
      </c>
      <c r="B214" s="143" t="s">
        <v>1220</v>
      </c>
      <c r="C214" s="143" t="s">
        <v>3478</v>
      </c>
      <c r="D214" s="145" t="s">
        <v>3930</v>
      </c>
      <c r="E214" s="145" t="s">
        <v>3930</v>
      </c>
      <c r="F214" s="143" t="s">
        <v>3484</v>
      </c>
      <c r="G214" s="143" t="s">
        <v>3485</v>
      </c>
      <c r="H214" s="143" t="s">
        <v>312</v>
      </c>
      <c r="I214" s="143" t="s">
        <v>1003</v>
      </c>
      <c r="J214" s="145" t="s">
        <v>3930</v>
      </c>
      <c r="K214" s="143" t="s">
        <v>204</v>
      </c>
      <c r="L214" s="145" t="s">
        <v>3930</v>
      </c>
      <c r="M214" s="145" t="s">
        <v>3930</v>
      </c>
      <c r="N214" s="143" t="s">
        <v>204</v>
      </c>
      <c r="O214" s="143" t="s">
        <v>339</v>
      </c>
      <c r="P214" s="162">
        <v>44136</v>
      </c>
      <c r="Q214" s="143" t="s">
        <v>1210</v>
      </c>
      <c r="R214" s="143" t="s">
        <v>885</v>
      </c>
      <c r="S214" s="143" t="s">
        <v>889</v>
      </c>
      <c r="T214" s="163">
        <v>45533</v>
      </c>
      <c r="U214" s="145" t="s">
        <v>3930</v>
      </c>
      <c r="V214" s="144">
        <v>8857.4071999999996</v>
      </c>
      <c r="W214" s="144">
        <v>8857.4071999999996</v>
      </c>
      <c r="X214" s="145" t="s">
        <v>3930</v>
      </c>
      <c r="Y214" s="146">
        <v>7.5973321079931396E-3</v>
      </c>
      <c r="Z214" s="147">
        <v>1.1305809622186348E-3</v>
      </c>
      <c r="AA214" s="177"/>
    </row>
    <row r="215" spans="1:27" ht="15" x14ac:dyDescent="0.2">
      <c r="A215" s="142" t="s">
        <v>1220</v>
      </c>
      <c r="B215" s="143" t="s">
        <v>1220</v>
      </c>
      <c r="C215" s="143" t="s">
        <v>3486</v>
      </c>
      <c r="D215" s="145" t="s">
        <v>3930</v>
      </c>
      <c r="E215" s="145" t="s">
        <v>3930</v>
      </c>
      <c r="F215" s="143" t="s">
        <v>3487</v>
      </c>
      <c r="G215" s="143" t="s">
        <v>3488</v>
      </c>
      <c r="H215" s="143" t="s">
        <v>312</v>
      </c>
      <c r="I215" s="143" t="s">
        <v>1003</v>
      </c>
      <c r="J215" s="145" t="s">
        <v>3930</v>
      </c>
      <c r="K215" s="143" t="s">
        <v>204</v>
      </c>
      <c r="L215" s="145" t="s">
        <v>3930</v>
      </c>
      <c r="M215" s="145" t="s">
        <v>3930</v>
      </c>
      <c r="N215" s="143" t="s">
        <v>204</v>
      </c>
      <c r="O215" s="143" t="s">
        <v>339</v>
      </c>
      <c r="P215" s="162">
        <v>44560</v>
      </c>
      <c r="Q215" s="143" t="s">
        <v>1210</v>
      </c>
      <c r="R215" s="143" t="s">
        <v>885</v>
      </c>
      <c r="S215" s="143" t="s">
        <v>889</v>
      </c>
      <c r="T215" s="163">
        <v>45560</v>
      </c>
      <c r="U215" s="145" t="s">
        <v>3930</v>
      </c>
      <c r="V215" s="144">
        <v>8436.7602999999999</v>
      </c>
      <c r="W215" s="144">
        <v>8436.7602999999999</v>
      </c>
      <c r="X215" s="145" t="s">
        <v>3930</v>
      </c>
      <c r="Y215" s="146">
        <v>7.2365274073262712E-3</v>
      </c>
      <c r="Z215" s="147">
        <v>1.0768885712773746E-3</v>
      </c>
      <c r="AA215" s="177"/>
    </row>
    <row r="216" spans="1:27" ht="15" x14ac:dyDescent="0.2">
      <c r="A216" s="142" t="s">
        <v>1220</v>
      </c>
      <c r="B216" s="143" t="s">
        <v>1220</v>
      </c>
      <c r="C216" s="143" t="s">
        <v>3489</v>
      </c>
      <c r="D216" s="145" t="s">
        <v>3930</v>
      </c>
      <c r="E216" s="145" t="s">
        <v>3930</v>
      </c>
      <c r="F216" s="143" t="s">
        <v>3490</v>
      </c>
      <c r="G216" s="143" t="s">
        <v>3491</v>
      </c>
      <c r="H216" s="143" t="s">
        <v>312</v>
      </c>
      <c r="I216" s="143" t="s">
        <v>1003</v>
      </c>
      <c r="J216" s="145" t="s">
        <v>3930</v>
      </c>
      <c r="K216" s="143" t="s">
        <v>204</v>
      </c>
      <c r="L216" s="145" t="s">
        <v>3930</v>
      </c>
      <c r="M216" s="145" t="s">
        <v>3930</v>
      </c>
      <c r="N216" s="143" t="s">
        <v>204</v>
      </c>
      <c r="O216" s="143" t="s">
        <v>339</v>
      </c>
      <c r="P216" s="162">
        <v>44651</v>
      </c>
      <c r="Q216" s="143" t="s">
        <v>1210</v>
      </c>
      <c r="R216" s="143" t="s">
        <v>885</v>
      </c>
      <c r="S216" s="143" t="s">
        <v>889</v>
      </c>
      <c r="T216" s="163">
        <v>45560</v>
      </c>
      <c r="U216" s="145" t="s">
        <v>3930</v>
      </c>
      <c r="V216" s="144">
        <v>7430.1064999999999</v>
      </c>
      <c r="W216" s="144">
        <v>7430.1064999999999</v>
      </c>
      <c r="X216" s="146">
        <v>3.595903005E-2</v>
      </c>
      <c r="Y216" s="146">
        <v>6.3730824587500895E-3</v>
      </c>
      <c r="Z216" s="147">
        <v>9.4839683142608835E-4</v>
      </c>
      <c r="AA216" s="177"/>
    </row>
    <row r="217" spans="1:27" ht="15" x14ac:dyDescent="0.2">
      <c r="A217" s="142" t="s">
        <v>1220</v>
      </c>
      <c r="B217" s="143" t="s">
        <v>1220</v>
      </c>
      <c r="C217" s="143" t="s">
        <v>3492</v>
      </c>
      <c r="D217" s="145" t="s">
        <v>3930</v>
      </c>
      <c r="E217" s="145" t="s">
        <v>3930</v>
      </c>
      <c r="F217" s="143" t="s">
        <v>3493</v>
      </c>
      <c r="G217" s="143" t="s">
        <v>3494</v>
      </c>
      <c r="H217" s="143" t="s">
        <v>312</v>
      </c>
      <c r="I217" s="143" t="s">
        <v>1003</v>
      </c>
      <c r="J217" s="145" t="s">
        <v>3930</v>
      </c>
      <c r="K217" s="143" t="s">
        <v>204</v>
      </c>
      <c r="L217" s="145" t="s">
        <v>3930</v>
      </c>
      <c r="M217" s="145" t="s">
        <v>3930</v>
      </c>
      <c r="N217" s="143" t="s">
        <v>204</v>
      </c>
      <c r="O217" s="143" t="s">
        <v>339</v>
      </c>
      <c r="P217" s="162">
        <v>45056</v>
      </c>
      <c r="Q217" s="143" t="s">
        <v>1210</v>
      </c>
      <c r="R217" s="143" t="s">
        <v>885</v>
      </c>
      <c r="S217" s="143" t="s">
        <v>889</v>
      </c>
      <c r="T217" s="163">
        <v>45561</v>
      </c>
      <c r="U217" s="145" t="s">
        <v>3930</v>
      </c>
      <c r="V217" s="144">
        <v>5082.4971999999998</v>
      </c>
      <c r="W217" s="144">
        <v>5082.4971999999998</v>
      </c>
      <c r="X217" s="145" t="s">
        <v>3930</v>
      </c>
      <c r="Y217" s="146">
        <v>4.3594494744144657E-3</v>
      </c>
      <c r="Z217" s="147">
        <v>6.4874228366843933E-4</v>
      </c>
      <c r="AA217" s="177"/>
    </row>
    <row r="218" spans="1:27" ht="15" x14ac:dyDescent="0.2">
      <c r="A218" s="142" t="s">
        <v>1220</v>
      </c>
      <c r="B218" s="143" t="s">
        <v>1220</v>
      </c>
      <c r="C218" s="143" t="s">
        <v>3495</v>
      </c>
      <c r="D218" s="145" t="s">
        <v>3930</v>
      </c>
      <c r="E218" s="145" t="s">
        <v>3930</v>
      </c>
      <c r="F218" s="143" t="s">
        <v>3496</v>
      </c>
      <c r="G218" s="143" t="s">
        <v>3497</v>
      </c>
      <c r="H218" s="143" t="s">
        <v>312</v>
      </c>
      <c r="I218" s="143" t="s">
        <v>1003</v>
      </c>
      <c r="J218" s="145" t="s">
        <v>3930</v>
      </c>
      <c r="K218" s="143" t="s">
        <v>204</v>
      </c>
      <c r="L218" s="145" t="s">
        <v>3930</v>
      </c>
      <c r="M218" s="145" t="s">
        <v>3930</v>
      </c>
      <c r="N218" s="143" t="s">
        <v>204</v>
      </c>
      <c r="O218" s="143" t="s">
        <v>339</v>
      </c>
      <c r="P218" s="162">
        <v>45034</v>
      </c>
      <c r="Q218" s="143" t="s">
        <v>1210</v>
      </c>
      <c r="R218" s="143" t="s">
        <v>885</v>
      </c>
      <c r="S218" s="143" t="s">
        <v>889</v>
      </c>
      <c r="T218" s="163">
        <v>45554</v>
      </c>
      <c r="U218" s="145" t="s">
        <v>3930</v>
      </c>
      <c r="V218" s="144">
        <v>3135.1917000000003</v>
      </c>
      <c r="W218" s="144">
        <v>3135.1917000000003</v>
      </c>
      <c r="X218" s="146">
        <v>8.2457142857142853E-4</v>
      </c>
      <c r="Y218" s="146">
        <v>2.6891720907550841E-3</v>
      </c>
      <c r="Z218" s="147">
        <v>4.001834758202367E-4</v>
      </c>
      <c r="AA218" s="177"/>
    </row>
    <row r="219" spans="1:27" ht="15" x14ac:dyDescent="0.2">
      <c r="A219" s="142" t="s">
        <v>1220</v>
      </c>
      <c r="B219" s="143" t="s">
        <v>1220</v>
      </c>
      <c r="C219" s="143" t="s">
        <v>3498</v>
      </c>
      <c r="D219" s="145" t="s">
        <v>3930</v>
      </c>
      <c r="E219" s="145" t="s">
        <v>3930</v>
      </c>
      <c r="F219" s="143" t="s">
        <v>3499</v>
      </c>
      <c r="G219" s="143" t="s">
        <v>3500</v>
      </c>
      <c r="H219" s="143" t="s">
        <v>312</v>
      </c>
      <c r="I219" s="143" t="s">
        <v>1003</v>
      </c>
      <c r="J219" s="145" t="s">
        <v>3930</v>
      </c>
      <c r="K219" s="143" t="s">
        <v>204</v>
      </c>
      <c r="L219" s="145" t="s">
        <v>3930</v>
      </c>
      <c r="M219" s="145" t="s">
        <v>3930</v>
      </c>
      <c r="N219" s="143" t="s">
        <v>204</v>
      </c>
      <c r="O219" s="143" t="s">
        <v>339</v>
      </c>
      <c r="P219" s="162">
        <v>44136</v>
      </c>
      <c r="Q219" s="143" t="s">
        <v>1210</v>
      </c>
      <c r="R219" s="143" t="s">
        <v>885</v>
      </c>
      <c r="S219" s="143" t="s">
        <v>889</v>
      </c>
      <c r="T219" s="163">
        <v>45545</v>
      </c>
      <c r="U219" s="145" t="s">
        <v>3930</v>
      </c>
      <c r="V219" s="144">
        <v>2615.3249999999998</v>
      </c>
      <c r="W219" s="144">
        <v>2615.3249999999998</v>
      </c>
      <c r="X219" s="145" t="s">
        <v>3930</v>
      </c>
      <c r="Y219" s="146">
        <v>2.2432628824027774E-3</v>
      </c>
      <c r="Z219" s="147">
        <v>3.3382643697094127E-4</v>
      </c>
      <c r="AA219" s="177"/>
    </row>
    <row r="220" spans="1:27" ht="15" x14ac:dyDescent="0.2">
      <c r="A220" s="142" t="s">
        <v>1220</v>
      </c>
      <c r="B220" s="143" t="s">
        <v>1220</v>
      </c>
      <c r="C220" s="143" t="s">
        <v>3501</v>
      </c>
      <c r="D220" s="145" t="s">
        <v>3930</v>
      </c>
      <c r="E220" s="145" t="s">
        <v>3930</v>
      </c>
      <c r="F220" s="143" t="s">
        <v>3502</v>
      </c>
      <c r="G220" s="143" t="s">
        <v>3503</v>
      </c>
      <c r="H220" s="143" t="s">
        <v>312</v>
      </c>
      <c r="I220" s="143" t="s">
        <v>1003</v>
      </c>
      <c r="J220" s="145" t="s">
        <v>3930</v>
      </c>
      <c r="K220" s="143" t="s">
        <v>204</v>
      </c>
      <c r="L220" s="145" t="s">
        <v>3930</v>
      </c>
      <c r="M220" s="145" t="s">
        <v>3930</v>
      </c>
      <c r="N220" s="143" t="s">
        <v>204</v>
      </c>
      <c r="O220" s="143" t="s">
        <v>339</v>
      </c>
      <c r="P220" s="162">
        <v>44136</v>
      </c>
      <c r="Q220" s="143" t="s">
        <v>1210</v>
      </c>
      <c r="R220" s="143" t="s">
        <v>885</v>
      </c>
      <c r="S220" s="143" t="s">
        <v>889</v>
      </c>
      <c r="T220" s="163">
        <v>45532</v>
      </c>
      <c r="U220" s="145" t="s">
        <v>3930</v>
      </c>
      <c r="V220" s="144">
        <v>2199.114</v>
      </c>
      <c r="W220" s="144">
        <v>2199.114</v>
      </c>
      <c r="X220" s="145" t="s">
        <v>3930</v>
      </c>
      <c r="Y220" s="146">
        <v>1.8862629757659336E-3</v>
      </c>
      <c r="Z220" s="147">
        <v>2.8070024843262521E-4</v>
      </c>
      <c r="AA220" s="177"/>
    </row>
    <row r="221" spans="1:27" ht="15" x14ac:dyDescent="0.2">
      <c r="A221" s="142" t="s">
        <v>1220</v>
      </c>
      <c r="B221" s="143" t="s">
        <v>1220</v>
      </c>
      <c r="C221" s="143" t="s">
        <v>3504</v>
      </c>
      <c r="D221" s="145" t="s">
        <v>3930</v>
      </c>
      <c r="E221" s="145" t="s">
        <v>3930</v>
      </c>
      <c r="F221" s="143" t="s">
        <v>3487</v>
      </c>
      <c r="G221" s="143" t="s">
        <v>3505</v>
      </c>
      <c r="H221" s="143" t="s">
        <v>312</v>
      </c>
      <c r="I221" s="143" t="s">
        <v>1003</v>
      </c>
      <c r="J221" s="145" t="s">
        <v>3930</v>
      </c>
      <c r="K221" s="143" t="s">
        <v>204</v>
      </c>
      <c r="L221" s="145" t="s">
        <v>3930</v>
      </c>
      <c r="M221" s="145" t="s">
        <v>3930</v>
      </c>
      <c r="N221" s="143" t="s">
        <v>204</v>
      </c>
      <c r="O221" s="143" t="s">
        <v>339</v>
      </c>
      <c r="P221" s="162">
        <v>44136</v>
      </c>
      <c r="Q221" s="143" t="s">
        <v>1210</v>
      </c>
      <c r="R221" s="143" t="s">
        <v>885</v>
      </c>
      <c r="S221" s="143" t="s">
        <v>889</v>
      </c>
      <c r="T221" s="163">
        <v>45532</v>
      </c>
      <c r="U221" s="145" t="s">
        <v>3930</v>
      </c>
      <c r="V221" s="144">
        <v>1424.8396</v>
      </c>
      <c r="W221" s="144">
        <v>1424.8396</v>
      </c>
      <c r="X221" s="145" t="s">
        <v>3930</v>
      </c>
      <c r="Y221" s="146">
        <v>1.2221386652020525E-3</v>
      </c>
      <c r="Z221" s="147">
        <v>1.8186998915251083E-4</v>
      </c>
      <c r="AA221" s="177"/>
    </row>
    <row r="222" spans="1:27" ht="15" x14ac:dyDescent="0.2">
      <c r="A222" s="142" t="s">
        <v>1220</v>
      </c>
      <c r="B222" s="143" t="s">
        <v>1220</v>
      </c>
      <c r="C222" s="143" t="s">
        <v>3478</v>
      </c>
      <c r="D222" s="145" t="s">
        <v>3930</v>
      </c>
      <c r="E222" s="145" t="s">
        <v>3930</v>
      </c>
      <c r="F222" s="143" t="s">
        <v>3506</v>
      </c>
      <c r="G222" s="143" t="s">
        <v>3507</v>
      </c>
      <c r="H222" s="143" t="s">
        <v>312</v>
      </c>
      <c r="I222" s="143" t="s">
        <v>1003</v>
      </c>
      <c r="J222" s="145" t="s">
        <v>3930</v>
      </c>
      <c r="K222" s="143" t="s">
        <v>204</v>
      </c>
      <c r="L222" s="145" t="s">
        <v>3930</v>
      </c>
      <c r="M222" s="145" t="s">
        <v>3930</v>
      </c>
      <c r="N222" s="143" t="s">
        <v>204</v>
      </c>
      <c r="O222" s="143" t="s">
        <v>339</v>
      </c>
      <c r="P222" s="162">
        <v>44136</v>
      </c>
      <c r="Q222" s="143" t="s">
        <v>1210</v>
      </c>
      <c r="R222" s="143" t="s">
        <v>885</v>
      </c>
      <c r="S222" s="143" t="s">
        <v>889</v>
      </c>
      <c r="T222" s="163">
        <v>45532</v>
      </c>
      <c r="U222" s="145" t="s">
        <v>3930</v>
      </c>
      <c r="V222" s="144">
        <v>54.861400000000003</v>
      </c>
      <c r="W222" s="144">
        <v>54.861400000000003</v>
      </c>
      <c r="X222" s="145" t="s">
        <v>3930</v>
      </c>
      <c r="Y222" s="146">
        <v>4.7056675830218386E-5</v>
      </c>
      <c r="Z222" s="147">
        <v>7.0026400166139371E-6</v>
      </c>
      <c r="AA222" s="177"/>
    </row>
    <row r="223" spans="1:27" ht="15" x14ac:dyDescent="0.2">
      <c r="A223" s="142" t="s">
        <v>1220</v>
      </c>
      <c r="B223" s="143" t="s">
        <v>1220</v>
      </c>
      <c r="C223" s="143" t="s">
        <v>3508</v>
      </c>
      <c r="D223" s="145" t="s">
        <v>3930</v>
      </c>
      <c r="E223" s="145" t="s">
        <v>3930</v>
      </c>
      <c r="F223" s="143" t="s">
        <v>3509</v>
      </c>
      <c r="G223" s="143" t="s">
        <v>3510</v>
      </c>
      <c r="H223" s="143" t="s">
        <v>312</v>
      </c>
      <c r="I223" s="143" t="s">
        <v>1003</v>
      </c>
      <c r="J223" s="145" t="s">
        <v>3930</v>
      </c>
      <c r="K223" s="143" t="s">
        <v>205</v>
      </c>
      <c r="L223" s="145" t="s">
        <v>3930</v>
      </c>
      <c r="M223" s="145" t="s">
        <v>3930</v>
      </c>
      <c r="N223" s="143" t="s">
        <v>293</v>
      </c>
      <c r="O223" s="143" t="s">
        <v>339</v>
      </c>
      <c r="P223" s="162">
        <v>44136</v>
      </c>
      <c r="Q223" s="143" t="s">
        <v>1218</v>
      </c>
      <c r="R223" s="143" t="s">
        <v>885</v>
      </c>
      <c r="S223" s="143" t="s">
        <v>889</v>
      </c>
      <c r="T223" s="163">
        <v>45540</v>
      </c>
      <c r="U223" s="143" t="s">
        <v>1219</v>
      </c>
      <c r="V223" s="144">
        <v>4735.2376216164148</v>
      </c>
      <c r="W223" s="144">
        <v>19662.600699999999</v>
      </c>
      <c r="X223" s="145" t="s">
        <v>3930</v>
      </c>
      <c r="Y223" s="146">
        <v>1.6865353919248434E-2</v>
      </c>
      <c r="Z223" s="147">
        <v>2.5097820907579753E-3</v>
      </c>
      <c r="AA223" s="177"/>
    </row>
    <row r="224" spans="1:27" ht="15" x14ac:dyDescent="0.2">
      <c r="A224" s="142" t="s">
        <v>1220</v>
      </c>
      <c r="B224" s="143" t="s">
        <v>1220</v>
      </c>
      <c r="C224" s="143" t="s">
        <v>3324</v>
      </c>
      <c r="D224" s="145" t="s">
        <v>3930</v>
      </c>
      <c r="E224" s="145" t="s">
        <v>3930</v>
      </c>
      <c r="F224" s="143" t="s">
        <v>3511</v>
      </c>
      <c r="G224" s="143" t="s">
        <v>3512</v>
      </c>
      <c r="H224" s="143" t="s">
        <v>312</v>
      </c>
      <c r="I224" s="143" t="s">
        <v>1003</v>
      </c>
      <c r="J224" s="145" t="s">
        <v>3930</v>
      </c>
      <c r="K224" s="143" t="s">
        <v>205</v>
      </c>
      <c r="L224" s="145" t="s">
        <v>3930</v>
      </c>
      <c r="M224" s="145" t="s">
        <v>3930</v>
      </c>
      <c r="N224" s="143" t="s">
        <v>224</v>
      </c>
      <c r="O224" s="143" t="s">
        <v>339</v>
      </c>
      <c r="P224" s="162">
        <v>44453</v>
      </c>
      <c r="Q224" s="143" t="s">
        <v>1211</v>
      </c>
      <c r="R224" s="143" t="s">
        <v>885</v>
      </c>
      <c r="S224" s="143" t="s">
        <v>889</v>
      </c>
      <c r="T224" s="163">
        <v>45565</v>
      </c>
      <c r="U224" s="143" t="s">
        <v>1212</v>
      </c>
      <c r="V224" s="144">
        <v>4347.2167924528312</v>
      </c>
      <c r="W224" s="144">
        <v>16128.174300000001</v>
      </c>
      <c r="X224" s="146">
        <v>9.1350000000000008E-3</v>
      </c>
      <c r="Y224" s="146">
        <v>1.3833743092359055E-2</v>
      </c>
      <c r="Z224" s="147">
        <v>2.0586393162923206E-3</v>
      </c>
      <c r="AA224" s="177"/>
    </row>
    <row r="225" spans="1:27" ht="15" x14ac:dyDescent="0.2">
      <c r="A225" s="142" t="s">
        <v>1220</v>
      </c>
      <c r="B225" s="143" t="s">
        <v>1220</v>
      </c>
      <c r="C225" s="143" t="s">
        <v>3513</v>
      </c>
      <c r="D225" s="145" t="s">
        <v>3930</v>
      </c>
      <c r="E225" s="145" t="s">
        <v>3930</v>
      </c>
      <c r="F225" s="143" t="s">
        <v>3514</v>
      </c>
      <c r="G225" s="143" t="s">
        <v>3515</v>
      </c>
      <c r="H225" s="143" t="s">
        <v>312</v>
      </c>
      <c r="I225" s="143" t="s">
        <v>1003</v>
      </c>
      <c r="J225" s="145" t="s">
        <v>3930</v>
      </c>
      <c r="K225" s="143" t="s">
        <v>205</v>
      </c>
      <c r="L225" s="145" t="s">
        <v>3930</v>
      </c>
      <c r="M225" s="145" t="s">
        <v>3930</v>
      </c>
      <c r="N225" s="143" t="s">
        <v>293</v>
      </c>
      <c r="O225" s="143" t="s">
        <v>339</v>
      </c>
      <c r="P225" s="162">
        <v>44427</v>
      </c>
      <c r="Q225" s="143" t="s">
        <v>1218</v>
      </c>
      <c r="R225" s="143" t="s">
        <v>885</v>
      </c>
      <c r="S225" s="143" t="s">
        <v>889</v>
      </c>
      <c r="T225" s="163">
        <v>45525</v>
      </c>
      <c r="U225" s="143" t="s">
        <v>1219</v>
      </c>
      <c r="V225" s="144">
        <v>3101.3549031885173</v>
      </c>
      <c r="W225" s="144">
        <v>12878.0661</v>
      </c>
      <c r="X225" s="146">
        <v>3.1341918199999999E-3</v>
      </c>
      <c r="Y225" s="146">
        <v>1.1046002752824677E-2</v>
      </c>
      <c r="Z225" s="147">
        <v>1.6437876143151867E-3</v>
      </c>
      <c r="AA225" s="177"/>
    </row>
    <row r="226" spans="1:27" ht="15" x14ac:dyDescent="0.2">
      <c r="A226" s="142" t="s">
        <v>1220</v>
      </c>
      <c r="B226" s="143" t="s">
        <v>1220</v>
      </c>
      <c r="C226" s="143" t="s">
        <v>3522</v>
      </c>
      <c r="D226" s="145" t="s">
        <v>3930</v>
      </c>
      <c r="E226" s="145" t="s">
        <v>3930</v>
      </c>
      <c r="F226" s="143" t="s">
        <v>3523</v>
      </c>
      <c r="G226" s="143" t="s">
        <v>3524</v>
      </c>
      <c r="H226" s="143" t="s">
        <v>312</v>
      </c>
      <c r="I226" s="143" t="s">
        <v>1003</v>
      </c>
      <c r="J226" s="145" t="s">
        <v>3930</v>
      </c>
      <c r="K226" s="143" t="s">
        <v>205</v>
      </c>
      <c r="L226" s="145" t="s">
        <v>3930</v>
      </c>
      <c r="M226" s="145" t="s">
        <v>3930</v>
      </c>
      <c r="N226" s="143" t="s">
        <v>224</v>
      </c>
      <c r="O226" s="143" t="s">
        <v>339</v>
      </c>
      <c r="P226" s="162">
        <v>44560</v>
      </c>
      <c r="Q226" s="143" t="s">
        <v>1211</v>
      </c>
      <c r="R226" s="143" t="s">
        <v>885</v>
      </c>
      <c r="S226" s="143" t="s">
        <v>889</v>
      </c>
      <c r="T226" s="163">
        <v>45522</v>
      </c>
      <c r="U226" s="143" t="s">
        <v>1212</v>
      </c>
      <c r="V226" s="144">
        <v>2856.2295148247977</v>
      </c>
      <c r="W226" s="144">
        <v>10596.611500000001</v>
      </c>
      <c r="X226" s="146">
        <v>3.8415999999999998E-6</v>
      </c>
      <c r="Y226" s="146">
        <v>9.0891132131394672E-3</v>
      </c>
      <c r="Z226" s="147">
        <v>1.3525772226560936E-3</v>
      </c>
      <c r="AA226" s="177"/>
    </row>
    <row r="227" spans="1:27" ht="15" x14ac:dyDescent="0.2">
      <c r="A227" s="142" t="s">
        <v>1220</v>
      </c>
      <c r="B227" s="143" t="s">
        <v>1220</v>
      </c>
      <c r="C227" s="143" t="s">
        <v>3519</v>
      </c>
      <c r="D227" s="145" t="s">
        <v>3930</v>
      </c>
      <c r="E227" s="145" t="s">
        <v>3930</v>
      </c>
      <c r="F227" s="143" t="s">
        <v>3520</v>
      </c>
      <c r="G227" s="143" t="s">
        <v>3521</v>
      </c>
      <c r="H227" s="143" t="s">
        <v>312</v>
      </c>
      <c r="I227" s="143" t="s">
        <v>1003</v>
      </c>
      <c r="J227" s="145" t="s">
        <v>3930</v>
      </c>
      <c r="K227" s="143" t="s">
        <v>205</v>
      </c>
      <c r="L227" s="145" t="s">
        <v>3930</v>
      </c>
      <c r="M227" s="145" t="s">
        <v>3930</v>
      </c>
      <c r="N227" s="143" t="s">
        <v>293</v>
      </c>
      <c r="O227" s="143" t="s">
        <v>339</v>
      </c>
      <c r="P227" s="162">
        <v>44136</v>
      </c>
      <c r="Q227" s="143" t="s">
        <v>1218</v>
      </c>
      <c r="R227" s="143" t="s">
        <v>885</v>
      </c>
      <c r="S227" s="143" t="s">
        <v>889</v>
      </c>
      <c r="T227" s="163">
        <v>45550</v>
      </c>
      <c r="U227" s="143" t="s">
        <v>1219</v>
      </c>
      <c r="V227" s="144">
        <v>2468.6701425681536</v>
      </c>
      <c r="W227" s="144">
        <v>10250.9059</v>
      </c>
      <c r="X227" s="146">
        <v>4.63625276E-3</v>
      </c>
      <c r="Y227" s="146">
        <v>8.7925884480899875E-3</v>
      </c>
      <c r="Z227" s="147">
        <v>1.3084505148294628E-3</v>
      </c>
      <c r="AA227" s="177"/>
    </row>
    <row r="228" spans="1:27" ht="15" x14ac:dyDescent="0.2">
      <c r="A228" s="142" t="s">
        <v>1220</v>
      </c>
      <c r="B228" s="143" t="s">
        <v>1220</v>
      </c>
      <c r="C228" s="143" t="s">
        <v>3516</v>
      </c>
      <c r="D228" s="145" t="s">
        <v>3930</v>
      </c>
      <c r="E228" s="145" t="s">
        <v>3930</v>
      </c>
      <c r="F228" s="143" t="s">
        <v>3517</v>
      </c>
      <c r="G228" s="143" t="s">
        <v>3518</v>
      </c>
      <c r="H228" s="143" t="s">
        <v>312</v>
      </c>
      <c r="I228" s="143" t="s">
        <v>1003</v>
      </c>
      <c r="J228" s="145" t="s">
        <v>3930</v>
      </c>
      <c r="K228" s="143" t="s">
        <v>205</v>
      </c>
      <c r="L228" s="145" t="s">
        <v>3930</v>
      </c>
      <c r="M228" s="145" t="s">
        <v>3930</v>
      </c>
      <c r="N228" s="143" t="s">
        <v>272</v>
      </c>
      <c r="O228" s="143" t="s">
        <v>339</v>
      </c>
      <c r="P228" s="162">
        <v>44651</v>
      </c>
      <c r="Q228" s="143" t="s">
        <v>1218</v>
      </c>
      <c r="R228" s="143" t="s">
        <v>885</v>
      </c>
      <c r="S228" s="143" t="s">
        <v>889</v>
      </c>
      <c r="T228" s="163">
        <v>45544</v>
      </c>
      <c r="U228" s="143" t="s">
        <v>1219</v>
      </c>
      <c r="V228" s="144">
        <v>2388.1239764955208</v>
      </c>
      <c r="W228" s="144">
        <v>9916.4459999999999</v>
      </c>
      <c r="X228" s="146">
        <v>1.1832600049999999E-2</v>
      </c>
      <c r="Y228" s="146">
        <v>8.5057095610447195E-3</v>
      </c>
      <c r="Z228" s="147">
        <v>1.2657592380041923E-3</v>
      </c>
      <c r="AA228" s="177"/>
    </row>
    <row r="229" spans="1:27" ht="15" x14ac:dyDescent="0.2">
      <c r="A229" s="142" t="s">
        <v>1220</v>
      </c>
      <c r="B229" s="143" t="s">
        <v>1220</v>
      </c>
      <c r="C229" s="143" t="s">
        <v>3528</v>
      </c>
      <c r="D229" s="145" t="s">
        <v>3930</v>
      </c>
      <c r="E229" s="145" t="s">
        <v>3930</v>
      </c>
      <c r="F229" s="143" t="s">
        <v>3529</v>
      </c>
      <c r="G229" s="143" t="s">
        <v>3530</v>
      </c>
      <c r="H229" s="143" t="s">
        <v>312</v>
      </c>
      <c r="I229" s="143" t="s">
        <v>1003</v>
      </c>
      <c r="J229" s="145" t="s">
        <v>3930</v>
      </c>
      <c r="K229" s="143" t="s">
        <v>205</v>
      </c>
      <c r="L229" s="145" t="s">
        <v>3930</v>
      </c>
      <c r="M229" s="145" t="s">
        <v>3930</v>
      </c>
      <c r="N229" s="143" t="s">
        <v>289</v>
      </c>
      <c r="O229" s="143" t="s">
        <v>339</v>
      </c>
      <c r="P229" s="162">
        <v>44731</v>
      </c>
      <c r="Q229" s="143" t="s">
        <v>1211</v>
      </c>
      <c r="R229" s="143" t="s">
        <v>885</v>
      </c>
      <c r="S229" s="143" t="s">
        <v>889</v>
      </c>
      <c r="T229" s="163">
        <v>45533</v>
      </c>
      <c r="U229" s="143" t="s">
        <v>1212</v>
      </c>
      <c r="V229" s="144">
        <v>2280.3108625336927</v>
      </c>
      <c r="W229" s="144">
        <v>8459.953300000001</v>
      </c>
      <c r="X229" s="146">
        <v>2.13884748E-3</v>
      </c>
      <c r="Y229" s="146">
        <v>7.2564208495817231E-3</v>
      </c>
      <c r="Z229" s="147">
        <v>1.0798489719505723E-3</v>
      </c>
      <c r="AA229" s="177"/>
    </row>
    <row r="230" spans="1:27" ht="15" x14ac:dyDescent="0.2">
      <c r="A230" s="142" t="s">
        <v>1220</v>
      </c>
      <c r="B230" s="143" t="s">
        <v>1220</v>
      </c>
      <c r="C230" s="143" t="s">
        <v>3525</v>
      </c>
      <c r="D230" s="145" t="s">
        <v>3930</v>
      </c>
      <c r="E230" s="145" t="s">
        <v>3930</v>
      </c>
      <c r="F230" s="143" t="s">
        <v>3526</v>
      </c>
      <c r="G230" s="143" t="s">
        <v>3527</v>
      </c>
      <c r="H230" s="143" t="s">
        <v>312</v>
      </c>
      <c r="I230" s="143" t="s">
        <v>1003</v>
      </c>
      <c r="J230" s="145" t="s">
        <v>3930</v>
      </c>
      <c r="K230" s="143" t="s">
        <v>205</v>
      </c>
      <c r="L230" s="145" t="s">
        <v>3930</v>
      </c>
      <c r="M230" s="145" t="s">
        <v>3930</v>
      </c>
      <c r="N230" s="143" t="s">
        <v>291</v>
      </c>
      <c r="O230" s="143" t="s">
        <v>339</v>
      </c>
      <c r="P230" s="162">
        <v>45124</v>
      </c>
      <c r="Q230" s="143" t="s">
        <v>1211</v>
      </c>
      <c r="R230" s="143" t="s">
        <v>885</v>
      </c>
      <c r="S230" s="143" t="s">
        <v>889</v>
      </c>
      <c r="T230" s="163">
        <v>45560</v>
      </c>
      <c r="U230" s="143" t="s">
        <v>1212</v>
      </c>
      <c r="V230" s="144">
        <v>1873.6333153638814</v>
      </c>
      <c r="W230" s="144">
        <v>6951.1795999999995</v>
      </c>
      <c r="X230" s="145" t="s">
        <v>3930</v>
      </c>
      <c r="Y230" s="146">
        <v>5.9622888024149509E-3</v>
      </c>
      <c r="Z230" s="147">
        <v>8.872654394254596E-4</v>
      </c>
      <c r="AA230" s="177"/>
    </row>
    <row r="231" spans="1:27" ht="15" x14ac:dyDescent="0.2">
      <c r="A231" s="142" t="s">
        <v>1220</v>
      </c>
      <c r="B231" s="143" t="s">
        <v>1220</v>
      </c>
      <c r="C231" s="143" t="s">
        <v>3531</v>
      </c>
      <c r="D231" s="145" t="s">
        <v>3930</v>
      </c>
      <c r="E231" s="145" t="s">
        <v>3930</v>
      </c>
      <c r="F231" s="143" t="s">
        <v>3532</v>
      </c>
      <c r="G231" s="143" t="s">
        <v>3533</v>
      </c>
      <c r="H231" s="143" t="s">
        <v>312</v>
      </c>
      <c r="I231" s="143" t="s">
        <v>1003</v>
      </c>
      <c r="J231" s="145" t="s">
        <v>3930</v>
      </c>
      <c r="K231" s="143" t="s">
        <v>205</v>
      </c>
      <c r="L231" s="145" t="s">
        <v>3930</v>
      </c>
      <c r="M231" s="145" t="s">
        <v>3930</v>
      </c>
      <c r="N231" s="143" t="s">
        <v>293</v>
      </c>
      <c r="O231" s="143" t="s">
        <v>339</v>
      </c>
      <c r="P231" s="162">
        <v>45271</v>
      </c>
      <c r="Q231" s="143" t="s">
        <v>1218</v>
      </c>
      <c r="R231" s="143" t="s">
        <v>885</v>
      </c>
      <c r="S231" s="143" t="s">
        <v>889</v>
      </c>
      <c r="T231" s="163">
        <v>45518</v>
      </c>
      <c r="U231" s="143" t="s">
        <v>1219</v>
      </c>
      <c r="V231" s="144">
        <v>1403.981938156247</v>
      </c>
      <c r="W231" s="144">
        <v>5829.8945999999996</v>
      </c>
      <c r="X231" s="146">
        <v>6.4781246999999996E-4</v>
      </c>
      <c r="Y231" s="146">
        <v>5.0005203917023603E-3</v>
      </c>
      <c r="Z231" s="147">
        <v>7.4414190082551848E-4</v>
      </c>
      <c r="AA231" s="177"/>
    </row>
    <row r="232" spans="1:27" ht="15" x14ac:dyDescent="0.2">
      <c r="A232" s="142" t="s">
        <v>1220</v>
      </c>
      <c r="B232" s="143" t="s">
        <v>1220</v>
      </c>
      <c r="C232" s="143" t="s">
        <v>3534</v>
      </c>
      <c r="D232" s="145" t="s">
        <v>3930</v>
      </c>
      <c r="E232" s="145" t="s">
        <v>3930</v>
      </c>
      <c r="F232" s="143" t="s">
        <v>3535</v>
      </c>
      <c r="G232" s="143" t="s">
        <v>3536</v>
      </c>
      <c r="H232" s="143" t="s">
        <v>312</v>
      </c>
      <c r="I232" s="143" t="s">
        <v>1003</v>
      </c>
      <c r="J232" s="145" t="s">
        <v>3930</v>
      </c>
      <c r="K232" s="143" t="s">
        <v>205</v>
      </c>
      <c r="L232" s="145" t="s">
        <v>3930</v>
      </c>
      <c r="M232" s="145" t="s">
        <v>3930</v>
      </c>
      <c r="N232" s="143" t="s">
        <v>296</v>
      </c>
      <c r="O232" s="143" t="s">
        <v>339</v>
      </c>
      <c r="P232" s="162">
        <v>45012</v>
      </c>
      <c r="Q232" s="143" t="s">
        <v>1211</v>
      </c>
      <c r="R232" s="143" t="s">
        <v>885</v>
      </c>
      <c r="S232" s="143" t="s">
        <v>889</v>
      </c>
      <c r="T232" s="163">
        <v>45551</v>
      </c>
      <c r="U232" s="143" t="s">
        <v>1212</v>
      </c>
      <c r="V232" s="144">
        <v>1106.3904312668465</v>
      </c>
      <c r="W232" s="144">
        <v>4104.7084999999997</v>
      </c>
      <c r="X232" s="146">
        <v>1.2518826666666667E-2</v>
      </c>
      <c r="Y232" s="146">
        <v>3.5207632158235479E-3</v>
      </c>
      <c r="Z232" s="147">
        <v>5.2393495607515642E-4</v>
      </c>
      <c r="AA232" s="177"/>
    </row>
    <row r="233" spans="1:27" ht="15" x14ac:dyDescent="0.2">
      <c r="A233" s="142" t="s">
        <v>1220</v>
      </c>
      <c r="B233" s="143" t="s">
        <v>1220</v>
      </c>
      <c r="C233" s="143" t="s">
        <v>3537</v>
      </c>
      <c r="D233" s="145" t="s">
        <v>3930</v>
      </c>
      <c r="E233" s="145" t="s">
        <v>3930</v>
      </c>
      <c r="F233" s="143" t="s">
        <v>3538</v>
      </c>
      <c r="G233" s="143" t="s">
        <v>3539</v>
      </c>
      <c r="H233" s="143" t="s">
        <v>312</v>
      </c>
      <c r="I233" s="143" t="s">
        <v>1003</v>
      </c>
      <c r="J233" s="145" t="s">
        <v>3930</v>
      </c>
      <c r="K233" s="143" t="s">
        <v>205</v>
      </c>
      <c r="L233" s="145" t="s">
        <v>3930</v>
      </c>
      <c r="M233" s="145" t="s">
        <v>3930</v>
      </c>
      <c r="N233" s="143" t="s">
        <v>291</v>
      </c>
      <c r="O233" s="143" t="s">
        <v>339</v>
      </c>
      <c r="P233" s="162">
        <v>44651</v>
      </c>
      <c r="Q233" s="143" t="s">
        <v>1211</v>
      </c>
      <c r="R233" s="143" t="s">
        <v>885</v>
      </c>
      <c r="S233" s="143" t="s">
        <v>889</v>
      </c>
      <c r="T233" s="163">
        <v>45565</v>
      </c>
      <c r="U233" s="143" t="s">
        <v>1212</v>
      </c>
      <c r="V233" s="144">
        <v>1050.9895687331536</v>
      </c>
      <c r="W233" s="144">
        <v>3899.1713</v>
      </c>
      <c r="X233" s="146">
        <v>6.5243455151515149E-4</v>
      </c>
      <c r="Y233" s="146">
        <v>3.3444662001392467E-3</v>
      </c>
      <c r="Z233" s="147">
        <v>4.9769968732615323E-4</v>
      </c>
      <c r="AA233" s="177"/>
    </row>
    <row r="234" spans="1:27" ht="15" x14ac:dyDescent="0.2">
      <c r="A234" s="142" t="s">
        <v>1220</v>
      </c>
      <c r="B234" s="143" t="s">
        <v>1220</v>
      </c>
      <c r="C234" s="143" t="s">
        <v>3522</v>
      </c>
      <c r="D234" s="145" t="s">
        <v>3930</v>
      </c>
      <c r="E234" s="145" t="s">
        <v>3930</v>
      </c>
      <c r="F234" s="143" t="s">
        <v>3540</v>
      </c>
      <c r="G234" s="143" t="s">
        <v>3541</v>
      </c>
      <c r="H234" s="143" t="s">
        <v>312</v>
      </c>
      <c r="I234" s="143" t="s">
        <v>1003</v>
      </c>
      <c r="J234" s="145" t="s">
        <v>3930</v>
      </c>
      <c r="K234" s="143" t="s">
        <v>205</v>
      </c>
      <c r="L234" s="145" t="s">
        <v>3930</v>
      </c>
      <c r="M234" s="145" t="s">
        <v>3930</v>
      </c>
      <c r="N234" s="143" t="s">
        <v>224</v>
      </c>
      <c r="O234" s="143" t="s">
        <v>339</v>
      </c>
      <c r="P234" s="162">
        <v>44560</v>
      </c>
      <c r="Q234" s="143" t="s">
        <v>1211</v>
      </c>
      <c r="R234" s="143" t="s">
        <v>885</v>
      </c>
      <c r="S234" s="143" t="s">
        <v>889</v>
      </c>
      <c r="T234" s="163">
        <v>45522</v>
      </c>
      <c r="U234" s="143" t="s">
        <v>1212</v>
      </c>
      <c r="V234" s="144">
        <v>700.92487870619948</v>
      </c>
      <c r="W234" s="144">
        <v>2600.4312999999997</v>
      </c>
      <c r="X234" s="145" t="s">
        <v>3930</v>
      </c>
      <c r="Y234" s="146">
        <v>2.2304879650199855E-3</v>
      </c>
      <c r="Z234" s="147">
        <v>3.3192536457057789E-4</v>
      </c>
      <c r="AA234" s="177"/>
    </row>
    <row r="235" spans="1:27" ht="15" x14ac:dyDescent="0.2">
      <c r="A235" s="142" t="s">
        <v>1220</v>
      </c>
      <c r="B235" s="143" t="s">
        <v>1220</v>
      </c>
      <c r="C235" s="143" t="s">
        <v>3542</v>
      </c>
      <c r="D235" s="145" t="s">
        <v>3930</v>
      </c>
      <c r="E235" s="145" t="s">
        <v>3930</v>
      </c>
      <c r="F235" s="143" t="s">
        <v>3543</v>
      </c>
      <c r="G235" s="143" t="s">
        <v>3544</v>
      </c>
      <c r="H235" s="143" t="s">
        <v>312</v>
      </c>
      <c r="I235" s="143" t="s">
        <v>1003</v>
      </c>
      <c r="J235" s="145" t="s">
        <v>3930</v>
      </c>
      <c r="K235" s="143" t="s">
        <v>205</v>
      </c>
      <c r="L235" s="145" t="s">
        <v>3930</v>
      </c>
      <c r="M235" s="145" t="s">
        <v>3930</v>
      </c>
      <c r="N235" s="143" t="s">
        <v>204</v>
      </c>
      <c r="O235" s="143" t="s">
        <v>339</v>
      </c>
      <c r="P235" s="162">
        <v>45119</v>
      </c>
      <c r="Q235" s="143" t="s">
        <v>1210</v>
      </c>
      <c r="R235" s="143" t="s">
        <v>885</v>
      </c>
      <c r="S235" s="143" t="s">
        <v>889</v>
      </c>
      <c r="T235" s="163">
        <v>45533</v>
      </c>
      <c r="U235" s="145" t="s">
        <v>3930</v>
      </c>
      <c r="V235" s="144">
        <v>1807.4962</v>
      </c>
      <c r="W235" s="144">
        <v>1807.4962</v>
      </c>
      <c r="X235" s="146">
        <v>2.4524813458146793E-3</v>
      </c>
      <c r="Y235" s="146">
        <v>1.5503576555468271E-3</v>
      </c>
      <c r="Z235" s="147">
        <v>2.30713206303965E-4</v>
      </c>
      <c r="AA235" s="177"/>
    </row>
    <row r="236" spans="1:27" ht="15" x14ac:dyDescent="0.2">
      <c r="A236" s="142" t="s">
        <v>1220</v>
      </c>
      <c r="B236" s="143" t="s">
        <v>1220</v>
      </c>
      <c r="C236" s="143" t="s">
        <v>3545</v>
      </c>
      <c r="D236" s="145" t="s">
        <v>3930</v>
      </c>
      <c r="E236" s="145" t="s">
        <v>3930</v>
      </c>
      <c r="F236" s="143" t="s">
        <v>3546</v>
      </c>
      <c r="G236" s="143" t="s">
        <v>3547</v>
      </c>
      <c r="H236" s="143" t="s">
        <v>312</v>
      </c>
      <c r="I236" s="143" t="s">
        <v>1003</v>
      </c>
      <c r="J236" s="145" t="s">
        <v>3930</v>
      </c>
      <c r="K236" s="143" t="s">
        <v>205</v>
      </c>
      <c r="L236" s="145" t="s">
        <v>3930</v>
      </c>
      <c r="M236" s="145" t="s">
        <v>3930</v>
      </c>
      <c r="N236" s="143" t="s">
        <v>224</v>
      </c>
      <c r="O236" s="143" t="s">
        <v>339</v>
      </c>
      <c r="P236" s="162">
        <v>45498</v>
      </c>
      <c r="Q236" s="143" t="s">
        <v>1211</v>
      </c>
      <c r="R236" s="143" t="s">
        <v>885</v>
      </c>
      <c r="S236" s="143" t="s">
        <v>889</v>
      </c>
      <c r="T236" s="163">
        <v>45498</v>
      </c>
      <c r="U236" s="143" t="s">
        <v>1212</v>
      </c>
      <c r="V236" s="144">
        <v>481</v>
      </c>
      <c r="W236" s="144">
        <v>1784.51</v>
      </c>
      <c r="X236" s="146">
        <v>9.6200000000000001E-3</v>
      </c>
      <c r="Y236" s="146">
        <v>1.5306415022700527E-3</v>
      </c>
      <c r="Z236" s="147">
        <v>2.27779188516398E-4</v>
      </c>
      <c r="AA236" s="177"/>
    </row>
    <row r="237" spans="1:27" ht="15" x14ac:dyDescent="0.2">
      <c r="A237" s="142" t="s">
        <v>1220</v>
      </c>
      <c r="B237" s="143" t="s">
        <v>1220</v>
      </c>
      <c r="C237" s="143" t="s">
        <v>3548</v>
      </c>
      <c r="D237" s="145" t="s">
        <v>3930</v>
      </c>
      <c r="E237" s="145" t="s">
        <v>3930</v>
      </c>
      <c r="F237" s="143" t="s">
        <v>3548</v>
      </c>
      <c r="G237" s="143" t="s">
        <v>3549</v>
      </c>
      <c r="H237" s="143" t="s">
        <v>312</v>
      </c>
      <c r="I237" s="143" t="s">
        <v>1003</v>
      </c>
      <c r="J237" s="145" t="s">
        <v>3930</v>
      </c>
      <c r="K237" s="143" t="s">
        <v>205</v>
      </c>
      <c r="L237" s="145" t="s">
        <v>3930</v>
      </c>
      <c r="M237" s="145" t="s">
        <v>3930</v>
      </c>
      <c r="N237" s="143" t="s">
        <v>302</v>
      </c>
      <c r="O237" s="143" t="s">
        <v>339</v>
      </c>
      <c r="P237" s="162">
        <v>45503</v>
      </c>
      <c r="Q237" s="143" t="s">
        <v>1211</v>
      </c>
      <c r="R237" s="143" t="s">
        <v>885</v>
      </c>
      <c r="S237" s="143" t="s">
        <v>889</v>
      </c>
      <c r="T237" s="163">
        <v>45538</v>
      </c>
      <c r="U237" s="143" t="s">
        <v>1212</v>
      </c>
      <c r="V237" s="144">
        <v>450</v>
      </c>
      <c r="W237" s="144">
        <v>1669.5</v>
      </c>
      <c r="X237" s="146">
        <v>1.7999999999999999E-2</v>
      </c>
      <c r="Y237" s="146">
        <v>1.4319930894418373E-3</v>
      </c>
      <c r="Z237" s="147">
        <v>2.1309903291554904E-4</v>
      </c>
      <c r="AA237" s="177"/>
    </row>
    <row r="238" spans="1:27" ht="15" x14ac:dyDescent="0.2">
      <c r="A238" s="142" t="s">
        <v>1220</v>
      </c>
      <c r="B238" s="143" t="s">
        <v>1220</v>
      </c>
      <c r="C238" s="143" t="s">
        <v>3537</v>
      </c>
      <c r="D238" s="145" t="s">
        <v>3930</v>
      </c>
      <c r="E238" s="145" t="s">
        <v>3930</v>
      </c>
      <c r="F238" s="143" t="s">
        <v>3550</v>
      </c>
      <c r="G238" s="143" t="s">
        <v>3551</v>
      </c>
      <c r="H238" s="143" t="s">
        <v>312</v>
      </c>
      <c r="I238" s="143" t="s">
        <v>1003</v>
      </c>
      <c r="J238" s="145" t="s">
        <v>3930</v>
      </c>
      <c r="K238" s="143" t="s">
        <v>205</v>
      </c>
      <c r="L238" s="145" t="s">
        <v>3930</v>
      </c>
      <c r="M238" s="145" t="s">
        <v>3930</v>
      </c>
      <c r="N238" s="143" t="s">
        <v>291</v>
      </c>
      <c r="O238" s="143" t="s">
        <v>339</v>
      </c>
      <c r="P238" s="162">
        <v>44651</v>
      </c>
      <c r="Q238" s="143" t="s">
        <v>1211</v>
      </c>
      <c r="R238" s="143" t="s">
        <v>885</v>
      </c>
      <c r="S238" s="143" t="s">
        <v>889</v>
      </c>
      <c r="T238" s="163">
        <v>44651</v>
      </c>
      <c r="U238" s="143" t="s">
        <v>1212</v>
      </c>
      <c r="V238" s="145" t="s">
        <v>3930</v>
      </c>
      <c r="W238" s="144">
        <v>0</v>
      </c>
      <c r="X238" s="146">
        <v>6.0606060606060602E-12</v>
      </c>
      <c r="Y238" s="146">
        <v>3.1822068654263046E-11</v>
      </c>
      <c r="Z238" s="147">
        <v>4.7355340647899789E-12</v>
      </c>
      <c r="AA238" s="177"/>
    </row>
    <row r="239" spans="1:27" ht="15" x14ac:dyDescent="0.2">
      <c r="A239" s="142" t="s">
        <v>1220</v>
      </c>
      <c r="B239" s="143" t="s">
        <v>1220</v>
      </c>
      <c r="C239" s="143" t="s">
        <v>3552</v>
      </c>
      <c r="D239" s="145" t="s">
        <v>3930</v>
      </c>
      <c r="E239" s="145" t="s">
        <v>3930</v>
      </c>
      <c r="F239" s="143" t="s">
        <v>3553</v>
      </c>
      <c r="G239" s="143" t="s">
        <v>3554</v>
      </c>
      <c r="H239" s="143" t="s">
        <v>312</v>
      </c>
      <c r="I239" s="143" t="s">
        <v>1004</v>
      </c>
      <c r="J239" s="145" t="s">
        <v>3930</v>
      </c>
      <c r="K239" s="143" t="s">
        <v>204</v>
      </c>
      <c r="L239" s="145" t="s">
        <v>3930</v>
      </c>
      <c r="M239" s="145" t="s">
        <v>3930</v>
      </c>
      <c r="N239" s="143" t="s">
        <v>204</v>
      </c>
      <c r="O239" s="143" t="s">
        <v>339</v>
      </c>
      <c r="P239" s="162">
        <v>44136</v>
      </c>
      <c r="Q239" s="143" t="s">
        <v>1210</v>
      </c>
      <c r="R239" s="143" t="s">
        <v>885</v>
      </c>
      <c r="S239" s="143" t="s">
        <v>889</v>
      </c>
      <c r="T239" s="163">
        <v>45515</v>
      </c>
      <c r="U239" s="145" t="s">
        <v>3930</v>
      </c>
      <c r="V239" s="144">
        <v>17857.7137</v>
      </c>
      <c r="W239" s="144">
        <v>17857.7137</v>
      </c>
      <c r="X239" s="145" t="s">
        <v>3930</v>
      </c>
      <c r="Y239" s="146">
        <v>1.5317234281326465E-2</v>
      </c>
      <c r="Z239" s="147">
        <v>2.2794019303290368E-3</v>
      </c>
      <c r="AA239" s="177"/>
    </row>
    <row r="240" spans="1:27" ht="15" x14ac:dyDescent="0.2">
      <c r="A240" s="142" t="s">
        <v>1220</v>
      </c>
      <c r="B240" s="143" t="s">
        <v>1220</v>
      </c>
      <c r="C240" s="143" t="s">
        <v>3555</v>
      </c>
      <c r="D240" s="145" t="s">
        <v>3930</v>
      </c>
      <c r="E240" s="145" t="s">
        <v>3930</v>
      </c>
      <c r="F240" s="143" t="s">
        <v>3556</v>
      </c>
      <c r="G240" s="143" t="s">
        <v>3557</v>
      </c>
      <c r="H240" s="143" t="s">
        <v>312</v>
      </c>
      <c r="I240" s="143" t="s">
        <v>1004</v>
      </c>
      <c r="J240" s="145" t="s">
        <v>3930</v>
      </c>
      <c r="K240" s="143" t="s">
        <v>204</v>
      </c>
      <c r="L240" s="145" t="s">
        <v>3930</v>
      </c>
      <c r="M240" s="145" t="s">
        <v>3930</v>
      </c>
      <c r="N240" s="143" t="s">
        <v>204</v>
      </c>
      <c r="O240" s="143" t="s">
        <v>339</v>
      </c>
      <c r="P240" s="162">
        <v>44722</v>
      </c>
      <c r="Q240" s="143" t="s">
        <v>1210</v>
      </c>
      <c r="R240" s="143" t="s">
        <v>885</v>
      </c>
      <c r="S240" s="143" t="s">
        <v>889</v>
      </c>
      <c r="T240" s="163">
        <v>45551</v>
      </c>
      <c r="U240" s="145" t="s">
        <v>3930</v>
      </c>
      <c r="V240" s="144">
        <v>5404.1347000000005</v>
      </c>
      <c r="W240" s="144">
        <v>5404.1347000000005</v>
      </c>
      <c r="X240" s="146">
        <v>3.7578426666666667E-3</v>
      </c>
      <c r="Y240" s="146">
        <v>4.6353301084226008E-3</v>
      </c>
      <c r="Z240" s="147">
        <v>6.8979687865267732E-4</v>
      </c>
      <c r="AA240" s="177"/>
    </row>
    <row r="241" spans="1:27" ht="15" x14ac:dyDescent="0.2">
      <c r="A241" s="142" t="s">
        <v>1220</v>
      </c>
      <c r="B241" s="143" t="s">
        <v>1220</v>
      </c>
      <c r="C241" s="143" t="s">
        <v>3558</v>
      </c>
      <c r="D241" s="145" t="s">
        <v>3930</v>
      </c>
      <c r="E241" s="145" t="s">
        <v>3930</v>
      </c>
      <c r="F241" s="143" t="s">
        <v>3558</v>
      </c>
      <c r="G241" s="143" t="s">
        <v>3559</v>
      </c>
      <c r="H241" s="143" t="s">
        <v>312</v>
      </c>
      <c r="I241" s="143" t="s">
        <v>1004</v>
      </c>
      <c r="J241" s="145" t="s">
        <v>3930</v>
      </c>
      <c r="K241" s="143" t="s">
        <v>204</v>
      </c>
      <c r="L241" s="145" t="s">
        <v>3930</v>
      </c>
      <c r="M241" s="145" t="s">
        <v>3930</v>
      </c>
      <c r="N241" s="143" t="s">
        <v>204</v>
      </c>
      <c r="O241" s="143" t="s">
        <v>339</v>
      </c>
      <c r="P241" s="162">
        <v>44192</v>
      </c>
      <c r="Q241" s="143" t="s">
        <v>1210</v>
      </c>
      <c r="R241" s="143" t="s">
        <v>885</v>
      </c>
      <c r="S241" s="143" t="s">
        <v>889</v>
      </c>
      <c r="T241" s="163">
        <v>45522</v>
      </c>
      <c r="U241" s="145" t="s">
        <v>3930</v>
      </c>
      <c r="V241" s="144">
        <v>3303.5727000000002</v>
      </c>
      <c r="W241" s="144">
        <v>3303.5727000000002</v>
      </c>
      <c r="X241" s="145" t="s">
        <v>3930</v>
      </c>
      <c r="Y241" s="146">
        <v>2.8335988370986223E-3</v>
      </c>
      <c r="Z241" s="147">
        <v>4.2167603762089713E-4</v>
      </c>
      <c r="AA241" s="177"/>
    </row>
    <row r="242" spans="1:27" ht="15" x14ac:dyDescent="0.2">
      <c r="A242" s="142" t="s">
        <v>1220</v>
      </c>
      <c r="B242" s="143" t="s">
        <v>1220</v>
      </c>
      <c r="C242" s="143" t="s">
        <v>3552</v>
      </c>
      <c r="D242" s="145" t="s">
        <v>3930</v>
      </c>
      <c r="E242" s="145" t="s">
        <v>3930</v>
      </c>
      <c r="F242" s="143" t="s">
        <v>3560</v>
      </c>
      <c r="G242" s="143" t="s">
        <v>3561</v>
      </c>
      <c r="H242" s="143" t="s">
        <v>312</v>
      </c>
      <c r="I242" s="143" t="s">
        <v>1004</v>
      </c>
      <c r="J242" s="145" t="s">
        <v>3930</v>
      </c>
      <c r="K242" s="143" t="s">
        <v>204</v>
      </c>
      <c r="L242" s="145" t="s">
        <v>3930</v>
      </c>
      <c r="M242" s="145" t="s">
        <v>3930</v>
      </c>
      <c r="N242" s="143" t="s">
        <v>204</v>
      </c>
      <c r="O242" s="143" t="s">
        <v>339</v>
      </c>
      <c r="P242" s="162">
        <v>45250</v>
      </c>
      <c r="Q242" s="143" t="s">
        <v>1210</v>
      </c>
      <c r="R242" s="143" t="s">
        <v>885</v>
      </c>
      <c r="S242" s="143" t="s">
        <v>889</v>
      </c>
      <c r="T242" s="163">
        <v>45250</v>
      </c>
      <c r="U242" s="145" t="s">
        <v>3930</v>
      </c>
      <c r="V242" s="144">
        <v>83.42</v>
      </c>
      <c r="W242" s="144">
        <v>83.42</v>
      </c>
      <c r="X242" s="146">
        <v>5.1811733724209037E-5</v>
      </c>
      <c r="Y242" s="146">
        <v>7.155247889861519E-5</v>
      </c>
      <c r="Z242" s="147">
        <v>1.0647931312258222E-5</v>
      </c>
      <c r="AA242" s="177"/>
    </row>
    <row r="243" spans="1:27" ht="15" x14ac:dyDescent="0.2">
      <c r="A243" s="142" t="s">
        <v>1220</v>
      </c>
      <c r="B243" s="143" t="s">
        <v>1220</v>
      </c>
      <c r="C243" s="143" t="s">
        <v>3562</v>
      </c>
      <c r="D243" s="145" t="s">
        <v>3930</v>
      </c>
      <c r="E243" s="145" t="s">
        <v>3930</v>
      </c>
      <c r="F243" s="143" t="s">
        <v>3563</v>
      </c>
      <c r="G243" s="143" t="s">
        <v>3564</v>
      </c>
      <c r="H243" s="143" t="s">
        <v>312</v>
      </c>
      <c r="I243" s="143" t="s">
        <v>1004</v>
      </c>
      <c r="J243" s="145" t="s">
        <v>3930</v>
      </c>
      <c r="K243" s="143" t="s">
        <v>204</v>
      </c>
      <c r="L243" s="145" t="s">
        <v>3930</v>
      </c>
      <c r="M243" s="145" t="s">
        <v>3930</v>
      </c>
      <c r="N243" s="143" t="s">
        <v>204</v>
      </c>
      <c r="O243" s="143" t="s">
        <v>339</v>
      </c>
      <c r="P243" s="162">
        <v>42283</v>
      </c>
      <c r="Q243" s="143" t="s">
        <v>1211</v>
      </c>
      <c r="R243" s="143" t="s">
        <v>885</v>
      </c>
      <c r="S243" s="143" t="s">
        <v>889</v>
      </c>
      <c r="T243" s="163">
        <v>45382</v>
      </c>
      <c r="U243" s="143" t="s">
        <v>1212</v>
      </c>
      <c r="V243" s="144">
        <v>2.0528571428571429</v>
      </c>
      <c r="W243" s="144">
        <v>7.6161000000000003</v>
      </c>
      <c r="X243" s="145" t="s">
        <v>3930</v>
      </c>
      <c r="Y243" s="146">
        <v>6.5325913512309465E-6</v>
      </c>
      <c r="Z243" s="147">
        <v>9.72133811010501E-7</v>
      </c>
      <c r="AA243" s="177"/>
    </row>
    <row r="244" spans="1:27" ht="15" x14ac:dyDescent="0.2">
      <c r="A244" s="142" t="s">
        <v>1220</v>
      </c>
      <c r="B244" s="143" t="s">
        <v>1220</v>
      </c>
      <c r="C244" s="143" t="s">
        <v>3562</v>
      </c>
      <c r="D244" s="145" t="s">
        <v>3930</v>
      </c>
      <c r="E244" s="145" t="s">
        <v>3930</v>
      </c>
      <c r="F244" s="143" t="s">
        <v>3565</v>
      </c>
      <c r="G244" s="143" t="s">
        <v>3566</v>
      </c>
      <c r="H244" s="143" t="s">
        <v>312</v>
      </c>
      <c r="I244" s="143" t="s">
        <v>1004</v>
      </c>
      <c r="J244" s="145" t="s">
        <v>3930</v>
      </c>
      <c r="K244" s="143" t="s">
        <v>204</v>
      </c>
      <c r="L244" s="145" t="s">
        <v>3930</v>
      </c>
      <c r="M244" s="145" t="s">
        <v>3930</v>
      </c>
      <c r="N244" s="143" t="s">
        <v>204</v>
      </c>
      <c r="O244" s="143" t="s">
        <v>339</v>
      </c>
      <c r="P244" s="162">
        <v>42528</v>
      </c>
      <c r="Q244" s="143" t="s">
        <v>1210</v>
      </c>
      <c r="R244" s="143" t="s">
        <v>885</v>
      </c>
      <c r="S244" s="143" t="s">
        <v>889</v>
      </c>
      <c r="T244" s="163">
        <v>45386</v>
      </c>
      <c r="U244" s="145" t="s">
        <v>3930</v>
      </c>
      <c r="V244" s="144">
        <v>1E-4</v>
      </c>
      <c r="W244" s="144">
        <v>1E-4</v>
      </c>
      <c r="X244" s="145" t="s">
        <v>3930</v>
      </c>
      <c r="Y244" s="146">
        <v>5.0357983025515E-11</v>
      </c>
      <c r="Z244" s="147">
        <v>7.4939170876150714E-12</v>
      </c>
      <c r="AA244" s="177"/>
    </row>
    <row r="245" spans="1:27" ht="15" x14ac:dyDescent="0.2">
      <c r="A245" s="142" t="s">
        <v>1220</v>
      </c>
      <c r="B245" s="143" t="s">
        <v>1220</v>
      </c>
      <c r="C245" s="143" t="s">
        <v>3567</v>
      </c>
      <c r="D245" s="145" t="s">
        <v>3930</v>
      </c>
      <c r="E245" s="145" t="s">
        <v>3930</v>
      </c>
      <c r="F245" s="143" t="s">
        <v>3568</v>
      </c>
      <c r="G245" s="143" t="s">
        <v>3569</v>
      </c>
      <c r="H245" s="143" t="s">
        <v>312</v>
      </c>
      <c r="I245" s="143" t="s">
        <v>1004</v>
      </c>
      <c r="J245" s="145" t="s">
        <v>3930</v>
      </c>
      <c r="K245" s="143" t="s">
        <v>205</v>
      </c>
      <c r="L245" s="145" t="s">
        <v>3930</v>
      </c>
      <c r="M245" s="145" t="s">
        <v>3930</v>
      </c>
      <c r="N245" s="143" t="s">
        <v>291</v>
      </c>
      <c r="O245" s="143" t="s">
        <v>339</v>
      </c>
      <c r="P245" s="162">
        <v>44136</v>
      </c>
      <c r="Q245" s="143" t="s">
        <v>1211</v>
      </c>
      <c r="R245" s="143" t="s">
        <v>885</v>
      </c>
      <c r="S245" s="143" t="s">
        <v>889</v>
      </c>
      <c r="T245" s="163">
        <v>45564</v>
      </c>
      <c r="U245" s="143" t="s">
        <v>1212</v>
      </c>
      <c r="V245" s="144">
        <v>6917.086630727762</v>
      </c>
      <c r="W245" s="144">
        <v>25662.391399999997</v>
      </c>
      <c r="X245" s="146">
        <v>2.7643025549999999E-4</v>
      </c>
      <c r="Y245" s="146">
        <v>2.2011600595673347E-2</v>
      </c>
      <c r="Z245" s="147">
        <v>3.2756099414485563E-3</v>
      </c>
      <c r="AA245" s="177"/>
    </row>
    <row r="246" spans="1:27" ht="15" x14ac:dyDescent="0.2">
      <c r="A246" s="142" t="s">
        <v>1220</v>
      </c>
      <c r="B246" s="143" t="s">
        <v>1220</v>
      </c>
      <c r="C246" s="143" t="s">
        <v>3570</v>
      </c>
      <c r="D246" s="145" t="s">
        <v>3930</v>
      </c>
      <c r="E246" s="145" t="s">
        <v>3930</v>
      </c>
      <c r="F246" s="143" t="s">
        <v>3571</v>
      </c>
      <c r="G246" s="143" t="s">
        <v>3572</v>
      </c>
      <c r="H246" s="143" t="s">
        <v>312</v>
      </c>
      <c r="I246" s="143" t="s">
        <v>1004</v>
      </c>
      <c r="J246" s="145" t="s">
        <v>3930</v>
      </c>
      <c r="K246" s="143" t="s">
        <v>205</v>
      </c>
      <c r="L246" s="145" t="s">
        <v>3930</v>
      </c>
      <c r="M246" s="145" t="s">
        <v>3930</v>
      </c>
      <c r="N246" s="143" t="s">
        <v>224</v>
      </c>
      <c r="O246" s="143" t="s">
        <v>339</v>
      </c>
      <c r="P246" s="162">
        <v>44136</v>
      </c>
      <c r="Q246" s="143" t="s">
        <v>1211</v>
      </c>
      <c r="R246" s="143" t="s">
        <v>885</v>
      </c>
      <c r="S246" s="143" t="s">
        <v>889</v>
      </c>
      <c r="T246" s="163">
        <v>45561</v>
      </c>
      <c r="U246" s="143" t="s">
        <v>1212</v>
      </c>
      <c r="V246" s="144">
        <v>5900.5638274932617</v>
      </c>
      <c r="W246" s="144">
        <v>21891.091800000002</v>
      </c>
      <c r="X246" s="145" t="s">
        <v>3930</v>
      </c>
      <c r="Y246" s="146">
        <v>1.8776814689296303E-2</v>
      </c>
      <c r="Z246" s="147">
        <v>2.7942320958288663E-3</v>
      </c>
      <c r="AA246" s="177"/>
    </row>
    <row r="247" spans="1:27" ht="15" x14ac:dyDescent="0.2">
      <c r="A247" s="142" t="s">
        <v>1220</v>
      </c>
      <c r="B247" s="143" t="s">
        <v>1220</v>
      </c>
      <c r="C247" s="143" t="s">
        <v>3573</v>
      </c>
      <c r="D247" s="145" t="s">
        <v>3930</v>
      </c>
      <c r="E247" s="145" t="s">
        <v>3930</v>
      </c>
      <c r="F247" s="143" t="s">
        <v>3574</v>
      </c>
      <c r="G247" s="143" t="s">
        <v>3575</v>
      </c>
      <c r="H247" s="143" t="s">
        <v>312</v>
      </c>
      <c r="I247" s="143" t="s">
        <v>1004</v>
      </c>
      <c r="J247" s="145" t="s">
        <v>3930</v>
      </c>
      <c r="K247" s="143" t="s">
        <v>205</v>
      </c>
      <c r="L247" s="145" t="s">
        <v>3930</v>
      </c>
      <c r="M247" s="145" t="s">
        <v>3930</v>
      </c>
      <c r="N247" s="143" t="s">
        <v>224</v>
      </c>
      <c r="O247" s="143" t="s">
        <v>339</v>
      </c>
      <c r="P247" s="162">
        <v>44376</v>
      </c>
      <c r="Q247" s="143" t="s">
        <v>1211</v>
      </c>
      <c r="R247" s="143" t="s">
        <v>885</v>
      </c>
      <c r="S247" s="143" t="s">
        <v>889</v>
      </c>
      <c r="T247" s="163">
        <v>45533</v>
      </c>
      <c r="U247" s="143" t="s">
        <v>1212</v>
      </c>
      <c r="V247" s="144">
        <v>5182.6411320754714</v>
      </c>
      <c r="W247" s="144">
        <v>19227.598600000001</v>
      </c>
      <c r="X247" s="146">
        <v>2.6152685785714287E-2</v>
      </c>
      <c r="Y247" s="146">
        <v>1.6492236179819E-2</v>
      </c>
      <c r="Z247" s="147">
        <v>2.4542573609095653E-3</v>
      </c>
      <c r="AA247" s="177"/>
    </row>
    <row r="248" spans="1:27" ht="15" x14ac:dyDescent="0.2">
      <c r="A248" s="142" t="s">
        <v>1220</v>
      </c>
      <c r="B248" s="143" t="s">
        <v>1220</v>
      </c>
      <c r="C248" s="143" t="s">
        <v>3576</v>
      </c>
      <c r="D248" s="145" t="s">
        <v>3930</v>
      </c>
      <c r="E248" s="145" t="s">
        <v>3930</v>
      </c>
      <c r="F248" s="143" t="s">
        <v>3577</v>
      </c>
      <c r="G248" s="143" t="s">
        <v>3578</v>
      </c>
      <c r="H248" s="143" t="s">
        <v>312</v>
      </c>
      <c r="I248" s="143" t="s">
        <v>1004</v>
      </c>
      <c r="J248" s="145" t="s">
        <v>3930</v>
      </c>
      <c r="K248" s="143" t="s">
        <v>205</v>
      </c>
      <c r="L248" s="145" t="s">
        <v>3930</v>
      </c>
      <c r="M248" s="145" t="s">
        <v>3930</v>
      </c>
      <c r="N248" s="143" t="s">
        <v>291</v>
      </c>
      <c r="O248" s="143" t="s">
        <v>339</v>
      </c>
      <c r="P248" s="162">
        <v>44136</v>
      </c>
      <c r="Q248" s="143" t="s">
        <v>1211</v>
      </c>
      <c r="R248" s="143" t="s">
        <v>885</v>
      </c>
      <c r="S248" s="143" t="s">
        <v>889</v>
      </c>
      <c r="T248" s="163">
        <v>45518</v>
      </c>
      <c r="U248" s="143" t="s">
        <v>1212</v>
      </c>
      <c r="V248" s="144">
        <v>4293.3336927223718</v>
      </c>
      <c r="W248" s="144">
        <v>15928.268</v>
      </c>
      <c r="X248" s="146">
        <v>2.186768622857143E-3</v>
      </c>
      <c r="Y248" s="146">
        <v>1.3662275910871527E-2</v>
      </c>
      <c r="Z248" s="147">
        <v>2.0331227891378571E-3</v>
      </c>
      <c r="AA248" s="177"/>
    </row>
    <row r="249" spans="1:27" ht="15" x14ac:dyDescent="0.2">
      <c r="A249" s="142" t="s">
        <v>1220</v>
      </c>
      <c r="B249" s="143" t="s">
        <v>1220</v>
      </c>
      <c r="C249" s="143" t="s">
        <v>3579</v>
      </c>
      <c r="D249" s="145" t="s">
        <v>3930</v>
      </c>
      <c r="E249" s="145" t="s">
        <v>3930</v>
      </c>
      <c r="F249" s="143" t="s">
        <v>3580</v>
      </c>
      <c r="G249" s="143" t="s">
        <v>3581</v>
      </c>
      <c r="H249" s="143" t="s">
        <v>312</v>
      </c>
      <c r="I249" s="143" t="s">
        <v>1004</v>
      </c>
      <c r="J249" s="145" t="s">
        <v>3930</v>
      </c>
      <c r="K249" s="143" t="s">
        <v>205</v>
      </c>
      <c r="L249" s="145" t="s">
        <v>3930</v>
      </c>
      <c r="M249" s="145" t="s">
        <v>3930</v>
      </c>
      <c r="N249" s="143" t="s">
        <v>291</v>
      </c>
      <c r="O249" s="143" t="s">
        <v>339</v>
      </c>
      <c r="P249" s="162">
        <v>44136</v>
      </c>
      <c r="Q249" s="143" t="s">
        <v>1211</v>
      </c>
      <c r="R249" s="143" t="s">
        <v>885</v>
      </c>
      <c r="S249" s="143" t="s">
        <v>889</v>
      </c>
      <c r="T249" s="163">
        <v>45525</v>
      </c>
      <c r="U249" s="143" t="s">
        <v>1212</v>
      </c>
      <c r="V249" s="144">
        <v>4001.4600539083558</v>
      </c>
      <c r="W249" s="144">
        <v>14845.416800000001</v>
      </c>
      <c r="X249" s="146">
        <v>2.7073747368421053E-2</v>
      </c>
      <c r="Y249" s="146">
        <v>1.2733473683074875E-2</v>
      </c>
      <c r="Z249" s="147">
        <v>1.8949050435547255E-3</v>
      </c>
      <c r="AA249" s="177"/>
    </row>
    <row r="250" spans="1:27" ht="15" x14ac:dyDescent="0.2">
      <c r="A250" s="142" t="s">
        <v>1220</v>
      </c>
      <c r="B250" s="143" t="s">
        <v>1220</v>
      </c>
      <c r="C250" s="143" t="s">
        <v>3582</v>
      </c>
      <c r="D250" s="145" t="s">
        <v>3930</v>
      </c>
      <c r="E250" s="145" t="s">
        <v>3930</v>
      </c>
      <c r="F250" s="143" t="s">
        <v>3583</v>
      </c>
      <c r="G250" s="143" t="s">
        <v>3584</v>
      </c>
      <c r="H250" s="143" t="s">
        <v>312</v>
      </c>
      <c r="I250" s="143" t="s">
        <v>1004</v>
      </c>
      <c r="J250" s="145" t="s">
        <v>3930</v>
      </c>
      <c r="K250" s="143" t="s">
        <v>205</v>
      </c>
      <c r="L250" s="145" t="s">
        <v>3930</v>
      </c>
      <c r="M250" s="145" t="s">
        <v>3930</v>
      </c>
      <c r="N250" s="143" t="s">
        <v>293</v>
      </c>
      <c r="O250" s="143" t="s">
        <v>339</v>
      </c>
      <c r="P250" s="162">
        <v>44136</v>
      </c>
      <c r="Q250" s="143" t="s">
        <v>1218</v>
      </c>
      <c r="R250" s="143" t="s">
        <v>885</v>
      </c>
      <c r="S250" s="143" t="s">
        <v>889</v>
      </c>
      <c r="T250" s="163">
        <v>45564</v>
      </c>
      <c r="U250" s="143" t="s">
        <v>1219</v>
      </c>
      <c r="V250" s="144">
        <v>3437.8152875445521</v>
      </c>
      <c r="W250" s="144">
        <v>14275.1842</v>
      </c>
      <c r="X250" s="146">
        <v>9.1904696304849886E-3</v>
      </c>
      <c r="Y250" s="146">
        <v>1.2244363679405925E-2</v>
      </c>
      <c r="Z250" s="147">
        <v>1.8221191694191175E-3</v>
      </c>
      <c r="AA250" s="177"/>
    </row>
    <row r="251" spans="1:27" ht="15" x14ac:dyDescent="0.2">
      <c r="A251" s="142" t="s">
        <v>1220</v>
      </c>
      <c r="B251" s="143" t="s">
        <v>1220</v>
      </c>
      <c r="C251" s="143" t="s">
        <v>3585</v>
      </c>
      <c r="D251" s="145" t="s">
        <v>3930</v>
      </c>
      <c r="E251" s="145" t="s">
        <v>3930</v>
      </c>
      <c r="F251" s="143" t="s">
        <v>3586</v>
      </c>
      <c r="G251" s="143" t="s">
        <v>3587</v>
      </c>
      <c r="H251" s="143" t="s">
        <v>312</v>
      </c>
      <c r="I251" s="143" t="s">
        <v>1004</v>
      </c>
      <c r="J251" s="145" t="s">
        <v>3930</v>
      </c>
      <c r="K251" s="143" t="s">
        <v>205</v>
      </c>
      <c r="L251" s="145" t="s">
        <v>3930</v>
      </c>
      <c r="M251" s="145" t="s">
        <v>3930</v>
      </c>
      <c r="N251" s="143" t="s">
        <v>224</v>
      </c>
      <c r="O251" s="143" t="s">
        <v>339</v>
      </c>
      <c r="P251" s="162">
        <v>42716</v>
      </c>
      <c r="Q251" s="143" t="s">
        <v>1211</v>
      </c>
      <c r="R251" s="143" t="s">
        <v>885</v>
      </c>
      <c r="S251" s="143" t="s">
        <v>889</v>
      </c>
      <c r="T251" s="163">
        <v>45525</v>
      </c>
      <c r="U251" s="143" t="s">
        <v>1212</v>
      </c>
      <c r="V251" s="144">
        <v>3158.1091644204848</v>
      </c>
      <c r="W251" s="144">
        <v>11716.584999999999</v>
      </c>
      <c r="X251" s="145" t="s">
        <v>3930</v>
      </c>
      <c r="Y251" s="146">
        <v>1.0049756682399786E-2</v>
      </c>
      <c r="Z251" s="147">
        <v>1.4955333554652294E-3</v>
      </c>
      <c r="AA251" s="177"/>
    </row>
    <row r="252" spans="1:27" ht="15" x14ac:dyDescent="0.2">
      <c r="A252" s="142" t="s">
        <v>1220</v>
      </c>
      <c r="B252" s="143" t="s">
        <v>1220</v>
      </c>
      <c r="C252" s="143" t="s">
        <v>3588</v>
      </c>
      <c r="D252" s="145" t="s">
        <v>3930</v>
      </c>
      <c r="E252" s="145" t="s">
        <v>3930</v>
      </c>
      <c r="F252" s="143" t="s">
        <v>3589</v>
      </c>
      <c r="G252" s="143" t="s">
        <v>3590</v>
      </c>
      <c r="H252" s="143" t="s">
        <v>312</v>
      </c>
      <c r="I252" s="143" t="s">
        <v>1004</v>
      </c>
      <c r="J252" s="145" t="s">
        <v>3930</v>
      </c>
      <c r="K252" s="143" t="s">
        <v>205</v>
      </c>
      <c r="L252" s="145" t="s">
        <v>3930</v>
      </c>
      <c r="M252" s="145" t="s">
        <v>3930</v>
      </c>
      <c r="N252" s="143" t="s">
        <v>291</v>
      </c>
      <c r="O252" s="143" t="s">
        <v>339</v>
      </c>
      <c r="P252" s="162">
        <v>44136</v>
      </c>
      <c r="Q252" s="143" t="s">
        <v>1211</v>
      </c>
      <c r="R252" s="143" t="s">
        <v>885</v>
      </c>
      <c r="S252" s="143" t="s">
        <v>889</v>
      </c>
      <c r="T252" s="163">
        <v>45525</v>
      </c>
      <c r="U252" s="143" t="s">
        <v>1212</v>
      </c>
      <c r="V252" s="144">
        <v>3015.7613477088948</v>
      </c>
      <c r="W252" s="144">
        <v>11188.4746</v>
      </c>
      <c r="X252" s="145" t="s">
        <v>3930</v>
      </c>
      <c r="Y252" s="146">
        <v>9.5967764782807392E-3</v>
      </c>
      <c r="Z252" s="147">
        <v>1.4281240612868042E-3</v>
      </c>
      <c r="AA252" s="177"/>
    </row>
    <row r="253" spans="1:27" ht="15" x14ac:dyDescent="0.2">
      <c r="A253" s="142" t="s">
        <v>1220</v>
      </c>
      <c r="B253" s="143" t="s">
        <v>1220</v>
      </c>
      <c r="C253" s="143" t="s">
        <v>3591</v>
      </c>
      <c r="D253" s="145" t="s">
        <v>3930</v>
      </c>
      <c r="E253" s="145" t="s">
        <v>3930</v>
      </c>
      <c r="F253" s="143" t="s">
        <v>3592</v>
      </c>
      <c r="G253" s="143" t="s">
        <v>3593</v>
      </c>
      <c r="H253" s="143" t="s">
        <v>312</v>
      </c>
      <c r="I253" s="143" t="s">
        <v>1004</v>
      </c>
      <c r="J253" s="145" t="s">
        <v>3930</v>
      </c>
      <c r="K253" s="143" t="s">
        <v>205</v>
      </c>
      <c r="L253" s="145" t="s">
        <v>3930</v>
      </c>
      <c r="M253" s="145" t="s">
        <v>3930</v>
      </c>
      <c r="N253" s="143" t="s">
        <v>291</v>
      </c>
      <c r="O253" s="143" t="s">
        <v>339</v>
      </c>
      <c r="P253" s="162">
        <v>44136</v>
      </c>
      <c r="Q253" s="143" t="s">
        <v>1211</v>
      </c>
      <c r="R253" s="143" t="s">
        <v>885</v>
      </c>
      <c r="S253" s="143" t="s">
        <v>889</v>
      </c>
      <c r="T253" s="163">
        <v>45539</v>
      </c>
      <c r="U253" s="143" t="s">
        <v>1212</v>
      </c>
      <c r="V253" s="144">
        <v>2393.1464150943393</v>
      </c>
      <c r="W253" s="144">
        <v>8878.5731999999989</v>
      </c>
      <c r="X253" s="146">
        <v>4.2791665379018858E-2</v>
      </c>
      <c r="Y253" s="146">
        <v>7.6154869598947942E-3</v>
      </c>
      <c r="Z253" s="147">
        <v>1.1332826382333392E-3</v>
      </c>
      <c r="AA253" s="177"/>
    </row>
    <row r="254" spans="1:27" ht="15" x14ac:dyDescent="0.2">
      <c r="A254" s="142" t="s">
        <v>1220</v>
      </c>
      <c r="B254" s="143" t="s">
        <v>1220</v>
      </c>
      <c r="C254" s="143" t="s">
        <v>3597</v>
      </c>
      <c r="D254" s="145" t="s">
        <v>3930</v>
      </c>
      <c r="E254" s="145" t="s">
        <v>3930</v>
      </c>
      <c r="F254" s="143" t="s">
        <v>3598</v>
      </c>
      <c r="G254" s="143" t="s">
        <v>3599</v>
      </c>
      <c r="H254" s="143" t="s">
        <v>312</v>
      </c>
      <c r="I254" s="143" t="s">
        <v>1004</v>
      </c>
      <c r="J254" s="145" t="s">
        <v>3930</v>
      </c>
      <c r="K254" s="143" t="s">
        <v>205</v>
      </c>
      <c r="L254" s="145" t="s">
        <v>3930</v>
      </c>
      <c r="M254" s="145" t="s">
        <v>3930</v>
      </c>
      <c r="N254" s="143" t="s">
        <v>224</v>
      </c>
      <c r="O254" s="143" t="s">
        <v>339</v>
      </c>
      <c r="P254" s="162">
        <v>45218</v>
      </c>
      <c r="Q254" s="143" t="s">
        <v>1211</v>
      </c>
      <c r="R254" s="143" t="s">
        <v>885</v>
      </c>
      <c r="S254" s="143" t="s">
        <v>889</v>
      </c>
      <c r="T254" s="163">
        <v>45533</v>
      </c>
      <c r="U254" s="143" t="s">
        <v>1212</v>
      </c>
      <c r="V254" s="144">
        <v>1597.3019676549866</v>
      </c>
      <c r="W254" s="144">
        <v>5925.9902999999995</v>
      </c>
      <c r="X254" s="145" t="s">
        <v>3930</v>
      </c>
      <c r="Y254" s="146">
        <v>5.0829452842480003E-3</v>
      </c>
      <c r="Z254" s="147">
        <v>7.5640778745524409E-4</v>
      </c>
      <c r="AA254" s="177"/>
    </row>
    <row r="255" spans="1:27" ht="15" x14ac:dyDescent="0.2">
      <c r="A255" s="142" t="s">
        <v>1220</v>
      </c>
      <c r="B255" s="143" t="s">
        <v>1220</v>
      </c>
      <c r="C255" s="143" t="s">
        <v>3600</v>
      </c>
      <c r="D255" s="145" t="s">
        <v>3930</v>
      </c>
      <c r="E255" s="145" t="s">
        <v>3930</v>
      </c>
      <c r="F255" s="143" t="s">
        <v>3601</v>
      </c>
      <c r="G255" s="143" t="s">
        <v>3602</v>
      </c>
      <c r="H255" s="143" t="s">
        <v>312</v>
      </c>
      <c r="I255" s="143" t="s">
        <v>1004</v>
      </c>
      <c r="J255" s="145" t="s">
        <v>3930</v>
      </c>
      <c r="K255" s="143" t="s">
        <v>205</v>
      </c>
      <c r="L255" s="145" t="s">
        <v>3930</v>
      </c>
      <c r="M255" s="145" t="s">
        <v>3930</v>
      </c>
      <c r="N255" s="143" t="s">
        <v>224</v>
      </c>
      <c r="O255" s="143" t="s">
        <v>339</v>
      </c>
      <c r="P255" s="162">
        <v>45449</v>
      </c>
      <c r="Q255" s="143" t="s">
        <v>1211</v>
      </c>
      <c r="R255" s="143" t="s">
        <v>885</v>
      </c>
      <c r="S255" s="143" t="s">
        <v>889</v>
      </c>
      <c r="T255" s="163">
        <v>45544</v>
      </c>
      <c r="U255" s="143" t="s">
        <v>1212</v>
      </c>
      <c r="V255" s="144">
        <v>1543.8320485175202</v>
      </c>
      <c r="W255" s="144">
        <v>5727.6169</v>
      </c>
      <c r="X255" s="146">
        <v>1.6889181285085046E-3</v>
      </c>
      <c r="Y255" s="146">
        <v>4.9127929160625592E-3</v>
      </c>
      <c r="Z255" s="147">
        <v>7.3108692147065947E-4</v>
      </c>
      <c r="AA255" s="177"/>
    </row>
    <row r="256" spans="1:27" ht="15" x14ac:dyDescent="0.2">
      <c r="A256" s="142" t="s">
        <v>1220</v>
      </c>
      <c r="B256" s="143" t="s">
        <v>1220</v>
      </c>
      <c r="C256" s="143" t="s">
        <v>3594</v>
      </c>
      <c r="D256" s="145" t="s">
        <v>3930</v>
      </c>
      <c r="E256" s="145" t="s">
        <v>3930</v>
      </c>
      <c r="F256" s="143" t="s">
        <v>3595</v>
      </c>
      <c r="G256" s="143" t="s">
        <v>3596</v>
      </c>
      <c r="H256" s="143" t="s">
        <v>312</v>
      </c>
      <c r="I256" s="143" t="s">
        <v>1004</v>
      </c>
      <c r="J256" s="145" t="s">
        <v>3930</v>
      </c>
      <c r="K256" s="143" t="s">
        <v>205</v>
      </c>
      <c r="L256" s="145" t="s">
        <v>3930</v>
      </c>
      <c r="M256" s="145" t="s">
        <v>3930</v>
      </c>
      <c r="N256" s="143" t="s">
        <v>293</v>
      </c>
      <c r="O256" s="143" t="s">
        <v>339</v>
      </c>
      <c r="P256" s="162">
        <v>44136</v>
      </c>
      <c r="Q256" s="143" t="s">
        <v>1218</v>
      </c>
      <c r="R256" s="143" t="s">
        <v>885</v>
      </c>
      <c r="S256" s="143" t="s">
        <v>889</v>
      </c>
      <c r="T256" s="163">
        <v>45516</v>
      </c>
      <c r="U256" s="143" t="s">
        <v>1219</v>
      </c>
      <c r="V256" s="144">
        <v>1327.3199836239285</v>
      </c>
      <c r="W256" s="144">
        <v>5511.5635000000002</v>
      </c>
      <c r="X256" s="145" t="s">
        <v>3930</v>
      </c>
      <c r="Y256" s="146">
        <v>4.72747580922792E-3</v>
      </c>
      <c r="Z256" s="147">
        <v>7.0350934687177518E-4</v>
      </c>
      <c r="AA256" s="177"/>
    </row>
    <row r="257" spans="1:27" ht="15" x14ac:dyDescent="0.2">
      <c r="A257" s="142" t="s">
        <v>1220</v>
      </c>
      <c r="B257" s="143" t="s">
        <v>1220</v>
      </c>
      <c r="C257" s="143" t="s">
        <v>3603</v>
      </c>
      <c r="D257" s="145" t="s">
        <v>3930</v>
      </c>
      <c r="E257" s="145" t="s">
        <v>3930</v>
      </c>
      <c r="F257" s="143" t="s">
        <v>3604</v>
      </c>
      <c r="G257" s="143" t="s">
        <v>3605</v>
      </c>
      <c r="H257" s="143" t="s">
        <v>312</v>
      </c>
      <c r="I257" s="143" t="s">
        <v>1004</v>
      </c>
      <c r="J257" s="145" t="s">
        <v>3930</v>
      </c>
      <c r="K257" s="143" t="s">
        <v>205</v>
      </c>
      <c r="L257" s="145" t="s">
        <v>3930</v>
      </c>
      <c r="M257" s="145" t="s">
        <v>3930</v>
      </c>
      <c r="N257" s="143" t="s">
        <v>224</v>
      </c>
      <c r="O257" s="143" t="s">
        <v>339</v>
      </c>
      <c r="P257" s="162">
        <v>45350</v>
      </c>
      <c r="Q257" s="143" t="s">
        <v>1211</v>
      </c>
      <c r="R257" s="143" t="s">
        <v>885</v>
      </c>
      <c r="S257" s="143" t="s">
        <v>889</v>
      </c>
      <c r="T257" s="163">
        <v>45551</v>
      </c>
      <c r="U257" s="143" t="s">
        <v>1212</v>
      </c>
      <c r="V257" s="144">
        <v>303.27380053908354</v>
      </c>
      <c r="W257" s="144">
        <v>1125.1458</v>
      </c>
      <c r="X257" s="146">
        <v>1.5750000000000001E-4</v>
      </c>
      <c r="Y257" s="146">
        <v>9.650800002859928E-4</v>
      </c>
      <c r="Z257" s="147">
        <v>1.4361634582136439E-4</v>
      </c>
      <c r="AA257" s="177"/>
    </row>
    <row r="258" spans="1:27" ht="15" x14ac:dyDescent="0.2">
      <c r="A258" s="142" t="s">
        <v>1220</v>
      </c>
      <c r="B258" s="143" t="s">
        <v>1220</v>
      </c>
      <c r="C258" s="143" t="s">
        <v>3606</v>
      </c>
      <c r="D258" s="145" t="s">
        <v>3930</v>
      </c>
      <c r="E258" s="145" t="s">
        <v>3930</v>
      </c>
      <c r="F258" s="143" t="s">
        <v>3607</v>
      </c>
      <c r="G258" s="143" t="s">
        <v>3608</v>
      </c>
      <c r="H258" s="143" t="s">
        <v>312</v>
      </c>
      <c r="I258" s="143" t="s">
        <v>1005</v>
      </c>
      <c r="J258" s="145" t="s">
        <v>3930</v>
      </c>
      <c r="K258" s="143" t="s">
        <v>204</v>
      </c>
      <c r="L258" s="145" t="s">
        <v>3930</v>
      </c>
      <c r="M258" s="145" t="s">
        <v>3930</v>
      </c>
      <c r="N258" s="143" t="s">
        <v>204</v>
      </c>
      <c r="O258" s="143" t="s">
        <v>339</v>
      </c>
      <c r="P258" s="162">
        <v>44136</v>
      </c>
      <c r="Q258" s="143" t="s">
        <v>1211</v>
      </c>
      <c r="R258" s="143" t="s">
        <v>885</v>
      </c>
      <c r="S258" s="143" t="s">
        <v>889</v>
      </c>
      <c r="T258" s="163">
        <v>45537</v>
      </c>
      <c r="U258" s="143" t="s">
        <v>1212</v>
      </c>
      <c r="V258" s="144">
        <v>3130.1788679245283</v>
      </c>
      <c r="W258" s="144">
        <v>11612.963599999999</v>
      </c>
      <c r="X258" s="146">
        <v>1.8663626315789474E-2</v>
      </c>
      <c r="Y258" s="146">
        <v>9.9608766565763718E-3</v>
      </c>
      <c r="Z258" s="147">
        <v>1.4823068617844106E-3</v>
      </c>
      <c r="AA258" s="177"/>
    </row>
    <row r="259" spans="1:27" ht="15" x14ac:dyDescent="0.2">
      <c r="A259" s="142" t="s">
        <v>1220</v>
      </c>
      <c r="B259" s="143" t="s">
        <v>1220</v>
      </c>
      <c r="C259" s="143" t="s">
        <v>314</v>
      </c>
      <c r="D259" s="145" t="s">
        <v>3930</v>
      </c>
      <c r="E259" s="145" t="s">
        <v>3930</v>
      </c>
      <c r="F259" s="143" t="s">
        <v>3609</v>
      </c>
      <c r="G259" s="143" t="s">
        <v>3610</v>
      </c>
      <c r="H259" s="143" t="s">
        <v>312</v>
      </c>
      <c r="I259" s="143" t="s">
        <v>1005</v>
      </c>
      <c r="J259" s="145" t="s">
        <v>3930</v>
      </c>
      <c r="K259" s="143" t="s">
        <v>204</v>
      </c>
      <c r="L259" s="145" t="s">
        <v>3930</v>
      </c>
      <c r="M259" s="145" t="s">
        <v>3930</v>
      </c>
      <c r="N259" s="143" t="s">
        <v>224</v>
      </c>
      <c r="O259" s="143" t="s">
        <v>339</v>
      </c>
      <c r="P259" s="162">
        <v>44560</v>
      </c>
      <c r="Q259" s="143" t="s">
        <v>1211</v>
      </c>
      <c r="R259" s="143" t="s">
        <v>885</v>
      </c>
      <c r="S259" s="143" t="s">
        <v>889</v>
      </c>
      <c r="T259" s="163">
        <v>45564</v>
      </c>
      <c r="U259" s="143" t="s">
        <v>1212</v>
      </c>
      <c r="V259" s="144">
        <v>2441.2772506738543</v>
      </c>
      <c r="W259" s="144">
        <v>9057.1386000000002</v>
      </c>
      <c r="X259" s="146">
        <v>6.0544E-6</v>
      </c>
      <c r="Y259" s="146">
        <v>7.7686492395236872E-3</v>
      </c>
      <c r="Z259" s="147">
        <v>1.1560751600050607E-3</v>
      </c>
      <c r="AA259" s="177"/>
    </row>
    <row r="260" spans="1:27" ht="15" x14ac:dyDescent="0.2">
      <c r="A260" s="142" t="s">
        <v>1220</v>
      </c>
      <c r="B260" s="143" t="s">
        <v>1220</v>
      </c>
      <c r="C260" s="143" t="s">
        <v>314</v>
      </c>
      <c r="D260" s="145" t="s">
        <v>3930</v>
      </c>
      <c r="E260" s="145" t="s">
        <v>3930</v>
      </c>
      <c r="F260" s="143" t="s">
        <v>3611</v>
      </c>
      <c r="G260" s="143" t="s">
        <v>3612</v>
      </c>
      <c r="H260" s="143" t="s">
        <v>312</v>
      </c>
      <c r="I260" s="143" t="s">
        <v>1005</v>
      </c>
      <c r="J260" s="145" t="s">
        <v>3930</v>
      </c>
      <c r="K260" s="143" t="s">
        <v>204</v>
      </c>
      <c r="L260" s="145" t="s">
        <v>3930</v>
      </c>
      <c r="M260" s="145" t="s">
        <v>3930</v>
      </c>
      <c r="N260" s="143" t="s">
        <v>293</v>
      </c>
      <c r="O260" s="143" t="s">
        <v>339</v>
      </c>
      <c r="P260" s="162">
        <v>44136</v>
      </c>
      <c r="Q260" s="143" t="s">
        <v>1218</v>
      </c>
      <c r="R260" s="143" t="s">
        <v>885</v>
      </c>
      <c r="S260" s="143" t="s">
        <v>889</v>
      </c>
      <c r="T260" s="163">
        <v>45533</v>
      </c>
      <c r="U260" s="143" t="s">
        <v>1219</v>
      </c>
      <c r="V260" s="144">
        <v>1590.8077256526346</v>
      </c>
      <c r="W260" s="144">
        <v>6605.67</v>
      </c>
      <c r="X260" s="146">
        <v>2.0551710092000842E-2</v>
      </c>
      <c r="Y260" s="146">
        <v>5.6659321507087279E-3</v>
      </c>
      <c r="Z260" s="147">
        <v>8.4316374903161686E-4</v>
      </c>
      <c r="AA260" s="177"/>
    </row>
    <row r="261" spans="1:27" ht="15" x14ac:dyDescent="0.2">
      <c r="A261" s="142" t="s">
        <v>1220</v>
      </c>
      <c r="B261" s="143" t="s">
        <v>1220</v>
      </c>
      <c r="C261" s="143" t="s">
        <v>3613</v>
      </c>
      <c r="D261" s="145" t="s">
        <v>3930</v>
      </c>
      <c r="E261" s="145" t="s">
        <v>3930</v>
      </c>
      <c r="F261" s="143" t="s">
        <v>3614</v>
      </c>
      <c r="G261" s="143" t="s">
        <v>3615</v>
      </c>
      <c r="H261" s="143" t="s">
        <v>312</v>
      </c>
      <c r="I261" s="143" t="s">
        <v>1005</v>
      </c>
      <c r="J261" s="145" t="s">
        <v>3930</v>
      </c>
      <c r="K261" s="143" t="s">
        <v>204</v>
      </c>
      <c r="L261" s="145" t="s">
        <v>3930</v>
      </c>
      <c r="M261" s="145" t="s">
        <v>3930</v>
      </c>
      <c r="N261" s="143" t="s">
        <v>224</v>
      </c>
      <c r="O261" s="143" t="s">
        <v>339</v>
      </c>
      <c r="P261" s="162">
        <v>44524</v>
      </c>
      <c r="Q261" s="143" t="s">
        <v>1211</v>
      </c>
      <c r="R261" s="143" t="s">
        <v>885</v>
      </c>
      <c r="S261" s="143" t="s">
        <v>889</v>
      </c>
      <c r="T261" s="163">
        <v>45539</v>
      </c>
      <c r="U261" s="143" t="s">
        <v>1212</v>
      </c>
      <c r="V261" s="144">
        <v>1688.478679245283</v>
      </c>
      <c r="W261" s="144">
        <v>6264.2559000000001</v>
      </c>
      <c r="X261" s="146">
        <v>1.4616000000000001E-2</v>
      </c>
      <c r="Y261" s="146">
        <v>5.3730884698973925E-3</v>
      </c>
      <c r="Z261" s="147">
        <v>7.9958483399603564E-4</v>
      </c>
      <c r="AA261" s="177"/>
    </row>
    <row r="262" spans="1:27" ht="15" x14ac:dyDescent="0.2">
      <c r="A262" s="142" t="s">
        <v>1220</v>
      </c>
      <c r="B262" s="143" t="s">
        <v>1220</v>
      </c>
      <c r="C262" s="143" t="s">
        <v>3616</v>
      </c>
      <c r="D262" s="145" t="s">
        <v>3930</v>
      </c>
      <c r="E262" s="145" t="s">
        <v>3930</v>
      </c>
      <c r="F262" s="143" t="s">
        <v>3617</v>
      </c>
      <c r="G262" s="143" t="s">
        <v>3618</v>
      </c>
      <c r="H262" s="143" t="s">
        <v>312</v>
      </c>
      <c r="I262" s="143" t="s">
        <v>1005</v>
      </c>
      <c r="J262" s="145" t="s">
        <v>3930</v>
      </c>
      <c r="K262" s="143" t="s">
        <v>204</v>
      </c>
      <c r="L262" s="145" t="s">
        <v>3930</v>
      </c>
      <c r="M262" s="145" t="s">
        <v>3930</v>
      </c>
      <c r="N262" s="143" t="s">
        <v>204</v>
      </c>
      <c r="O262" s="143" t="s">
        <v>339</v>
      </c>
      <c r="P262" s="162">
        <v>44136</v>
      </c>
      <c r="Q262" s="143" t="s">
        <v>1211</v>
      </c>
      <c r="R262" s="143" t="s">
        <v>885</v>
      </c>
      <c r="S262" s="143" t="s">
        <v>889</v>
      </c>
      <c r="T262" s="163">
        <v>45531</v>
      </c>
      <c r="U262" s="143" t="s">
        <v>1212</v>
      </c>
      <c r="V262" s="144">
        <v>1572.2368733153639</v>
      </c>
      <c r="W262" s="144">
        <v>5832.9987999999994</v>
      </c>
      <c r="X262" s="146">
        <v>9.3167522000000003E-3</v>
      </c>
      <c r="Y262" s="146">
        <v>5.0031829667888141E-3</v>
      </c>
      <c r="Z262" s="147">
        <v>7.4453812632421107E-4</v>
      </c>
      <c r="AA262" s="177"/>
    </row>
    <row r="263" spans="1:27" ht="15" x14ac:dyDescent="0.2">
      <c r="A263" s="142" t="s">
        <v>1220</v>
      </c>
      <c r="B263" s="143" t="s">
        <v>1220</v>
      </c>
      <c r="C263" s="143" t="s">
        <v>3619</v>
      </c>
      <c r="D263" s="145" t="s">
        <v>3930</v>
      </c>
      <c r="E263" s="145" t="s">
        <v>3930</v>
      </c>
      <c r="F263" s="143" t="s">
        <v>3620</v>
      </c>
      <c r="G263" s="143" t="s">
        <v>3621</v>
      </c>
      <c r="H263" s="143" t="s">
        <v>312</v>
      </c>
      <c r="I263" s="143" t="s">
        <v>1005</v>
      </c>
      <c r="J263" s="145" t="s">
        <v>3930</v>
      </c>
      <c r="K263" s="143" t="s">
        <v>204</v>
      </c>
      <c r="L263" s="145" t="s">
        <v>3930</v>
      </c>
      <c r="M263" s="145" t="s">
        <v>3930</v>
      </c>
      <c r="N263" s="143" t="s">
        <v>204</v>
      </c>
      <c r="O263" s="143" t="s">
        <v>339</v>
      </c>
      <c r="P263" s="162">
        <v>44136</v>
      </c>
      <c r="Q263" s="143" t="s">
        <v>1211</v>
      </c>
      <c r="R263" s="143" t="s">
        <v>885</v>
      </c>
      <c r="S263" s="143" t="s">
        <v>889</v>
      </c>
      <c r="T263" s="163">
        <v>45518</v>
      </c>
      <c r="U263" s="143" t="s">
        <v>1212</v>
      </c>
      <c r="V263" s="144">
        <v>1269.2222102425876</v>
      </c>
      <c r="W263" s="144">
        <v>4708.8144000000002</v>
      </c>
      <c r="X263" s="145" t="s">
        <v>3930</v>
      </c>
      <c r="Y263" s="146">
        <v>4.0389276254333938E-3</v>
      </c>
      <c r="Z263" s="147">
        <v>6.0104450038319095E-4</v>
      </c>
      <c r="AA263" s="177"/>
    </row>
    <row r="264" spans="1:27" ht="15" x14ac:dyDescent="0.2">
      <c r="A264" s="142" t="s">
        <v>1220</v>
      </c>
      <c r="B264" s="143" t="s">
        <v>1220</v>
      </c>
      <c r="C264" s="143" t="s">
        <v>3622</v>
      </c>
      <c r="D264" s="145" t="s">
        <v>3930</v>
      </c>
      <c r="E264" s="145" t="s">
        <v>3930</v>
      </c>
      <c r="F264" s="143" t="s">
        <v>3623</v>
      </c>
      <c r="G264" s="143" t="s">
        <v>3624</v>
      </c>
      <c r="H264" s="143" t="s">
        <v>312</v>
      </c>
      <c r="I264" s="143" t="s">
        <v>1005</v>
      </c>
      <c r="J264" s="145" t="s">
        <v>3930</v>
      </c>
      <c r="K264" s="143" t="s">
        <v>204</v>
      </c>
      <c r="L264" s="145" t="s">
        <v>3930</v>
      </c>
      <c r="M264" s="145" t="s">
        <v>3930</v>
      </c>
      <c r="N264" s="143" t="s">
        <v>204</v>
      </c>
      <c r="O264" s="143" t="s">
        <v>339</v>
      </c>
      <c r="P264" s="162">
        <v>44633</v>
      </c>
      <c r="Q264" s="143" t="s">
        <v>1211</v>
      </c>
      <c r="R264" s="143" t="s">
        <v>885</v>
      </c>
      <c r="S264" s="143" t="s">
        <v>889</v>
      </c>
      <c r="T264" s="163">
        <v>45539</v>
      </c>
      <c r="U264" s="143" t="s">
        <v>1212</v>
      </c>
      <c r="V264" s="144">
        <v>1135.8508086253369</v>
      </c>
      <c r="W264" s="144">
        <v>4214.0065000000004</v>
      </c>
      <c r="X264" s="146">
        <v>1.2276230000000001E-2</v>
      </c>
      <c r="Y264" s="146">
        <v>3.6145122616312504E-3</v>
      </c>
      <c r="Z264" s="147">
        <v>5.3788602270087873E-4</v>
      </c>
      <c r="AA264" s="177"/>
    </row>
    <row r="265" spans="1:27" ht="15" x14ac:dyDescent="0.2">
      <c r="A265" s="142" t="s">
        <v>1220</v>
      </c>
      <c r="B265" s="143" t="s">
        <v>1220</v>
      </c>
      <c r="C265" s="143" t="s">
        <v>3625</v>
      </c>
      <c r="D265" s="145" t="s">
        <v>3930</v>
      </c>
      <c r="E265" s="145" t="s">
        <v>3930</v>
      </c>
      <c r="F265" s="143" t="s">
        <v>3626</v>
      </c>
      <c r="G265" s="143" t="s">
        <v>3627</v>
      </c>
      <c r="H265" s="143" t="s">
        <v>312</v>
      </c>
      <c r="I265" s="143" t="s">
        <v>1005</v>
      </c>
      <c r="J265" s="145" t="s">
        <v>3930</v>
      </c>
      <c r="K265" s="143" t="s">
        <v>204</v>
      </c>
      <c r="L265" s="145" t="s">
        <v>3930</v>
      </c>
      <c r="M265" s="145" t="s">
        <v>3930</v>
      </c>
      <c r="N265" s="143" t="s">
        <v>204</v>
      </c>
      <c r="O265" s="143" t="s">
        <v>339</v>
      </c>
      <c r="P265" s="162">
        <v>44143</v>
      </c>
      <c r="Q265" s="143" t="s">
        <v>1211</v>
      </c>
      <c r="R265" s="143" t="s">
        <v>885</v>
      </c>
      <c r="S265" s="143" t="s">
        <v>889</v>
      </c>
      <c r="T265" s="163">
        <v>45523</v>
      </c>
      <c r="U265" s="143" t="s">
        <v>1212</v>
      </c>
      <c r="V265" s="144">
        <v>971.59727762803243</v>
      </c>
      <c r="W265" s="144">
        <v>3604.6259</v>
      </c>
      <c r="X265" s="146">
        <v>3.1868460148514852E-3</v>
      </c>
      <c r="Y265" s="146">
        <v>3.0918235633776024E-3</v>
      </c>
      <c r="Z265" s="147">
        <v>4.6010320591566983E-4</v>
      </c>
      <c r="AA265" s="177"/>
    </row>
    <row r="266" spans="1:27" ht="15" x14ac:dyDescent="0.2">
      <c r="A266" s="142" t="s">
        <v>1220</v>
      </c>
      <c r="B266" s="143" t="s">
        <v>1220</v>
      </c>
      <c r="C266" s="143" t="s">
        <v>314</v>
      </c>
      <c r="D266" s="145" t="s">
        <v>3930</v>
      </c>
      <c r="E266" s="145" t="s">
        <v>3930</v>
      </c>
      <c r="F266" s="143" t="s">
        <v>3628</v>
      </c>
      <c r="G266" s="143" t="s">
        <v>3629</v>
      </c>
      <c r="H266" s="143" t="s">
        <v>312</v>
      </c>
      <c r="I266" s="143" t="s">
        <v>1005</v>
      </c>
      <c r="J266" s="145" t="s">
        <v>3930</v>
      </c>
      <c r="K266" s="143" t="s">
        <v>204</v>
      </c>
      <c r="L266" s="145" t="s">
        <v>3930</v>
      </c>
      <c r="M266" s="145" t="s">
        <v>3930</v>
      </c>
      <c r="N266" s="143" t="s">
        <v>224</v>
      </c>
      <c r="O266" s="143" t="s">
        <v>339</v>
      </c>
      <c r="P266" s="162">
        <v>44136</v>
      </c>
      <c r="Q266" s="143" t="s">
        <v>1211</v>
      </c>
      <c r="R266" s="143" t="s">
        <v>885</v>
      </c>
      <c r="S266" s="143" t="s">
        <v>889</v>
      </c>
      <c r="T266" s="163">
        <v>45131</v>
      </c>
      <c r="U266" s="143" t="s">
        <v>1212</v>
      </c>
      <c r="V266" s="144">
        <v>23.456172506738543</v>
      </c>
      <c r="W266" s="144">
        <v>87.02239999999999</v>
      </c>
      <c r="X266" s="145" t="s">
        <v>3930</v>
      </c>
      <c r="Y266" s="146">
        <v>7.4642432010018194E-5</v>
      </c>
      <c r="Z266" s="147">
        <v>1.1107756170806268E-5</v>
      </c>
      <c r="AA266" s="177"/>
    </row>
    <row r="267" spans="1:27" ht="15" x14ac:dyDescent="0.2">
      <c r="A267" s="142" t="s">
        <v>1220</v>
      </c>
      <c r="B267" s="143" t="s">
        <v>1220</v>
      </c>
      <c r="C267" s="143" t="s">
        <v>3606</v>
      </c>
      <c r="D267" s="145" t="s">
        <v>3930</v>
      </c>
      <c r="E267" s="145" t="s">
        <v>3930</v>
      </c>
      <c r="F267" s="143" t="s">
        <v>3630</v>
      </c>
      <c r="G267" s="143" t="s">
        <v>3631</v>
      </c>
      <c r="H267" s="143" t="s">
        <v>312</v>
      </c>
      <c r="I267" s="143" t="s">
        <v>1005</v>
      </c>
      <c r="J267" s="145" t="s">
        <v>3930</v>
      </c>
      <c r="K267" s="143" t="s">
        <v>204</v>
      </c>
      <c r="L267" s="145" t="s">
        <v>3930</v>
      </c>
      <c r="M267" s="145" t="s">
        <v>3930</v>
      </c>
      <c r="N267" s="143" t="s">
        <v>204</v>
      </c>
      <c r="O267" s="143" t="s">
        <v>339</v>
      </c>
      <c r="P267" s="162">
        <v>44136</v>
      </c>
      <c r="Q267" s="143" t="s">
        <v>1211</v>
      </c>
      <c r="R267" s="143" t="s">
        <v>885</v>
      </c>
      <c r="S267" s="143" t="s">
        <v>889</v>
      </c>
      <c r="T267" s="163">
        <v>45379</v>
      </c>
      <c r="U267" s="143" t="s">
        <v>1212</v>
      </c>
      <c r="V267" s="144">
        <v>2.6954177897574127E-5</v>
      </c>
      <c r="W267" s="144">
        <v>1E-4</v>
      </c>
      <c r="X267" s="145" t="s">
        <v>3930</v>
      </c>
      <c r="Y267" s="146">
        <v>5.5521999793486615E-11</v>
      </c>
      <c r="Z267" s="147">
        <v>8.2623893570192224E-12</v>
      </c>
      <c r="AA267" s="177"/>
    </row>
    <row r="268" spans="1:27" ht="15" x14ac:dyDescent="0.2">
      <c r="A268" s="142" t="s">
        <v>1220</v>
      </c>
      <c r="B268" s="143" t="s">
        <v>1220</v>
      </c>
      <c r="C268" s="143" t="s">
        <v>314</v>
      </c>
      <c r="D268" s="145" t="s">
        <v>3930</v>
      </c>
      <c r="E268" s="145" t="s">
        <v>3930</v>
      </c>
      <c r="F268" s="143" t="s">
        <v>3632</v>
      </c>
      <c r="G268" s="143" t="s">
        <v>3633</v>
      </c>
      <c r="H268" s="143" t="s">
        <v>136</v>
      </c>
      <c r="I268" s="143" t="s">
        <v>1005</v>
      </c>
      <c r="J268" s="145" t="s">
        <v>3930</v>
      </c>
      <c r="K268" s="143" t="s">
        <v>205</v>
      </c>
      <c r="L268" s="145" t="s">
        <v>3930</v>
      </c>
      <c r="M268" s="145" t="s">
        <v>3930</v>
      </c>
      <c r="N268" s="143" t="s">
        <v>224</v>
      </c>
      <c r="O268" s="143" t="s">
        <v>339</v>
      </c>
      <c r="P268" s="162">
        <v>45313</v>
      </c>
      <c r="Q268" s="143" t="s">
        <v>1211</v>
      </c>
      <c r="R268" s="143" t="s">
        <v>885</v>
      </c>
      <c r="S268" s="143" t="s">
        <v>889</v>
      </c>
      <c r="T268" s="163">
        <v>45561</v>
      </c>
      <c r="U268" s="143" t="s">
        <v>1212</v>
      </c>
      <c r="V268" s="144">
        <v>2818.6044743935308</v>
      </c>
      <c r="W268" s="144">
        <v>10457.0226</v>
      </c>
      <c r="X268" s="146">
        <v>4.7980084799999998E-4</v>
      </c>
      <c r="Y268" s="146">
        <v>8.9693825131801751E-3</v>
      </c>
      <c r="Z268" s="147">
        <v>1.334759750938006E-3</v>
      </c>
      <c r="AA268" s="177"/>
    </row>
    <row r="269" spans="1:27" ht="15" x14ac:dyDescent="0.2">
      <c r="A269" s="142" t="s">
        <v>1220</v>
      </c>
      <c r="B269" s="143" t="s">
        <v>1220</v>
      </c>
      <c r="C269" s="143" t="s">
        <v>314</v>
      </c>
      <c r="D269" s="145" t="s">
        <v>3930</v>
      </c>
      <c r="E269" s="145" t="s">
        <v>3930</v>
      </c>
      <c r="F269" s="143" t="s">
        <v>3634</v>
      </c>
      <c r="G269" s="143" t="s">
        <v>3635</v>
      </c>
      <c r="H269" s="143" t="s">
        <v>312</v>
      </c>
      <c r="I269" s="143" t="s">
        <v>1005</v>
      </c>
      <c r="J269" s="145" t="s">
        <v>3930</v>
      </c>
      <c r="K269" s="143" t="s">
        <v>205</v>
      </c>
      <c r="L269" s="145" t="s">
        <v>3930</v>
      </c>
      <c r="M269" s="145" t="s">
        <v>3930</v>
      </c>
      <c r="N269" s="143" t="s">
        <v>224</v>
      </c>
      <c r="O269" s="143" t="s">
        <v>339</v>
      </c>
      <c r="P269" s="162">
        <v>44136</v>
      </c>
      <c r="Q269" s="143" t="s">
        <v>1211</v>
      </c>
      <c r="R269" s="143" t="s">
        <v>885</v>
      </c>
      <c r="S269" s="143" t="s">
        <v>889</v>
      </c>
      <c r="T269" s="163">
        <v>45530</v>
      </c>
      <c r="U269" s="143" t="s">
        <v>1212</v>
      </c>
      <c r="V269" s="144">
        <v>7198.1971698113202</v>
      </c>
      <c r="W269" s="144">
        <v>26705.3115</v>
      </c>
      <c r="X269" s="146">
        <v>2.7649115136363638E-4</v>
      </c>
      <c r="Y269" s="146">
        <v>2.2906152477732849E-2</v>
      </c>
      <c r="Z269" s="147">
        <v>3.4087307940316976E-3</v>
      </c>
      <c r="AA269" s="177"/>
    </row>
    <row r="270" spans="1:27" ht="15" x14ac:dyDescent="0.2">
      <c r="A270" s="142" t="s">
        <v>1220</v>
      </c>
      <c r="B270" s="143" t="s">
        <v>1220</v>
      </c>
      <c r="C270" s="143" t="s">
        <v>3636</v>
      </c>
      <c r="D270" s="145" t="s">
        <v>3930</v>
      </c>
      <c r="E270" s="145" t="s">
        <v>3930</v>
      </c>
      <c r="F270" s="143" t="s">
        <v>3637</v>
      </c>
      <c r="G270" s="143" t="s">
        <v>3638</v>
      </c>
      <c r="H270" s="143" t="s">
        <v>312</v>
      </c>
      <c r="I270" s="143" t="s">
        <v>1005</v>
      </c>
      <c r="J270" s="145" t="s">
        <v>3930</v>
      </c>
      <c r="K270" s="143" t="s">
        <v>205</v>
      </c>
      <c r="L270" s="145" t="s">
        <v>3930</v>
      </c>
      <c r="M270" s="145" t="s">
        <v>3930</v>
      </c>
      <c r="N270" s="143" t="s">
        <v>291</v>
      </c>
      <c r="O270" s="143" t="s">
        <v>339</v>
      </c>
      <c r="P270" s="162">
        <v>44136</v>
      </c>
      <c r="Q270" s="143" t="s">
        <v>1211</v>
      </c>
      <c r="R270" s="143" t="s">
        <v>885</v>
      </c>
      <c r="S270" s="143" t="s">
        <v>889</v>
      </c>
      <c r="T270" s="163">
        <v>45564</v>
      </c>
      <c r="U270" s="143" t="s">
        <v>1212</v>
      </c>
      <c r="V270" s="144">
        <v>5551.1680053908358</v>
      </c>
      <c r="W270" s="144">
        <v>20594.833300000002</v>
      </c>
      <c r="X270" s="145" t="s">
        <v>3930</v>
      </c>
      <c r="Y270" s="146">
        <v>1.7664964912231969E-2</v>
      </c>
      <c r="Z270" s="147">
        <v>2.6287745150718736E-3</v>
      </c>
      <c r="AA270" s="177"/>
    </row>
    <row r="271" spans="1:27" ht="15" x14ac:dyDescent="0.2">
      <c r="A271" s="142" t="s">
        <v>1220</v>
      </c>
      <c r="B271" s="143" t="s">
        <v>1220</v>
      </c>
      <c r="C271" s="143" t="s">
        <v>314</v>
      </c>
      <c r="D271" s="145" t="s">
        <v>3930</v>
      </c>
      <c r="E271" s="145" t="s">
        <v>3930</v>
      </c>
      <c r="F271" s="143" t="s">
        <v>3639</v>
      </c>
      <c r="G271" s="143" t="s">
        <v>3640</v>
      </c>
      <c r="H271" s="143" t="s">
        <v>312</v>
      </c>
      <c r="I271" s="143" t="s">
        <v>1005</v>
      </c>
      <c r="J271" s="145" t="s">
        <v>3930</v>
      </c>
      <c r="K271" s="143" t="s">
        <v>205</v>
      </c>
      <c r="L271" s="145" t="s">
        <v>3930</v>
      </c>
      <c r="M271" s="145" t="s">
        <v>3930</v>
      </c>
      <c r="N271" s="143" t="s">
        <v>291</v>
      </c>
      <c r="O271" s="143" t="s">
        <v>339</v>
      </c>
      <c r="P271" s="162">
        <v>44136</v>
      </c>
      <c r="Q271" s="143" t="s">
        <v>1211</v>
      </c>
      <c r="R271" s="143" t="s">
        <v>885</v>
      </c>
      <c r="S271" s="143" t="s">
        <v>889</v>
      </c>
      <c r="T271" s="163">
        <v>45557</v>
      </c>
      <c r="U271" s="143" t="s">
        <v>1212</v>
      </c>
      <c r="V271" s="144">
        <v>3779.394420485175</v>
      </c>
      <c r="W271" s="144">
        <v>14021.553300000001</v>
      </c>
      <c r="X271" s="146">
        <v>9.2680282499999996E-4</v>
      </c>
      <c r="Y271" s="146">
        <v>1.2026814842545383E-2</v>
      </c>
      <c r="Z271" s="147">
        <v>1.7897450978620025E-3</v>
      </c>
      <c r="AA271" s="177"/>
    </row>
    <row r="272" spans="1:27" ht="15" x14ac:dyDescent="0.2">
      <c r="A272" s="142" t="s">
        <v>1220</v>
      </c>
      <c r="B272" s="143" t="s">
        <v>1220</v>
      </c>
      <c r="C272" s="143" t="s">
        <v>314</v>
      </c>
      <c r="D272" s="145" t="s">
        <v>3930</v>
      </c>
      <c r="E272" s="145" t="s">
        <v>3930</v>
      </c>
      <c r="F272" s="143" t="s">
        <v>3641</v>
      </c>
      <c r="G272" s="143" t="s">
        <v>3642</v>
      </c>
      <c r="H272" s="143" t="s">
        <v>312</v>
      </c>
      <c r="I272" s="143" t="s">
        <v>1005</v>
      </c>
      <c r="J272" s="145" t="s">
        <v>3930</v>
      </c>
      <c r="K272" s="143" t="s">
        <v>205</v>
      </c>
      <c r="L272" s="145" t="s">
        <v>3930</v>
      </c>
      <c r="M272" s="145" t="s">
        <v>3930</v>
      </c>
      <c r="N272" s="143" t="s">
        <v>224</v>
      </c>
      <c r="O272" s="143" t="s">
        <v>339</v>
      </c>
      <c r="P272" s="162">
        <v>44769</v>
      </c>
      <c r="Q272" s="143" t="s">
        <v>1211</v>
      </c>
      <c r="R272" s="143" t="s">
        <v>885</v>
      </c>
      <c r="S272" s="143" t="s">
        <v>889</v>
      </c>
      <c r="T272" s="163">
        <v>45552</v>
      </c>
      <c r="U272" s="143" t="s">
        <v>1212</v>
      </c>
      <c r="V272" s="144">
        <v>2959.4787601078165</v>
      </c>
      <c r="W272" s="144">
        <v>10979.6662</v>
      </c>
      <c r="X272" s="146">
        <v>1.1067754285714286E-2</v>
      </c>
      <c r="Y272" s="146">
        <v>9.4176736245276116E-3</v>
      </c>
      <c r="Z272" s="147">
        <v>1.4014712476603899E-3</v>
      </c>
      <c r="AA272" s="177"/>
    </row>
    <row r="273" spans="1:27" ht="15" x14ac:dyDescent="0.2">
      <c r="A273" s="142" t="s">
        <v>1220</v>
      </c>
      <c r="B273" s="143" t="s">
        <v>1220</v>
      </c>
      <c r="C273" s="143" t="s">
        <v>314</v>
      </c>
      <c r="D273" s="145" t="s">
        <v>3930</v>
      </c>
      <c r="E273" s="145" t="s">
        <v>3930</v>
      </c>
      <c r="F273" s="143" t="s">
        <v>3643</v>
      </c>
      <c r="G273" s="143" t="s">
        <v>3644</v>
      </c>
      <c r="H273" s="143" t="s">
        <v>312</v>
      </c>
      <c r="I273" s="143" t="s">
        <v>1005</v>
      </c>
      <c r="J273" s="145" t="s">
        <v>3930</v>
      </c>
      <c r="K273" s="143" t="s">
        <v>205</v>
      </c>
      <c r="L273" s="145" t="s">
        <v>3930</v>
      </c>
      <c r="M273" s="145" t="s">
        <v>3930</v>
      </c>
      <c r="N273" s="143" t="s">
        <v>220</v>
      </c>
      <c r="O273" s="143" t="s">
        <v>339</v>
      </c>
      <c r="P273" s="162">
        <v>44136</v>
      </c>
      <c r="Q273" s="143" t="s">
        <v>1218</v>
      </c>
      <c r="R273" s="143" t="s">
        <v>885</v>
      </c>
      <c r="S273" s="143" t="s">
        <v>889</v>
      </c>
      <c r="T273" s="163">
        <v>45533</v>
      </c>
      <c r="U273" s="143" t="s">
        <v>1219</v>
      </c>
      <c r="V273" s="144">
        <v>2202.316419420094</v>
      </c>
      <c r="W273" s="144">
        <v>9144.8986999999997</v>
      </c>
      <c r="X273" s="145" t="s">
        <v>3930</v>
      </c>
      <c r="Y273" s="146">
        <v>7.8439243541611019E-3</v>
      </c>
      <c r="Z273" s="147">
        <v>1.1672770675073467E-3</v>
      </c>
      <c r="AA273" s="177"/>
    </row>
    <row r="274" spans="1:27" ht="15" x14ac:dyDescent="0.2">
      <c r="A274" s="142" t="s">
        <v>1220</v>
      </c>
      <c r="B274" s="143" t="s">
        <v>1220</v>
      </c>
      <c r="C274" s="143" t="s">
        <v>3655</v>
      </c>
      <c r="D274" s="145" t="s">
        <v>3930</v>
      </c>
      <c r="E274" s="145" t="s">
        <v>3930</v>
      </c>
      <c r="F274" s="143" t="s">
        <v>3656</v>
      </c>
      <c r="G274" s="143" t="s">
        <v>3657</v>
      </c>
      <c r="H274" s="143" t="s">
        <v>312</v>
      </c>
      <c r="I274" s="143" t="s">
        <v>1005</v>
      </c>
      <c r="J274" s="145" t="s">
        <v>3930</v>
      </c>
      <c r="K274" s="143" t="s">
        <v>205</v>
      </c>
      <c r="L274" s="145" t="s">
        <v>3930</v>
      </c>
      <c r="M274" s="145" t="s">
        <v>3930</v>
      </c>
      <c r="N274" s="143" t="s">
        <v>224</v>
      </c>
      <c r="O274" s="143" t="s">
        <v>339</v>
      </c>
      <c r="P274" s="162">
        <v>45252</v>
      </c>
      <c r="Q274" s="143" t="s">
        <v>1211</v>
      </c>
      <c r="R274" s="143" t="s">
        <v>885</v>
      </c>
      <c r="S274" s="143" t="s">
        <v>889</v>
      </c>
      <c r="T274" s="163">
        <v>45558</v>
      </c>
      <c r="U274" s="143" t="s">
        <v>1212</v>
      </c>
      <c r="V274" s="144">
        <v>2144.7437735849062</v>
      </c>
      <c r="W274" s="144">
        <v>7956.9994000000006</v>
      </c>
      <c r="X274" s="146">
        <v>5.2585509786736784E-3</v>
      </c>
      <c r="Y274" s="146">
        <v>6.8250183909893663E-3</v>
      </c>
      <c r="Z274" s="147">
        <v>1.015650724486086E-3</v>
      </c>
      <c r="AA274" s="177"/>
    </row>
    <row r="275" spans="1:27" ht="15" x14ac:dyDescent="0.2">
      <c r="A275" s="142" t="s">
        <v>1220</v>
      </c>
      <c r="B275" s="143" t="s">
        <v>1220</v>
      </c>
      <c r="C275" s="143" t="s">
        <v>3645</v>
      </c>
      <c r="D275" s="145" t="s">
        <v>3930</v>
      </c>
      <c r="E275" s="145" t="s">
        <v>3930</v>
      </c>
      <c r="F275" s="143" t="s">
        <v>3646</v>
      </c>
      <c r="G275" s="143" t="s">
        <v>3647</v>
      </c>
      <c r="H275" s="143" t="s">
        <v>312</v>
      </c>
      <c r="I275" s="143" t="s">
        <v>1005</v>
      </c>
      <c r="J275" s="145" t="s">
        <v>3930</v>
      </c>
      <c r="K275" s="143" t="s">
        <v>205</v>
      </c>
      <c r="L275" s="145" t="s">
        <v>3930</v>
      </c>
      <c r="M275" s="145" t="s">
        <v>3930</v>
      </c>
      <c r="N275" s="143" t="s">
        <v>224</v>
      </c>
      <c r="O275" s="143" t="s">
        <v>339</v>
      </c>
      <c r="P275" s="162">
        <v>44139</v>
      </c>
      <c r="Q275" s="143" t="s">
        <v>1211</v>
      </c>
      <c r="R275" s="143" t="s">
        <v>885</v>
      </c>
      <c r="S275" s="143" t="s">
        <v>889</v>
      </c>
      <c r="T275" s="163">
        <v>45564</v>
      </c>
      <c r="U275" s="143" t="s">
        <v>1212</v>
      </c>
      <c r="V275" s="144">
        <v>1284.753477088949</v>
      </c>
      <c r="W275" s="144">
        <v>4766.4354000000003</v>
      </c>
      <c r="X275" s="146">
        <v>1.2619068627450981E-2</v>
      </c>
      <c r="Y275" s="146">
        <v>4.0883513590426667E-3</v>
      </c>
      <c r="Z275" s="147">
        <v>6.0839938911335723E-4</v>
      </c>
      <c r="AA275" s="177"/>
    </row>
    <row r="276" spans="1:27" ht="15" x14ac:dyDescent="0.2">
      <c r="A276" s="142" t="s">
        <v>1220</v>
      </c>
      <c r="B276" s="143" t="s">
        <v>1220</v>
      </c>
      <c r="C276" s="143" t="s">
        <v>314</v>
      </c>
      <c r="D276" s="145" t="s">
        <v>3930</v>
      </c>
      <c r="E276" s="145" t="s">
        <v>3930</v>
      </c>
      <c r="F276" s="143" t="s">
        <v>3648</v>
      </c>
      <c r="G276" s="143" t="s">
        <v>3649</v>
      </c>
      <c r="H276" s="143" t="s">
        <v>312</v>
      </c>
      <c r="I276" s="143" t="s">
        <v>1005</v>
      </c>
      <c r="J276" s="145" t="s">
        <v>3930</v>
      </c>
      <c r="K276" s="143" t="s">
        <v>205</v>
      </c>
      <c r="L276" s="145" t="s">
        <v>3930</v>
      </c>
      <c r="M276" s="145" t="s">
        <v>3930</v>
      </c>
      <c r="N276" s="143" t="s">
        <v>224</v>
      </c>
      <c r="O276" s="143" t="s">
        <v>339</v>
      </c>
      <c r="P276" s="162">
        <v>44136</v>
      </c>
      <c r="Q276" s="143" t="s">
        <v>1211</v>
      </c>
      <c r="R276" s="143" t="s">
        <v>885</v>
      </c>
      <c r="S276" s="143" t="s">
        <v>889</v>
      </c>
      <c r="T276" s="163">
        <v>45553</v>
      </c>
      <c r="U276" s="143" t="s">
        <v>1212</v>
      </c>
      <c r="V276" s="144">
        <v>1128.992398921833</v>
      </c>
      <c r="W276" s="144">
        <v>4188.5617999999995</v>
      </c>
      <c r="X276" s="145" t="s">
        <v>3930</v>
      </c>
      <c r="Y276" s="146">
        <v>3.5926873874329206E-3</v>
      </c>
      <c r="Z276" s="147">
        <v>5.3463820005462536E-4</v>
      </c>
      <c r="AA276" s="177"/>
    </row>
    <row r="277" spans="1:27" ht="15" x14ac:dyDescent="0.2">
      <c r="A277" s="142" t="s">
        <v>1220</v>
      </c>
      <c r="B277" s="143" t="s">
        <v>1220</v>
      </c>
      <c r="C277" s="143" t="s">
        <v>3653</v>
      </c>
      <c r="D277" s="145" t="s">
        <v>3930</v>
      </c>
      <c r="E277" s="145" t="s">
        <v>3930</v>
      </c>
      <c r="F277" s="143" t="s">
        <v>3646</v>
      </c>
      <c r="G277" s="143" t="s">
        <v>3654</v>
      </c>
      <c r="H277" s="143" t="s">
        <v>312</v>
      </c>
      <c r="I277" s="143" t="s">
        <v>1005</v>
      </c>
      <c r="J277" s="145" t="s">
        <v>3930</v>
      </c>
      <c r="K277" s="143" t="s">
        <v>205</v>
      </c>
      <c r="L277" s="145" t="s">
        <v>3930</v>
      </c>
      <c r="M277" s="145" t="s">
        <v>3930</v>
      </c>
      <c r="N277" s="143" t="s">
        <v>224</v>
      </c>
      <c r="O277" s="143" t="s">
        <v>339</v>
      </c>
      <c r="P277" s="162">
        <v>44136</v>
      </c>
      <c r="Q277" s="143" t="s">
        <v>1211</v>
      </c>
      <c r="R277" s="143" t="s">
        <v>885</v>
      </c>
      <c r="S277" s="143" t="s">
        <v>889</v>
      </c>
      <c r="T277" s="163">
        <v>45564</v>
      </c>
      <c r="U277" s="143" t="s">
        <v>1212</v>
      </c>
      <c r="V277" s="144">
        <v>782.24611859838285</v>
      </c>
      <c r="W277" s="144">
        <v>2902.1331</v>
      </c>
      <c r="X277" s="145" t="s">
        <v>3930</v>
      </c>
      <c r="Y277" s="146">
        <v>2.4892689405494259E-3</v>
      </c>
      <c r="Z277" s="147">
        <v>3.704353099249657E-4</v>
      </c>
      <c r="AA277" s="177"/>
    </row>
    <row r="278" spans="1:27" ht="15" x14ac:dyDescent="0.2">
      <c r="A278" s="142" t="s">
        <v>1220</v>
      </c>
      <c r="B278" s="143" t="s">
        <v>1220</v>
      </c>
      <c r="C278" s="143" t="s">
        <v>3650</v>
      </c>
      <c r="D278" s="145" t="s">
        <v>3930</v>
      </c>
      <c r="E278" s="145" t="s">
        <v>3930</v>
      </c>
      <c r="F278" s="143" t="s">
        <v>3651</v>
      </c>
      <c r="G278" s="143" t="s">
        <v>3652</v>
      </c>
      <c r="H278" s="143" t="s">
        <v>312</v>
      </c>
      <c r="I278" s="143" t="s">
        <v>1005</v>
      </c>
      <c r="J278" s="145" t="s">
        <v>3930</v>
      </c>
      <c r="K278" s="143" t="s">
        <v>205</v>
      </c>
      <c r="L278" s="145" t="s">
        <v>3930</v>
      </c>
      <c r="M278" s="145" t="s">
        <v>3930</v>
      </c>
      <c r="N278" s="143" t="s">
        <v>291</v>
      </c>
      <c r="O278" s="143" t="s">
        <v>339</v>
      </c>
      <c r="P278" s="162">
        <v>44742</v>
      </c>
      <c r="Q278" s="143" t="s">
        <v>1211</v>
      </c>
      <c r="R278" s="143" t="s">
        <v>885</v>
      </c>
      <c r="S278" s="143" t="s">
        <v>889</v>
      </c>
      <c r="T278" s="163">
        <v>45564</v>
      </c>
      <c r="U278" s="143" t="s">
        <v>1212</v>
      </c>
      <c r="V278" s="144">
        <v>690.54978436657689</v>
      </c>
      <c r="W278" s="144">
        <v>2561.9397000000004</v>
      </c>
      <c r="X278" s="146">
        <v>1.924000025E-3</v>
      </c>
      <c r="Y278" s="146">
        <v>2.1974722361100471E-3</v>
      </c>
      <c r="Z278" s="147">
        <v>3.2701219847111563E-4</v>
      </c>
      <c r="AA278" s="177"/>
    </row>
    <row r="279" spans="1:27" ht="15" x14ac:dyDescent="0.2">
      <c r="A279" s="142" t="s">
        <v>1220</v>
      </c>
      <c r="B279" s="143" t="s">
        <v>1220</v>
      </c>
      <c r="C279" s="143" t="s">
        <v>314</v>
      </c>
      <c r="D279" s="145" t="s">
        <v>3930</v>
      </c>
      <c r="E279" s="145" t="s">
        <v>3930</v>
      </c>
      <c r="F279" s="143" t="s">
        <v>3658</v>
      </c>
      <c r="G279" s="143" t="s">
        <v>3659</v>
      </c>
      <c r="H279" s="143" t="s">
        <v>312</v>
      </c>
      <c r="I279" s="143" t="s">
        <v>1005</v>
      </c>
      <c r="J279" s="145" t="s">
        <v>3930</v>
      </c>
      <c r="K279" s="143" t="s">
        <v>205</v>
      </c>
      <c r="L279" s="145" t="s">
        <v>3930</v>
      </c>
      <c r="M279" s="145" t="s">
        <v>3930</v>
      </c>
      <c r="N279" s="143" t="s">
        <v>244</v>
      </c>
      <c r="O279" s="143" t="s">
        <v>339</v>
      </c>
      <c r="P279" s="162">
        <v>45055</v>
      </c>
      <c r="Q279" s="143" t="s">
        <v>1211</v>
      </c>
      <c r="R279" s="143" t="s">
        <v>885</v>
      </c>
      <c r="S279" s="143" t="s">
        <v>889</v>
      </c>
      <c r="T279" s="163">
        <v>45516</v>
      </c>
      <c r="U279" s="143" t="s">
        <v>1212</v>
      </c>
      <c r="V279" s="144">
        <v>489.74902964959568</v>
      </c>
      <c r="W279" s="144">
        <v>1816.9688999999998</v>
      </c>
      <c r="X279" s="146">
        <v>2.778885E-2</v>
      </c>
      <c r="Y279" s="146">
        <v>1.5584827099104112E-3</v>
      </c>
      <c r="Z279" s="147">
        <v>2.3192231914119309E-4</v>
      </c>
      <c r="AA279" s="177"/>
    </row>
    <row r="280" spans="1:27" ht="15" x14ac:dyDescent="0.2">
      <c r="A280" s="142" t="s">
        <v>1220</v>
      </c>
      <c r="B280" s="143" t="s">
        <v>1220</v>
      </c>
      <c r="C280" s="143" t="s">
        <v>3660</v>
      </c>
      <c r="D280" s="145" t="s">
        <v>3930</v>
      </c>
      <c r="E280" s="145" t="s">
        <v>3930</v>
      </c>
      <c r="F280" s="143" t="s">
        <v>3661</v>
      </c>
      <c r="G280" s="143" t="s">
        <v>3662</v>
      </c>
      <c r="H280" s="143" t="s">
        <v>312</v>
      </c>
      <c r="I280" s="143" t="s">
        <v>1005</v>
      </c>
      <c r="J280" s="145" t="s">
        <v>3930</v>
      </c>
      <c r="K280" s="143" t="s">
        <v>205</v>
      </c>
      <c r="L280" s="145" t="s">
        <v>3930</v>
      </c>
      <c r="M280" s="145" t="s">
        <v>3930</v>
      </c>
      <c r="N280" s="143" t="s">
        <v>204</v>
      </c>
      <c r="O280" s="143" t="s">
        <v>339</v>
      </c>
      <c r="P280" s="162">
        <v>45503</v>
      </c>
      <c r="Q280" s="143" t="s">
        <v>1211</v>
      </c>
      <c r="R280" s="143" t="s">
        <v>885</v>
      </c>
      <c r="S280" s="143" t="s">
        <v>889</v>
      </c>
      <c r="T280" s="163">
        <v>45504</v>
      </c>
      <c r="U280" s="143" t="s">
        <v>1212</v>
      </c>
      <c r="V280" s="144">
        <v>3.5040431266846362E-4</v>
      </c>
      <c r="W280" s="144">
        <v>1.2999999999999999E-3</v>
      </c>
      <c r="X280" s="145" t="s">
        <v>3930</v>
      </c>
      <c r="Y280" s="146">
        <v>1.1341067047692807E-9</v>
      </c>
      <c r="Z280" s="147">
        <v>1.6876969853505007E-10</v>
      </c>
      <c r="AA280" s="177"/>
    </row>
    <row r="281" spans="1:27" ht="15" x14ac:dyDescent="0.2">
      <c r="A281" s="142" t="s">
        <v>1220</v>
      </c>
      <c r="B281" s="143" t="s">
        <v>1220</v>
      </c>
      <c r="C281" s="143" t="s">
        <v>314</v>
      </c>
      <c r="D281" s="145" t="s">
        <v>3930</v>
      </c>
      <c r="E281" s="145" t="s">
        <v>3930</v>
      </c>
      <c r="F281" s="143" t="s">
        <v>3663</v>
      </c>
      <c r="G281" s="143" t="s">
        <v>3664</v>
      </c>
      <c r="H281" s="143" t="s">
        <v>312</v>
      </c>
      <c r="I281" s="143" t="s">
        <v>1005</v>
      </c>
      <c r="J281" s="145" t="s">
        <v>3930</v>
      </c>
      <c r="K281" s="143" t="s">
        <v>205</v>
      </c>
      <c r="L281" s="145" t="s">
        <v>3930</v>
      </c>
      <c r="M281" s="145" t="s">
        <v>3930</v>
      </c>
      <c r="N281" s="143" t="s">
        <v>224</v>
      </c>
      <c r="O281" s="143" t="s">
        <v>339</v>
      </c>
      <c r="P281" s="162">
        <v>39136</v>
      </c>
      <c r="Q281" s="143" t="s">
        <v>1211</v>
      </c>
      <c r="R281" s="143" t="s">
        <v>885</v>
      </c>
      <c r="S281" s="143" t="s">
        <v>889</v>
      </c>
      <c r="T281" s="163">
        <v>44136</v>
      </c>
      <c r="U281" s="143" t="s">
        <v>1212</v>
      </c>
      <c r="V281" s="145" t="s">
        <v>3930</v>
      </c>
      <c r="W281" s="144">
        <v>0</v>
      </c>
      <c r="X281" s="145" t="s">
        <v>3930</v>
      </c>
      <c r="Y281" s="146">
        <v>1.1911318517977201E-11</v>
      </c>
      <c r="Z281" s="147">
        <v>1.772557755791537E-12</v>
      </c>
      <c r="AA281" s="177"/>
    </row>
    <row r="282" spans="1:27" ht="15" x14ac:dyDescent="0.2">
      <c r="A282" s="154" t="s">
        <v>1205</v>
      </c>
      <c r="B282" s="155" t="s">
        <v>1206</v>
      </c>
      <c r="C282" s="145" t="s">
        <v>3930</v>
      </c>
      <c r="D282" s="145" t="s">
        <v>3930</v>
      </c>
      <c r="E282" s="145" t="s">
        <v>3930</v>
      </c>
      <c r="F282" s="145" t="s">
        <v>3930</v>
      </c>
      <c r="G282" s="145" t="s">
        <v>3930</v>
      </c>
      <c r="H282" s="145" t="s">
        <v>3930</v>
      </c>
      <c r="I282" s="145" t="s">
        <v>3930</v>
      </c>
      <c r="J282" s="145" t="s">
        <v>3930</v>
      </c>
      <c r="K282" s="145" t="s">
        <v>3930</v>
      </c>
      <c r="L282" s="145" t="s">
        <v>3930</v>
      </c>
      <c r="M282" s="145" t="s">
        <v>3930</v>
      </c>
      <c r="N282" s="145" t="s">
        <v>3930</v>
      </c>
      <c r="O282" s="145" t="s">
        <v>3930</v>
      </c>
      <c r="P282" s="145" t="s">
        <v>3930</v>
      </c>
      <c r="Q282" s="145" t="s">
        <v>3930</v>
      </c>
      <c r="R282" s="145" t="s">
        <v>3930</v>
      </c>
      <c r="S282" s="145" t="s">
        <v>3930</v>
      </c>
      <c r="T282" s="145" t="s">
        <v>3930</v>
      </c>
      <c r="U282" s="145" t="s">
        <v>3930</v>
      </c>
      <c r="V282" s="145" t="s">
        <v>3930</v>
      </c>
      <c r="W282" s="145" t="s">
        <v>3930</v>
      </c>
      <c r="X282" s="145" t="s">
        <v>3930</v>
      </c>
      <c r="Y282" s="145" t="s">
        <v>3930</v>
      </c>
      <c r="Z282" s="156" t="s">
        <v>3930</v>
      </c>
      <c r="AA282" s="177"/>
    </row>
    <row r="283" spans="1:27" ht="15" x14ac:dyDescent="0.2">
      <c r="A283" s="154" t="s">
        <v>1205</v>
      </c>
      <c r="B283" s="155" t="s">
        <v>1215</v>
      </c>
      <c r="C283" s="145" t="s">
        <v>3930</v>
      </c>
      <c r="D283" s="145" t="s">
        <v>3930</v>
      </c>
      <c r="E283" s="145" t="s">
        <v>3930</v>
      </c>
      <c r="F283" s="145" t="s">
        <v>3930</v>
      </c>
      <c r="G283" s="145" t="s">
        <v>3930</v>
      </c>
      <c r="H283" s="145" t="s">
        <v>3930</v>
      </c>
      <c r="I283" s="145" t="s">
        <v>3930</v>
      </c>
      <c r="J283" s="145" t="s">
        <v>3930</v>
      </c>
      <c r="K283" s="145" t="s">
        <v>3930</v>
      </c>
      <c r="L283" s="145" t="s">
        <v>3930</v>
      </c>
      <c r="M283" s="145" t="s">
        <v>3930</v>
      </c>
      <c r="N283" s="145" t="s">
        <v>3930</v>
      </c>
      <c r="O283" s="145" t="s">
        <v>3930</v>
      </c>
      <c r="P283" s="145" t="s">
        <v>3930</v>
      </c>
      <c r="Q283" s="145" t="s">
        <v>3930</v>
      </c>
      <c r="R283" s="145" t="s">
        <v>3930</v>
      </c>
      <c r="S283" s="145" t="s">
        <v>3930</v>
      </c>
      <c r="T283" s="145" t="s">
        <v>3930</v>
      </c>
      <c r="U283" s="145" t="s">
        <v>3930</v>
      </c>
      <c r="V283" s="145" t="s">
        <v>3930</v>
      </c>
      <c r="W283" s="145" t="s">
        <v>3930</v>
      </c>
      <c r="X283" s="145" t="s">
        <v>3930</v>
      </c>
      <c r="Y283" s="145" t="s">
        <v>3930</v>
      </c>
      <c r="Z283" s="156" t="s">
        <v>3930</v>
      </c>
      <c r="AA283" s="177"/>
    </row>
    <row r="284" spans="1:27" ht="15" x14ac:dyDescent="0.2">
      <c r="A284" s="154" t="s">
        <v>1220</v>
      </c>
      <c r="B284" s="155" t="s">
        <v>1221</v>
      </c>
      <c r="C284" s="145" t="s">
        <v>3930</v>
      </c>
      <c r="D284" s="145" t="s">
        <v>3930</v>
      </c>
      <c r="E284" s="145" t="s">
        <v>3930</v>
      </c>
      <c r="F284" s="145" t="s">
        <v>3930</v>
      </c>
      <c r="G284" s="145" t="s">
        <v>3930</v>
      </c>
      <c r="H284" s="145" t="s">
        <v>3930</v>
      </c>
      <c r="I284" s="145" t="s">
        <v>3930</v>
      </c>
      <c r="J284" s="145" t="s">
        <v>3930</v>
      </c>
      <c r="K284" s="145" t="s">
        <v>3930</v>
      </c>
      <c r="L284" s="145" t="s">
        <v>3930</v>
      </c>
      <c r="M284" s="145" t="s">
        <v>3930</v>
      </c>
      <c r="N284" s="145" t="s">
        <v>3930</v>
      </c>
      <c r="O284" s="145" t="s">
        <v>3930</v>
      </c>
      <c r="P284" s="145" t="s">
        <v>3930</v>
      </c>
      <c r="Q284" s="145" t="s">
        <v>3930</v>
      </c>
      <c r="R284" s="145" t="s">
        <v>3930</v>
      </c>
      <c r="S284" s="145" t="s">
        <v>3930</v>
      </c>
      <c r="T284" s="145" t="s">
        <v>3930</v>
      </c>
      <c r="U284" s="145" t="s">
        <v>3930</v>
      </c>
      <c r="V284" s="145" t="s">
        <v>3930</v>
      </c>
      <c r="W284" s="145" t="s">
        <v>3930</v>
      </c>
      <c r="X284" s="145" t="s">
        <v>3930</v>
      </c>
      <c r="Y284" s="145" t="s">
        <v>3930</v>
      </c>
      <c r="Z284" s="156" t="s">
        <v>3930</v>
      </c>
      <c r="AA284" s="177"/>
    </row>
    <row r="285" spans="1:27" ht="15" x14ac:dyDescent="0.2">
      <c r="A285" s="157" t="s">
        <v>1220</v>
      </c>
      <c r="B285" s="158" t="s">
        <v>1222</v>
      </c>
      <c r="C285" s="151" t="s">
        <v>3930</v>
      </c>
      <c r="D285" s="151" t="s">
        <v>3930</v>
      </c>
      <c r="E285" s="151" t="s">
        <v>3930</v>
      </c>
      <c r="F285" s="151" t="s">
        <v>3930</v>
      </c>
      <c r="G285" s="151" t="s">
        <v>3930</v>
      </c>
      <c r="H285" s="151" t="s">
        <v>3930</v>
      </c>
      <c r="I285" s="151" t="s">
        <v>3930</v>
      </c>
      <c r="J285" s="151" t="s">
        <v>3930</v>
      </c>
      <c r="K285" s="151" t="s">
        <v>3930</v>
      </c>
      <c r="L285" s="151" t="s">
        <v>3930</v>
      </c>
      <c r="M285" s="151" t="s">
        <v>3930</v>
      </c>
      <c r="N285" s="151" t="s">
        <v>3930</v>
      </c>
      <c r="O285" s="151" t="s">
        <v>3930</v>
      </c>
      <c r="P285" s="151" t="s">
        <v>3930</v>
      </c>
      <c r="Q285" s="151" t="s">
        <v>3930</v>
      </c>
      <c r="R285" s="151" t="s">
        <v>3930</v>
      </c>
      <c r="S285" s="151" t="s">
        <v>3930</v>
      </c>
      <c r="T285" s="151" t="s">
        <v>3930</v>
      </c>
      <c r="U285" s="151" t="s">
        <v>3930</v>
      </c>
      <c r="V285" s="151" t="s">
        <v>3930</v>
      </c>
      <c r="W285" s="151" t="s">
        <v>3930</v>
      </c>
      <c r="X285" s="151" t="s">
        <v>3930</v>
      </c>
      <c r="Y285" s="151" t="s">
        <v>3930</v>
      </c>
      <c r="Z285" s="159" t="s">
        <v>3930</v>
      </c>
      <c r="AA285" s="177"/>
    </row>
    <row r="286" spans="1:27" x14ac:dyDescent="0.2">
      <c r="A286" s="177" t="s">
        <v>3946</v>
      </c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spans="1:27" x14ac:dyDescent="0.2">
      <c r="A287" s="2" t="s">
        <v>3945</v>
      </c>
    </row>
    <row r="288" spans="1:27" x14ac:dyDescent="0.2">
      <c r="A288" s="179"/>
    </row>
    <row r="1048575" spans="12:12" x14ac:dyDescent="0.2">
      <c r="L1048575" s="9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6:Z286"/>
    <mergeCell ref="AA2:AA285"/>
  </mergeCells>
  <dataValidations count="7"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1048575:L1048576">
      <formula1>Country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3968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55</v>
      </c>
      <c r="J2" s="140" t="s">
        <v>69</v>
      </c>
      <c r="K2" s="140" t="s">
        <v>89</v>
      </c>
      <c r="L2" s="140" t="s">
        <v>92</v>
      </c>
      <c r="M2" s="140" t="s">
        <v>83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63</v>
      </c>
      <c r="AA2" s="140" t="s">
        <v>64</v>
      </c>
      <c r="AB2" s="141" t="s">
        <v>65</v>
      </c>
      <c r="AC2" s="177" t="s">
        <v>3947</v>
      </c>
    </row>
    <row r="3" spans="1:29" ht="15" x14ac:dyDescent="0.2">
      <c r="A3" s="142" t="s">
        <v>1205</v>
      </c>
      <c r="B3" s="143" t="s">
        <v>1205</v>
      </c>
      <c r="C3" s="143" t="s">
        <v>3199</v>
      </c>
      <c r="D3" s="143" t="s">
        <v>3200</v>
      </c>
      <c r="E3" s="143" t="s">
        <v>314</v>
      </c>
      <c r="F3" s="143" t="s">
        <v>3668</v>
      </c>
      <c r="G3" s="143" t="s">
        <v>3669</v>
      </c>
      <c r="H3" s="143" t="s">
        <v>312</v>
      </c>
      <c r="I3" s="143" t="s">
        <v>204</v>
      </c>
      <c r="J3" s="143" t="s">
        <v>204</v>
      </c>
      <c r="K3" s="143" t="s">
        <v>314</v>
      </c>
      <c r="L3" s="143" t="s">
        <v>3670</v>
      </c>
      <c r="M3" s="143" t="s">
        <v>444</v>
      </c>
      <c r="N3" s="143" t="s">
        <v>3671</v>
      </c>
      <c r="O3" s="143" t="s">
        <v>339</v>
      </c>
      <c r="P3" s="143" t="s">
        <v>3123</v>
      </c>
      <c r="Q3" s="143" t="s">
        <v>1211</v>
      </c>
      <c r="R3" s="143" t="s">
        <v>884</v>
      </c>
      <c r="S3" s="143" t="s">
        <v>888</v>
      </c>
      <c r="T3" s="161">
        <v>45320</v>
      </c>
      <c r="U3" s="145" t="s">
        <v>3930</v>
      </c>
      <c r="V3" s="143" t="s">
        <v>3042</v>
      </c>
      <c r="W3" s="144">
        <v>309.63</v>
      </c>
      <c r="X3" s="143" t="s">
        <v>3672</v>
      </c>
      <c r="Y3" s="143" t="s">
        <v>1212</v>
      </c>
      <c r="Z3" s="144">
        <v>89.600700000000003</v>
      </c>
      <c r="AA3" s="146">
        <v>0.99999962580082691</v>
      </c>
      <c r="AB3" s="147">
        <v>1.2998270554403729E-4</v>
      </c>
      <c r="AC3" s="177"/>
    </row>
    <row r="4" spans="1:29" ht="15" x14ac:dyDescent="0.2">
      <c r="A4" s="142" t="s">
        <v>1205</v>
      </c>
      <c r="B4" s="143" t="s">
        <v>1205</v>
      </c>
      <c r="C4" s="143" t="s">
        <v>3199</v>
      </c>
      <c r="D4" s="143" t="s">
        <v>3200</v>
      </c>
      <c r="E4" s="143" t="s">
        <v>314</v>
      </c>
      <c r="F4" s="143" t="s">
        <v>3673</v>
      </c>
      <c r="G4" s="143" t="s">
        <v>3674</v>
      </c>
      <c r="H4" s="143" t="s">
        <v>312</v>
      </c>
      <c r="I4" s="143" t="s">
        <v>204</v>
      </c>
      <c r="J4" s="143" t="s">
        <v>204</v>
      </c>
      <c r="K4" s="143" t="s">
        <v>314</v>
      </c>
      <c r="L4" s="143" t="s">
        <v>3670</v>
      </c>
      <c r="M4" s="143" t="s">
        <v>444</v>
      </c>
      <c r="N4" s="143" t="s">
        <v>3671</v>
      </c>
      <c r="O4" s="143" t="s">
        <v>339</v>
      </c>
      <c r="P4" s="143" t="s">
        <v>3123</v>
      </c>
      <c r="Q4" s="143" t="s">
        <v>1211</v>
      </c>
      <c r="R4" s="143" t="s">
        <v>884</v>
      </c>
      <c r="S4" s="143" t="s">
        <v>888</v>
      </c>
      <c r="T4" s="161">
        <v>45250</v>
      </c>
      <c r="U4" s="145" t="s">
        <v>3930</v>
      </c>
      <c r="V4" s="143" t="s">
        <v>3042</v>
      </c>
      <c r="W4" s="144">
        <v>89</v>
      </c>
      <c r="X4" s="143" t="s">
        <v>3675</v>
      </c>
      <c r="Y4" s="143" t="s">
        <v>1212</v>
      </c>
      <c r="Z4" s="144">
        <v>0</v>
      </c>
      <c r="AA4" s="146">
        <v>3.6851248717979188E-7</v>
      </c>
      <c r="AB4" s="147">
        <v>4.7900268034632395E-11</v>
      </c>
      <c r="AC4" s="177"/>
    </row>
    <row r="5" spans="1:29" ht="15" x14ac:dyDescent="0.2">
      <c r="A5" s="142" t="s">
        <v>1205</v>
      </c>
      <c r="B5" s="143" t="s">
        <v>1205</v>
      </c>
      <c r="C5" s="143" t="s">
        <v>3199</v>
      </c>
      <c r="D5" s="143" t="s">
        <v>3200</v>
      </c>
      <c r="E5" s="143" t="s">
        <v>314</v>
      </c>
      <c r="F5" s="143" t="s">
        <v>3676</v>
      </c>
      <c r="G5" s="143" t="s">
        <v>3677</v>
      </c>
      <c r="H5" s="143" t="s">
        <v>312</v>
      </c>
      <c r="I5" s="143" t="s">
        <v>204</v>
      </c>
      <c r="J5" s="143" t="s">
        <v>204</v>
      </c>
      <c r="K5" s="143" t="s">
        <v>314</v>
      </c>
      <c r="L5" s="143" t="s">
        <v>3060</v>
      </c>
      <c r="M5" s="143" t="s">
        <v>444</v>
      </c>
      <c r="N5" s="143" t="s">
        <v>1334</v>
      </c>
      <c r="O5" s="143" t="s">
        <v>339</v>
      </c>
      <c r="P5" s="143" t="s">
        <v>3678</v>
      </c>
      <c r="Q5" s="143" t="s">
        <v>1211</v>
      </c>
      <c r="R5" s="143" t="s">
        <v>884</v>
      </c>
      <c r="S5" s="143" t="s">
        <v>888</v>
      </c>
      <c r="T5" s="161">
        <v>45250</v>
      </c>
      <c r="U5" s="145" t="s">
        <v>3930</v>
      </c>
      <c r="V5" s="143" t="s">
        <v>3042</v>
      </c>
      <c r="W5" s="144">
        <v>137.34</v>
      </c>
      <c r="X5" s="143" t="s">
        <v>3675</v>
      </c>
      <c r="Y5" s="143" t="s">
        <v>1212</v>
      </c>
      <c r="Z5" s="144">
        <v>0</v>
      </c>
      <c r="AA5" s="146">
        <v>5.6866859538508557E-9</v>
      </c>
      <c r="AB5" s="147">
        <v>7.3917110245802404E-13</v>
      </c>
      <c r="AC5" s="177"/>
    </row>
    <row r="6" spans="1:29" ht="15" x14ac:dyDescent="0.2">
      <c r="A6" s="142" t="s">
        <v>1220</v>
      </c>
      <c r="B6" s="143" t="s">
        <v>1220</v>
      </c>
      <c r="C6" s="143" t="s">
        <v>3199</v>
      </c>
      <c r="D6" s="143" t="s">
        <v>3200</v>
      </c>
      <c r="E6" s="143" t="s">
        <v>314</v>
      </c>
      <c r="F6" s="143" t="s">
        <v>3668</v>
      </c>
      <c r="G6" s="143" t="s">
        <v>3669</v>
      </c>
      <c r="H6" s="143" t="s">
        <v>312</v>
      </c>
      <c r="I6" s="143" t="s">
        <v>204</v>
      </c>
      <c r="J6" s="143" t="s">
        <v>204</v>
      </c>
      <c r="K6" s="143" t="s">
        <v>314</v>
      </c>
      <c r="L6" s="143" t="s">
        <v>3670</v>
      </c>
      <c r="M6" s="143" t="s">
        <v>444</v>
      </c>
      <c r="N6" s="143" t="s">
        <v>3671</v>
      </c>
      <c r="O6" s="143" t="s">
        <v>339</v>
      </c>
      <c r="P6" s="143" t="s">
        <v>3123</v>
      </c>
      <c r="Q6" s="143" t="s">
        <v>1211</v>
      </c>
      <c r="R6" s="143" t="s">
        <v>884</v>
      </c>
      <c r="S6" s="143" t="s">
        <v>888</v>
      </c>
      <c r="T6" s="161">
        <v>45320</v>
      </c>
      <c r="U6" s="145" t="s">
        <v>3930</v>
      </c>
      <c r="V6" s="143" t="s">
        <v>3042</v>
      </c>
      <c r="W6" s="144">
        <v>2996.99</v>
      </c>
      <c r="X6" s="143" t="s">
        <v>3672</v>
      </c>
      <c r="Y6" s="143" t="s">
        <v>1212</v>
      </c>
      <c r="Z6" s="144">
        <v>867.26900000000001</v>
      </c>
      <c r="AA6" s="146">
        <v>0.99999960646145825</v>
      </c>
      <c r="AB6" s="147">
        <v>1.1070031624731238E-4</v>
      </c>
      <c r="AC6" s="177"/>
    </row>
    <row r="7" spans="1:29" ht="15" x14ac:dyDescent="0.2">
      <c r="A7" s="142" t="s">
        <v>1220</v>
      </c>
      <c r="B7" s="143" t="s">
        <v>1220</v>
      </c>
      <c r="C7" s="143" t="s">
        <v>3199</v>
      </c>
      <c r="D7" s="143" t="s">
        <v>3200</v>
      </c>
      <c r="E7" s="143" t="s">
        <v>314</v>
      </c>
      <c r="F7" s="143" t="s">
        <v>3673</v>
      </c>
      <c r="G7" s="143" t="s">
        <v>3674</v>
      </c>
      <c r="H7" s="143" t="s">
        <v>312</v>
      </c>
      <c r="I7" s="143" t="s">
        <v>204</v>
      </c>
      <c r="J7" s="143" t="s">
        <v>204</v>
      </c>
      <c r="K7" s="143" t="s">
        <v>314</v>
      </c>
      <c r="L7" s="143" t="s">
        <v>3670</v>
      </c>
      <c r="M7" s="143" t="s">
        <v>444</v>
      </c>
      <c r="N7" s="143" t="s">
        <v>3671</v>
      </c>
      <c r="O7" s="143" t="s">
        <v>339</v>
      </c>
      <c r="P7" s="143" t="s">
        <v>3123</v>
      </c>
      <c r="Q7" s="143" t="s">
        <v>1211</v>
      </c>
      <c r="R7" s="143" t="s">
        <v>884</v>
      </c>
      <c r="S7" s="143" t="s">
        <v>888</v>
      </c>
      <c r="T7" s="161">
        <v>45250</v>
      </c>
      <c r="U7" s="145" t="s">
        <v>3930</v>
      </c>
      <c r="V7" s="143" t="s">
        <v>3042</v>
      </c>
      <c r="W7" s="144">
        <v>906</v>
      </c>
      <c r="X7" s="143" t="s">
        <v>3675</v>
      </c>
      <c r="Y7" s="143" t="s">
        <v>1212</v>
      </c>
      <c r="Z7" s="144">
        <v>2.9999999999999997E-4</v>
      </c>
      <c r="AA7" s="146">
        <v>3.875681948983177E-7</v>
      </c>
      <c r="AB7" s="147">
        <v>4.2903938626997211E-11</v>
      </c>
      <c r="AC7" s="177"/>
    </row>
    <row r="8" spans="1:29" ht="15" x14ac:dyDescent="0.2">
      <c r="A8" s="142" t="s">
        <v>1220</v>
      </c>
      <c r="B8" s="143" t="s">
        <v>1220</v>
      </c>
      <c r="C8" s="143" t="s">
        <v>3199</v>
      </c>
      <c r="D8" s="143" t="s">
        <v>3200</v>
      </c>
      <c r="E8" s="143" t="s">
        <v>314</v>
      </c>
      <c r="F8" s="143" t="s">
        <v>3676</v>
      </c>
      <c r="G8" s="143" t="s">
        <v>3677</v>
      </c>
      <c r="H8" s="143" t="s">
        <v>312</v>
      </c>
      <c r="I8" s="143" t="s">
        <v>204</v>
      </c>
      <c r="J8" s="143" t="s">
        <v>204</v>
      </c>
      <c r="K8" s="143" t="s">
        <v>314</v>
      </c>
      <c r="L8" s="143" t="s">
        <v>3060</v>
      </c>
      <c r="M8" s="143" t="s">
        <v>444</v>
      </c>
      <c r="N8" s="143" t="s">
        <v>1334</v>
      </c>
      <c r="O8" s="143" t="s">
        <v>339</v>
      </c>
      <c r="P8" s="143" t="s">
        <v>3678</v>
      </c>
      <c r="Q8" s="143" t="s">
        <v>1211</v>
      </c>
      <c r="R8" s="143" t="s">
        <v>884</v>
      </c>
      <c r="S8" s="143" t="s">
        <v>888</v>
      </c>
      <c r="T8" s="161">
        <v>45250</v>
      </c>
      <c r="U8" s="145" t="s">
        <v>3930</v>
      </c>
      <c r="V8" s="143" t="s">
        <v>3042</v>
      </c>
      <c r="W8" s="144">
        <v>1395.66</v>
      </c>
      <c r="X8" s="143" t="s">
        <v>3675</v>
      </c>
      <c r="Y8" s="143" t="s">
        <v>1212</v>
      </c>
      <c r="Z8" s="144">
        <v>0</v>
      </c>
      <c r="AA8" s="146">
        <v>5.9703468751852769E-9</v>
      </c>
      <c r="AB8" s="147">
        <v>6.6091954728647825E-13</v>
      </c>
      <c r="AC8" s="177"/>
    </row>
    <row r="9" spans="1:29" ht="15" x14ac:dyDescent="0.2">
      <c r="A9" s="154" t="s">
        <v>1205</v>
      </c>
      <c r="B9" s="155" t="s">
        <v>1206</v>
      </c>
      <c r="C9" s="145" t="s">
        <v>3930</v>
      </c>
      <c r="D9" s="145" t="s">
        <v>3930</v>
      </c>
      <c r="E9" s="145" t="s">
        <v>3930</v>
      </c>
      <c r="F9" s="145" t="s">
        <v>3930</v>
      </c>
      <c r="G9" s="145" t="s">
        <v>3930</v>
      </c>
      <c r="H9" s="145" t="s">
        <v>3930</v>
      </c>
      <c r="I9" s="145" t="s">
        <v>3930</v>
      </c>
      <c r="J9" s="145" t="s">
        <v>3930</v>
      </c>
      <c r="K9" s="145" t="s">
        <v>3930</v>
      </c>
      <c r="L9" s="145" t="s">
        <v>3930</v>
      </c>
      <c r="M9" s="145" t="s">
        <v>3930</v>
      </c>
      <c r="N9" s="145" t="s">
        <v>3930</v>
      </c>
      <c r="O9" s="145" t="s">
        <v>3930</v>
      </c>
      <c r="P9" s="145" t="s">
        <v>3930</v>
      </c>
      <c r="Q9" s="145" t="s">
        <v>3930</v>
      </c>
      <c r="R9" s="145" t="s">
        <v>3930</v>
      </c>
      <c r="S9" s="145" t="s">
        <v>3930</v>
      </c>
      <c r="T9" s="145" t="s">
        <v>3930</v>
      </c>
      <c r="U9" s="145" t="s">
        <v>3930</v>
      </c>
      <c r="V9" s="145" t="s">
        <v>3930</v>
      </c>
      <c r="W9" s="145" t="s">
        <v>3930</v>
      </c>
      <c r="X9" s="145" t="s">
        <v>3930</v>
      </c>
      <c r="Y9" s="145" t="s">
        <v>3930</v>
      </c>
      <c r="Z9" s="145" t="s">
        <v>3930</v>
      </c>
      <c r="AA9" s="145" t="s">
        <v>3930</v>
      </c>
      <c r="AB9" s="156" t="s">
        <v>3930</v>
      </c>
      <c r="AC9" s="177"/>
    </row>
    <row r="10" spans="1:29" ht="15" x14ac:dyDescent="0.2">
      <c r="A10" s="154" t="s">
        <v>1205</v>
      </c>
      <c r="B10" s="155" t="s">
        <v>1215</v>
      </c>
      <c r="C10" s="145" t="s">
        <v>3930</v>
      </c>
      <c r="D10" s="145" t="s">
        <v>3930</v>
      </c>
      <c r="E10" s="145" t="s">
        <v>3930</v>
      </c>
      <c r="F10" s="145" t="s">
        <v>3930</v>
      </c>
      <c r="G10" s="145" t="s">
        <v>3930</v>
      </c>
      <c r="H10" s="145" t="s">
        <v>3930</v>
      </c>
      <c r="I10" s="145" t="s">
        <v>3930</v>
      </c>
      <c r="J10" s="145" t="s">
        <v>3930</v>
      </c>
      <c r="K10" s="145" t="s">
        <v>3930</v>
      </c>
      <c r="L10" s="145" t="s">
        <v>3930</v>
      </c>
      <c r="M10" s="145" t="s">
        <v>3930</v>
      </c>
      <c r="N10" s="145" t="s">
        <v>3930</v>
      </c>
      <c r="O10" s="145" t="s">
        <v>3930</v>
      </c>
      <c r="P10" s="145" t="s">
        <v>3930</v>
      </c>
      <c r="Q10" s="145" t="s">
        <v>3930</v>
      </c>
      <c r="R10" s="145" t="s">
        <v>3930</v>
      </c>
      <c r="S10" s="145" t="s">
        <v>3930</v>
      </c>
      <c r="T10" s="145" t="s">
        <v>3930</v>
      </c>
      <c r="U10" s="145" t="s">
        <v>3930</v>
      </c>
      <c r="V10" s="145" t="s">
        <v>3930</v>
      </c>
      <c r="W10" s="145" t="s">
        <v>3930</v>
      </c>
      <c r="X10" s="145" t="s">
        <v>3930</v>
      </c>
      <c r="Y10" s="145" t="s">
        <v>3930</v>
      </c>
      <c r="Z10" s="145" t="s">
        <v>3930</v>
      </c>
      <c r="AA10" s="145" t="s">
        <v>3930</v>
      </c>
      <c r="AB10" s="156" t="s">
        <v>3930</v>
      </c>
      <c r="AC10" s="177"/>
    </row>
    <row r="11" spans="1:29" ht="15" x14ac:dyDescent="0.2">
      <c r="A11" s="154" t="s">
        <v>1220</v>
      </c>
      <c r="B11" s="155" t="s">
        <v>1221</v>
      </c>
      <c r="C11" s="145" t="s">
        <v>3930</v>
      </c>
      <c r="D11" s="145" t="s">
        <v>3930</v>
      </c>
      <c r="E11" s="145" t="s">
        <v>3930</v>
      </c>
      <c r="F11" s="145" t="s">
        <v>3930</v>
      </c>
      <c r="G11" s="145" t="s">
        <v>3930</v>
      </c>
      <c r="H11" s="145" t="s">
        <v>3930</v>
      </c>
      <c r="I11" s="145" t="s">
        <v>3930</v>
      </c>
      <c r="J11" s="145" t="s">
        <v>3930</v>
      </c>
      <c r="K11" s="145" t="s">
        <v>3930</v>
      </c>
      <c r="L11" s="145" t="s">
        <v>3930</v>
      </c>
      <c r="M11" s="145" t="s">
        <v>3930</v>
      </c>
      <c r="N11" s="145" t="s">
        <v>3930</v>
      </c>
      <c r="O11" s="145" t="s">
        <v>3930</v>
      </c>
      <c r="P11" s="145" t="s">
        <v>3930</v>
      </c>
      <c r="Q11" s="145" t="s">
        <v>3930</v>
      </c>
      <c r="R11" s="145" t="s">
        <v>3930</v>
      </c>
      <c r="S11" s="145" t="s">
        <v>3930</v>
      </c>
      <c r="T11" s="145" t="s">
        <v>3930</v>
      </c>
      <c r="U11" s="145" t="s">
        <v>3930</v>
      </c>
      <c r="V11" s="145" t="s">
        <v>3930</v>
      </c>
      <c r="W11" s="145" t="s">
        <v>3930</v>
      </c>
      <c r="X11" s="145" t="s">
        <v>3930</v>
      </c>
      <c r="Y11" s="145" t="s">
        <v>3930</v>
      </c>
      <c r="Z11" s="145" t="s">
        <v>3930</v>
      </c>
      <c r="AA11" s="145" t="s">
        <v>3930</v>
      </c>
      <c r="AB11" s="156" t="s">
        <v>3930</v>
      </c>
      <c r="AC11" s="177"/>
    </row>
    <row r="12" spans="1:29" ht="15" x14ac:dyDescent="0.2">
      <c r="A12" s="157" t="s">
        <v>1220</v>
      </c>
      <c r="B12" s="158" t="s">
        <v>1222</v>
      </c>
      <c r="C12" s="151" t="s">
        <v>3930</v>
      </c>
      <c r="D12" s="151" t="s">
        <v>3930</v>
      </c>
      <c r="E12" s="151" t="s">
        <v>3930</v>
      </c>
      <c r="F12" s="151" t="s">
        <v>3930</v>
      </c>
      <c r="G12" s="151" t="s">
        <v>3930</v>
      </c>
      <c r="H12" s="151" t="s">
        <v>3930</v>
      </c>
      <c r="I12" s="151" t="s">
        <v>3930</v>
      </c>
      <c r="J12" s="151" t="s">
        <v>3930</v>
      </c>
      <c r="K12" s="151" t="s">
        <v>3930</v>
      </c>
      <c r="L12" s="151" t="s">
        <v>3930</v>
      </c>
      <c r="M12" s="151" t="s">
        <v>3930</v>
      </c>
      <c r="N12" s="151" t="s">
        <v>3930</v>
      </c>
      <c r="O12" s="151" t="s">
        <v>3930</v>
      </c>
      <c r="P12" s="151" t="s">
        <v>3930</v>
      </c>
      <c r="Q12" s="151" t="s">
        <v>3930</v>
      </c>
      <c r="R12" s="151" t="s">
        <v>3930</v>
      </c>
      <c r="S12" s="151" t="s">
        <v>3930</v>
      </c>
      <c r="T12" s="151" t="s">
        <v>3930</v>
      </c>
      <c r="U12" s="151" t="s">
        <v>3930</v>
      </c>
      <c r="V12" s="151" t="s">
        <v>3930</v>
      </c>
      <c r="W12" s="151" t="s">
        <v>3930</v>
      </c>
      <c r="X12" s="151" t="s">
        <v>3930</v>
      </c>
      <c r="Y12" s="151" t="s">
        <v>3930</v>
      </c>
      <c r="Z12" s="151" t="s">
        <v>3930</v>
      </c>
      <c r="AA12" s="151" t="s">
        <v>3930</v>
      </c>
      <c r="AB12" s="159" t="s">
        <v>3930</v>
      </c>
      <c r="AC12" s="177"/>
    </row>
    <row r="13" spans="1:29" x14ac:dyDescent="0.2">
      <c r="A13" s="184" t="s">
        <v>3946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</row>
    <row r="14" spans="1:29" x14ac:dyDescent="0.2">
      <c r="A14" s="99" t="s">
        <v>3945</v>
      </c>
      <c r="B14" s="99"/>
      <c r="C14" s="99"/>
      <c r="D14" s="99"/>
      <c r="E14" s="16"/>
      <c r="F14" s="99"/>
      <c r="G14" s="99"/>
      <c r="H14" s="99"/>
      <c r="I14" s="16"/>
      <c r="J14" s="16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185"/>
      <c r="B15" s="99"/>
      <c r="C15" s="99"/>
      <c r="D15" s="99"/>
      <c r="E15" s="16"/>
      <c r="F15" s="99"/>
      <c r="G15" s="99"/>
      <c r="H15" s="99"/>
      <c r="I15" s="16"/>
      <c r="J15" s="16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16"/>
      <c r="J16" s="16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16"/>
      <c r="J17" s="16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16"/>
      <c r="J18" s="16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16"/>
      <c r="J19" s="16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16"/>
      <c r="J20" s="16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16"/>
      <c r="J21" s="16"/>
      <c r="K21" s="99"/>
      <c r="L21" s="98"/>
      <c r="M21" s="99"/>
      <c r="N21" s="98"/>
      <c r="O21" s="99"/>
      <c r="P21" s="98"/>
      <c r="Q21" s="98"/>
      <c r="R21" s="98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5" spans="1:28" x14ac:dyDescent="0.2">
      <c r="A25" s="98"/>
      <c r="B25" s="98"/>
      <c r="C25" s="98"/>
      <c r="D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8 I14:I21">
      <formula1>israel_abroad</formula1>
    </dataValidation>
    <dataValidation type="list" allowBlank="1" showInputMessage="1" showErrorMessage="1" sqref="O3:O8 O14:O21">
      <formula1>Holding_interest</formula1>
    </dataValidation>
    <dataValidation type="list" allowBlank="1" showInputMessage="1" showErrorMessage="1" sqref="R3:R8 R14:R20">
      <formula1>Valuation</formula1>
    </dataValidation>
    <dataValidation type="list" allowBlank="1" showInputMessage="1" showErrorMessage="1" sqref="S3:S8 S14:S21">
      <formula1>Dependence_Independence</formula1>
    </dataValidation>
    <dataValidation type="list" allowBlank="1" showInputMessage="1" showErrorMessage="1" sqref="J3:J8 J14:J21">
      <formula1>Country_list</formula1>
    </dataValidation>
    <dataValidation type="list" allowBlank="1" showInputMessage="1" showErrorMessage="1" sqref="H3:H8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8 E14:E21">
      <formula1>Issuer_Number_Type_2</formula1>
    </dataValidation>
    <dataValidation type="list" allowBlank="1" showInputMessage="1" showErrorMessage="1" sqref="M3:M8 M14:M21">
      <formula1>Industry_Sector</formula1>
    </dataValidation>
    <dataValidation type="list" allowBlank="1" showInputMessage="1" showErrorMessage="1" sqref="K3:K8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3969</v>
      </c>
    </row>
    <row r="2" spans="1:29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96</v>
      </c>
      <c r="N2" s="140" t="s">
        <v>93</v>
      </c>
      <c r="O2" s="140" t="s">
        <v>56</v>
      </c>
      <c r="P2" s="140" t="s">
        <v>97</v>
      </c>
      <c r="Q2" s="140" t="s">
        <v>59</v>
      </c>
      <c r="R2" s="140" t="s">
        <v>103</v>
      </c>
      <c r="S2" s="140" t="s">
        <v>104</v>
      </c>
      <c r="T2" s="140" t="s">
        <v>106</v>
      </c>
      <c r="U2" s="140" t="s">
        <v>94</v>
      </c>
      <c r="V2" s="140" t="s">
        <v>95</v>
      </c>
      <c r="W2" s="140" t="s">
        <v>76</v>
      </c>
      <c r="X2" s="140" t="s">
        <v>77</v>
      </c>
      <c r="Y2" s="140" t="s">
        <v>61</v>
      </c>
      <c r="Z2" s="140" t="s">
        <v>119</v>
      </c>
      <c r="AA2" s="140" t="s">
        <v>64</v>
      </c>
      <c r="AB2" s="141" t="s">
        <v>65</v>
      </c>
      <c r="AC2" s="177" t="s">
        <v>3947</v>
      </c>
    </row>
    <row r="3" spans="1:29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45" t="s">
        <v>3930</v>
      </c>
      <c r="X3" s="145" t="s">
        <v>3930</v>
      </c>
      <c r="Y3" s="145" t="s">
        <v>3930</v>
      </c>
      <c r="Z3" s="145" t="s">
        <v>3930</v>
      </c>
      <c r="AA3" s="145" t="s">
        <v>3930</v>
      </c>
      <c r="AB3" s="156" t="s">
        <v>3930</v>
      </c>
      <c r="AC3" s="177"/>
    </row>
    <row r="4" spans="1:29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45" t="s">
        <v>3930</v>
      </c>
      <c r="X4" s="145" t="s">
        <v>3930</v>
      </c>
      <c r="Y4" s="145" t="s">
        <v>3930</v>
      </c>
      <c r="Z4" s="145" t="s">
        <v>3930</v>
      </c>
      <c r="AA4" s="145" t="s">
        <v>3930</v>
      </c>
      <c r="AB4" s="156" t="s">
        <v>3930</v>
      </c>
      <c r="AC4" s="177"/>
    </row>
    <row r="5" spans="1:29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45" t="s">
        <v>3930</v>
      </c>
      <c r="X5" s="145" t="s">
        <v>3930</v>
      </c>
      <c r="Y5" s="145" t="s">
        <v>3930</v>
      </c>
      <c r="Z5" s="145" t="s">
        <v>3930</v>
      </c>
      <c r="AA5" s="145" t="s">
        <v>3930</v>
      </c>
      <c r="AB5" s="156" t="s">
        <v>3930</v>
      </c>
      <c r="AC5" s="177"/>
    </row>
    <row r="6" spans="1:29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45" t="s">
        <v>3930</v>
      </c>
      <c r="X6" s="145" t="s">
        <v>3930</v>
      </c>
      <c r="Y6" s="145" t="s">
        <v>3930</v>
      </c>
      <c r="Z6" s="145" t="s">
        <v>3930</v>
      </c>
      <c r="AA6" s="145" t="s">
        <v>3930</v>
      </c>
      <c r="AB6" s="156" t="s">
        <v>3930</v>
      </c>
      <c r="AC6" s="177"/>
    </row>
    <row r="7" spans="1:29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45" t="s">
        <v>3930</v>
      </c>
      <c r="Z7" s="145" t="s">
        <v>3930</v>
      </c>
      <c r="AA7" s="145" t="s">
        <v>3930</v>
      </c>
      <c r="AB7" s="156" t="s">
        <v>3930</v>
      </c>
      <c r="AC7" s="177"/>
    </row>
    <row r="8" spans="1:29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1" t="s">
        <v>3930</v>
      </c>
      <c r="X8" s="151" t="s">
        <v>3930</v>
      </c>
      <c r="Y8" s="151" t="s">
        <v>3930</v>
      </c>
      <c r="Z8" s="151" t="s">
        <v>3930</v>
      </c>
      <c r="AA8" s="151" t="s">
        <v>3930</v>
      </c>
      <c r="AB8" s="159" t="s">
        <v>3930</v>
      </c>
      <c r="AC8" s="177"/>
    </row>
    <row r="9" spans="1:29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</row>
    <row r="10" spans="1:29" x14ac:dyDescent="0.2">
      <c r="A10" s="99" t="s">
        <v>3945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</row>
    <row r="11" spans="1:29" x14ac:dyDescent="0.2">
      <c r="A11" s="185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</row>
    <row r="12" spans="1:29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</row>
    <row r="13" spans="1:29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</row>
    <row r="14" spans="1:29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</row>
    <row r="15" spans="1:29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</row>
    <row r="16" spans="1:29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</row>
    <row r="17" spans="1:28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</row>
    <row r="18" spans="1:28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</row>
    <row r="19" spans="1:28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</row>
    <row r="20" spans="1:28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</row>
    <row r="21" spans="1:28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8"/>
      <c r="Q21" s="98"/>
      <c r="R21" s="99"/>
      <c r="S21" s="99"/>
      <c r="T21" s="98"/>
      <c r="U21" s="98"/>
      <c r="V21" s="98"/>
      <c r="W21" s="98"/>
      <c r="X21" s="98"/>
      <c r="Y21" s="98"/>
      <c r="Z21" s="98"/>
      <c r="AA21" s="98"/>
      <c r="AB21" s="98"/>
    </row>
    <row r="22" spans="1:28" x14ac:dyDescent="0.2">
      <c r="A22" s="98"/>
      <c r="B22" s="98"/>
      <c r="C22" s="98"/>
      <c r="D22" s="98"/>
      <c r="E22"/>
      <c r="F22" s="98"/>
      <c r="G22" s="98"/>
      <c r="H22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O10:O21">
      <formula1>Holding_interest</formula1>
    </dataValidation>
    <dataValidation type="list" allowBlank="1" showInputMessage="1" showErrorMessage="1" sqref="M10:M21">
      <formula1>Underlying_Asset</formula1>
    </dataValidation>
    <dataValidation type="list" allowBlank="1" showInputMessage="1" showErrorMessage="1" sqref="R10:R21">
      <formula1>Valuation</formula1>
    </dataValidation>
    <dataValidation type="list" allowBlank="1" showInputMessage="1" showErrorMessage="1" sqref="S10:S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H10:H21">
      <formula1>Type_of_Security_ID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125" style="10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3970</v>
      </c>
    </row>
    <row r="2" spans="1:42" ht="66.75" customHeight="1" x14ac:dyDescent="0.2">
      <c r="A2" s="139" t="s">
        <v>49</v>
      </c>
      <c r="B2" s="140" t="s">
        <v>50</v>
      </c>
      <c r="C2" s="140" t="s">
        <v>54</v>
      </c>
      <c r="D2" s="140" t="s">
        <v>120</v>
      </c>
      <c r="E2" s="140" t="s">
        <v>121</v>
      </c>
      <c r="F2" s="140" t="s">
        <v>61</v>
      </c>
      <c r="G2" s="140" t="s">
        <v>122</v>
      </c>
      <c r="H2" s="140" t="s">
        <v>123</v>
      </c>
      <c r="I2" s="140" t="s">
        <v>124</v>
      </c>
      <c r="J2" s="140" t="s">
        <v>125</v>
      </c>
      <c r="K2" s="140" t="s">
        <v>126</v>
      </c>
      <c r="L2" s="140" t="s">
        <v>127</v>
      </c>
      <c r="M2" s="140" t="s">
        <v>3944</v>
      </c>
      <c r="N2" s="140" t="s">
        <v>128</v>
      </c>
      <c r="O2" s="140" t="s">
        <v>129</v>
      </c>
      <c r="P2" s="140" t="s">
        <v>130</v>
      </c>
      <c r="Q2" s="140" t="s">
        <v>131</v>
      </c>
      <c r="R2" s="140" t="s">
        <v>132</v>
      </c>
      <c r="S2" s="140" t="s">
        <v>55</v>
      </c>
      <c r="T2" s="140" t="s">
        <v>69</v>
      </c>
      <c r="U2" s="140" t="s">
        <v>133</v>
      </c>
      <c r="V2" s="140" t="s">
        <v>134</v>
      </c>
      <c r="W2" s="140" t="s">
        <v>135</v>
      </c>
      <c r="X2" s="140" t="s">
        <v>136</v>
      </c>
      <c r="Y2" s="140" t="s">
        <v>56</v>
      </c>
      <c r="Z2" s="140" t="s">
        <v>137</v>
      </c>
      <c r="AA2" s="140" t="s">
        <v>138</v>
      </c>
      <c r="AB2" s="140" t="s">
        <v>139</v>
      </c>
      <c r="AC2" s="140" t="s">
        <v>140</v>
      </c>
      <c r="AD2" s="140" t="s">
        <v>141</v>
      </c>
      <c r="AE2" s="140" t="s">
        <v>142</v>
      </c>
      <c r="AF2" s="140" t="s">
        <v>85</v>
      </c>
      <c r="AG2" s="140" t="s">
        <v>143</v>
      </c>
      <c r="AH2" s="140" t="s">
        <v>144</v>
      </c>
      <c r="AI2" s="140" t="s">
        <v>145</v>
      </c>
      <c r="AJ2" s="140" t="s">
        <v>146</v>
      </c>
      <c r="AK2" s="140" t="s">
        <v>147</v>
      </c>
      <c r="AL2" s="140" t="s">
        <v>148</v>
      </c>
      <c r="AM2" s="140" t="s">
        <v>149</v>
      </c>
      <c r="AN2" s="140" t="s">
        <v>64</v>
      </c>
      <c r="AO2" s="141" t="s">
        <v>65</v>
      </c>
      <c r="AP2" s="177" t="s">
        <v>3947</v>
      </c>
    </row>
    <row r="3" spans="1:42" ht="15" x14ac:dyDescent="0.2">
      <c r="A3" s="142" t="s">
        <v>1205</v>
      </c>
      <c r="B3" s="143" t="s">
        <v>1206</v>
      </c>
      <c r="C3" s="143" t="s">
        <v>1016</v>
      </c>
      <c r="D3" s="143" t="s">
        <v>3679</v>
      </c>
      <c r="E3" s="143" t="s">
        <v>1211</v>
      </c>
      <c r="F3" s="143" t="s">
        <v>3680</v>
      </c>
      <c r="G3" s="144">
        <v>-2000</v>
      </c>
      <c r="H3" s="144">
        <v>-7.5359999999999996E-2</v>
      </c>
      <c r="I3" s="146">
        <v>2.0197146988966391E-6</v>
      </c>
      <c r="J3" s="146">
        <v>-8.5127781800384017E-9</v>
      </c>
      <c r="K3" s="143" t="s">
        <v>3679</v>
      </c>
      <c r="L3" s="143" t="s">
        <v>1210</v>
      </c>
      <c r="M3" s="143" t="s">
        <v>3042</v>
      </c>
      <c r="N3" s="144">
        <v>7527.8</v>
      </c>
      <c r="O3" s="144">
        <v>0.18456</v>
      </c>
      <c r="P3" s="146">
        <v>-4.9463713485717062E-6</v>
      </c>
      <c r="Q3" s="146">
        <v>2.0848173313533538E-8</v>
      </c>
      <c r="R3" s="144">
        <v>0.10920000000000001</v>
      </c>
      <c r="S3" s="143" t="s">
        <v>204</v>
      </c>
      <c r="T3" s="143" t="s">
        <v>204</v>
      </c>
      <c r="U3" s="143" t="s">
        <v>746</v>
      </c>
      <c r="V3" s="143" t="s">
        <v>314</v>
      </c>
      <c r="W3" s="143" t="s">
        <v>928</v>
      </c>
      <c r="X3" s="143" t="s">
        <v>3681</v>
      </c>
      <c r="Y3" s="143" t="s">
        <v>339</v>
      </c>
      <c r="Z3" s="143" t="s">
        <v>3682</v>
      </c>
      <c r="AA3" s="143" t="s">
        <v>3683</v>
      </c>
      <c r="AB3" s="143" t="s">
        <v>314</v>
      </c>
      <c r="AC3" s="143" t="s">
        <v>897</v>
      </c>
      <c r="AD3" s="143" t="s">
        <v>339</v>
      </c>
      <c r="AE3" s="143" t="s">
        <v>912</v>
      </c>
      <c r="AF3" s="143" t="s">
        <v>896</v>
      </c>
      <c r="AG3" s="143" t="s">
        <v>896</v>
      </c>
      <c r="AH3" s="145" t="s">
        <v>3930</v>
      </c>
      <c r="AI3" s="144">
        <v>3.7679999999999998</v>
      </c>
      <c r="AJ3" s="145" t="s">
        <v>3930</v>
      </c>
      <c r="AK3" s="145" t="s">
        <v>3930</v>
      </c>
      <c r="AL3" s="145" t="s">
        <v>3930</v>
      </c>
      <c r="AM3" s="143" t="s">
        <v>1207</v>
      </c>
      <c r="AN3" s="146">
        <v>-1.4200137340574909E-3</v>
      </c>
      <c r="AO3" s="147">
        <v>7.106266728140713E-6</v>
      </c>
      <c r="AP3" s="177"/>
    </row>
    <row r="4" spans="1:42" ht="15" x14ac:dyDescent="0.2">
      <c r="A4" s="142" t="s">
        <v>1205</v>
      </c>
      <c r="B4" s="143" t="s">
        <v>1206</v>
      </c>
      <c r="C4" s="143" t="s">
        <v>1016</v>
      </c>
      <c r="D4" s="143" t="s">
        <v>3684</v>
      </c>
      <c r="E4" s="143" t="s">
        <v>1211</v>
      </c>
      <c r="F4" s="143" t="s">
        <v>3685</v>
      </c>
      <c r="G4" s="144">
        <v>-20000</v>
      </c>
      <c r="H4" s="144">
        <v>-0.74660000000000004</v>
      </c>
      <c r="I4" s="146">
        <v>2.0009540793474405E-5</v>
      </c>
      <c r="J4" s="146">
        <v>-8.4337051343108704E-8</v>
      </c>
      <c r="K4" s="143" t="s">
        <v>3684</v>
      </c>
      <c r="L4" s="143" t="s">
        <v>1210</v>
      </c>
      <c r="M4" s="143" t="s">
        <v>3042</v>
      </c>
      <c r="N4" s="144">
        <v>74120</v>
      </c>
      <c r="O4" s="144">
        <v>0.68280000000000007</v>
      </c>
      <c r="P4" s="146">
        <v>-1.8299644325990253E-5</v>
      </c>
      <c r="Q4" s="146">
        <v>7.7130108032513556E-8</v>
      </c>
      <c r="R4" s="144">
        <v>-6.3799999999999996E-2</v>
      </c>
      <c r="S4" s="143" t="s">
        <v>204</v>
      </c>
      <c r="T4" s="143" t="s">
        <v>204</v>
      </c>
      <c r="U4" s="143" t="s">
        <v>746</v>
      </c>
      <c r="V4" s="143" t="s">
        <v>314</v>
      </c>
      <c r="W4" s="143" t="s">
        <v>928</v>
      </c>
      <c r="X4" s="143" t="s">
        <v>3681</v>
      </c>
      <c r="Y4" s="143" t="s">
        <v>339</v>
      </c>
      <c r="Z4" s="143" t="s">
        <v>3686</v>
      </c>
      <c r="AA4" s="143" t="s">
        <v>3683</v>
      </c>
      <c r="AB4" s="143" t="s">
        <v>314</v>
      </c>
      <c r="AC4" s="143" t="s">
        <v>897</v>
      </c>
      <c r="AD4" s="143" t="s">
        <v>339</v>
      </c>
      <c r="AE4" s="143" t="s">
        <v>912</v>
      </c>
      <c r="AF4" s="143" t="s">
        <v>896</v>
      </c>
      <c r="AG4" s="143" t="s">
        <v>896</v>
      </c>
      <c r="AH4" s="145" t="s">
        <v>3930</v>
      </c>
      <c r="AI4" s="144">
        <v>3.7330000000000001</v>
      </c>
      <c r="AJ4" s="145" t="s">
        <v>3930</v>
      </c>
      <c r="AK4" s="145" t="s">
        <v>3930</v>
      </c>
      <c r="AL4" s="145" t="s">
        <v>3930</v>
      </c>
      <c r="AM4" s="143" t="s">
        <v>1207</v>
      </c>
      <c r="AN4" s="146">
        <v>8.2959791749861837E-4</v>
      </c>
      <c r="AO4" s="147">
        <v>-4.1516106059130384E-6</v>
      </c>
      <c r="AP4" s="177"/>
    </row>
    <row r="5" spans="1:42" ht="15" x14ac:dyDescent="0.2">
      <c r="A5" s="142" t="s">
        <v>1205</v>
      </c>
      <c r="B5" s="143" t="s">
        <v>1206</v>
      </c>
      <c r="C5" s="143" t="s">
        <v>1016</v>
      </c>
      <c r="D5" s="143" t="s">
        <v>3687</v>
      </c>
      <c r="E5" s="143" t="s">
        <v>1216</v>
      </c>
      <c r="F5" s="143" t="s">
        <v>3688</v>
      </c>
      <c r="G5" s="144">
        <v>-9300</v>
      </c>
      <c r="H5" s="144">
        <v>-0.43579800000000002</v>
      </c>
      <c r="I5" s="146">
        <v>1.1679772111859841E-5</v>
      </c>
      <c r="J5" s="146">
        <v>-4.9228393117096282E-8</v>
      </c>
      <c r="K5" s="143" t="s">
        <v>3687</v>
      </c>
      <c r="L5" s="143" t="s">
        <v>1210</v>
      </c>
      <c r="M5" s="143" t="s">
        <v>3042</v>
      </c>
      <c r="N5" s="144">
        <v>43370.55</v>
      </c>
      <c r="O5" s="144">
        <v>-2.4446020000000002</v>
      </c>
      <c r="P5" s="146">
        <v>6.5517497244587617E-5</v>
      </c>
      <c r="Q5" s="146">
        <v>-2.7614589390231209E-7</v>
      </c>
      <c r="R5" s="144">
        <v>-2.8804000000000003</v>
      </c>
      <c r="S5" s="143" t="s">
        <v>204</v>
      </c>
      <c r="T5" s="143" t="s">
        <v>204</v>
      </c>
      <c r="U5" s="143" t="s">
        <v>746</v>
      </c>
      <c r="V5" s="143" t="s">
        <v>314</v>
      </c>
      <c r="W5" s="143" t="s">
        <v>928</v>
      </c>
      <c r="X5" s="143" t="s">
        <v>3689</v>
      </c>
      <c r="Y5" s="143" t="s">
        <v>339</v>
      </c>
      <c r="Z5" s="143" t="s">
        <v>3690</v>
      </c>
      <c r="AA5" s="143" t="s">
        <v>3683</v>
      </c>
      <c r="AB5" s="143" t="s">
        <v>314</v>
      </c>
      <c r="AC5" s="143" t="s">
        <v>897</v>
      </c>
      <c r="AD5" s="143" t="s">
        <v>339</v>
      </c>
      <c r="AE5" s="143" t="s">
        <v>912</v>
      </c>
      <c r="AF5" s="143" t="s">
        <v>896</v>
      </c>
      <c r="AG5" s="143" t="s">
        <v>896</v>
      </c>
      <c r="AH5" s="145" t="s">
        <v>3930</v>
      </c>
      <c r="AI5" s="144">
        <v>4.6859999999999999</v>
      </c>
      <c r="AJ5" s="145" t="s">
        <v>3930</v>
      </c>
      <c r="AK5" s="145" t="s">
        <v>3930</v>
      </c>
      <c r="AL5" s="145" t="s">
        <v>3930</v>
      </c>
      <c r="AM5" s="143" t="s">
        <v>1207</v>
      </c>
      <c r="AN5" s="146">
        <v>3.7442008048033458E-2</v>
      </c>
      <c r="AO5" s="147">
        <v>-1.8737346663982667E-4</v>
      </c>
      <c r="AP5" s="177"/>
    </row>
    <row r="6" spans="1:42" ht="15" x14ac:dyDescent="0.2">
      <c r="A6" s="142" t="s">
        <v>1205</v>
      </c>
      <c r="B6" s="143" t="s">
        <v>1206</v>
      </c>
      <c r="C6" s="143" t="s">
        <v>1016</v>
      </c>
      <c r="D6" s="143" t="s">
        <v>3691</v>
      </c>
      <c r="E6" s="143" t="s">
        <v>1218</v>
      </c>
      <c r="F6" s="143" t="s">
        <v>3692</v>
      </c>
      <c r="G6" s="144">
        <v>-19000</v>
      </c>
      <c r="H6" s="144">
        <v>-0.74854299999999985</v>
      </c>
      <c r="I6" s="146">
        <v>2.0061614913165962E-5</v>
      </c>
      <c r="J6" s="146">
        <v>-8.4556535525749527E-8</v>
      </c>
      <c r="K6" s="143" t="s">
        <v>3691</v>
      </c>
      <c r="L6" s="143" t="s">
        <v>1210</v>
      </c>
      <c r="M6" s="143" t="s">
        <v>3042</v>
      </c>
      <c r="N6" s="144">
        <v>74841</v>
      </c>
      <c r="O6" s="144">
        <v>-3.3227570000000002</v>
      </c>
      <c r="P6" s="146">
        <v>8.9052828473483298E-5</v>
      </c>
      <c r="Q6" s="146">
        <v>-3.7534359457497167E-7</v>
      </c>
      <c r="R6" s="144">
        <v>-4.0712999999999999</v>
      </c>
      <c r="S6" s="143" t="s">
        <v>204</v>
      </c>
      <c r="T6" s="143" t="s">
        <v>204</v>
      </c>
      <c r="U6" s="143" t="s">
        <v>746</v>
      </c>
      <c r="V6" s="143" t="s">
        <v>314</v>
      </c>
      <c r="W6" s="143" t="s">
        <v>928</v>
      </c>
      <c r="X6" s="143" t="s">
        <v>3693</v>
      </c>
      <c r="Y6" s="143" t="s">
        <v>339</v>
      </c>
      <c r="Z6" s="143" t="s">
        <v>3690</v>
      </c>
      <c r="AA6" s="143" t="s">
        <v>3683</v>
      </c>
      <c r="AB6" s="143" t="s">
        <v>314</v>
      </c>
      <c r="AC6" s="143" t="s">
        <v>897</v>
      </c>
      <c r="AD6" s="143" t="s">
        <v>339</v>
      </c>
      <c r="AE6" s="143" t="s">
        <v>912</v>
      </c>
      <c r="AF6" s="143" t="s">
        <v>896</v>
      </c>
      <c r="AG6" s="143" t="s">
        <v>896</v>
      </c>
      <c r="AH6" s="145" t="s">
        <v>3930</v>
      </c>
      <c r="AI6" s="144">
        <v>3.9396999999999998</v>
      </c>
      <c r="AJ6" s="145" t="s">
        <v>3930</v>
      </c>
      <c r="AK6" s="145" t="s">
        <v>3930</v>
      </c>
      <c r="AL6" s="145" t="s">
        <v>3930</v>
      </c>
      <c r="AM6" s="143" t="s">
        <v>1207</v>
      </c>
      <c r="AN6" s="146">
        <v>5.2922662605288932E-2</v>
      </c>
      <c r="AO6" s="147">
        <v>-2.6484430918986823E-4</v>
      </c>
      <c r="AP6" s="177"/>
    </row>
    <row r="7" spans="1:42" ht="15" x14ac:dyDescent="0.2">
      <c r="A7" s="142" t="s">
        <v>1205</v>
      </c>
      <c r="B7" s="143" t="s">
        <v>1206</v>
      </c>
      <c r="C7" s="143" t="s">
        <v>1016</v>
      </c>
      <c r="D7" s="143" t="s">
        <v>3694</v>
      </c>
      <c r="E7" s="143" t="s">
        <v>1211</v>
      </c>
      <c r="F7" s="143" t="s">
        <v>3695</v>
      </c>
      <c r="G7" s="144">
        <v>-583950</v>
      </c>
      <c r="H7" s="144">
        <v>-21.092274</v>
      </c>
      <c r="I7" s="146">
        <v>5.6529161134494981E-4</v>
      </c>
      <c r="J7" s="146">
        <v>-2.3826147807137914E-6</v>
      </c>
      <c r="K7" s="143" t="s">
        <v>3694</v>
      </c>
      <c r="L7" s="143" t="s">
        <v>1210</v>
      </c>
      <c r="M7" s="143" t="s">
        <v>3042</v>
      </c>
      <c r="N7" s="144">
        <v>2095854.95</v>
      </c>
      <c r="O7" s="144">
        <v>-48.930326000000008</v>
      </c>
      <c r="P7" s="146">
        <v>1.3113760435775534E-3</v>
      </c>
      <c r="Q7" s="146">
        <v>-5.527242721801563E-6</v>
      </c>
      <c r="R7" s="144">
        <v>-70.022600000000011</v>
      </c>
      <c r="S7" s="143" t="s">
        <v>204</v>
      </c>
      <c r="T7" s="143" t="s">
        <v>204</v>
      </c>
      <c r="U7" s="143" t="s">
        <v>746</v>
      </c>
      <c r="V7" s="143" t="s">
        <v>314</v>
      </c>
      <c r="W7" s="143" t="s">
        <v>928</v>
      </c>
      <c r="X7" s="143" t="s">
        <v>3681</v>
      </c>
      <c r="Y7" s="143" t="s">
        <v>339</v>
      </c>
      <c r="Z7" s="143" t="s">
        <v>3690</v>
      </c>
      <c r="AA7" s="143" t="s">
        <v>3683</v>
      </c>
      <c r="AB7" s="143" t="s">
        <v>314</v>
      </c>
      <c r="AC7" s="143" t="s">
        <v>897</v>
      </c>
      <c r="AD7" s="143" t="s">
        <v>339</v>
      </c>
      <c r="AE7" s="143" t="s">
        <v>912</v>
      </c>
      <c r="AF7" s="143" t="s">
        <v>896</v>
      </c>
      <c r="AG7" s="143" t="s">
        <v>896</v>
      </c>
      <c r="AH7" s="145" t="s">
        <v>3930</v>
      </c>
      <c r="AI7" s="144">
        <v>3.6120000000000001</v>
      </c>
      <c r="AJ7" s="145" t="s">
        <v>3930</v>
      </c>
      <c r="AK7" s="145" t="s">
        <v>3930</v>
      </c>
      <c r="AL7" s="145" t="s">
        <v>3930</v>
      </c>
      <c r="AM7" s="143" t="s">
        <v>1207</v>
      </c>
      <c r="AN7" s="146">
        <v>0.91022574516323651</v>
      </c>
      <c r="AO7" s="147">
        <v>-4.5551016675509969E-3</v>
      </c>
      <c r="AP7" s="177"/>
    </row>
    <row r="8" spans="1:42" ht="15" x14ac:dyDescent="0.2">
      <c r="A8" s="142" t="s">
        <v>1205</v>
      </c>
      <c r="B8" s="143" t="s">
        <v>1205</v>
      </c>
      <c r="C8" s="143" t="s">
        <v>1016</v>
      </c>
      <c r="D8" s="143" t="s">
        <v>3696</v>
      </c>
      <c r="E8" s="143" t="s">
        <v>1218</v>
      </c>
      <c r="F8" s="143" t="s">
        <v>3697</v>
      </c>
      <c r="G8" s="144">
        <v>-1250000</v>
      </c>
      <c r="H8" s="144">
        <v>-51.064999999999991</v>
      </c>
      <c r="I8" s="146">
        <v>1.3685871961140773E-3</v>
      </c>
      <c r="J8" s="146">
        <v>-5.7683786858235263E-6</v>
      </c>
      <c r="K8" s="143" t="s">
        <v>3696</v>
      </c>
      <c r="L8" s="143" t="s">
        <v>1210</v>
      </c>
      <c r="M8" s="143" t="s">
        <v>3042</v>
      </c>
      <c r="N8" s="144">
        <v>5115250</v>
      </c>
      <c r="O8" s="144">
        <v>-27.31260000000001</v>
      </c>
      <c r="P8" s="146">
        <v>7.3200185357065255E-4</v>
      </c>
      <c r="Q8" s="146">
        <v>-3.0852720981968811E-6</v>
      </c>
      <c r="R8" s="144">
        <v>-78.377600000000001</v>
      </c>
      <c r="S8" s="143" t="s">
        <v>204</v>
      </c>
      <c r="T8" s="143" t="s">
        <v>204</v>
      </c>
      <c r="U8" s="143" t="s">
        <v>746</v>
      </c>
      <c r="V8" s="143" t="s">
        <v>314</v>
      </c>
      <c r="W8" s="143" t="s">
        <v>928</v>
      </c>
      <c r="X8" s="143" t="s">
        <v>3693</v>
      </c>
      <c r="Y8" s="143" t="s">
        <v>339</v>
      </c>
      <c r="Z8" s="143" t="s">
        <v>3698</v>
      </c>
      <c r="AA8" s="143" t="s">
        <v>3699</v>
      </c>
      <c r="AB8" s="143" t="s">
        <v>314</v>
      </c>
      <c r="AC8" s="143" t="s">
        <v>897</v>
      </c>
      <c r="AD8" s="143" t="s">
        <v>339</v>
      </c>
      <c r="AE8" s="143" t="s">
        <v>912</v>
      </c>
      <c r="AF8" s="143" t="s">
        <v>896</v>
      </c>
      <c r="AG8" s="143" t="s">
        <v>896</v>
      </c>
      <c r="AH8" s="145" t="s">
        <v>3930</v>
      </c>
      <c r="AI8" s="144">
        <v>4.0851999999999995</v>
      </c>
      <c r="AJ8" s="145" t="s">
        <v>3930</v>
      </c>
      <c r="AK8" s="145" t="s">
        <v>3930</v>
      </c>
      <c r="AL8" s="145" t="s">
        <v>3930</v>
      </c>
      <c r="AM8" s="143" t="s">
        <v>1207</v>
      </c>
      <c r="AN8" s="146">
        <v>2.8987273817228865E-2</v>
      </c>
      <c r="AO8" s="147">
        <v>-1.1370141706005159E-4</v>
      </c>
      <c r="AP8" s="177"/>
    </row>
    <row r="9" spans="1:42" ht="15" x14ac:dyDescent="0.2">
      <c r="A9" s="142" t="s">
        <v>1205</v>
      </c>
      <c r="B9" s="143" t="s">
        <v>1205</v>
      </c>
      <c r="C9" s="143" t="s">
        <v>1016</v>
      </c>
      <c r="D9" s="143" t="s">
        <v>3700</v>
      </c>
      <c r="E9" s="143" t="s">
        <v>1216</v>
      </c>
      <c r="F9" s="143" t="s">
        <v>3701</v>
      </c>
      <c r="G9" s="144">
        <v>-650000</v>
      </c>
      <c r="H9" s="144">
        <v>-30.594200000000001</v>
      </c>
      <c r="I9" s="146">
        <v>8.1995163801729782E-4</v>
      </c>
      <c r="J9" s="146">
        <v>-3.4559665365675542E-6</v>
      </c>
      <c r="K9" s="143" t="s">
        <v>3700</v>
      </c>
      <c r="L9" s="143" t="s">
        <v>1210</v>
      </c>
      <c r="M9" s="143" t="s">
        <v>3042</v>
      </c>
      <c r="N9" s="144">
        <v>3067350</v>
      </c>
      <c r="O9" s="144">
        <v>-135.37430000000001</v>
      </c>
      <c r="P9" s="146">
        <v>3.628151055770214E-3</v>
      </c>
      <c r="Q9" s="146">
        <v>-1.5292083163189658E-5</v>
      </c>
      <c r="R9" s="144">
        <v>-165.96850000000001</v>
      </c>
      <c r="S9" s="143" t="s">
        <v>204</v>
      </c>
      <c r="T9" s="143" t="s">
        <v>204</v>
      </c>
      <c r="U9" s="143" t="s">
        <v>746</v>
      </c>
      <c r="V9" s="143" t="s">
        <v>314</v>
      </c>
      <c r="W9" s="143" t="s">
        <v>928</v>
      </c>
      <c r="X9" s="143" t="s">
        <v>3689</v>
      </c>
      <c r="Y9" s="143" t="s">
        <v>339</v>
      </c>
      <c r="Z9" s="143" t="s">
        <v>3702</v>
      </c>
      <c r="AA9" s="143" t="s">
        <v>3703</v>
      </c>
      <c r="AB9" s="143" t="s">
        <v>314</v>
      </c>
      <c r="AC9" s="143" t="s">
        <v>897</v>
      </c>
      <c r="AD9" s="143" t="s">
        <v>339</v>
      </c>
      <c r="AE9" s="143" t="s">
        <v>912</v>
      </c>
      <c r="AF9" s="143" t="s">
        <v>896</v>
      </c>
      <c r="AG9" s="143" t="s">
        <v>896</v>
      </c>
      <c r="AH9" s="145" t="s">
        <v>3930</v>
      </c>
      <c r="AI9" s="144">
        <v>4.7068000000000003</v>
      </c>
      <c r="AJ9" s="145" t="s">
        <v>3930</v>
      </c>
      <c r="AK9" s="145" t="s">
        <v>3930</v>
      </c>
      <c r="AL9" s="145" t="s">
        <v>3930</v>
      </c>
      <c r="AM9" s="143" t="s">
        <v>1207</v>
      </c>
      <c r="AN9" s="146">
        <v>6.1382003695075273E-2</v>
      </c>
      <c r="AO9" s="147">
        <v>-2.4076844363222645E-4</v>
      </c>
      <c r="AP9" s="177"/>
    </row>
    <row r="10" spans="1:42" ht="15" x14ac:dyDescent="0.2">
      <c r="A10" s="142" t="s">
        <v>1205</v>
      </c>
      <c r="B10" s="143" t="s">
        <v>1205</v>
      </c>
      <c r="C10" s="143" t="s">
        <v>1016</v>
      </c>
      <c r="D10" s="143" t="s">
        <v>3704</v>
      </c>
      <c r="E10" s="143" t="s">
        <v>1211</v>
      </c>
      <c r="F10" s="143" t="s">
        <v>3705</v>
      </c>
      <c r="G10" s="144">
        <v>-22380000</v>
      </c>
      <c r="H10" s="144">
        <v>-828.28380000000004</v>
      </c>
      <c r="I10" s="146">
        <v>2.2198738929378507E-2</v>
      </c>
      <c r="J10" s="146">
        <v>-9.3564175418249629E-5</v>
      </c>
      <c r="K10" s="143" t="s">
        <v>3704</v>
      </c>
      <c r="L10" s="143" t="s">
        <v>1210</v>
      </c>
      <c r="M10" s="143" t="s">
        <v>3042</v>
      </c>
      <c r="N10" s="144">
        <v>82694100</v>
      </c>
      <c r="O10" s="144">
        <v>595.57619999999997</v>
      </c>
      <c r="P10" s="146">
        <v>-1.596196928679677E-2</v>
      </c>
      <c r="Q10" s="146">
        <v>6.7277177281186137E-5</v>
      </c>
      <c r="R10" s="144">
        <v>-232.70760000000001</v>
      </c>
      <c r="S10" s="143" t="s">
        <v>204</v>
      </c>
      <c r="T10" s="143" t="s">
        <v>204</v>
      </c>
      <c r="U10" s="143" t="s">
        <v>746</v>
      </c>
      <c r="V10" s="143" t="s">
        <v>314</v>
      </c>
      <c r="W10" s="143" t="s">
        <v>928</v>
      </c>
      <c r="X10" s="143" t="s">
        <v>3681</v>
      </c>
      <c r="Y10" s="143" t="s">
        <v>339</v>
      </c>
      <c r="Z10" s="143" t="s">
        <v>3698</v>
      </c>
      <c r="AA10" s="143" t="s">
        <v>3699</v>
      </c>
      <c r="AB10" s="143" t="s">
        <v>314</v>
      </c>
      <c r="AC10" s="143" t="s">
        <v>897</v>
      </c>
      <c r="AD10" s="143" t="s">
        <v>339</v>
      </c>
      <c r="AE10" s="143" t="s">
        <v>912</v>
      </c>
      <c r="AF10" s="143" t="s">
        <v>896</v>
      </c>
      <c r="AG10" s="143" t="s">
        <v>896</v>
      </c>
      <c r="AH10" s="145" t="s">
        <v>3930</v>
      </c>
      <c r="AI10" s="144">
        <v>3.7010000000000001</v>
      </c>
      <c r="AJ10" s="145" t="s">
        <v>3930</v>
      </c>
      <c r="AK10" s="145" t="s">
        <v>3930</v>
      </c>
      <c r="AL10" s="145" t="s">
        <v>3930</v>
      </c>
      <c r="AM10" s="143" t="s">
        <v>1207</v>
      </c>
      <c r="AN10" s="146">
        <v>8.6064911678768535E-2</v>
      </c>
      <c r="AO10" s="147">
        <v>-3.3758615862689164E-4</v>
      </c>
      <c r="AP10" s="177"/>
    </row>
    <row r="11" spans="1:42" ht="15" x14ac:dyDescent="0.2">
      <c r="A11" s="142" t="s">
        <v>1205</v>
      </c>
      <c r="B11" s="143" t="s">
        <v>1205</v>
      </c>
      <c r="C11" s="143" t="s">
        <v>1016</v>
      </c>
      <c r="D11" s="143" t="s">
        <v>3706</v>
      </c>
      <c r="E11" s="143" t="s">
        <v>1218</v>
      </c>
      <c r="F11" s="143" t="s">
        <v>3707</v>
      </c>
      <c r="G11" s="144">
        <v>-1860000</v>
      </c>
      <c r="H11" s="144">
        <v>-73.938719999999989</v>
      </c>
      <c r="I11" s="146">
        <v>1.981623136963945E-3</v>
      </c>
      <c r="J11" s="146">
        <v>-8.3522282679932177E-6</v>
      </c>
      <c r="K11" s="143" t="s">
        <v>3706</v>
      </c>
      <c r="L11" s="143" t="s">
        <v>1210</v>
      </c>
      <c r="M11" s="143" t="s">
        <v>3042</v>
      </c>
      <c r="N11" s="144">
        <v>7451160</v>
      </c>
      <c r="O11" s="144">
        <v>-199.53598</v>
      </c>
      <c r="P11" s="146">
        <v>5.3477408673665849E-3</v>
      </c>
      <c r="Q11" s="146">
        <v>-2.2539882386897279E-5</v>
      </c>
      <c r="R11" s="144">
        <v>-273.47469999999998</v>
      </c>
      <c r="S11" s="143" t="s">
        <v>204</v>
      </c>
      <c r="T11" s="143" t="s">
        <v>204</v>
      </c>
      <c r="U11" s="143" t="s">
        <v>746</v>
      </c>
      <c r="V11" s="143" t="s">
        <v>314</v>
      </c>
      <c r="W11" s="143" t="s">
        <v>928</v>
      </c>
      <c r="X11" s="143" t="s">
        <v>3693</v>
      </c>
      <c r="Y11" s="143" t="s">
        <v>339</v>
      </c>
      <c r="Z11" s="143" t="s">
        <v>3702</v>
      </c>
      <c r="AA11" s="143" t="s">
        <v>3703</v>
      </c>
      <c r="AB11" s="143" t="s">
        <v>314</v>
      </c>
      <c r="AC11" s="143" t="s">
        <v>897</v>
      </c>
      <c r="AD11" s="143" t="s">
        <v>339</v>
      </c>
      <c r="AE11" s="143" t="s">
        <v>912</v>
      </c>
      <c r="AF11" s="143" t="s">
        <v>896</v>
      </c>
      <c r="AG11" s="143" t="s">
        <v>896</v>
      </c>
      <c r="AH11" s="145" t="s">
        <v>3930</v>
      </c>
      <c r="AI11" s="144">
        <v>3.9751999999999996</v>
      </c>
      <c r="AJ11" s="145" t="s">
        <v>3930</v>
      </c>
      <c r="AK11" s="145" t="s">
        <v>3930</v>
      </c>
      <c r="AL11" s="145" t="s">
        <v>3930</v>
      </c>
      <c r="AM11" s="143" t="s">
        <v>1207</v>
      </c>
      <c r="AN11" s="146">
        <v>0.10114227666384613</v>
      </c>
      <c r="AO11" s="147">
        <v>-3.9672651708709306E-4</v>
      </c>
      <c r="AP11" s="177"/>
    </row>
    <row r="12" spans="1:42" ht="15" x14ac:dyDescent="0.2">
      <c r="A12" s="142" t="s">
        <v>1205</v>
      </c>
      <c r="B12" s="143" t="s">
        <v>1205</v>
      </c>
      <c r="C12" s="143" t="s">
        <v>1016</v>
      </c>
      <c r="D12" s="143" t="s">
        <v>3708</v>
      </c>
      <c r="E12" s="143" t="s">
        <v>1211</v>
      </c>
      <c r="F12" s="143" t="s">
        <v>3709</v>
      </c>
      <c r="G12" s="144">
        <v>-17000000</v>
      </c>
      <c r="H12" s="144">
        <v>-624.41</v>
      </c>
      <c r="I12" s="146">
        <v>1.673474064673634E-2</v>
      </c>
      <c r="J12" s="146">
        <v>-7.0534286403898332E-5</v>
      </c>
      <c r="K12" s="143" t="s">
        <v>3708</v>
      </c>
      <c r="L12" s="143" t="s">
        <v>1210</v>
      </c>
      <c r="M12" s="143" t="s">
        <v>3042</v>
      </c>
      <c r="N12" s="144">
        <v>62585500</v>
      </c>
      <c r="O12" s="144">
        <v>143.59589999999997</v>
      </c>
      <c r="P12" s="146">
        <v>-3.8484972124640643E-3</v>
      </c>
      <c r="Q12" s="146">
        <v>1.6220807381408919E-5</v>
      </c>
      <c r="R12" s="144">
        <v>-480.8141</v>
      </c>
      <c r="S12" s="143" t="s">
        <v>204</v>
      </c>
      <c r="T12" s="143" t="s">
        <v>204</v>
      </c>
      <c r="U12" s="143" t="s">
        <v>746</v>
      </c>
      <c r="V12" s="143" t="s">
        <v>314</v>
      </c>
      <c r="W12" s="143" t="s">
        <v>928</v>
      </c>
      <c r="X12" s="143" t="s">
        <v>3681</v>
      </c>
      <c r="Y12" s="143" t="s">
        <v>339</v>
      </c>
      <c r="Z12" s="143" t="s">
        <v>3702</v>
      </c>
      <c r="AA12" s="143" t="s">
        <v>3703</v>
      </c>
      <c r="AB12" s="143" t="s">
        <v>314</v>
      </c>
      <c r="AC12" s="143" t="s">
        <v>897</v>
      </c>
      <c r="AD12" s="143" t="s">
        <v>339</v>
      </c>
      <c r="AE12" s="143" t="s">
        <v>912</v>
      </c>
      <c r="AF12" s="143" t="s">
        <v>896</v>
      </c>
      <c r="AG12" s="143" t="s">
        <v>896</v>
      </c>
      <c r="AH12" s="145" t="s">
        <v>3930</v>
      </c>
      <c r="AI12" s="144">
        <v>3.673</v>
      </c>
      <c r="AJ12" s="145" t="s">
        <v>3930</v>
      </c>
      <c r="AK12" s="145" t="s">
        <v>3930</v>
      </c>
      <c r="AL12" s="145" t="s">
        <v>3930</v>
      </c>
      <c r="AM12" s="143" t="s">
        <v>1207</v>
      </c>
      <c r="AN12" s="146">
        <v>0.17782497407262948</v>
      </c>
      <c r="AO12" s="147">
        <v>-6.9751131714592546E-4</v>
      </c>
      <c r="AP12" s="177"/>
    </row>
    <row r="13" spans="1:42" ht="15" x14ac:dyDescent="0.2">
      <c r="A13" s="142" t="s">
        <v>1205</v>
      </c>
      <c r="B13" s="143" t="s">
        <v>1205</v>
      </c>
      <c r="C13" s="143" t="s">
        <v>1016</v>
      </c>
      <c r="D13" s="143" t="s">
        <v>3694</v>
      </c>
      <c r="E13" s="143" t="s">
        <v>1211</v>
      </c>
      <c r="F13" s="143" t="s">
        <v>3695</v>
      </c>
      <c r="G13" s="144">
        <v>-12280000</v>
      </c>
      <c r="H13" s="144">
        <v>-443.55360000000002</v>
      </c>
      <c r="I13" s="146">
        <v>1.1887629056110941E-2</v>
      </c>
      <c r="J13" s="146">
        <v>-5.0104477279159791E-5</v>
      </c>
      <c r="K13" s="143" t="s">
        <v>3694</v>
      </c>
      <c r="L13" s="143" t="s">
        <v>1210</v>
      </c>
      <c r="M13" s="143" t="s">
        <v>3042</v>
      </c>
      <c r="N13" s="144">
        <v>44074148</v>
      </c>
      <c r="O13" s="144">
        <v>-1028.9656</v>
      </c>
      <c r="P13" s="146">
        <v>2.7577188786876324E-2</v>
      </c>
      <c r="Q13" s="146">
        <v>-1.1623349134408336E-4</v>
      </c>
      <c r="R13" s="144">
        <v>-1472.5192</v>
      </c>
      <c r="S13" s="143" t="s">
        <v>204</v>
      </c>
      <c r="T13" s="143" t="s">
        <v>204</v>
      </c>
      <c r="U13" s="143" t="s">
        <v>746</v>
      </c>
      <c r="V13" s="143" t="s">
        <v>314</v>
      </c>
      <c r="W13" s="143" t="s">
        <v>928</v>
      </c>
      <c r="X13" s="143" t="s">
        <v>3681</v>
      </c>
      <c r="Y13" s="143" t="s">
        <v>339</v>
      </c>
      <c r="Z13" s="143" t="s">
        <v>3690</v>
      </c>
      <c r="AA13" s="143" t="s">
        <v>3683</v>
      </c>
      <c r="AB13" s="143" t="s">
        <v>314</v>
      </c>
      <c r="AC13" s="143" t="s">
        <v>897</v>
      </c>
      <c r="AD13" s="143" t="s">
        <v>339</v>
      </c>
      <c r="AE13" s="143" t="s">
        <v>912</v>
      </c>
      <c r="AF13" s="143" t="s">
        <v>896</v>
      </c>
      <c r="AG13" s="143" t="s">
        <v>896</v>
      </c>
      <c r="AH13" s="145" t="s">
        <v>3930</v>
      </c>
      <c r="AI13" s="144">
        <v>3.6120000000000001</v>
      </c>
      <c r="AJ13" s="145" t="s">
        <v>3930</v>
      </c>
      <c r="AK13" s="145" t="s">
        <v>3930</v>
      </c>
      <c r="AL13" s="145" t="s">
        <v>3930</v>
      </c>
      <c r="AM13" s="143" t="s">
        <v>1207</v>
      </c>
      <c r="AN13" s="146">
        <v>0.54459856007245178</v>
      </c>
      <c r="AO13" s="147">
        <v>-2.1361659740591985E-3</v>
      </c>
      <c r="AP13" s="177"/>
    </row>
    <row r="14" spans="1:42" ht="15" x14ac:dyDescent="0.2">
      <c r="A14" s="142" t="s">
        <v>1220</v>
      </c>
      <c r="B14" s="143" t="s">
        <v>1221</v>
      </c>
      <c r="C14" s="143" t="s">
        <v>1016</v>
      </c>
      <c r="D14" s="143" t="s">
        <v>3679</v>
      </c>
      <c r="E14" s="143" t="s">
        <v>1211</v>
      </c>
      <c r="F14" s="143" t="s">
        <v>3680</v>
      </c>
      <c r="G14" s="144">
        <v>-130000</v>
      </c>
      <c r="H14" s="144">
        <v>-4.8983999999999996</v>
      </c>
      <c r="I14" s="146">
        <v>1.3128145542828156E-4</v>
      </c>
      <c r="J14" s="146">
        <v>-5.5333058170249613E-7</v>
      </c>
      <c r="K14" s="143" t="s">
        <v>3679</v>
      </c>
      <c r="L14" s="143" t="s">
        <v>1210</v>
      </c>
      <c r="M14" s="143" t="s">
        <v>3042</v>
      </c>
      <c r="N14" s="144">
        <v>489307</v>
      </c>
      <c r="O14" s="144">
        <v>11.998999999999999</v>
      </c>
      <c r="P14" s="146">
        <v>-3.2158381995834359E-4</v>
      </c>
      <c r="Q14" s="146">
        <v>1.3554249652638107E-6</v>
      </c>
      <c r="R14" s="144">
        <v>7.1006</v>
      </c>
      <c r="S14" s="143" t="s">
        <v>204</v>
      </c>
      <c r="T14" s="143" t="s">
        <v>204</v>
      </c>
      <c r="U14" s="143" t="s">
        <v>746</v>
      </c>
      <c r="V14" s="143" t="s">
        <v>314</v>
      </c>
      <c r="W14" s="143" t="s">
        <v>928</v>
      </c>
      <c r="X14" s="143" t="s">
        <v>3681</v>
      </c>
      <c r="Y14" s="143" t="s">
        <v>339</v>
      </c>
      <c r="Z14" s="143" t="s">
        <v>3682</v>
      </c>
      <c r="AA14" s="143" t="s">
        <v>3683</v>
      </c>
      <c r="AB14" s="143" t="s">
        <v>314</v>
      </c>
      <c r="AC14" s="143" t="s">
        <v>897</v>
      </c>
      <c r="AD14" s="143" t="s">
        <v>339</v>
      </c>
      <c r="AE14" s="143" t="s">
        <v>912</v>
      </c>
      <c r="AF14" s="143" t="s">
        <v>896</v>
      </c>
      <c r="AG14" s="143" t="s">
        <v>896</v>
      </c>
      <c r="AH14" s="145" t="s">
        <v>3930</v>
      </c>
      <c r="AI14" s="144">
        <v>3.7679999999999998</v>
      </c>
      <c r="AJ14" s="145" t="s">
        <v>3930</v>
      </c>
      <c r="AK14" s="145" t="s">
        <v>3930</v>
      </c>
      <c r="AL14" s="145" t="s">
        <v>3930</v>
      </c>
      <c r="AM14" s="143" t="s">
        <v>1207</v>
      </c>
      <c r="AN14" s="146">
        <v>-4.9097077461795861E-3</v>
      </c>
      <c r="AO14" s="147">
        <v>2.350950075463844E-5</v>
      </c>
      <c r="AP14" s="177"/>
    </row>
    <row r="15" spans="1:42" ht="15" x14ac:dyDescent="0.2">
      <c r="A15" s="142" t="s">
        <v>1220</v>
      </c>
      <c r="B15" s="143" t="s">
        <v>1221</v>
      </c>
      <c r="C15" s="143" t="s">
        <v>1016</v>
      </c>
      <c r="D15" s="143" t="s">
        <v>3684</v>
      </c>
      <c r="E15" s="143" t="s">
        <v>1211</v>
      </c>
      <c r="F15" s="143" t="s">
        <v>3685</v>
      </c>
      <c r="G15" s="144">
        <v>-380000</v>
      </c>
      <c r="H15" s="144">
        <v>-14.1854</v>
      </c>
      <c r="I15" s="146">
        <v>3.8018127507601361E-4</v>
      </c>
      <c r="J15" s="146">
        <v>-1.6024039755190652E-6</v>
      </c>
      <c r="K15" s="143" t="s">
        <v>3684</v>
      </c>
      <c r="L15" s="143" t="s">
        <v>1210</v>
      </c>
      <c r="M15" s="143" t="s">
        <v>3042</v>
      </c>
      <c r="N15" s="144">
        <v>1408280</v>
      </c>
      <c r="O15" s="144">
        <v>12.972799999999999</v>
      </c>
      <c r="P15" s="146">
        <v>-3.4768252183978664E-4</v>
      </c>
      <c r="Q15" s="146">
        <v>1.4654268680201988E-6</v>
      </c>
      <c r="R15" s="144">
        <v>-1.2125999999999999</v>
      </c>
      <c r="S15" s="143" t="s">
        <v>204</v>
      </c>
      <c r="T15" s="143" t="s">
        <v>204</v>
      </c>
      <c r="U15" s="143" t="s">
        <v>746</v>
      </c>
      <c r="V15" s="143" t="s">
        <v>314</v>
      </c>
      <c r="W15" s="143" t="s">
        <v>928</v>
      </c>
      <c r="X15" s="143" t="s">
        <v>3681</v>
      </c>
      <c r="Y15" s="143" t="s">
        <v>339</v>
      </c>
      <c r="Z15" s="143" t="s">
        <v>3686</v>
      </c>
      <c r="AA15" s="143" t="s">
        <v>3683</v>
      </c>
      <c r="AB15" s="143" t="s">
        <v>314</v>
      </c>
      <c r="AC15" s="143" t="s">
        <v>897</v>
      </c>
      <c r="AD15" s="143" t="s">
        <v>339</v>
      </c>
      <c r="AE15" s="143" t="s">
        <v>912</v>
      </c>
      <c r="AF15" s="143" t="s">
        <v>896</v>
      </c>
      <c r="AG15" s="143" t="s">
        <v>896</v>
      </c>
      <c r="AH15" s="145" t="s">
        <v>3930</v>
      </c>
      <c r="AI15" s="144">
        <v>3.7330000000000001</v>
      </c>
      <c r="AJ15" s="145" t="s">
        <v>3930</v>
      </c>
      <c r="AK15" s="145" t="s">
        <v>3930</v>
      </c>
      <c r="AL15" s="145" t="s">
        <v>3930</v>
      </c>
      <c r="AM15" s="143" t="s">
        <v>1207</v>
      </c>
      <c r="AN15" s="146">
        <v>8.3843807831203594E-4</v>
      </c>
      <c r="AO15" s="147">
        <v>-4.0147523343181534E-6</v>
      </c>
      <c r="AP15" s="177"/>
    </row>
    <row r="16" spans="1:42" ht="15" x14ac:dyDescent="0.2">
      <c r="A16" s="142" t="s">
        <v>1220</v>
      </c>
      <c r="B16" s="143" t="s">
        <v>1221</v>
      </c>
      <c r="C16" s="143" t="s">
        <v>1016</v>
      </c>
      <c r="D16" s="143" t="s">
        <v>3687</v>
      </c>
      <c r="E16" s="143" t="s">
        <v>1216</v>
      </c>
      <c r="F16" s="143" t="s">
        <v>3688</v>
      </c>
      <c r="G16" s="144">
        <v>-163000</v>
      </c>
      <c r="H16" s="144">
        <v>-7.6381800000000002</v>
      </c>
      <c r="I16" s="146">
        <v>2.0470998432614562E-4</v>
      </c>
      <c r="J16" s="146">
        <v>-8.6282022345018214E-7</v>
      </c>
      <c r="K16" s="143" t="s">
        <v>3687</v>
      </c>
      <c r="L16" s="143" t="s">
        <v>1210</v>
      </c>
      <c r="M16" s="143" t="s">
        <v>3042</v>
      </c>
      <c r="N16" s="144">
        <v>760150.5</v>
      </c>
      <c r="O16" s="144">
        <v>-42.84572</v>
      </c>
      <c r="P16" s="146">
        <v>1.1483032174735897E-3</v>
      </c>
      <c r="Q16" s="146">
        <v>-4.8399165382701032E-6</v>
      </c>
      <c r="R16" s="144">
        <v>-50.483899999999998</v>
      </c>
      <c r="S16" s="143" t="s">
        <v>204</v>
      </c>
      <c r="T16" s="143" t="s">
        <v>204</v>
      </c>
      <c r="U16" s="143" t="s">
        <v>746</v>
      </c>
      <c r="V16" s="143" t="s">
        <v>314</v>
      </c>
      <c r="W16" s="143" t="s">
        <v>928</v>
      </c>
      <c r="X16" s="143" t="s">
        <v>3689</v>
      </c>
      <c r="Y16" s="143" t="s">
        <v>339</v>
      </c>
      <c r="Z16" s="143" t="s">
        <v>3690</v>
      </c>
      <c r="AA16" s="143" t="s">
        <v>3683</v>
      </c>
      <c r="AB16" s="143" t="s">
        <v>314</v>
      </c>
      <c r="AC16" s="143" t="s">
        <v>897</v>
      </c>
      <c r="AD16" s="143" t="s">
        <v>339</v>
      </c>
      <c r="AE16" s="143" t="s">
        <v>912</v>
      </c>
      <c r="AF16" s="143" t="s">
        <v>896</v>
      </c>
      <c r="AG16" s="143" t="s">
        <v>896</v>
      </c>
      <c r="AH16" s="145" t="s">
        <v>3930</v>
      </c>
      <c r="AI16" s="144">
        <v>4.6859999999999999</v>
      </c>
      <c r="AJ16" s="145" t="s">
        <v>3930</v>
      </c>
      <c r="AK16" s="145" t="s">
        <v>3930</v>
      </c>
      <c r="AL16" s="145" t="s">
        <v>3930</v>
      </c>
      <c r="AM16" s="143" t="s">
        <v>1207</v>
      </c>
      <c r="AN16" s="146">
        <v>3.4907080529022597E-2</v>
      </c>
      <c r="AO16" s="147">
        <v>-1.6714804189268826E-4</v>
      </c>
      <c r="AP16" s="177"/>
    </row>
    <row r="17" spans="1:42" ht="15" x14ac:dyDescent="0.2">
      <c r="A17" s="142" t="s">
        <v>1220</v>
      </c>
      <c r="B17" s="143" t="s">
        <v>1221</v>
      </c>
      <c r="C17" s="143" t="s">
        <v>1016</v>
      </c>
      <c r="D17" s="143" t="s">
        <v>3691</v>
      </c>
      <c r="E17" s="143" t="s">
        <v>1218</v>
      </c>
      <c r="F17" s="143" t="s">
        <v>3692</v>
      </c>
      <c r="G17" s="144">
        <v>-390000</v>
      </c>
      <c r="H17" s="144">
        <v>-15.36483</v>
      </c>
      <c r="I17" s="146">
        <v>4.1179104295445927E-4</v>
      </c>
      <c r="J17" s="146">
        <v>-1.7356341502653853E-6</v>
      </c>
      <c r="K17" s="143" t="s">
        <v>3691</v>
      </c>
      <c r="L17" s="143" t="s">
        <v>1210</v>
      </c>
      <c r="M17" s="143" t="s">
        <v>3042</v>
      </c>
      <c r="N17" s="144">
        <v>1536210</v>
      </c>
      <c r="O17" s="144">
        <v>-68.203569999999999</v>
      </c>
      <c r="P17" s="146">
        <v>1.8279160409531033E-3</v>
      </c>
      <c r="Q17" s="146">
        <v>-7.704377156272848E-6</v>
      </c>
      <c r="R17" s="144">
        <v>-83.568399999999997</v>
      </c>
      <c r="S17" s="143" t="s">
        <v>204</v>
      </c>
      <c r="T17" s="143" t="s">
        <v>204</v>
      </c>
      <c r="U17" s="143" t="s">
        <v>746</v>
      </c>
      <c r="V17" s="143" t="s">
        <v>314</v>
      </c>
      <c r="W17" s="143" t="s">
        <v>928</v>
      </c>
      <c r="X17" s="143" t="s">
        <v>3693</v>
      </c>
      <c r="Y17" s="143" t="s">
        <v>339</v>
      </c>
      <c r="Z17" s="143" t="s">
        <v>3690</v>
      </c>
      <c r="AA17" s="143" t="s">
        <v>3683</v>
      </c>
      <c r="AB17" s="143" t="s">
        <v>314</v>
      </c>
      <c r="AC17" s="143" t="s">
        <v>897</v>
      </c>
      <c r="AD17" s="143" t="s">
        <v>339</v>
      </c>
      <c r="AE17" s="143" t="s">
        <v>912</v>
      </c>
      <c r="AF17" s="143" t="s">
        <v>896</v>
      </c>
      <c r="AG17" s="143" t="s">
        <v>896</v>
      </c>
      <c r="AH17" s="145" t="s">
        <v>3930</v>
      </c>
      <c r="AI17" s="144">
        <v>3.9396999999999998</v>
      </c>
      <c r="AJ17" s="145" t="s">
        <v>3930</v>
      </c>
      <c r="AK17" s="145" t="s">
        <v>3930</v>
      </c>
      <c r="AL17" s="145" t="s">
        <v>3930</v>
      </c>
      <c r="AM17" s="143" t="s">
        <v>1207</v>
      </c>
      <c r="AN17" s="146">
        <v>5.7783312114993844E-2</v>
      </c>
      <c r="AO17" s="147">
        <v>-2.7668791911901859E-4</v>
      </c>
      <c r="AP17" s="177"/>
    </row>
    <row r="18" spans="1:42" ht="15" x14ac:dyDescent="0.2">
      <c r="A18" s="142" t="s">
        <v>1220</v>
      </c>
      <c r="B18" s="143" t="s">
        <v>1221</v>
      </c>
      <c r="C18" s="143" t="s">
        <v>1016</v>
      </c>
      <c r="D18" s="143" t="s">
        <v>3694</v>
      </c>
      <c r="E18" s="143" t="s">
        <v>1211</v>
      </c>
      <c r="F18" s="143" t="s">
        <v>3695</v>
      </c>
      <c r="G18" s="144">
        <v>-10992000</v>
      </c>
      <c r="H18" s="144">
        <v>-397.03104000000002</v>
      </c>
      <c r="I18" s="146">
        <v>1.0640783272375526E-2</v>
      </c>
      <c r="J18" s="146">
        <v>-4.4849219401671368E-5</v>
      </c>
      <c r="K18" s="143" t="s">
        <v>3694</v>
      </c>
      <c r="L18" s="143" t="s">
        <v>1210</v>
      </c>
      <c r="M18" s="143" t="s">
        <v>3042</v>
      </c>
      <c r="N18" s="144">
        <v>39451387.200000003</v>
      </c>
      <c r="O18" s="144">
        <v>-921.04156000000012</v>
      </c>
      <c r="P18" s="146">
        <v>2.4684728994515542E-2</v>
      </c>
      <c r="Q18" s="146">
        <v>-1.040422305583404E-4</v>
      </c>
      <c r="R18" s="144">
        <v>-1318.0726000000002</v>
      </c>
      <c r="S18" s="143" t="s">
        <v>204</v>
      </c>
      <c r="T18" s="143" t="s">
        <v>204</v>
      </c>
      <c r="U18" s="143" t="s">
        <v>746</v>
      </c>
      <c r="V18" s="143" t="s">
        <v>314</v>
      </c>
      <c r="W18" s="143" t="s">
        <v>928</v>
      </c>
      <c r="X18" s="143" t="s">
        <v>3681</v>
      </c>
      <c r="Y18" s="143" t="s">
        <v>339</v>
      </c>
      <c r="Z18" s="143" t="s">
        <v>3690</v>
      </c>
      <c r="AA18" s="143" t="s">
        <v>3683</v>
      </c>
      <c r="AB18" s="143" t="s">
        <v>314</v>
      </c>
      <c r="AC18" s="143" t="s">
        <v>897</v>
      </c>
      <c r="AD18" s="143" t="s">
        <v>339</v>
      </c>
      <c r="AE18" s="143" t="s">
        <v>912</v>
      </c>
      <c r="AF18" s="143" t="s">
        <v>896</v>
      </c>
      <c r="AG18" s="143" t="s">
        <v>896</v>
      </c>
      <c r="AH18" s="145" t="s">
        <v>3930</v>
      </c>
      <c r="AI18" s="144">
        <v>3.6120000000000001</v>
      </c>
      <c r="AJ18" s="145" t="s">
        <v>3930</v>
      </c>
      <c r="AK18" s="145" t="s">
        <v>3930</v>
      </c>
      <c r="AL18" s="145" t="s">
        <v>3930</v>
      </c>
      <c r="AM18" s="143" t="s">
        <v>1207</v>
      </c>
      <c r="AN18" s="146">
        <v>0.91138087702385107</v>
      </c>
      <c r="AO18" s="147">
        <v>-4.3640294949995077E-3</v>
      </c>
      <c r="AP18" s="177"/>
    </row>
    <row r="19" spans="1:42" ht="15" x14ac:dyDescent="0.2">
      <c r="A19" s="142" t="s">
        <v>1220</v>
      </c>
      <c r="B19" s="143" t="s">
        <v>1220</v>
      </c>
      <c r="C19" s="143" t="s">
        <v>1016</v>
      </c>
      <c r="D19" s="143" t="s">
        <v>3696</v>
      </c>
      <c r="E19" s="143" t="s">
        <v>1218</v>
      </c>
      <c r="F19" s="143" t="s">
        <v>3697</v>
      </c>
      <c r="G19" s="144">
        <v>-19250000</v>
      </c>
      <c r="H19" s="144">
        <v>-786.40099999999984</v>
      </c>
      <c r="I19" s="146">
        <v>2.1076242820156792E-2</v>
      </c>
      <c r="J19" s="146">
        <v>-8.8833031761682295E-5</v>
      </c>
      <c r="K19" s="143" t="s">
        <v>3696</v>
      </c>
      <c r="L19" s="143" t="s">
        <v>1210</v>
      </c>
      <c r="M19" s="143" t="s">
        <v>3042</v>
      </c>
      <c r="N19" s="144">
        <v>78774850</v>
      </c>
      <c r="O19" s="144">
        <v>-420.61370000000011</v>
      </c>
      <c r="P19" s="146">
        <v>1.1272819432687124E-2</v>
      </c>
      <c r="Q19" s="146">
        <v>-4.7513151905324037E-5</v>
      </c>
      <c r="R19" s="144">
        <v>-1207.0146999999999</v>
      </c>
      <c r="S19" s="143" t="s">
        <v>204</v>
      </c>
      <c r="T19" s="143" t="s">
        <v>204</v>
      </c>
      <c r="U19" s="143" t="s">
        <v>746</v>
      </c>
      <c r="V19" s="143" t="s">
        <v>314</v>
      </c>
      <c r="W19" s="143" t="s">
        <v>928</v>
      </c>
      <c r="X19" s="143" t="s">
        <v>3693</v>
      </c>
      <c r="Y19" s="143" t="s">
        <v>339</v>
      </c>
      <c r="Z19" s="143" t="s">
        <v>3698</v>
      </c>
      <c r="AA19" s="143" t="s">
        <v>3699</v>
      </c>
      <c r="AB19" s="143" t="s">
        <v>314</v>
      </c>
      <c r="AC19" s="143" t="s">
        <v>897</v>
      </c>
      <c r="AD19" s="143" t="s">
        <v>339</v>
      </c>
      <c r="AE19" s="143" t="s">
        <v>912</v>
      </c>
      <c r="AF19" s="143" t="s">
        <v>896</v>
      </c>
      <c r="AG19" s="143" t="s">
        <v>896</v>
      </c>
      <c r="AH19" s="145" t="s">
        <v>3930</v>
      </c>
      <c r="AI19" s="144">
        <v>4.0851999999999995</v>
      </c>
      <c r="AJ19" s="145" t="s">
        <v>3930</v>
      </c>
      <c r="AK19" s="145" t="s">
        <v>3930</v>
      </c>
      <c r="AL19" s="145" t="s">
        <v>3930</v>
      </c>
      <c r="AM19" s="143" t="s">
        <v>1207</v>
      </c>
      <c r="AN19" s="146">
        <v>3.6482043662979857E-2</v>
      </c>
      <c r="AO19" s="147">
        <v>-1.5406629056844603E-4</v>
      </c>
      <c r="AP19" s="177"/>
    </row>
    <row r="20" spans="1:42" ht="15" x14ac:dyDescent="0.2">
      <c r="A20" s="142" t="s">
        <v>1220</v>
      </c>
      <c r="B20" s="143" t="s">
        <v>1220</v>
      </c>
      <c r="C20" s="143" t="s">
        <v>1016</v>
      </c>
      <c r="D20" s="143" t="s">
        <v>3710</v>
      </c>
      <c r="E20" s="143" t="s">
        <v>1216</v>
      </c>
      <c r="F20" s="143" t="s">
        <v>3711</v>
      </c>
      <c r="G20" s="144">
        <v>-7200000</v>
      </c>
      <c r="H20" s="144">
        <v>-340.25760000000002</v>
      </c>
      <c r="I20" s="146">
        <v>9.1192048318908328E-3</v>
      </c>
      <c r="J20" s="146">
        <v>-3.8436006805629447E-5</v>
      </c>
      <c r="K20" s="143" t="s">
        <v>3710</v>
      </c>
      <c r="L20" s="143" t="s">
        <v>1210</v>
      </c>
      <c r="M20" s="143" t="s">
        <v>3042</v>
      </c>
      <c r="N20" s="144">
        <v>33976800</v>
      </c>
      <c r="O20" s="144">
        <v>-1498.1622000000002</v>
      </c>
      <c r="P20" s="146">
        <v>4.0152072938844575E-2</v>
      </c>
      <c r="Q20" s="146">
        <v>-1.6923464021123051E-4</v>
      </c>
      <c r="R20" s="144">
        <v>-1838.4198000000001</v>
      </c>
      <c r="S20" s="143" t="s">
        <v>204</v>
      </c>
      <c r="T20" s="143" t="s">
        <v>204</v>
      </c>
      <c r="U20" s="143" t="s">
        <v>746</v>
      </c>
      <c r="V20" s="143" t="s">
        <v>314</v>
      </c>
      <c r="W20" s="143" t="s">
        <v>928</v>
      </c>
      <c r="X20" s="143" t="s">
        <v>3689</v>
      </c>
      <c r="Y20" s="143" t="s">
        <v>339</v>
      </c>
      <c r="Z20" s="143" t="s">
        <v>3712</v>
      </c>
      <c r="AA20" s="143" t="s">
        <v>3703</v>
      </c>
      <c r="AB20" s="143" t="s">
        <v>314</v>
      </c>
      <c r="AC20" s="143" t="s">
        <v>897</v>
      </c>
      <c r="AD20" s="143" t="s">
        <v>339</v>
      </c>
      <c r="AE20" s="143" t="s">
        <v>912</v>
      </c>
      <c r="AF20" s="143" t="s">
        <v>896</v>
      </c>
      <c r="AG20" s="143" t="s">
        <v>896</v>
      </c>
      <c r="AH20" s="145" t="s">
        <v>3930</v>
      </c>
      <c r="AI20" s="144">
        <v>4.7258000000000004</v>
      </c>
      <c r="AJ20" s="145" t="s">
        <v>3930</v>
      </c>
      <c r="AK20" s="145" t="s">
        <v>3930</v>
      </c>
      <c r="AL20" s="145" t="s">
        <v>3930</v>
      </c>
      <c r="AM20" s="143" t="s">
        <v>1207</v>
      </c>
      <c r="AN20" s="146">
        <v>5.5566274682492915E-2</v>
      </c>
      <c r="AO20" s="147">
        <v>-2.3466036881388306E-4</v>
      </c>
      <c r="AP20" s="177"/>
    </row>
    <row r="21" spans="1:42" ht="15" x14ac:dyDescent="0.2">
      <c r="A21" s="142" t="s">
        <v>1220</v>
      </c>
      <c r="B21" s="143" t="s">
        <v>1220</v>
      </c>
      <c r="C21" s="143" t="s">
        <v>1016</v>
      </c>
      <c r="D21" s="143" t="s">
        <v>3704</v>
      </c>
      <c r="E21" s="143" t="s">
        <v>1211</v>
      </c>
      <c r="F21" s="143" t="s">
        <v>3705</v>
      </c>
      <c r="G21" s="144">
        <v>-180300000</v>
      </c>
      <c r="H21" s="144">
        <v>-6672.9030000000002</v>
      </c>
      <c r="I21" s="146">
        <v>0.17883970638815661</v>
      </c>
      <c r="J21" s="146">
        <v>-7.5378109150627383E-4</v>
      </c>
      <c r="K21" s="143" t="s">
        <v>3704</v>
      </c>
      <c r="L21" s="143" t="s">
        <v>1210</v>
      </c>
      <c r="M21" s="143" t="s">
        <v>3042</v>
      </c>
      <c r="N21" s="144">
        <v>666208500</v>
      </c>
      <c r="O21" s="144">
        <v>4798.1405000000004</v>
      </c>
      <c r="P21" s="146">
        <v>-0.12859441209157738</v>
      </c>
      <c r="Q21" s="146">
        <v>5.4200511880518251E-4</v>
      </c>
      <c r="R21" s="144">
        <v>-1874.7625</v>
      </c>
      <c r="S21" s="143" t="s">
        <v>204</v>
      </c>
      <c r="T21" s="143" t="s">
        <v>204</v>
      </c>
      <c r="U21" s="143" t="s">
        <v>746</v>
      </c>
      <c r="V21" s="143" t="s">
        <v>314</v>
      </c>
      <c r="W21" s="143" t="s">
        <v>928</v>
      </c>
      <c r="X21" s="143" t="s">
        <v>3681</v>
      </c>
      <c r="Y21" s="143" t="s">
        <v>339</v>
      </c>
      <c r="Z21" s="143" t="s">
        <v>3698</v>
      </c>
      <c r="AA21" s="143" t="s">
        <v>3699</v>
      </c>
      <c r="AB21" s="143" t="s">
        <v>314</v>
      </c>
      <c r="AC21" s="143" t="s">
        <v>897</v>
      </c>
      <c r="AD21" s="143" t="s">
        <v>339</v>
      </c>
      <c r="AE21" s="143" t="s">
        <v>912</v>
      </c>
      <c r="AF21" s="143" t="s">
        <v>896</v>
      </c>
      <c r="AG21" s="143" t="s">
        <v>896</v>
      </c>
      <c r="AH21" s="145" t="s">
        <v>3930</v>
      </c>
      <c r="AI21" s="144">
        <v>3.7010000000000001</v>
      </c>
      <c r="AJ21" s="145" t="s">
        <v>3930</v>
      </c>
      <c r="AK21" s="145" t="s">
        <v>3930</v>
      </c>
      <c r="AL21" s="145" t="s">
        <v>3930</v>
      </c>
      <c r="AM21" s="143" t="s">
        <v>1207</v>
      </c>
      <c r="AN21" s="146">
        <v>5.6664731722839611E-2</v>
      </c>
      <c r="AO21" s="147">
        <v>-2.3929923178763526E-4</v>
      </c>
      <c r="AP21" s="177"/>
    </row>
    <row r="22" spans="1:42" customFormat="1" ht="15" x14ac:dyDescent="0.2">
      <c r="A22" s="142" t="s">
        <v>1220</v>
      </c>
      <c r="B22" s="143" t="s">
        <v>1220</v>
      </c>
      <c r="C22" s="143" t="s">
        <v>1016</v>
      </c>
      <c r="D22" s="143" t="s">
        <v>3706</v>
      </c>
      <c r="E22" s="143" t="s">
        <v>1218</v>
      </c>
      <c r="F22" s="143" t="s">
        <v>3707</v>
      </c>
      <c r="G22" s="144">
        <v>-17500000</v>
      </c>
      <c r="H22" s="144">
        <v>-695.66</v>
      </c>
      <c r="I22" s="146">
        <v>1.8644303707994109E-2</v>
      </c>
      <c r="J22" s="146">
        <v>-7.858279284402222E-5</v>
      </c>
      <c r="K22" s="143" t="s">
        <v>3706</v>
      </c>
      <c r="L22" s="143" t="s">
        <v>1210</v>
      </c>
      <c r="M22" s="143" t="s">
        <v>3042</v>
      </c>
      <c r="N22" s="144">
        <v>70105000</v>
      </c>
      <c r="O22" s="144">
        <v>-1877.3549000000003</v>
      </c>
      <c r="P22" s="146">
        <v>5.0314772911035442E-2</v>
      </c>
      <c r="Q22" s="146">
        <v>-2.1206881407786861E-4</v>
      </c>
      <c r="R22" s="144">
        <v>-2573.0149000000001</v>
      </c>
      <c r="S22" s="143" t="s">
        <v>204</v>
      </c>
      <c r="T22" s="143" t="s">
        <v>204</v>
      </c>
      <c r="U22" s="143" t="s">
        <v>746</v>
      </c>
      <c r="V22" s="143" t="s">
        <v>314</v>
      </c>
      <c r="W22" s="143" t="s">
        <v>928</v>
      </c>
      <c r="X22" s="143" t="s">
        <v>3693</v>
      </c>
      <c r="Y22" s="143" t="s">
        <v>339</v>
      </c>
      <c r="Z22" s="143" t="s">
        <v>3702</v>
      </c>
      <c r="AA22" s="143" t="s">
        <v>3703</v>
      </c>
      <c r="AB22" s="143" t="s">
        <v>314</v>
      </c>
      <c r="AC22" s="143" t="s">
        <v>897</v>
      </c>
      <c r="AD22" s="143" t="s">
        <v>339</v>
      </c>
      <c r="AE22" s="143" t="s">
        <v>912</v>
      </c>
      <c r="AF22" s="143" t="s">
        <v>896</v>
      </c>
      <c r="AG22" s="143" t="s">
        <v>896</v>
      </c>
      <c r="AH22" s="145" t="s">
        <v>3930</v>
      </c>
      <c r="AI22" s="144">
        <v>3.9751999999999996</v>
      </c>
      <c r="AJ22" s="145" t="s">
        <v>3930</v>
      </c>
      <c r="AK22" s="145" t="s">
        <v>3930</v>
      </c>
      <c r="AL22" s="145" t="s">
        <v>3930</v>
      </c>
      <c r="AM22" s="143" t="s">
        <v>1207</v>
      </c>
      <c r="AN22" s="146">
        <v>7.7769426200965303E-2</v>
      </c>
      <c r="AO22" s="147">
        <v>-3.2842587233065593E-4</v>
      </c>
      <c r="AP22" s="177"/>
    </row>
    <row r="23" spans="1:42" ht="15" x14ac:dyDescent="0.2">
      <c r="A23" s="142" t="s">
        <v>1220</v>
      </c>
      <c r="B23" s="143" t="s">
        <v>1220</v>
      </c>
      <c r="C23" s="143" t="s">
        <v>1016</v>
      </c>
      <c r="D23" s="143" t="s">
        <v>3713</v>
      </c>
      <c r="E23" s="143" t="s">
        <v>1211</v>
      </c>
      <c r="F23" s="143" t="s">
        <v>3714</v>
      </c>
      <c r="G23" s="144">
        <v>-178800000</v>
      </c>
      <c r="H23" s="144">
        <v>-6588.78</v>
      </c>
      <c r="I23" s="146">
        <v>0.17658513553338906</v>
      </c>
      <c r="J23" s="146">
        <v>-7.4427843175522057E-4</v>
      </c>
      <c r="K23" s="143" t="s">
        <v>3713</v>
      </c>
      <c r="L23" s="143" t="s">
        <v>1210</v>
      </c>
      <c r="M23" s="143" t="s">
        <v>3042</v>
      </c>
      <c r="N23" s="144">
        <v>658252200</v>
      </c>
      <c r="O23" s="144">
        <v>1531.7465000000002</v>
      </c>
      <c r="P23" s="146">
        <v>-4.1052161903310534E-2</v>
      </c>
      <c r="Q23" s="146">
        <v>1.7302837291069791E-4</v>
      </c>
      <c r="R23" s="144">
        <v>-5057.0334999999995</v>
      </c>
      <c r="S23" s="143" t="s">
        <v>204</v>
      </c>
      <c r="T23" s="143" t="s">
        <v>204</v>
      </c>
      <c r="U23" s="143" t="s">
        <v>746</v>
      </c>
      <c r="V23" s="143" t="s">
        <v>314</v>
      </c>
      <c r="W23" s="143" t="s">
        <v>928</v>
      </c>
      <c r="X23" s="143" t="s">
        <v>3681</v>
      </c>
      <c r="Y23" s="143" t="s">
        <v>339</v>
      </c>
      <c r="Z23" s="143" t="s">
        <v>3712</v>
      </c>
      <c r="AA23" s="143" t="s">
        <v>3703</v>
      </c>
      <c r="AB23" s="143" t="s">
        <v>314</v>
      </c>
      <c r="AC23" s="143" t="s">
        <v>897</v>
      </c>
      <c r="AD23" s="143" t="s">
        <v>339</v>
      </c>
      <c r="AE23" s="143" t="s">
        <v>912</v>
      </c>
      <c r="AF23" s="143" t="s">
        <v>896</v>
      </c>
      <c r="AG23" s="143" t="s">
        <v>896</v>
      </c>
      <c r="AH23" s="145" t="s">
        <v>3930</v>
      </c>
      <c r="AI23" s="144">
        <v>3.6850000000000001</v>
      </c>
      <c r="AJ23" s="145" t="s">
        <v>3930</v>
      </c>
      <c r="AK23" s="145" t="s">
        <v>3930</v>
      </c>
      <c r="AL23" s="145" t="s">
        <v>3930</v>
      </c>
      <c r="AM23" s="143" t="s">
        <v>1207</v>
      </c>
      <c r="AN23" s="146">
        <v>0.15284893462070098</v>
      </c>
      <c r="AO23" s="147">
        <v>-6.4549202867838595E-4</v>
      </c>
      <c r="AP23" s="177"/>
    </row>
    <row r="24" spans="1:42" ht="15" x14ac:dyDescent="0.2">
      <c r="A24" s="142" t="s">
        <v>1220</v>
      </c>
      <c r="B24" s="143" t="s">
        <v>1220</v>
      </c>
      <c r="C24" s="143" t="s">
        <v>1016</v>
      </c>
      <c r="D24" s="143" t="s">
        <v>3694</v>
      </c>
      <c r="E24" s="143" t="s">
        <v>1211</v>
      </c>
      <c r="F24" s="143" t="s">
        <v>3695</v>
      </c>
      <c r="G24" s="144">
        <v>-171250000</v>
      </c>
      <c r="H24" s="144">
        <v>-6185.55</v>
      </c>
      <c r="I24" s="146">
        <v>0.16577821464649825</v>
      </c>
      <c r="J24" s="146">
        <v>-6.9872896857134479E-4</v>
      </c>
      <c r="K24" s="143" t="s">
        <v>3694</v>
      </c>
      <c r="L24" s="143" t="s">
        <v>1210</v>
      </c>
      <c r="M24" s="143" t="s">
        <v>3042</v>
      </c>
      <c r="N24" s="144">
        <v>614633375</v>
      </c>
      <c r="O24" s="144">
        <v>-14349.377700000001</v>
      </c>
      <c r="P24" s="146">
        <v>0.38457602256780327</v>
      </c>
      <c r="Q24" s="146">
        <v>-1.6209271414767733E-3</v>
      </c>
      <c r="R24" s="144">
        <v>-20534.9277</v>
      </c>
      <c r="S24" s="143" t="s">
        <v>204</v>
      </c>
      <c r="T24" s="143" t="s">
        <v>204</v>
      </c>
      <c r="U24" s="143" t="s">
        <v>746</v>
      </c>
      <c r="V24" s="143" t="s">
        <v>314</v>
      </c>
      <c r="W24" s="143" t="s">
        <v>928</v>
      </c>
      <c r="X24" s="143" t="s">
        <v>3681</v>
      </c>
      <c r="Y24" s="143" t="s">
        <v>339</v>
      </c>
      <c r="Z24" s="143" t="s">
        <v>3690</v>
      </c>
      <c r="AA24" s="143" t="s">
        <v>3683</v>
      </c>
      <c r="AB24" s="143" t="s">
        <v>314</v>
      </c>
      <c r="AC24" s="143" t="s">
        <v>897</v>
      </c>
      <c r="AD24" s="143" t="s">
        <v>339</v>
      </c>
      <c r="AE24" s="143" t="s">
        <v>912</v>
      </c>
      <c r="AF24" s="143" t="s">
        <v>896</v>
      </c>
      <c r="AG24" s="143" t="s">
        <v>896</v>
      </c>
      <c r="AH24" s="145" t="s">
        <v>3930</v>
      </c>
      <c r="AI24" s="144">
        <v>3.6120000000000001</v>
      </c>
      <c r="AJ24" s="145" t="s">
        <v>3930</v>
      </c>
      <c r="AK24" s="145" t="s">
        <v>3930</v>
      </c>
      <c r="AL24" s="145" t="s">
        <v>3930</v>
      </c>
      <c r="AM24" s="143" t="s">
        <v>1207</v>
      </c>
      <c r="AN24" s="146">
        <v>0.62066858911002132</v>
      </c>
      <c r="AO24" s="147">
        <v>-2.6211280288984057E-3</v>
      </c>
      <c r="AP24" s="177"/>
    </row>
    <row r="25" spans="1:42" ht="15" x14ac:dyDescent="0.2">
      <c r="A25" s="154" t="s">
        <v>1205</v>
      </c>
      <c r="B25" s="155" t="s">
        <v>1215</v>
      </c>
      <c r="C25" s="145" t="s">
        <v>3930</v>
      </c>
      <c r="D25" s="145" t="s">
        <v>3930</v>
      </c>
      <c r="E25" s="145" t="s">
        <v>3930</v>
      </c>
      <c r="F25" s="145" t="s">
        <v>3930</v>
      </c>
      <c r="G25" s="145" t="s">
        <v>3930</v>
      </c>
      <c r="H25" s="145" t="s">
        <v>3930</v>
      </c>
      <c r="I25" s="145" t="s">
        <v>3930</v>
      </c>
      <c r="J25" s="145" t="s">
        <v>3930</v>
      </c>
      <c r="K25" s="145" t="s">
        <v>3930</v>
      </c>
      <c r="L25" s="145" t="s">
        <v>3930</v>
      </c>
      <c r="M25" s="145" t="s">
        <v>3930</v>
      </c>
      <c r="N25" s="145" t="s">
        <v>3930</v>
      </c>
      <c r="O25" s="145" t="s">
        <v>3930</v>
      </c>
      <c r="P25" s="145" t="s">
        <v>3930</v>
      </c>
      <c r="Q25" s="145" t="s">
        <v>3930</v>
      </c>
      <c r="R25" s="145" t="s">
        <v>3930</v>
      </c>
      <c r="S25" s="145" t="s">
        <v>3930</v>
      </c>
      <c r="T25" s="145" t="s">
        <v>3930</v>
      </c>
      <c r="U25" s="145" t="s">
        <v>3930</v>
      </c>
      <c r="V25" s="145" t="s">
        <v>3930</v>
      </c>
      <c r="W25" s="145" t="s">
        <v>3930</v>
      </c>
      <c r="X25" s="145" t="s">
        <v>3930</v>
      </c>
      <c r="Y25" s="145" t="s">
        <v>3930</v>
      </c>
      <c r="Z25" s="145" t="s">
        <v>3930</v>
      </c>
      <c r="AA25" s="145" t="s">
        <v>3930</v>
      </c>
      <c r="AB25" s="145" t="s">
        <v>3930</v>
      </c>
      <c r="AC25" s="145" t="s">
        <v>3930</v>
      </c>
      <c r="AD25" s="145" t="s">
        <v>3930</v>
      </c>
      <c r="AE25" s="145" t="s">
        <v>3930</v>
      </c>
      <c r="AF25" s="145" t="s">
        <v>3930</v>
      </c>
      <c r="AG25" s="145" t="s">
        <v>3930</v>
      </c>
      <c r="AH25" s="145" t="s">
        <v>3930</v>
      </c>
      <c r="AI25" s="145" t="s">
        <v>3930</v>
      </c>
      <c r="AJ25" s="145" t="s">
        <v>3930</v>
      </c>
      <c r="AK25" s="145" t="s">
        <v>3930</v>
      </c>
      <c r="AL25" s="145" t="s">
        <v>3930</v>
      </c>
      <c r="AM25" s="145" t="s">
        <v>3930</v>
      </c>
      <c r="AN25" s="145" t="s">
        <v>3930</v>
      </c>
      <c r="AO25" s="156" t="s">
        <v>3930</v>
      </c>
      <c r="AP25" s="177"/>
    </row>
    <row r="26" spans="1:42" ht="15" x14ac:dyDescent="0.2">
      <c r="A26" s="157" t="s">
        <v>1220</v>
      </c>
      <c r="B26" s="158" t="s">
        <v>1222</v>
      </c>
      <c r="C26" s="151" t="s">
        <v>3930</v>
      </c>
      <c r="D26" s="151" t="s">
        <v>3930</v>
      </c>
      <c r="E26" s="151" t="s">
        <v>3930</v>
      </c>
      <c r="F26" s="151" t="s">
        <v>3930</v>
      </c>
      <c r="G26" s="151" t="s">
        <v>3930</v>
      </c>
      <c r="H26" s="151" t="s">
        <v>3930</v>
      </c>
      <c r="I26" s="151" t="s">
        <v>3930</v>
      </c>
      <c r="J26" s="151" t="s">
        <v>3930</v>
      </c>
      <c r="K26" s="151" t="s">
        <v>3930</v>
      </c>
      <c r="L26" s="151" t="s">
        <v>3930</v>
      </c>
      <c r="M26" s="151" t="s">
        <v>3930</v>
      </c>
      <c r="N26" s="151" t="s">
        <v>3930</v>
      </c>
      <c r="O26" s="151" t="s">
        <v>3930</v>
      </c>
      <c r="P26" s="151" t="s">
        <v>3930</v>
      </c>
      <c r="Q26" s="151" t="s">
        <v>3930</v>
      </c>
      <c r="R26" s="151" t="s">
        <v>3930</v>
      </c>
      <c r="S26" s="151" t="s">
        <v>3930</v>
      </c>
      <c r="T26" s="151" t="s">
        <v>3930</v>
      </c>
      <c r="U26" s="151" t="s">
        <v>3930</v>
      </c>
      <c r="V26" s="151" t="s">
        <v>3930</v>
      </c>
      <c r="W26" s="151" t="s">
        <v>3930</v>
      </c>
      <c r="X26" s="151" t="s">
        <v>3930</v>
      </c>
      <c r="Y26" s="151" t="s">
        <v>3930</v>
      </c>
      <c r="Z26" s="151" t="s">
        <v>3930</v>
      </c>
      <c r="AA26" s="151" t="s">
        <v>3930</v>
      </c>
      <c r="AB26" s="151" t="s">
        <v>3930</v>
      </c>
      <c r="AC26" s="151" t="s">
        <v>3930</v>
      </c>
      <c r="AD26" s="151" t="s">
        <v>3930</v>
      </c>
      <c r="AE26" s="151" t="s">
        <v>3930</v>
      </c>
      <c r="AF26" s="151" t="s">
        <v>3930</v>
      </c>
      <c r="AG26" s="151" t="s">
        <v>3930</v>
      </c>
      <c r="AH26" s="151" t="s">
        <v>3930</v>
      </c>
      <c r="AI26" s="151" t="s">
        <v>3930</v>
      </c>
      <c r="AJ26" s="151" t="s">
        <v>3930</v>
      </c>
      <c r="AK26" s="151" t="s">
        <v>3930</v>
      </c>
      <c r="AL26" s="151" t="s">
        <v>3930</v>
      </c>
      <c r="AM26" s="151" t="s">
        <v>3930</v>
      </c>
      <c r="AN26" s="151" t="s">
        <v>3930</v>
      </c>
      <c r="AO26" s="159" t="s">
        <v>3930</v>
      </c>
      <c r="AP26" s="177"/>
    </row>
    <row r="27" spans="1:42" x14ac:dyDescent="0.2">
      <c r="A27" s="177" t="s">
        <v>3946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</row>
    <row r="28" spans="1:42" x14ac:dyDescent="0.2">
      <c r="A28" s="98" t="s">
        <v>3945</v>
      </c>
      <c r="B28" s="98"/>
      <c r="C28" s="101"/>
      <c r="D28" s="98"/>
      <c r="E28" s="101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16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I28" s="98"/>
      <c r="AJ28" s="98"/>
      <c r="AK28" s="98"/>
      <c r="AL28" s="98"/>
      <c r="AM28" s="98"/>
      <c r="AN28" s="98"/>
      <c r="AO28" s="98"/>
    </row>
    <row r="29" spans="1:42" x14ac:dyDescent="0.2">
      <c r="A29" s="101"/>
      <c r="B29" s="98"/>
      <c r="C29" s="101"/>
      <c r="D29" s="98"/>
      <c r="E29" s="101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16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I29" s="98"/>
      <c r="AJ29" s="98"/>
      <c r="AK29" s="98"/>
      <c r="AL29" s="98"/>
      <c r="AM29" s="98"/>
      <c r="AN29" s="98"/>
      <c r="AO29" s="98"/>
    </row>
    <row r="30" spans="1:42" x14ac:dyDescent="0.2">
      <c r="A30" s="98"/>
      <c r="B30" s="98"/>
      <c r="C30" s="101"/>
      <c r="D30" s="98"/>
      <c r="E30" s="101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6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I30" s="98"/>
      <c r="AJ30" s="98"/>
      <c r="AK30" s="98"/>
      <c r="AL30" s="98"/>
      <c r="AM30" s="98"/>
      <c r="AN30" s="98"/>
      <c r="AO30" s="98"/>
    </row>
    <row r="31" spans="1:42" x14ac:dyDescent="0.2">
      <c r="A31" s="98"/>
      <c r="B31" s="98"/>
      <c r="C31" s="101"/>
      <c r="D31" s="98"/>
      <c r="E31" s="101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16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I31" s="98"/>
      <c r="AJ31" s="98"/>
      <c r="AK31" s="98"/>
      <c r="AL31" s="98"/>
      <c r="AM31" s="98"/>
      <c r="AN31" s="98"/>
      <c r="AO31" s="98"/>
    </row>
    <row r="32" spans="1:42" x14ac:dyDescent="0.2">
      <c r="A32" s="98"/>
      <c r="B32" s="98"/>
      <c r="C32" s="101"/>
      <c r="D32" s="98"/>
      <c r="E32" s="101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16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I32" s="98"/>
      <c r="AJ32" s="98"/>
      <c r="AK32" s="98"/>
      <c r="AL32" s="98"/>
      <c r="AM32" s="98"/>
      <c r="AN32" s="98"/>
      <c r="AO32" s="98"/>
    </row>
    <row r="33" spans="1:41" x14ac:dyDescent="0.2">
      <c r="A33" s="98"/>
      <c r="B33" s="98"/>
      <c r="C33" s="101"/>
      <c r="D33" s="98"/>
      <c r="E33" s="101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16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I33" s="98"/>
      <c r="AJ33" s="98"/>
      <c r="AK33" s="98"/>
      <c r="AL33" s="98"/>
      <c r="AM33" s="98"/>
      <c r="AN33" s="98"/>
      <c r="AO33" s="98"/>
    </row>
    <row r="34" spans="1:41" x14ac:dyDescent="0.2">
      <c r="C34" s="101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16"/>
    </row>
    <row r="35" spans="1:41" x14ac:dyDescent="0.2">
      <c r="C35" s="101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16"/>
    </row>
    <row r="36" spans="1:41" x14ac:dyDescent="0.2">
      <c r="C36" s="101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</row>
    <row r="37" spans="1:41" x14ac:dyDescent="0.2">
      <c r="C37" s="101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</row>
    <row r="38" spans="1:41" x14ac:dyDescent="0.2">
      <c r="C38" s="101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</row>
    <row r="39" spans="1:41" x14ac:dyDescent="0.2">
      <c r="C39" s="101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</row>
    <row r="40" spans="1:41" x14ac:dyDescent="0.2">
      <c r="C40" s="101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 spans="1:41" x14ac:dyDescent="0.2">
      <c r="C41" s="101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 spans="1:41" x14ac:dyDescent="0.2">
      <c r="C42" s="101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</row>
    <row r="43" spans="1:41" x14ac:dyDescent="0.2">
      <c r="C43" s="101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</row>
    <row r="44" spans="1:41" x14ac:dyDescent="0.2">
      <c r="C44" s="101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</row>
    <row r="45" spans="1:41" x14ac:dyDescent="0.2">
      <c r="C45" s="101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</row>
    <row r="46" spans="1:41" x14ac:dyDescent="0.2">
      <c r="C46" s="101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</row>
    <row r="47" spans="1:41" x14ac:dyDescent="0.2">
      <c r="C47" s="101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</row>
    <row r="48" spans="1:41" x14ac:dyDescent="0.2">
      <c r="C48" s="101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</row>
    <row r="49" spans="3:20" x14ac:dyDescent="0.2">
      <c r="C49" s="101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</row>
    <row r="50" spans="3:20" x14ac:dyDescent="0.2">
      <c r="C50" s="101"/>
    </row>
    <row r="51" spans="3:20" x14ac:dyDescent="0.2">
      <c r="C51" s="101"/>
    </row>
    <row r="52" spans="3:20" x14ac:dyDescent="0.2">
      <c r="C52" s="101"/>
    </row>
    <row r="53" spans="3:20" x14ac:dyDescent="0.2">
      <c r="C53" s="101"/>
    </row>
    <row r="54" spans="3:20" x14ac:dyDescent="0.2">
      <c r="C54" s="101"/>
    </row>
    <row r="55" spans="3:20" x14ac:dyDescent="0.2">
      <c r="C55" s="101"/>
    </row>
    <row r="56" spans="3:20" x14ac:dyDescent="0.2">
      <c r="C56" s="101"/>
    </row>
    <row r="57" spans="3:20" x14ac:dyDescent="0.2">
      <c r="C57" s="101"/>
    </row>
    <row r="58" spans="3:20" x14ac:dyDescent="0.2">
      <c r="C58" s="101"/>
    </row>
    <row r="59" spans="3:20" x14ac:dyDescent="0.2">
      <c r="C59" s="101"/>
    </row>
    <row r="60" spans="3:20" x14ac:dyDescent="0.2">
      <c r="C60" s="101"/>
    </row>
    <row r="61" spans="3:20" x14ac:dyDescent="0.2">
      <c r="C61" s="101"/>
    </row>
    <row r="62" spans="3:20" x14ac:dyDescent="0.2">
      <c r="C62" s="101"/>
    </row>
    <row r="63" spans="3:20" x14ac:dyDescent="0.2">
      <c r="C63" s="101"/>
    </row>
    <row r="64" spans="3:20" x14ac:dyDescent="0.2">
      <c r="C64" s="101"/>
    </row>
    <row r="65" spans="3:3" x14ac:dyDescent="0.2">
      <c r="C65" s="101"/>
    </row>
    <row r="66" spans="3:3" x14ac:dyDescent="0.2">
      <c r="C66" s="101"/>
    </row>
    <row r="67" spans="3:3" x14ac:dyDescent="0.2">
      <c r="C67" s="101"/>
    </row>
    <row r="68" spans="3:3" x14ac:dyDescent="0.2">
      <c r="C68" s="101"/>
    </row>
    <row r="69" spans="3:3" x14ac:dyDescent="0.2">
      <c r="C69" s="101"/>
    </row>
    <row r="70" spans="3:3" x14ac:dyDescent="0.2">
      <c r="C70" s="101"/>
    </row>
    <row r="71" spans="3:3" x14ac:dyDescent="0.2">
      <c r="C71" s="101"/>
    </row>
    <row r="72" spans="3:3" x14ac:dyDescent="0.2">
      <c r="C72" s="101"/>
    </row>
    <row r="73" spans="3:3" x14ac:dyDescent="0.2">
      <c r="C73" s="101"/>
    </row>
    <row r="74" spans="3:3" x14ac:dyDescent="0.2">
      <c r="C74" s="101"/>
    </row>
    <row r="75" spans="3:3" x14ac:dyDescent="0.2">
      <c r="C75" s="101"/>
    </row>
    <row r="76" spans="3:3" x14ac:dyDescent="0.2">
      <c r="C76" s="101"/>
    </row>
    <row r="77" spans="3:3" x14ac:dyDescent="0.2">
      <c r="C77" s="101"/>
    </row>
  </sheetData>
  <mergeCells count="2">
    <mergeCell ref="A27:AO27"/>
    <mergeCell ref="AP2:AP26"/>
  </mergeCells>
  <dataValidations count="14">
    <dataValidation type="list" allowBlank="1" showInputMessage="1" showErrorMessage="1" sqref="U3:U21 U23:U24 U28:U39">
      <formula1>Underlying_Asset</formula1>
    </dataValidation>
    <dataValidation type="list" allowBlank="1" showInputMessage="1" showErrorMessage="1" sqref="AG28:AG1048576 AG3:AG21 AB3:AB21 AB23:AB24 AG23:AG24 AB28:AB1048576">
      <formula1>Reset_frequency</formula1>
    </dataValidation>
    <dataValidation type="list" allowBlank="1" showInputMessage="1" showErrorMessage="1" sqref="S3:S21 S23:S24">
      <formula1>israel_abroad</formula1>
    </dataValidation>
    <dataValidation type="list" allowBlank="1" showInputMessage="1" showErrorMessage="1" sqref="AL28:AL1048576 Y28:Y216 AD3:AD21 Y3:Y21 AD23:AD24 Y23:Y24 AD28:AD1048576">
      <formula1>Holding_interest</formula1>
    </dataValidation>
    <dataValidation type="list" allowBlank="1" showInputMessage="1" showErrorMessage="1" sqref="AC3:AC21 AC23:AC24 AC28:AC62">
      <formula1>Delivery</formula1>
    </dataValidation>
    <dataValidation type="list" allowBlank="1" showInputMessage="1" showErrorMessage="1" sqref="E24 E28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24 T28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P3:Q20 D3:D20 I3:K20 M3:M20"/>
    <dataValidation type="list" allowBlank="1" showInputMessage="1" showErrorMessage="1" sqref="AF23:AF24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C23:C24 C28:C77">
      <formula1>$C$835:$C$842</formula1>
    </dataValidation>
    <dataValidation type="list" allowBlank="1" showInputMessage="1" showErrorMessage="1" sqref="AE4:AE21 AE23:AE24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3979</v>
      </c>
    </row>
    <row r="2" spans="1:2" ht="15" x14ac:dyDescent="0.25">
      <c r="A2" s="120" t="s">
        <v>3926</v>
      </c>
      <c r="B2" s="121" t="s">
        <v>3927</v>
      </c>
    </row>
    <row r="3" spans="1:2" x14ac:dyDescent="0.2">
      <c r="A3" s="123" t="s">
        <v>3929</v>
      </c>
      <c r="B3" s="129" t="s">
        <v>3938</v>
      </c>
    </row>
    <row r="4" spans="1:2" x14ac:dyDescent="0.2">
      <c r="A4" s="123" t="s">
        <v>3931</v>
      </c>
      <c r="B4" s="129" t="s">
        <v>3938</v>
      </c>
    </row>
    <row r="5" spans="1:2" x14ac:dyDescent="0.2">
      <c r="A5" s="123" t="s">
        <v>19</v>
      </c>
      <c r="B5" s="129" t="s">
        <v>3938</v>
      </c>
    </row>
    <row r="6" spans="1:2" x14ac:dyDescent="0.2">
      <c r="A6" s="123" t="s">
        <v>20</v>
      </c>
      <c r="B6" s="129" t="s">
        <v>3938</v>
      </c>
    </row>
    <row r="7" spans="1:2" x14ac:dyDescent="0.2">
      <c r="A7" s="123" t="s">
        <v>21</v>
      </c>
      <c r="B7" s="129" t="s">
        <v>3938</v>
      </c>
    </row>
    <row r="8" spans="1:2" x14ac:dyDescent="0.2">
      <c r="A8" s="123" t="s">
        <v>22</v>
      </c>
      <c r="B8" s="129" t="s">
        <v>3938</v>
      </c>
    </row>
    <row r="9" spans="1:2" x14ac:dyDescent="0.2">
      <c r="A9" s="123" t="s">
        <v>3933</v>
      </c>
      <c r="B9" s="129" t="s">
        <v>3938</v>
      </c>
    </row>
    <row r="10" spans="1:2" ht="15" x14ac:dyDescent="0.2">
      <c r="A10" s="125" t="s">
        <v>24</v>
      </c>
      <c r="B10" s="129" t="s">
        <v>3938</v>
      </c>
    </row>
    <row r="11" spans="1:2" x14ac:dyDescent="0.2">
      <c r="A11" s="123" t="s">
        <v>25</v>
      </c>
      <c r="B11" s="129" t="s">
        <v>3938</v>
      </c>
    </row>
    <row r="12" spans="1:2" x14ac:dyDescent="0.2">
      <c r="A12" s="123" t="s">
        <v>26</v>
      </c>
      <c r="B12" s="129" t="s">
        <v>3938</v>
      </c>
    </row>
    <row r="13" spans="1:2" x14ac:dyDescent="0.2">
      <c r="A13" s="123" t="s">
        <v>27</v>
      </c>
      <c r="B13" s="129" t="s">
        <v>3938</v>
      </c>
    </row>
    <row r="14" spans="1:2" x14ac:dyDescent="0.2">
      <c r="A14" s="123" t="s">
        <v>28</v>
      </c>
      <c r="B14" s="129" t="s">
        <v>3938</v>
      </c>
    </row>
    <row r="15" spans="1:2" x14ac:dyDescent="0.2">
      <c r="A15" s="123" t="s">
        <v>29</v>
      </c>
      <c r="B15" s="129" t="s">
        <v>3938</v>
      </c>
    </row>
    <row r="16" spans="1:2" x14ac:dyDescent="0.2">
      <c r="A16" s="123" t="s">
        <v>30</v>
      </c>
      <c r="B16" s="129" t="s">
        <v>3938</v>
      </c>
    </row>
    <row r="17" spans="1:2" x14ac:dyDescent="0.2">
      <c r="A17" s="123" t="s">
        <v>31</v>
      </c>
      <c r="B17" s="129" t="s">
        <v>3938</v>
      </c>
    </row>
    <row r="18" spans="1:2" ht="15" x14ac:dyDescent="0.2">
      <c r="A18" s="125" t="s">
        <v>32</v>
      </c>
      <c r="B18" s="129" t="s">
        <v>3938</v>
      </c>
    </row>
    <row r="19" spans="1:2" x14ac:dyDescent="0.2">
      <c r="A19" s="123" t="s">
        <v>33</v>
      </c>
      <c r="B19" s="129" t="s">
        <v>3938</v>
      </c>
    </row>
    <row r="20" spans="1:2" x14ac:dyDescent="0.2">
      <c r="A20" s="123" t="s">
        <v>34</v>
      </c>
      <c r="B20" s="129" t="s">
        <v>3938</v>
      </c>
    </row>
    <row r="21" spans="1:2" x14ac:dyDescent="0.2">
      <c r="A21" s="123" t="s">
        <v>3932</v>
      </c>
      <c r="B21" s="129" t="s">
        <v>3938</v>
      </c>
    </row>
    <row r="22" spans="1:2" x14ac:dyDescent="0.2">
      <c r="A22" s="123" t="s">
        <v>36</v>
      </c>
      <c r="B22" s="129" t="s">
        <v>3938</v>
      </c>
    </row>
    <row r="23" spans="1:2" x14ac:dyDescent="0.2">
      <c r="A23" s="123" t="s">
        <v>37</v>
      </c>
      <c r="B23" s="129" t="s">
        <v>3938</v>
      </c>
    </row>
    <row r="24" spans="1:2" x14ac:dyDescent="0.2">
      <c r="A24" s="123" t="s">
        <v>38</v>
      </c>
      <c r="B24" s="129" t="s">
        <v>3938</v>
      </c>
    </row>
    <row r="25" spans="1:2" x14ac:dyDescent="0.2">
      <c r="A25" s="123" t="s">
        <v>39</v>
      </c>
      <c r="B25" s="129" t="s">
        <v>3938</v>
      </c>
    </row>
    <row r="26" spans="1:2" x14ac:dyDescent="0.2">
      <c r="A26" s="123" t="s">
        <v>40</v>
      </c>
      <c r="B26" s="129" t="s">
        <v>3938</v>
      </c>
    </row>
    <row r="27" spans="1:2" x14ac:dyDescent="0.2">
      <c r="A27" s="123" t="s">
        <v>41</v>
      </c>
      <c r="B27" s="129" t="s">
        <v>3938</v>
      </c>
    </row>
    <row r="28" spans="1:2" x14ac:dyDescent="0.2">
      <c r="A28" s="123" t="s">
        <v>42</v>
      </c>
      <c r="B28" s="129" t="s">
        <v>3938</v>
      </c>
    </row>
    <row r="29" spans="1:2" x14ac:dyDescent="0.2">
      <c r="A29" s="123" t="s">
        <v>43</v>
      </c>
      <c r="B29" s="129" t="s">
        <v>3938</v>
      </c>
    </row>
    <row r="30" spans="1:2" x14ac:dyDescent="0.2">
      <c r="A30" s="126" t="s">
        <v>44</v>
      </c>
      <c r="B30" s="129" t="s">
        <v>3938</v>
      </c>
    </row>
    <row r="31" spans="1:2" x14ac:dyDescent="0.2">
      <c r="A31" s="123" t="s">
        <v>45</v>
      </c>
      <c r="B31" s="129" t="s">
        <v>3938</v>
      </c>
    </row>
    <row r="32" spans="1:2" x14ac:dyDescent="0.2">
      <c r="A32" s="123" t="s">
        <v>47</v>
      </c>
      <c r="B32" s="129" t="s">
        <v>3938</v>
      </c>
    </row>
    <row r="33" spans="1:2" x14ac:dyDescent="0.2">
      <c r="A33" s="127" t="s">
        <v>1067</v>
      </c>
      <c r="B33" s="130" t="s">
        <v>3938</v>
      </c>
    </row>
    <row r="34" spans="1:2" x14ac:dyDescent="0.2">
      <c r="A34" s="1" t="s">
        <v>3945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26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.375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375" style="2" bestFit="1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2.37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3971</v>
      </c>
    </row>
    <row r="2" spans="1:54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54</v>
      </c>
      <c r="H2" s="140" t="s">
        <v>154</v>
      </c>
      <c r="I2" s="140" t="s">
        <v>55</v>
      </c>
      <c r="J2" s="140" t="s">
        <v>69</v>
      </c>
      <c r="K2" s="140" t="s">
        <v>83</v>
      </c>
      <c r="L2" s="140" t="s">
        <v>56</v>
      </c>
      <c r="M2" s="140" t="s">
        <v>155</v>
      </c>
      <c r="N2" s="140" t="s">
        <v>156</v>
      </c>
      <c r="O2" s="140" t="s">
        <v>157</v>
      </c>
      <c r="P2" s="140" t="s">
        <v>71</v>
      </c>
      <c r="Q2" s="140" t="s">
        <v>58</v>
      </c>
      <c r="R2" s="140" t="s">
        <v>158</v>
      </c>
      <c r="S2" s="140" t="s">
        <v>59</v>
      </c>
      <c r="T2" s="140" t="s">
        <v>72</v>
      </c>
      <c r="U2" s="140" t="s">
        <v>159</v>
      </c>
      <c r="V2" s="140" t="s">
        <v>62</v>
      </c>
      <c r="W2" s="140" t="s">
        <v>98</v>
      </c>
      <c r="X2" s="140" t="s">
        <v>85</v>
      </c>
      <c r="Y2" s="140" t="s">
        <v>160</v>
      </c>
      <c r="Z2" s="140" t="s">
        <v>74</v>
      </c>
      <c r="AA2" s="140" t="s">
        <v>73</v>
      </c>
      <c r="AB2" s="140" t="s">
        <v>86</v>
      </c>
      <c r="AC2" s="140" t="s">
        <v>161</v>
      </c>
      <c r="AD2" s="140" t="s">
        <v>162</v>
      </c>
      <c r="AE2" s="140" t="s">
        <v>163</v>
      </c>
      <c r="AF2" s="140" t="s">
        <v>164</v>
      </c>
      <c r="AG2" s="140" t="s">
        <v>165</v>
      </c>
      <c r="AH2" s="140" t="s">
        <v>166</v>
      </c>
      <c r="AI2" s="140" t="s">
        <v>167</v>
      </c>
      <c r="AJ2" s="140" t="s">
        <v>168</v>
      </c>
      <c r="AK2" s="140" t="s">
        <v>103</v>
      </c>
      <c r="AL2" s="140" t="s">
        <v>105</v>
      </c>
      <c r="AM2" s="140" t="s">
        <v>104</v>
      </c>
      <c r="AN2" s="140" t="s">
        <v>106</v>
      </c>
      <c r="AO2" s="140" t="s">
        <v>107</v>
      </c>
      <c r="AP2" s="140" t="s">
        <v>169</v>
      </c>
      <c r="AQ2" s="140" t="s">
        <v>170</v>
      </c>
      <c r="AR2" s="140" t="s">
        <v>171</v>
      </c>
      <c r="AS2" s="140" t="s">
        <v>61</v>
      </c>
      <c r="AT2" s="140" t="s">
        <v>63</v>
      </c>
      <c r="AU2" s="140" t="s">
        <v>172</v>
      </c>
      <c r="AV2" s="140" t="s">
        <v>78</v>
      </c>
      <c r="AW2" s="140" t="s">
        <v>88</v>
      </c>
      <c r="AX2" s="140" t="s">
        <v>87</v>
      </c>
      <c r="AY2" s="140" t="s">
        <v>17</v>
      </c>
      <c r="AZ2" s="140" t="s">
        <v>64</v>
      </c>
      <c r="BA2" s="141" t="s">
        <v>65</v>
      </c>
      <c r="BB2" s="177" t="s">
        <v>3947</v>
      </c>
    </row>
    <row r="3" spans="1:54" ht="15" x14ac:dyDescent="0.2">
      <c r="A3" s="142" t="s">
        <v>1205</v>
      </c>
      <c r="B3" s="143" t="s">
        <v>1205</v>
      </c>
      <c r="C3" s="145" t="s">
        <v>3930</v>
      </c>
      <c r="D3" s="145" t="s">
        <v>3930</v>
      </c>
      <c r="E3" s="145" t="s">
        <v>3930</v>
      </c>
      <c r="F3" s="143" t="s">
        <v>3715</v>
      </c>
      <c r="G3" s="143" t="s">
        <v>1011</v>
      </c>
      <c r="H3" s="145" t="s">
        <v>3930</v>
      </c>
      <c r="I3" s="143" t="s">
        <v>204</v>
      </c>
      <c r="J3" s="145" t="s">
        <v>3930</v>
      </c>
      <c r="K3" s="143" t="s">
        <v>478</v>
      </c>
      <c r="L3" s="143" t="s">
        <v>339</v>
      </c>
      <c r="M3" s="143" t="s">
        <v>339</v>
      </c>
      <c r="N3" s="145" t="s">
        <v>3930</v>
      </c>
      <c r="O3" s="143" t="s">
        <v>3716</v>
      </c>
      <c r="P3" s="143" t="s">
        <v>1721</v>
      </c>
      <c r="Q3" s="143" t="s">
        <v>413</v>
      </c>
      <c r="R3" s="143" t="s">
        <v>408</v>
      </c>
      <c r="S3" s="143" t="s">
        <v>1210</v>
      </c>
      <c r="T3" s="144">
        <v>1.26</v>
      </c>
      <c r="U3" s="165" t="s">
        <v>314</v>
      </c>
      <c r="V3" s="146">
        <v>5.3999999999999999E-2</v>
      </c>
      <c r="W3" s="145" t="s">
        <v>3930</v>
      </c>
      <c r="X3" s="145" t="s">
        <v>3930</v>
      </c>
      <c r="Y3" s="166">
        <v>0</v>
      </c>
      <c r="Z3" s="146">
        <v>7.3499999999999996E-2</v>
      </c>
      <c r="AA3" s="143" t="s">
        <v>1526</v>
      </c>
      <c r="AB3" s="143" t="s">
        <v>412</v>
      </c>
      <c r="AC3" s="145" t="s">
        <v>3930</v>
      </c>
      <c r="AD3" s="145" t="s">
        <v>3930</v>
      </c>
      <c r="AE3" s="145" t="s">
        <v>3930</v>
      </c>
      <c r="AF3" s="143" t="s">
        <v>3717</v>
      </c>
      <c r="AG3" s="145" t="s">
        <v>3930</v>
      </c>
      <c r="AH3" s="145" t="s">
        <v>3930</v>
      </c>
      <c r="AI3" s="145" t="s">
        <v>3930</v>
      </c>
      <c r="AJ3" s="145" t="s">
        <v>3930</v>
      </c>
      <c r="AK3" s="143" t="s">
        <v>314</v>
      </c>
      <c r="AL3" s="145" t="s">
        <v>3930</v>
      </c>
      <c r="AM3" s="143" t="s">
        <v>889</v>
      </c>
      <c r="AN3" s="160">
        <v>45565</v>
      </c>
      <c r="AO3" s="160">
        <v>45565</v>
      </c>
      <c r="AP3" s="145" t="s">
        <v>3930</v>
      </c>
      <c r="AQ3" s="144">
        <v>1926786.22</v>
      </c>
      <c r="AR3" s="143" t="s">
        <v>3718</v>
      </c>
      <c r="AS3" s="145" t="s">
        <v>3930</v>
      </c>
      <c r="AT3" s="144">
        <v>1948.7805000000001</v>
      </c>
      <c r="AU3" s="144">
        <v>1948.7804847</v>
      </c>
      <c r="AV3" s="145" t="s">
        <v>3930</v>
      </c>
      <c r="AW3" s="145" t="s">
        <v>3930</v>
      </c>
      <c r="AX3" s="145" t="s">
        <v>3930</v>
      </c>
      <c r="AY3" s="145" t="s">
        <v>3930</v>
      </c>
      <c r="AZ3" s="146">
        <v>0.10562038169047411</v>
      </c>
      <c r="BA3" s="147">
        <v>2.8270725206048977E-3</v>
      </c>
      <c r="BB3" s="177"/>
    </row>
    <row r="4" spans="1:54" ht="15" x14ac:dyDescent="0.2">
      <c r="A4" s="142" t="s">
        <v>1205</v>
      </c>
      <c r="B4" s="143" t="s">
        <v>1205</v>
      </c>
      <c r="C4" s="145" t="s">
        <v>3930</v>
      </c>
      <c r="D4" s="145" t="s">
        <v>3930</v>
      </c>
      <c r="E4" s="145" t="s">
        <v>3930</v>
      </c>
      <c r="F4" s="143" t="s">
        <v>3719</v>
      </c>
      <c r="G4" s="143" t="s">
        <v>1012</v>
      </c>
      <c r="H4" s="143" t="s">
        <v>817</v>
      </c>
      <c r="I4" s="143" t="s">
        <v>204</v>
      </c>
      <c r="J4" s="145" t="s">
        <v>3930</v>
      </c>
      <c r="K4" s="143" t="s">
        <v>447</v>
      </c>
      <c r="L4" s="143" t="s">
        <v>339</v>
      </c>
      <c r="M4" s="143" t="s">
        <v>338</v>
      </c>
      <c r="N4" s="145" t="s">
        <v>3930</v>
      </c>
      <c r="O4" s="143" t="s">
        <v>3720</v>
      </c>
      <c r="P4" s="143" t="s">
        <v>3721</v>
      </c>
      <c r="Q4" s="143" t="s">
        <v>415</v>
      </c>
      <c r="R4" s="143" t="s">
        <v>408</v>
      </c>
      <c r="S4" s="143" t="s">
        <v>1210</v>
      </c>
      <c r="T4" s="144">
        <v>0.37</v>
      </c>
      <c r="U4" s="165" t="s">
        <v>823</v>
      </c>
      <c r="V4" s="146">
        <v>7.400000000000001E-2</v>
      </c>
      <c r="W4" s="145" t="s">
        <v>3930</v>
      </c>
      <c r="X4" s="145" t="s">
        <v>3930</v>
      </c>
      <c r="Y4" s="166">
        <v>0</v>
      </c>
      <c r="Z4" s="146">
        <v>7.51E-2</v>
      </c>
      <c r="AA4" s="143" t="s">
        <v>3722</v>
      </c>
      <c r="AB4" s="143" t="s">
        <v>412</v>
      </c>
      <c r="AC4" s="145" t="s">
        <v>3930</v>
      </c>
      <c r="AD4" s="145" t="s">
        <v>3930</v>
      </c>
      <c r="AE4" s="167">
        <v>0.55000000000000004</v>
      </c>
      <c r="AF4" s="143" t="s">
        <v>3723</v>
      </c>
      <c r="AG4" s="145" t="s">
        <v>3930</v>
      </c>
      <c r="AH4" s="145" t="s">
        <v>3930</v>
      </c>
      <c r="AI4" s="145" t="s">
        <v>3930</v>
      </c>
      <c r="AJ4" s="143" t="s">
        <v>339</v>
      </c>
      <c r="AK4" s="143" t="s">
        <v>886</v>
      </c>
      <c r="AL4" s="145" t="s">
        <v>3930</v>
      </c>
      <c r="AM4" s="143" t="s">
        <v>889</v>
      </c>
      <c r="AN4" s="160">
        <v>45565</v>
      </c>
      <c r="AO4" s="160">
        <v>45565</v>
      </c>
      <c r="AP4" s="145" t="s">
        <v>3930</v>
      </c>
      <c r="AQ4" s="144">
        <v>1824000</v>
      </c>
      <c r="AR4" s="143" t="s">
        <v>3724</v>
      </c>
      <c r="AS4" s="145" t="s">
        <v>3930</v>
      </c>
      <c r="AT4" s="144">
        <v>1943.2896000000001</v>
      </c>
      <c r="AU4" s="144">
        <v>1943.2896000000001</v>
      </c>
      <c r="AV4" s="145" t="s">
        <v>3930</v>
      </c>
      <c r="AW4" s="145" t="s">
        <v>3930</v>
      </c>
      <c r="AX4" s="145" t="s">
        <v>3930</v>
      </c>
      <c r="AY4" s="145" t="s">
        <v>3930</v>
      </c>
      <c r="AZ4" s="146">
        <v>0.10532278565925225</v>
      </c>
      <c r="BA4" s="147">
        <v>2.8191069598992573E-3</v>
      </c>
      <c r="BB4" s="177"/>
    </row>
    <row r="5" spans="1:54" ht="15" x14ac:dyDescent="0.2">
      <c r="A5" s="142" t="s">
        <v>1205</v>
      </c>
      <c r="B5" s="143" t="s">
        <v>1205</v>
      </c>
      <c r="C5" s="145" t="s">
        <v>3930</v>
      </c>
      <c r="D5" s="145" t="s">
        <v>3930</v>
      </c>
      <c r="E5" s="145" t="s">
        <v>3930</v>
      </c>
      <c r="F5" s="143" t="s">
        <v>3725</v>
      </c>
      <c r="G5" s="143" t="s">
        <v>1012</v>
      </c>
      <c r="H5" s="143" t="s">
        <v>3726</v>
      </c>
      <c r="I5" s="143" t="s">
        <v>204</v>
      </c>
      <c r="J5" s="145" t="s">
        <v>3930</v>
      </c>
      <c r="K5" s="143" t="s">
        <v>447</v>
      </c>
      <c r="L5" s="143" t="s">
        <v>339</v>
      </c>
      <c r="M5" s="143" t="s">
        <v>338</v>
      </c>
      <c r="N5" s="145" t="s">
        <v>3930</v>
      </c>
      <c r="O5" s="143" t="s">
        <v>3727</v>
      </c>
      <c r="P5" s="145" t="s">
        <v>3930</v>
      </c>
      <c r="Q5" s="143" t="s">
        <v>410</v>
      </c>
      <c r="R5" s="143" t="s">
        <v>410</v>
      </c>
      <c r="S5" s="143" t="s">
        <v>1210</v>
      </c>
      <c r="T5" s="144">
        <v>0.22</v>
      </c>
      <c r="U5" s="165" t="s">
        <v>823</v>
      </c>
      <c r="V5" s="146">
        <v>7.0000000000000007E-2</v>
      </c>
      <c r="W5" s="145" t="s">
        <v>3930</v>
      </c>
      <c r="X5" s="145" t="s">
        <v>3930</v>
      </c>
      <c r="Y5" s="166">
        <v>0</v>
      </c>
      <c r="Z5" s="146">
        <v>8.1799999999999998E-2</v>
      </c>
      <c r="AA5" s="143" t="s">
        <v>3728</v>
      </c>
      <c r="AB5" s="143" t="s">
        <v>412</v>
      </c>
      <c r="AC5" s="145" t="s">
        <v>3930</v>
      </c>
      <c r="AD5" s="145" t="s">
        <v>3930</v>
      </c>
      <c r="AE5" s="145" t="s">
        <v>3930</v>
      </c>
      <c r="AF5" s="145" t="s">
        <v>3930</v>
      </c>
      <c r="AG5" s="145" t="s">
        <v>3930</v>
      </c>
      <c r="AH5" s="145" t="s">
        <v>3930</v>
      </c>
      <c r="AI5" s="145" t="s">
        <v>3930</v>
      </c>
      <c r="AJ5" s="143" t="s">
        <v>338</v>
      </c>
      <c r="AK5" s="143" t="s">
        <v>885</v>
      </c>
      <c r="AL5" s="145" t="s">
        <v>3930</v>
      </c>
      <c r="AM5" s="143" t="s">
        <v>889</v>
      </c>
      <c r="AN5" s="160">
        <v>45502</v>
      </c>
      <c r="AO5" s="160">
        <v>45502</v>
      </c>
      <c r="AP5" s="145" t="s">
        <v>3930</v>
      </c>
      <c r="AQ5" s="144">
        <v>1549704</v>
      </c>
      <c r="AR5" s="143" t="s">
        <v>3061</v>
      </c>
      <c r="AS5" s="145" t="s">
        <v>3930</v>
      </c>
      <c r="AT5" s="144">
        <v>1549.704</v>
      </c>
      <c r="AU5" s="144">
        <v>1549.704</v>
      </c>
      <c r="AV5" s="145" t="s">
        <v>3930</v>
      </c>
      <c r="AW5" s="145" t="s">
        <v>3930</v>
      </c>
      <c r="AX5" s="145" t="s">
        <v>3930</v>
      </c>
      <c r="AY5" s="145" t="s">
        <v>3930</v>
      </c>
      <c r="AZ5" s="146">
        <v>8.3991157173529798E-2</v>
      </c>
      <c r="BA5" s="147">
        <v>2.248137041531905E-3</v>
      </c>
      <c r="BB5" s="177"/>
    </row>
    <row r="6" spans="1:54" ht="15" x14ac:dyDescent="0.2">
      <c r="A6" s="142" t="s">
        <v>1205</v>
      </c>
      <c r="B6" s="143" t="s">
        <v>1205</v>
      </c>
      <c r="C6" s="145" t="s">
        <v>3930</v>
      </c>
      <c r="D6" s="145" t="s">
        <v>3930</v>
      </c>
      <c r="E6" s="145" t="s">
        <v>3930</v>
      </c>
      <c r="F6" s="143" t="s">
        <v>3729</v>
      </c>
      <c r="G6" s="143" t="s">
        <v>1012</v>
      </c>
      <c r="H6" s="145" t="s">
        <v>3930</v>
      </c>
      <c r="I6" s="143" t="s">
        <v>204</v>
      </c>
      <c r="J6" s="145" t="s">
        <v>3930</v>
      </c>
      <c r="K6" s="143" t="s">
        <v>485</v>
      </c>
      <c r="L6" s="143" t="s">
        <v>339</v>
      </c>
      <c r="M6" s="143" t="s">
        <v>338</v>
      </c>
      <c r="N6" s="145" t="s">
        <v>3930</v>
      </c>
      <c r="O6" s="143" t="s">
        <v>3197</v>
      </c>
      <c r="P6" s="143" t="s">
        <v>1425</v>
      </c>
      <c r="Q6" s="143" t="s">
        <v>415</v>
      </c>
      <c r="R6" s="143" t="s">
        <v>408</v>
      </c>
      <c r="S6" s="143" t="s">
        <v>1210</v>
      </c>
      <c r="T6" s="144">
        <v>10.06</v>
      </c>
      <c r="U6" s="165" t="s">
        <v>824</v>
      </c>
      <c r="V6" s="146">
        <v>0.03</v>
      </c>
      <c r="W6" s="145" t="s">
        <v>3930</v>
      </c>
      <c r="X6" s="145" t="s">
        <v>3930</v>
      </c>
      <c r="Y6" s="166">
        <v>0</v>
      </c>
      <c r="Z6" s="146">
        <v>3.85E-2</v>
      </c>
      <c r="AA6" s="143" t="s">
        <v>3730</v>
      </c>
      <c r="AB6" s="143" t="s">
        <v>412</v>
      </c>
      <c r="AC6" s="145" t="s">
        <v>3930</v>
      </c>
      <c r="AD6" s="145" t="s">
        <v>3930</v>
      </c>
      <c r="AE6" s="167">
        <v>0.75</v>
      </c>
      <c r="AF6" s="143" t="s">
        <v>3731</v>
      </c>
      <c r="AG6" s="145" t="s">
        <v>3930</v>
      </c>
      <c r="AH6" s="145" t="s">
        <v>3930</v>
      </c>
      <c r="AI6" s="145" t="s">
        <v>3930</v>
      </c>
      <c r="AJ6" s="143" t="s">
        <v>338</v>
      </c>
      <c r="AK6" s="143" t="s">
        <v>886</v>
      </c>
      <c r="AL6" s="145" t="s">
        <v>3930</v>
      </c>
      <c r="AM6" s="143" t="s">
        <v>889</v>
      </c>
      <c r="AN6" s="160">
        <v>45565</v>
      </c>
      <c r="AO6" s="160">
        <v>45565</v>
      </c>
      <c r="AP6" s="145" t="s">
        <v>3930</v>
      </c>
      <c r="AQ6" s="144">
        <v>1132552.92</v>
      </c>
      <c r="AR6" s="143" t="s">
        <v>3732</v>
      </c>
      <c r="AS6" s="145" t="s">
        <v>3930</v>
      </c>
      <c r="AT6" s="144">
        <v>1180.0068999999999</v>
      </c>
      <c r="AU6" s="144">
        <v>1180.0068873</v>
      </c>
      <c r="AV6" s="145" t="s">
        <v>3930</v>
      </c>
      <c r="AW6" s="145" t="s">
        <v>3930</v>
      </c>
      <c r="AX6" s="145" t="s">
        <v>3930</v>
      </c>
      <c r="AY6" s="145" t="s">
        <v>3930</v>
      </c>
      <c r="AZ6" s="146">
        <v>6.3954241546187882E-2</v>
      </c>
      <c r="BA6" s="147">
        <v>1.7118218657948901E-3</v>
      </c>
      <c r="BB6" s="177"/>
    </row>
    <row r="7" spans="1:54" ht="15" x14ac:dyDescent="0.2">
      <c r="A7" s="142" t="s">
        <v>1205</v>
      </c>
      <c r="B7" s="143" t="s">
        <v>1205</v>
      </c>
      <c r="C7" s="145" t="s">
        <v>3930</v>
      </c>
      <c r="D7" s="145" t="s">
        <v>3930</v>
      </c>
      <c r="E7" s="145" t="s">
        <v>3930</v>
      </c>
      <c r="F7" s="143" t="s">
        <v>3733</v>
      </c>
      <c r="G7" s="143" t="s">
        <v>1012</v>
      </c>
      <c r="H7" s="145" t="s">
        <v>3930</v>
      </c>
      <c r="I7" s="143" t="s">
        <v>204</v>
      </c>
      <c r="J7" s="145" t="s">
        <v>3930</v>
      </c>
      <c r="K7" s="143" t="s">
        <v>485</v>
      </c>
      <c r="L7" s="143" t="s">
        <v>339</v>
      </c>
      <c r="M7" s="143" t="s">
        <v>338</v>
      </c>
      <c r="N7" s="145" t="s">
        <v>3930</v>
      </c>
      <c r="O7" s="143" t="s">
        <v>3734</v>
      </c>
      <c r="P7" s="143" t="s">
        <v>1721</v>
      </c>
      <c r="Q7" s="143" t="s">
        <v>413</v>
      </c>
      <c r="R7" s="143" t="s">
        <v>408</v>
      </c>
      <c r="S7" s="143" t="s">
        <v>1210</v>
      </c>
      <c r="T7" s="144">
        <v>5.76</v>
      </c>
      <c r="U7" s="165" t="s">
        <v>824</v>
      </c>
      <c r="V7" s="146">
        <v>3.4099999999999998E-2</v>
      </c>
      <c r="W7" s="145" t="s">
        <v>3930</v>
      </c>
      <c r="X7" s="145" t="s">
        <v>3930</v>
      </c>
      <c r="Y7" s="166">
        <v>0</v>
      </c>
      <c r="Z7" s="146">
        <v>3.1800000000000002E-2</v>
      </c>
      <c r="AA7" s="143" t="s">
        <v>3735</v>
      </c>
      <c r="AB7" s="143" t="s">
        <v>412</v>
      </c>
      <c r="AC7" s="145" t="s">
        <v>3930</v>
      </c>
      <c r="AD7" s="145" t="s">
        <v>3930</v>
      </c>
      <c r="AE7" s="145" t="s">
        <v>3930</v>
      </c>
      <c r="AF7" s="145" t="s">
        <v>3930</v>
      </c>
      <c r="AG7" s="145" t="s">
        <v>3930</v>
      </c>
      <c r="AH7" s="145" t="s">
        <v>3930</v>
      </c>
      <c r="AI7" s="145" t="s">
        <v>3930</v>
      </c>
      <c r="AJ7" s="145" t="s">
        <v>3930</v>
      </c>
      <c r="AK7" s="143" t="s">
        <v>886</v>
      </c>
      <c r="AL7" s="145" t="s">
        <v>3930</v>
      </c>
      <c r="AM7" s="143" t="s">
        <v>889</v>
      </c>
      <c r="AN7" s="160">
        <v>45565</v>
      </c>
      <c r="AO7" s="160">
        <v>45565</v>
      </c>
      <c r="AP7" s="145" t="s">
        <v>3930</v>
      </c>
      <c r="AQ7" s="144">
        <v>748716.86</v>
      </c>
      <c r="AR7" s="143" t="s">
        <v>3736</v>
      </c>
      <c r="AS7" s="145" t="s">
        <v>3930</v>
      </c>
      <c r="AT7" s="144">
        <v>876.8972</v>
      </c>
      <c r="AU7" s="144">
        <v>876.89718640000001</v>
      </c>
      <c r="AV7" s="145" t="s">
        <v>3930</v>
      </c>
      <c r="AW7" s="145" t="s">
        <v>3930</v>
      </c>
      <c r="AX7" s="145" t="s">
        <v>3930</v>
      </c>
      <c r="AY7" s="145" t="s">
        <v>3930</v>
      </c>
      <c r="AZ7" s="146">
        <v>4.7526243341074283E-2</v>
      </c>
      <c r="BA7" s="147">
        <v>1.2721042511556321E-3</v>
      </c>
      <c r="BB7" s="177"/>
    </row>
    <row r="8" spans="1:54" ht="15" x14ac:dyDescent="0.2">
      <c r="A8" s="142" t="s">
        <v>1205</v>
      </c>
      <c r="B8" s="143" t="s">
        <v>1205</v>
      </c>
      <c r="C8" s="145" t="s">
        <v>3930</v>
      </c>
      <c r="D8" s="145" t="s">
        <v>3930</v>
      </c>
      <c r="E8" s="145" t="s">
        <v>3930</v>
      </c>
      <c r="F8" s="143" t="s">
        <v>3737</v>
      </c>
      <c r="G8" s="143" t="s">
        <v>1012</v>
      </c>
      <c r="H8" s="145" t="s">
        <v>3930</v>
      </c>
      <c r="I8" s="143" t="s">
        <v>204</v>
      </c>
      <c r="J8" s="145" t="s">
        <v>3930</v>
      </c>
      <c r="K8" s="143" t="s">
        <v>440</v>
      </c>
      <c r="L8" s="143" t="s">
        <v>339</v>
      </c>
      <c r="M8" s="143" t="s">
        <v>338</v>
      </c>
      <c r="N8" s="145" t="s">
        <v>3930</v>
      </c>
      <c r="O8" s="143" t="s">
        <v>3738</v>
      </c>
      <c r="P8" s="143" t="s">
        <v>1368</v>
      </c>
      <c r="Q8" s="143" t="s">
        <v>415</v>
      </c>
      <c r="R8" s="143" t="s">
        <v>408</v>
      </c>
      <c r="S8" s="143" t="s">
        <v>1210</v>
      </c>
      <c r="T8" s="144">
        <v>3.75</v>
      </c>
      <c r="U8" s="165" t="s">
        <v>824</v>
      </c>
      <c r="V8" s="146">
        <v>0</v>
      </c>
      <c r="W8" s="145" t="s">
        <v>3930</v>
      </c>
      <c r="X8" s="145" t="s">
        <v>3930</v>
      </c>
      <c r="Y8" s="166">
        <v>0</v>
      </c>
      <c r="Z8" s="146">
        <v>2.86E-2</v>
      </c>
      <c r="AA8" s="143" t="s">
        <v>1757</v>
      </c>
      <c r="AB8" s="143" t="s">
        <v>412</v>
      </c>
      <c r="AC8" s="145" t="s">
        <v>3930</v>
      </c>
      <c r="AD8" s="145" t="s">
        <v>3930</v>
      </c>
      <c r="AE8" s="167">
        <v>0.75</v>
      </c>
      <c r="AF8" s="143" t="s">
        <v>3739</v>
      </c>
      <c r="AG8" s="145" t="s">
        <v>3930</v>
      </c>
      <c r="AH8" s="145" t="s">
        <v>3930</v>
      </c>
      <c r="AI8" s="145" t="s">
        <v>3930</v>
      </c>
      <c r="AJ8" s="143" t="s">
        <v>338</v>
      </c>
      <c r="AK8" s="143" t="s">
        <v>886</v>
      </c>
      <c r="AL8" s="145" t="s">
        <v>3930</v>
      </c>
      <c r="AM8" s="143" t="s">
        <v>889</v>
      </c>
      <c r="AN8" s="160">
        <v>45565</v>
      </c>
      <c r="AO8" s="160">
        <v>45565</v>
      </c>
      <c r="AP8" s="145" t="s">
        <v>3930</v>
      </c>
      <c r="AQ8" s="144">
        <v>730611.68</v>
      </c>
      <c r="AR8" s="143" t="s">
        <v>3740</v>
      </c>
      <c r="AS8" s="145" t="s">
        <v>3930</v>
      </c>
      <c r="AT8" s="144">
        <v>855.61930000000007</v>
      </c>
      <c r="AU8" s="144">
        <v>855.61933839999995</v>
      </c>
      <c r="AV8" s="145" t="s">
        <v>3930</v>
      </c>
      <c r="AW8" s="145" t="s">
        <v>3930</v>
      </c>
      <c r="AX8" s="145" t="s">
        <v>3930</v>
      </c>
      <c r="AY8" s="145" t="s">
        <v>3930</v>
      </c>
      <c r="AZ8" s="146">
        <v>4.6373022419957333E-2</v>
      </c>
      <c r="BA8" s="147">
        <v>1.241236731799087E-3</v>
      </c>
      <c r="BB8" s="177"/>
    </row>
    <row r="9" spans="1:54" ht="15" x14ac:dyDescent="0.2">
      <c r="A9" s="142" t="s">
        <v>1205</v>
      </c>
      <c r="B9" s="143" t="s">
        <v>1205</v>
      </c>
      <c r="C9" s="145" t="s">
        <v>3930</v>
      </c>
      <c r="D9" s="145" t="s">
        <v>3930</v>
      </c>
      <c r="E9" s="145" t="s">
        <v>3930</v>
      </c>
      <c r="F9" s="143" t="s">
        <v>3741</v>
      </c>
      <c r="G9" s="143" t="s">
        <v>1012</v>
      </c>
      <c r="H9" s="145" t="s">
        <v>3930</v>
      </c>
      <c r="I9" s="143" t="s">
        <v>204</v>
      </c>
      <c r="J9" s="145" t="s">
        <v>3930</v>
      </c>
      <c r="K9" s="143" t="s">
        <v>448</v>
      </c>
      <c r="L9" s="143" t="s">
        <v>339</v>
      </c>
      <c r="M9" s="143" t="s">
        <v>338</v>
      </c>
      <c r="N9" s="145" t="s">
        <v>3930</v>
      </c>
      <c r="O9" s="143" t="s">
        <v>3742</v>
      </c>
      <c r="P9" s="145" t="s">
        <v>3930</v>
      </c>
      <c r="Q9" s="143" t="s">
        <v>410</v>
      </c>
      <c r="R9" s="143" t="s">
        <v>410</v>
      </c>
      <c r="S9" s="143" t="s">
        <v>1210</v>
      </c>
      <c r="T9" s="144">
        <v>5.34</v>
      </c>
      <c r="U9" s="165" t="s">
        <v>823</v>
      </c>
      <c r="V9" s="146">
        <v>3.4764000000000003E-2</v>
      </c>
      <c r="W9" s="145" t="s">
        <v>3930</v>
      </c>
      <c r="X9" s="145" t="s">
        <v>3930</v>
      </c>
      <c r="Y9" s="166">
        <v>0</v>
      </c>
      <c r="Z9" s="146">
        <v>4.9299999999999997E-2</v>
      </c>
      <c r="AA9" s="143" t="s">
        <v>3743</v>
      </c>
      <c r="AB9" s="143" t="s">
        <v>412</v>
      </c>
      <c r="AC9" s="145" t="s">
        <v>3930</v>
      </c>
      <c r="AD9" s="145" t="s">
        <v>3930</v>
      </c>
      <c r="AE9" s="145" t="s">
        <v>3930</v>
      </c>
      <c r="AF9" s="145" t="s">
        <v>3930</v>
      </c>
      <c r="AG9" s="145" t="s">
        <v>3930</v>
      </c>
      <c r="AH9" s="145" t="s">
        <v>3930</v>
      </c>
      <c r="AI9" s="145" t="s">
        <v>3930</v>
      </c>
      <c r="AJ9" s="143" t="s">
        <v>339</v>
      </c>
      <c r="AK9" s="143" t="s">
        <v>886</v>
      </c>
      <c r="AL9" s="145" t="s">
        <v>3930</v>
      </c>
      <c r="AM9" s="143" t="s">
        <v>889</v>
      </c>
      <c r="AN9" s="160">
        <v>45565</v>
      </c>
      <c r="AO9" s="160">
        <v>45565</v>
      </c>
      <c r="AP9" s="145" t="s">
        <v>3930</v>
      </c>
      <c r="AQ9" s="144">
        <v>839593.05</v>
      </c>
      <c r="AR9" s="143" t="s">
        <v>3744</v>
      </c>
      <c r="AS9" s="145" t="s">
        <v>3930</v>
      </c>
      <c r="AT9" s="144">
        <v>791.98810000000003</v>
      </c>
      <c r="AU9" s="144">
        <v>791.98812410000005</v>
      </c>
      <c r="AV9" s="145" t="s">
        <v>3930</v>
      </c>
      <c r="AW9" s="145" t="s">
        <v>3930</v>
      </c>
      <c r="AX9" s="145" t="s">
        <v>3930</v>
      </c>
      <c r="AY9" s="145" t="s">
        <v>3930</v>
      </c>
      <c r="AZ9" s="146">
        <v>4.2924325553726668E-2</v>
      </c>
      <c r="BA9" s="147">
        <v>1.1489276908131438E-3</v>
      </c>
      <c r="BB9" s="177"/>
    </row>
    <row r="10" spans="1:54" ht="15" x14ac:dyDescent="0.2">
      <c r="A10" s="142" t="s">
        <v>1205</v>
      </c>
      <c r="B10" s="143" t="s">
        <v>1205</v>
      </c>
      <c r="C10" s="145" t="s">
        <v>3930</v>
      </c>
      <c r="D10" s="145" t="s">
        <v>3930</v>
      </c>
      <c r="E10" s="145" t="s">
        <v>3930</v>
      </c>
      <c r="F10" s="143" t="s">
        <v>3745</v>
      </c>
      <c r="G10" s="143" t="s">
        <v>1012</v>
      </c>
      <c r="H10" s="145" t="s">
        <v>3930</v>
      </c>
      <c r="I10" s="143" t="s">
        <v>204</v>
      </c>
      <c r="J10" s="145" t="s">
        <v>3930</v>
      </c>
      <c r="K10" s="143" t="s">
        <v>451</v>
      </c>
      <c r="L10" s="143" t="s">
        <v>339</v>
      </c>
      <c r="M10" s="143" t="s">
        <v>338</v>
      </c>
      <c r="N10" s="145" t="s">
        <v>3930</v>
      </c>
      <c r="O10" s="143" t="s">
        <v>3746</v>
      </c>
      <c r="P10" s="145" t="s">
        <v>3930</v>
      </c>
      <c r="Q10" s="143" t="s">
        <v>410</v>
      </c>
      <c r="R10" s="143" t="s">
        <v>410</v>
      </c>
      <c r="S10" s="143" t="s">
        <v>1211</v>
      </c>
      <c r="T10" s="144">
        <v>0.01</v>
      </c>
      <c r="U10" s="165" t="s">
        <v>314</v>
      </c>
      <c r="V10" s="143" t="s">
        <v>1270</v>
      </c>
      <c r="W10" s="145" t="s">
        <v>3930</v>
      </c>
      <c r="X10" s="145" t="s">
        <v>3930</v>
      </c>
      <c r="Y10" s="166">
        <v>0</v>
      </c>
      <c r="Z10" s="146">
        <v>1E-4</v>
      </c>
      <c r="AA10" s="143" t="s">
        <v>3747</v>
      </c>
      <c r="AB10" s="143" t="s">
        <v>412</v>
      </c>
      <c r="AC10" s="145" t="s">
        <v>3930</v>
      </c>
      <c r="AD10" s="145" t="s">
        <v>3930</v>
      </c>
      <c r="AE10" s="145" t="s">
        <v>3930</v>
      </c>
      <c r="AF10" s="145" t="s">
        <v>3930</v>
      </c>
      <c r="AG10" s="145" t="s">
        <v>3930</v>
      </c>
      <c r="AH10" s="145" t="s">
        <v>3930</v>
      </c>
      <c r="AI10" s="145" t="s">
        <v>3930</v>
      </c>
      <c r="AJ10" s="145" t="s">
        <v>3930</v>
      </c>
      <c r="AK10" s="143" t="s">
        <v>885</v>
      </c>
      <c r="AL10" s="145" t="s">
        <v>3930</v>
      </c>
      <c r="AM10" s="143" t="s">
        <v>889</v>
      </c>
      <c r="AN10" s="160">
        <v>45565</v>
      </c>
      <c r="AO10" s="160">
        <v>45565</v>
      </c>
      <c r="AP10" s="145" t="s">
        <v>3930</v>
      </c>
      <c r="AQ10" s="144">
        <v>130562.71</v>
      </c>
      <c r="AR10" s="143" t="s">
        <v>3748</v>
      </c>
      <c r="AS10" s="143" t="s">
        <v>1212</v>
      </c>
      <c r="AT10" s="144">
        <v>755.17730000000006</v>
      </c>
      <c r="AU10" s="144">
        <v>203.55183460000001</v>
      </c>
      <c r="AV10" s="145" t="s">
        <v>3930</v>
      </c>
      <c r="AW10" s="145" t="s">
        <v>3930</v>
      </c>
      <c r="AX10" s="145" t="s">
        <v>3930</v>
      </c>
      <c r="AY10" s="145" t="s">
        <v>3930</v>
      </c>
      <c r="AZ10" s="146">
        <v>4.0929245732184191E-2</v>
      </c>
      <c r="BA10" s="147">
        <v>1.0955266781523009E-3</v>
      </c>
      <c r="BB10" s="177"/>
    </row>
    <row r="11" spans="1:54" ht="15" x14ac:dyDescent="0.2">
      <c r="A11" s="142" t="s">
        <v>1205</v>
      </c>
      <c r="B11" s="143" t="s">
        <v>1205</v>
      </c>
      <c r="C11" s="145" t="s">
        <v>3930</v>
      </c>
      <c r="D11" s="145" t="s">
        <v>3930</v>
      </c>
      <c r="E11" s="145" t="s">
        <v>3930</v>
      </c>
      <c r="F11" s="143" t="s">
        <v>3749</v>
      </c>
      <c r="G11" s="143" t="s">
        <v>1012</v>
      </c>
      <c r="H11" s="145" t="s">
        <v>3930</v>
      </c>
      <c r="I11" s="143" t="s">
        <v>204</v>
      </c>
      <c r="J11" s="145" t="s">
        <v>3930</v>
      </c>
      <c r="K11" s="143" t="s">
        <v>440</v>
      </c>
      <c r="L11" s="143" t="s">
        <v>339</v>
      </c>
      <c r="M11" s="143" t="s">
        <v>338</v>
      </c>
      <c r="N11" s="145" t="s">
        <v>3930</v>
      </c>
      <c r="O11" s="143" t="s">
        <v>3750</v>
      </c>
      <c r="P11" s="143" t="s">
        <v>1425</v>
      </c>
      <c r="Q11" s="143" t="s">
        <v>415</v>
      </c>
      <c r="R11" s="143" t="s">
        <v>408</v>
      </c>
      <c r="S11" s="143" t="s">
        <v>1210</v>
      </c>
      <c r="T11" s="144">
        <v>8.2100000000000009</v>
      </c>
      <c r="U11" s="165" t="s">
        <v>824</v>
      </c>
      <c r="V11" s="146">
        <v>0</v>
      </c>
      <c r="W11" s="145" t="s">
        <v>3930</v>
      </c>
      <c r="X11" s="145" t="s">
        <v>3930</v>
      </c>
      <c r="Y11" s="166">
        <v>0</v>
      </c>
      <c r="Z11" s="146">
        <v>3.3399999999999999E-2</v>
      </c>
      <c r="AA11" s="143" t="s">
        <v>3751</v>
      </c>
      <c r="AB11" s="143" t="s">
        <v>412</v>
      </c>
      <c r="AC11" s="145" t="s">
        <v>3930</v>
      </c>
      <c r="AD11" s="145" t="s">
        <v>3930</v>
      </c>
      <c r="AE11" s="167">
        <v>0.75</v>
      </c>
      <c r="AF11" s="143" t="s">
        <v>3739</v>
      </c>
      <c r="AG11" s="145" t="s">
        <v>3930</v>
      </c>
      <c r="AH11" s="145" t="s">
        <v>3930</v>
      </c>
      <c r="AI11" s="145" t="s">
        <v>3930</v>
      </c>
      <c r="AJ11" s="143" t="s">
        <v>338</v>
      </c>
      <c r="AK11" s="143" t="s">
        <v>886</v>
      </c>
      <c r="AL11" s="145" t="s">
        <v>3930</v>
      </c>
      <c r="AM11" s="143" t="s">
        <v>889</v>
      </c>
      <c r="AN11" s="160">
        <v>45565</v>
      </c>
      <c r="AO11" s="160">
        <v>45565</v>
      </c>
      <c r="AP11" s="145" t="s">
        <v>3930</v>
      </c>
      <c r="AQ11" s="144">
        <v>724003.64</v>
      </c>
      <c r="AR11" s="143" t="s">
        <v>3752</v>
      </c>
      <c r="AS11" s="145" t="s">
        <v>3930</v>
      </c>
      <c r="AT11" s="144">
        <v>726.82730000000004</v>
      </c>
      <c r="AU11" s="144">
        <v>726.82725420000008</v>
      </c>
      <c r="AV11" s="145" t="s">
        <v>3930</v>
      </c>
      <c r="AW11" s="145" t="s">
        <v>3930</v>
      </c>
      <c r="AX11" s="145" t="s">
        <v>3930</v>
      </c>
      <c r="AY11" s="145" t="s">
        <v>3930</v>
      </c>
      <c r="AZ11" s="146">
        <v>3.9392724123562525E-2</v>
      </c>
      <c r="BA11" s="147">
        <v>1.0543995969249308E-3</v>
      </c>
      <c r="BB11" s="177"/>
    </row>
    <row r="12" spans="1:54" ht="15" x14ac:dyDescent="0.2">
      <c r="A12" s="142" t="s">
        <v>1205</v>
      </c>
      <c r="B12" s="143" t="s">
        <v>1205</v>
      </c>
      <c r="C12" s="145" t="s">
        <v>3930</v>
      </c>
      <c r="D12" s="145" t="s">
        <v>3930</v>
      </c>
      <c r="E12" s="145" t="s">
        <v>3930</v>
      </c>
      <c r="F12" s="143" t="s">
        <v>3753</v>
      </c>
      <c r="G12" s="143" t="s">
        <v>1012</v>
      </c>
      <c r="H12" s="143" t="s">
        <v>812</v>
      </c>
      <c r="I12" s="143" t="s">
        <v>204</v>
      </c>
      <c r="J12" s="145" t="s">
        <v>3930</v>
      </c>
      <c r="K12" s="143" t="s">
        <v>454</v>
      </c>
      <c r="L12" s="143" t="s">
        <v>339</v>
      </c>
      <c r="M12" s="143" t="s">
        <v>338</v>
      </c>
      <c r="N12" s="145" t="s">
        <v>3930</v>
      </c>
      <c r="O12" s="143" t="s">
        <v>3754</v>
      </c>
      <c r="P12" s="143" t="s">
        <v>1375</v>
      </c>
      <c r="Q12" s="143" t="s">
        <v>413</v>
      </c>
      <c r="R12" s="143" t="s">
        <v>408</v>
      </c>
      <c r="S12" s="143" t="s">
        <v>1211</v>
      </c>
      <c r="T12" s="144">
        <v>2.5299999999999998</v>
      </c>
      <c r="U12" s="165" t="s">
        <v>823</v>
      </c>
      <c r="V12" s="146">
        <v>0.110153</v>
      </c>
      <c r="W12" s="145" t="s">
        <v>3930</v>
      </c>
      <c r="X12" s="145" t="s">
        <v>3930</v>
      </c>
      <c r="Y12" s="166">
        <v>5.6783E-2</v>
      </c>
      <c r="Z12" s="146">
        <v>9.8599999999999993E-2</v>
      </c>
      <c r="AA12" s="143" t="s">
        <v>3755</v>
      </c>
      <c r="AB12" s="143" t="s">
        <v>412</v>
      </c>
      <c r="AC12" s="145" t="s">
        <v>3930</v>
      </c>
      <c r="AD12" s="145" t="s">
        <v>3930</v>
      </c>
      <c r="AE12" s="167">
        <v>0.76</v>
      </c>
      <c r="AF12" s="143" t="s">
        <v>3754</v>
      </c>
      <c r="AG12" s="145" t="s">
        <v>3930</v>
      </c>
      <c r="AH12" s="145" t="s">
        <v>3930</v>
      </c>
      <c r="AI12" s="145" t="s">
        <v>3930</v>
      </c>
      <c r="AJ12" s="143" t="s">
        <v>339</v>
      </c>
      <c r="AK12" s="143" t="s">
        <v>886</v>
      </c>
      <c r="AL12" s="145" t="s">
        <v>3930</v>
      </c>
      <c r="AM12" s="143" t="s">
        <v>889</v>
      </c>
      <c r="AN12" s="160">
        <v>45565</v>
      </c>
      <c r="AO12" s="160">
        <v>45565</v>
      </c>
      <c r="AP12" s="145" t="s">
        <v>3930</v>
      </c>
      <c r="AQ12" s="144">
        <v>185188.56</v>
      </c>
      <c r="AR12" s="143" t="s">
        <v>3756</v>
      </c>
      <c r="AS12" s="143" t="s">
        <v>1212</v>
      </c>
      <c r="AT12" s="144">
        <v>707.79849999999999</v>
      </c>
      <c r="AU12" s="144">
        <v>190.78125449999999</v>
      </c>
      <c r="AV12" s="145" t="s">
        <v>3930</v>
      </c>
      <c r="AW12" s="145" t="s">
        <v>3930</v>
      </c>
      <c r="AX12" s="145" t="s">
        <v>3930</v>
      </c>
      <c r="AY12" s="145" t="s">
        <v>3930</v>
      </c>
      <c r="AZ12" s="146">
        <v>3.8361397542506809E-2</v>
      </c>
      <c r="BA12" s="147">
        <v>1.0267947446189012E-3</v>
      </c>
      <c r="BB12" s="177"/>
    </row>
    <row r="13" spans="1:54" ht="15" x14ac:dyDescent="0.2">
      <c r="A13" s="142" t="s">
        <v>1205</v>
      </c>
      <c r="B13" s="143" t="s">
        <v>1205</v>
      </c>
      <c r="C13" s="145" t="s">
        <v>3930</v>
      </c>
      <c r="D13" s="145" t="s">
        <v>3930</v>
      </c>
      <c r="E13" s="145" t="s">
        <v>3930</v>
      </c>
      <c r="F13" s="143" t="s">
        <v>3757</v>
      </c>
      <c r="G13" s="143" t="s">
        <v>1012</v>
      </c>
      <c r="H13" s="145" t="s">
        <v>3930</v>
      </c>
      <c r="I13" s="143" t="s">
        <v>204</v>
      </c>
      <c r="J13" s="145" t="s">
        <v>3930</v>
      </c>
      <c r="K13" s="143" t="s">
        <v>448</v>
      </c>
      <c r="L13" s="143" t="s">
        <v>339</v>
      </c>
      <c r="M13" s="143" t="s">
        <v>338</v>
      </c>
      <c r="N13" s="145" t="s">
        <v>3930</v>
      </c>
      <c r="O13" s="143" t="s">
        <v>3742</v>
      </c>
      <c r="P13" s="145" t="s">
        <v>3930</v>
      </c>
      <c r="Q13" s="143" t="s">
        <v>410</v>
      </c>
      <c r="R13" s="143" t="s">
        <v>410</v>
      </c>
      <c r="S13" s="143" t="s">
        <v>1210</v>
      </c>
      <c r="T13" s="144">
        <v>6.92</v>
      </c>
      <c r="U13" s="165" t="s">
        <v>823</v>
      </c>
      <c r="V13" s="146">
        <v>5.2093E-2</v>
      </c>
      <c r="W13" s="145" t="s">
        <v>3930</v>
      </c>
      <c r="X13" s="145" t="s">
        <v>3930</v>
      </c>
      <c r="Y13" s="166">
        <v>0</v>
      </c>
      <c r="Z13" s="146">
        <v>6.1499999999999999E-2</v>
      </c>
      <c r="AA13" s="143" t="s">
        <v>3758</v>
      </c>
      <c r="AB13" s="143" t="s">
        <v>412</v>
      </c>
      <c r="AC13" s="145" t="s">
        <v>3930</v>
      </c>
      <c r="AD13" s="145" t="s">
        <v>3930</v>
      </c>
      <c r="AE13" s="145" t="s">
        <v>3930</v>
      </c>
      <c r="AF13" s="145" t="s">
        <v>3930</v>
      </c>
      <c r="AG13" s="145" t="s">
        <v>3930</v>
      </c>
      <c r="AH13" s="145" t="s">
        <v>3930</v>
      </c>
      <c r="AI13" s="145" t="s">
        <v>3930</v>
      </c>
      <c r="AJ13" s="143" t="s">
        <v>339</v>
      </c>
      <c r="AK13" s="143" t="s">
        <v>886</v>
      </c>
      <c r="AL13" s="145" t="s">
        <v>3930</v>
      </c>
      <c r="AM13" s="143" t="s">
        <v>889</v>
      </c>
      <c r="AN13" s="160">
        <v>45565</v>
      </c>
      <c r="AO13" s="160">
        <v>45565</v>
      </c>
      <c r="AP13" s="145" t="s">
        <v>3930</v>
      </c>
      <c r="AQ13" s="144">
        <v>722092.86</v>
      </c>
      <c r="AR13" s="143" t="s">
        <v>3759</v>
      </c>
      <c r="AS13" s="145" t="s">
        <v>3930</v>
      </c>
      <c r="AT13" s="144">
        <v>700.93550000000005</v>
      </c>
      <c r="AU13" s="144">
        <v>700.93553919999999</v>
      </c>
      <c r="AV13" s="145" t="s">
        <v>3930</v>
      </c>
      <c r="AW13" s="145" t="s">
        <v>3930</v>
      </c>
      <c r="AX13" s="145" t="s">
        <v>3930</v>
      </c>
      <c r="AY13" s="145" t="s">
        <v>3930</v>
      </c>
      <c r="AZ13" s="146">
        <v>3.7989439945710954E-2</v>
      </c>
      <c r="BA13" s="147">
        <v>1.0168387959288707E-3</v>
      </c>
      <c r="BB13" s="177"/>
    </row>
    <row r="14" spans="1:54" ht="15" x14ac:dyDescent="0.2">
      <c r="A14" s="142" t="s">
        <v>1205</v>
      </c>
      <c r="B14" s="143" t="s">
        <v>1205</v>
      </c>
      <c r="C14" s="145" t="s">
        <v>3930</v>
      </c>
      <c r="D14" s="145" t="s">
        <v>3930</v>
      </c>
      <c r="E14" s="145" t="s">
        <v>3930</v>
      </c>
      <c r="F14" s="143" t="s">
        <v>3760</v>
      </c>
      <c r="G14" s="143" t="s">
        <v>1012</v>
      </c>
      <c r="H14" s="143" t="s">
        <v>3761</v>
      </c>
      <c r="I14" s="143" t="s">
        <v>204</v>
      </c>
      <c r="J14" s="145" t="s">
        <v>3930</v>
      </c>
      <c r="K14" s="143" t="s">
        <v>443</v>
      </c>
      <c r="L14" s="143" t="s">
        <v>339</v>
      </c>
      <c r="M14" s="143" t="s">
        <v>338</v>
      </c>
      <c r="N14" s="145" t="s">
        <v>3930</v>
      </c>
      <c r="O14" s="143" t="s">
        <v>3762</v>
      </c>
      <c r="P14" s="145" t="s">
        <v>3930</v>
      </c>
      <c r="Q14" s="143" t="s">
        <v>410</v>
      </c>
      <c r="R14" s="143" t="s">
        <v>410</v>
      </c>
      <c r="S14" s="143" t="s">
        <v>1210</v>
      </c>
      <c r="T14" s="144">
        <v>2.1</v>
      </c>
      <c r="U14" s="165" t="s">
        <v>823</v>
      </c>
      <c r="V14" s="146">
        <v>0.09</v>
      </c>
      <c r="W14" s="145" t="s">
        <v>3930</v>
      </c>
      <c r="X14" s="145" t="s">
        <v>3930</v>
      </c>
      <c r="Y14" s="166">
        <v>0.03</v>
      </c>
      <c r="Z14" s="146">
        <v>8.2900000000000001E-2</v>
      </c>
      <c r="AA14" s="143" t="s">
        <v>3763</v>
      </c>
      <c r="AB14" s="143" t="s">
        <v>412</v>
      </c>
      <c r="AC14" s="145" t="s">
        <v>3930</v>
      </c>
      <c r="AD14" s="145" t="s">
        <v>3930</v>
      </c>
      <c r="AE14" s="167">
        <v>0.76</v>
      </c>
      <c r="AF14" s="143" t="s">
        <v>3764</v>
      </c>
      <c r="AG14" s="145" t="s">
        <v>3930</v>
      </c>
      <c r="AH14" s="145" t="s">
        <v>3930</v>
      </c>
      <c r="AI14" s="145" t="s">
        <v>3930</v>
      </c>
      <c r="AJ14" s="143" t="s">
        <v>339</v>
      </c>
      <c r="AK14" s="143" t="s">
        <v>886</v>
      </c>
      <c r="AL14" s="145" t="s">
        <v>3930</v>
      </c>
      <c r="AM14" s="143" t="s">
        <v>889</v>
      </c>
      <c r="AN14" s="160">
        <v>45565</v>
      </c>
      <c r="AO14" s="160">
        <v>45565</v>
      </c>
      <c r="AP14" s="145" t="s">
        <v>3930</v>
      </c>
      <c r="AQ14" s="144">
        <v>627446.52</v>
      </c>
      <c r="AR14" s="143" t="s">
        <v>3765</v>
      </c>
      <c r="AS14" s="145" t="s">
        <v>3930</v>
      </c>
      <c r="AT14" s="144">
        <v>642.06600000000003</v>
      </c>
      <c r="AU14" s="144">
        <v>642.0660239</v>
      </c>
      <c r="AV14" s="145" t="s">
        <v>3930</v>
      </c>
      <c r="AW14" s="145" t="s">
        <v>3930</v>
      </c>
      <c r="AX14" s="145" t="s">
        <v>3930</v>
      </c>
      <c r="AY14" s="145" t="s">
        <v>3930</v>
      </c>
      <c r="AZ14" s="146">
        <v>3.4798818568263425E-2</v>
      </c>
      <c r="BA14" s="147">
        <v>9.3143749482137844E-4</v>
      </c>
      <c r="BB14" s="177"/>
    </row>
    <row r="15" spans="1:54" ht="15" x14ac:dyDescent="0.2">
      <c r="A15" s="142" t="s">
        <v>1205</v>
      </c>
      <c r="B15" s="143" t="s">
        <v>1205</v>
      </c>
      <c r="C15" s="145" t="s">
        <v>3930</v>
      </c>
      <c r="D15" s="145" t="s">
        <v>3930</v>
      </c>
      <c r="E15" s="145" t="s">
        <v>3930</v>
      </c>
      <c r="F15" s="143" t="s">
        <v>3766</v>
      </c>
      <c r="G15" s="143" t="s">
        <v>1012</v>
      </c>
      <c r="H15" s="145" t="s">
        <v>3930</v>
      </c>
      <c r="I15" s="143" t="s">
        <v>204</v>
      </c>
      <c r="J15" s="145" t="s">
        <v>3930</v>
      </c>
      <c r="K15" s="143" t="s">
        <v>484</v>
      </c>
      <c r="L15" s="143" t="s">
        <v>339</v>
      </c>
      <c r="M15" s="143" t="s">
        <v>338</v>
      </c>
      <c r="N15" s="145" t="s">
        <v>3930</v>
      </c>
      <c r="O15" s="143" t="s">
        <v>3767</v>
      </c>
      <c r="P15" s="145" t="s">
        <v>3930</v>
      </c>
      <c r="Q15" s="143" t="s">
        <v>410</v>
      </c>
      <c r="R15" s="143" t="s">
        <v>410</v>
      </c>
      <c r="S15" s="143" t="s">
        <v>1210</v>
      </c>
      <c r="T15" s="144">
        <v>4.74</v>
      </c>
      <c r="U15" s="165" t="s">
        <v>824</v>
      </c>
      <c r="V15" s="146">
        <v>0</v>
      </c>
      <c r="W15" s="145" t="s">
        <v>3930</v>
      </c>
      <c r="X15" s="145" t="s">
        <v>3930</v>
      </c>
      <c r="Y15" s="166">
        <v>0</v>
      </c>
      <c r="Z15" s="146">
        <v>3.32E-2</v>
      </c>
      <c r="AA15" s="143" t="s">
        <v>1767</v>
      </c>
      <c r="AB15" s="143" t="s">
        <v>412</v>
      </c>
      <c r="AC15" s="145" t="s">
        <v>3930</v>
      </c>
      <c r="AD15" s="145" t="s">
        <v>3930</v>
      </c>
      <c r="AE15" s="145" t="s">
        <v>3930</v>
      </c>
      <c r="AF15" s="143" t="s">
        <v>3768</v>
      </c>
      <c r="AG15" s="145" t="s">
        <v>3930</v>
      </c>
      <c r="AH15" s="145" t="s">
        <v>3930</v>
      </c>
      <c r="AI15" s="145" t="s">
        <v>3930</v>
      </c>
      <c r="AJ15" s="145" t="s">
        <v>3930</v>
      </c>
      <c r="AK15" s="143" t="s">
        <v>886</v>
      </c>
      <c r="AL15" s="145" t="s">
        <v>3930</v>
      </c>
      <c r="AM15" s="143" t="s">
        <v>889</v>
      </c>
      <c r="AN15" s="160">
        <v>45565</v>
      </c>
      <c r="AO15" s="160">
        <v>45565</v>
      </c>
      <c r="AP15" s="145" t="s">
        <v>3930</v>
      </c>
      <c r="AQ15" s="144">
        <v>452712.54</v>
      </c>
      <c r="AR15" s="143" t="s">
        <v>3769</v>
      </c>
      <c r="AS15" s="145" t="s">
        <v>3930</v>
      </c>
      <c r="AT15" s="144">
        <v>521.52480000000003</v>
      </c>
      <c r="AU15" s="144">
        <v>521.52484609999999</v>
      </c>
      <c r="AV15" s="145" t="s">
        <v>3930</v>
      </c>
      <c r="AW15" s="145" t="s">
        <v>3930</v>
      </c>
      <c r="AX15" s="145" t="s">
        <v>3930</v>
      </c>
      <c r="AY15" s="145" t="s">
        <v>3930</v>
      </c>
      <c r="AZ15" s="146">
        <v>2.8265704493894459E-2</v>
      </c>
      <c r="BA15" s="147">
        <v>7.5656985111458269E-4</v>
      </c>
      <c r="BB15" s="177"/>
    </row>
    <row r="16" spans="1:54" ht="15" x14ac:dyDescent="0.2">
      <c r="A16" s="142" t="s">
        <v>1205</v>
      </c>
      <c r="B16" s="143" t="s">
        <v>1205</v>
      </c>
      <c r="C16" s="145" t="s">
        <v>3930</v>
      </c>
      <c r="D16" s="145" t="s">
        <v>3930</v>
      </c>
      <c r="E16" s="145" t="s">
        <v>3930</v>
      </c>
      <c r="F16" s="143" t="s">
        <v>3770</v>
      </c>
      <c r="G16" s="143" t="s">
        <v>1012</v>
      </c>
      <c r="H16" s="145" t="s">
        <v>3930</v>
      </c>
      <c r="I16" s="143" t="s">
        <v>204</v>
      </c>
      <c r="J16" s="145" t="s">
        <v>3930</v>
      </c>
      <c r="K16" s="143" t="s">
        <v>441</v>
      </c>
      <c r="L16" s="143" t="s">
        <v>339</v>
      </c>
      <c r="M16" s="143" t="s">
        <v>338</v>
      </c>
      <c r="N16" s="145" t="s">
        <v>3930</v>
      </c>
      <c r="O16" s="143" t="s">
        <v>3771</v>
      </c>
      <c r="P16" s="145" t="s">
        <v>3930</v>
      </c>
      <c r="Q16" s="143" t="s">
        <v>410</v>
      </c>
      <c r="R16" s="143" t="s">
        <v>410</v>
      </c>
      <c r="S16" s="143" t="s">
        <v>1210</v>
      </c>
      <c r="T16" s="144">
        <v>3.1</v>
      </c>
      <c r="U16" s="165" t="s">
        <v>824</v>
      </c>
      <c r="V16" s="146">
        <v>7.7499999999999999E-2</v>
      </c>
      <c r="W16" s="145" t="s">
        <v>3930</v>
      </c>
      <c r="X16" s="145" t="s">
        <v>3930</v>
      </c>
      <c r="Y16" s="166">
        <v>0</v>
      </c>
      <c r="Z16" s="146">
        <v>0.1232</v>
      </c>
      <c r="AA16" s="143" t="s">
        <v>3772</v>
      </c>
      <c r="AB16" s="143" t="s">
        <v>412</v>
      </c>
      <c r="AC16" s="145" t="s">
        <v>3930</v>
      </c>
      <c r="AD16" s="145" t="s">
        <v>3930</v>
      </c>
      <c r="AE16" s="145" t="s">
        <v>3930</v>
      </c>
      <c r="AF16" s="145" t="s">
        <v>3930</v>
      </c>
      <c r="AG16" s="145" t="s">
        <v>3930</v>
      </c>
      <c r="AH16" s="145" t="s">
        <v>3930</v>
      </c>
      <c r="AI16" s="145" t="s">
        <v>3930</v>
      </c>
      <c r="AJ16" s="145" t="s">
        <v>3930</v>
      </c>
      <c r="AK16" s="143" t="s">
        <v>886</v>
      </c>
      <c r="AL16" s="145" t="s">
        <v>3930</v>
      </c>
      <c r="AM16" s="143" t="s">
        <v>889</v>
      </c>
      <c r="AN16" s="160">
        <v>45565</v>
      </c>
      <c r="AO16" s="160">
        <v>45565</v>
      </c>
      <c r="AP16" s="145" t="s">
        <v>3930</v>
      </c>
      <c r="AQ16" s="144">
        <v>468060</v>
      </c>
      <c r="AR16" s="143" t="s">
        <v>3773</v>
      </c>
      <c r="AS16" s="145" t="s">
        <v>3930</v>
      </c>
      <c r="AT16" s="144">
        <v>506.34729999999996</v>
      </c>
      <c r="AU16" s="144">
        <v>506.347308</v>
      </c>
      <c r="AV16" s="145" t="s">
        <v>3930</v>
      </c>
      <c r="AW16" s="145" t="s">
        <v>3930</v>
      </c>
      <c r="AX16" s="145" t="s">
        <v>3930</v>
      </c>
      <c r="AY16" s="145" t="s">
        <v>3930</v>
      </c>
      <c r="AZ16" s="146">
        <v>2.744310934902517E-2</v>
      </c>
      <c r="BA16" s="147">
        <v>7.345519783098993E-4</v>
      </c>
      <c r="BB16" s="177"/>
    </row>
    <row r="17" spans="1:54" ht="15" x14ac:dyDescent="0.2">
      <c r="A17" s="142" t="s">
        <v>1205</v>
      </c>
      <c r="B17" s="143" t="s">
        <v>1205</v>
      </c>
      <c r="C17" s="145" t="s">
        <v>3930</v>
      </c>
      <c r="D17" s="145" t="s">
        <v>3930</v>
      </c>
      <c r="E17" s="145" t="s">
        <v>3930</v>
      </c>
      <c r="F17" s="143" t="s">
        <v>3774</v>
      </c>
      <c r="G17" s="143" t="s">
        <v>1012</v>
      </c>
      <c r="H17" s="145" t="s">
        <v>3930</v>
      </c>
      <c r="I17" s="143" t="s">
        <v>204</v>
      </c>
      <c r="J17" s="145" t="s">
        <v>3930</v>
      </c>
      <c r="K17" s="143" t="s">
        <v>448</v>
      </c>
      <c r="L17" s="143" t="s">
        <v>339</v>
      </c>
      <c r="M17" s="143" t="s">
        <v>338</v>
      </c>
      <c r="N17" s="145" t="s">
        <v>3930</v>
      </c>
      <c r="O17" s="143" t="s">
        <v>3742</v>
      </c>
      <c r="P17" s="145" t="s">
        <v>3930</v>
      </c>
      <c r="Q17" s="143" t="s">
        <v>410</v>
      </c>
      <c r="R17" s="143" t="s">
        <v>410</v>
      </c>
      <c r="S17" s="143" t="s">
        <v>1210</v>
      </c>
      <c r="T17" s="144">
        <v>7.63</v>
      </c>
      <c r="U17" s="165" t="s">
        <v>824</v>
      </c>
      <c r="V17" s="146">
        <v>1.7982999999999999E-2</v>
      </c>
      <c r="W17" s="145" t="s">
        <v>3930</v>
      </c>
      <c r="X17" s="145" t="s">
        <v>3930</v>
      </c>
      <c r="Y17" s="166">
        <v>0</v>
      </c>
      <c r="Z17" s="146">
        <v>2.64E-2</v>
      </c>
      <c r="AA17" s="143" t="s">
        <v>3758</v>
      </c>
      <c r="AB17" s="143" t="s">
        <v>412</v>
      </c>
      <c r="AC17" s="145" t="s">
        <v>3930</v>
      </c>
      <c r="AD17" s="145" t="s">
        <v>3930</v>
      </c>
      <c r="AE17" s="145" t="s">
        <v>3930</v>
      </c>
      <c r="AF17" s="145" t="s">
        <v>3930</v>
      </c>
      <c r="AG17" s="145" t="s">
        <v>3930</v>
      </c>
      <c r="AH17" s="145" t="s">
        <v>3930</v>
      </c>
      <c r="AI17" s="145" t="s">
        <v>3930</v>
      </c>
      <c r="AJ17" s="143" t="s">
        <v>339</v>
      </c>
      <c r="AK17" s="143" t="s">
        <v>886</v>
      </c>
      <c r="AL17" s="145" t="s">
        <v>3930</v>
      </c>
      <c r="AM17" s="143" t="s">
        <v>889</v>
      </c>
      <c r="AN17" s="160">
        <v>45565</v>
      </c>
      <c r="AO17" s="160">
        <v>45565</v>
      </c>
      <c r="AP17" s="145" t="s">
        <v>3930</v>
      </c>
      <c r="AQ17" s="144">
        <v>381867.34</v>
      </c>
      <c r="AR17" s="143" t="s">
        <v>3775</v>
      </c>
      <c r="AS17" s="145" t="s">
        <v>3930</v>
      </c>
      <c r="AT17" s="144">
        <v>491.69240000000002</v>
      </c>
      <c r="AU17" s="144">
        <v>491.692387</v>
      </c>
      <c r="AV17" s="145" t="s">
        <v>3930</v>
      </c>
      <c r="AW17" s="145" t="s">
        <v>3930</v>
      </c>
      <c r="AX17" s="145" t="s">
        <v>3930</v>
      </c>
      <c r="AY17" s="145" t="s">
        <v>3930</v>
      </c>
      <c r="AZ17" s="146">
        <v>2.6648839104887891E-2</v>
      </c>
      <c r="BA17" s="147">
        <v>7.1329225982379228E-4</v>
      </c>
      <c r="BB17" s="177"/>
    </row>
    <row r="18" spans="1:54" ht="15" x14ac:dyDescent="0.2">
      <c r="A18" s="142" t="s">
        <v>1205</v>
      </c>
      <c r="B18" s="143" t="s">
        <v>1205</v>
      </c>
      <c r="C18" s="145" t="s">
        <v>3930</v>
      </c>
      <c r="D18" s="145" t="s">
        <v>3930</v>
      </c>
      <c r="E18" s="145" t="s">
        <v>3930</v>
      </c>
      <c r="F18" s="143" t="s">
        <v>3776</v>
      </c>
      <c r="G18" s="143" t="s">
        <v>1012</v>
      </c>
      <c r="H18" s="145" t="s">
        <v>3930</v>
      </c>
      <c r="I18" s="143" t="s">
        <v>204</v>
      </c>
      <c r="J18" s="145" t="s">
        <v>3930</v>
      </c>
      <c r="K18" s="143" t="s">
        <v>443</v>
      </c>
      <c r="L18" s="143" t="s">
        <v>339</v>
      </c>
      <c r="M18" s="143" t="s">
        <v>338</v>
      </c>
      <c r="N18" s="145" t="s">
        <v>3930</v>
      </c>
      <c r="O18" s="143" t="s">
        <v>3777</v>
      </c>
      <c r="P18" s="145" t="s">
        <v>3930</v>
      </c>
      <c r="Q18" s="143" t="s">
        <v>410</v>
      </c>
      <c r="R18" s="143" t="s">
        <v>410</v>
      </c>
      <c r="S18" s="143" t="s">
        <v>1210</v>
      </c>
      <c r="T18" s="144">
        <v>3</v>
      </c>
      <c r="U18" s="165" t="s">
        <v>823</v>
      </c>
      <c r="V18" s="146">
        <v>8.5000000000000006E-2</v>
      </c>
      <c r="W18" s="145" t="s">
        <v>3930</v>
      </c>
      <c r="X18" s="145" t="s">
        <v>3930</v>
      </c>
      <c r="Y18" s="166">
        <v>0</v>
      </c>
      <c r="Z18" s="146">
        <v>7.8E-2</v>
      </c>
      <c r="AA18" s="143" t="s">
        <v>3778</v>
      </c>
      <c r="AB18" s="143" t="s">
        <v>412</v>
      </c>
      <c r="AC18" s="145" t="s">
        <v>3930</v>
      </c>
      <c r="AD18" s="145" t="s">
        <v>3930</v>
      </c>
      <c r="AE18" s="167">
        <v>0.17</v>
      </c>
      <c r="AF18" s="143" t="s">
        <v>3779</v>
      </c>
      <c r="AG18" s="145" t="s">
        <v>3930</v>
      </c>
      <c r="AH18" s="145" t="s">
        <v>3930</v>
      </c>
      <c r="AI18" s="145" t="s">
        <v>3930</v>
      </c>
      <c r="AJ18" s="143" t="s">
        <v>338</v>
      </c>
      <c r="AK18" s="143" t="s">
        <v>886</v>
      </c>
      <c r="AL18" s="145" t="s">
        <v>3930</v>
      </c>
      <c r="AM18" s="143" t="s">
        <v>889</v>
      </c>
      <c r="AN18" s="160">
        <v>45565</v>
      </c>
      <c r="AO18" s="160">
        <v>45565</v>
      </c>
      <c r="AP18" s="145" t="s">
        <v>3930</v>
      </c>
      <c r="AQ18" s="144">
        <v>456000</v>
      </c>
      <c r="AR18" s="143" t="s">
        <v>3780</v>
      </c>
      <c r="AS18" s="145" t="s">
        <v>3930</v>
      </c>
      <c r="AT18" s="144">
        <v>471.048</v>
      </c>
      <c r="AU18" s="144">
        <v>471.048</v>
      </c>
      <c r="AV18" s="145" t="s">
        <v>3930</v>
      </c>
      <c r="AW18" s="145" t="s">
        <v>3930</v>
      </c>
      <c r="AX18" s="145" t="s">
        <v>3930</v>
      </c>
      <c r="AY18" s="145" t="s">
        <v>3930</v>
      </c>
      <c r="AZ18" s="146">
        <v>2.5529950625588414E-2</v>
      </c>
      <c r="BA18" s="147">
        <v>6.8334369475688309E-4</v>
      </c>
      <c r="BB18" s="177"/>
    </row>
    <row r="19" spans="1:54" ht="15" x14ac:dyDescent="0.2">
      <c r="A19" s="142" t="s">
        <v>1205</v>
      </c>
      <c r="B19" s="143" t="s">
        <v>1205</v>
      </c>
      <c r="C19" s="145" t="s">
        <v>3930</v>
      </c>
      <c r="D19" s="145" t="s">
        <v>3930</v>
      </c>
      <c r="E19" s="145" t="s">
        <v>3930</v>
      </c>
      <c r="F19" s="143" t="s">
        <v>3781</v>
      </c>
      <c r="G19" s="143" t="s">
        <v>1012</v>
      </c>
      <c r="H19" s="145" t="s">
        <v>3930</v>
      </c>
      <c r="I19" s="143" t="s">
        <v>204</v>
      </c>
      <c r="J19" s="145" t="s">
        <v>3930</v>
      </c>
      <c r="K19" s="143" t="s">
        <v>443</v>
      </c>
      <c r="L19" s="143" t="s">
        <v>339</v>
      </c>
      <c r="M19" s="143" t="s">
        <v>338</v>
      </c>
      <c r="N19" s="145" t="s">
        <v>3930</v>
      </c>
      <c r="O19" s="143" t="s">
        <v>3782</v>
      </c>
      <c r="P19" s="145" t="s">
        <v>3930</v>
      </c>
      <c r="Q19" s="143" t="s">
        <v>410</v>
      </c>
      <c r="R19" s="143" t="s">
        <v>410</v>
      </c>
      <c r="S19" s="143" t="s">
        <v>1210</v>
      </c>
      <c r="T19" s="144">
        <v>1.32</v>
      </c>
      <c r="U19" s="165" t="s">
        <v>824</v>
      </c>
      <c r="V19" s="146">
        <v>9.0439000000000005E-2</v>
      </c>
      <c r="W19" s="145" t="s">
        <v>3930</v>
      </c>
      <c r="X19" s="145" t="s">
        <v>3930</v>
      </c>
      <c r="Y19" s="166">
        <v>0</v>
      </c>
      <c r="Z19" s="146">
        <v>7.4999999999999997E-2</v>
      </c>
      <c r="AA19" s="143" t="s">
        <v>3783</v>
      </c>
      <c r="AB19" s="143" t="s">
        <v>412</v>
      </c>
      <c r="AC19" s="145" t="s">
        <v>3930</v>
      </c>
      <c r="AD19" s="145" t="s">
        <v>3930</v>
      </c>
      <c r="AE19" s="167">
        <v>0</v>
      </c>
      <c r="AF19" s="143" t="s">
        <v>3784</v>
      </c>
      <c r="AG19" s="145" t="s">
        <v>3930</v>
      </c>
      <c r="AH19" s="145" t="s">
        <v>3930</v>
      </c>
      <c r="AI19" s="145" t="s">
        <v>3930</v>
      </c>
      <c r="AJ19" s="145" t="s">
        <v>3930</v>
      </c>
      <c r="AK19" s="143" t="s">
        <v>886</v>
      </c>
      <c r="AL19" s="145" t="s">
        <v>3930</v>
      </c>
      <c r="AM19" s="143" t="s">
        <v>889</v>
      </c>
      <c r="AN19" s="160">
        <v>45565</v>
      </c>
      <c r="AO19" s="160">
        <v>45565</v>
      </c>
      <c r="AP19" s="145" t="s">
        <v>3930</v>
      </c>
      <c r="AQ19" s="144">
        <v>388075.84</v>
      </c>
      <c r="AR19" s="143" t="s">
        <v>3785</v>
      </c>
      <c r="AS19" s="145" t="s">
        <v>3930</v>
      </c>
      <c r="AT19" s="144">
        <v>436.85700000000003</v>
      </c>
      <c r="AU19" s="144">
        <v>436.8569731</v>
      </c>
      <c r="AV19" s="145" t="s">
        <v>3930</v>
      </c>
      <c r="AW19" s="145" t="s">
        <v>3930</v>
      </c>
      <c r="AX19" s="145" t="s">
        <v>3930</v>
      </c>
      <c r="AY19" s="145" t="s">
        <v>3930</v>
      </c>
      <c r="AZ19" s="146">
        <v>2.3676858734949829E-2</v>
      </c>
      <c r="BA19" s="147">
        <v>6.3374318131116604E-4</v>
      </c>
      <c r="BB19" s="177"/>
    </row>
    <row r="20" spans="1:54" ht="15" x14ac:dyDescent="0.2">
      <c r="A20" s="142" t="s">
        <v>1205</v>
      </c>
      <c r="B20" s="143" t="s">
        <v>1205</v>
      </c>
      <c r="C20" s="145" t="s">
        <v>3930</v>
      </c>
      <c r="D20" s="145" t="s">
        <v>3930</v>
      </c>
      <c r="E20" s="145" t="s">
        <v>3930</v>
      </c>
      <c r="F20" s="143" t="s">
        <v>3786</v>
      </c>
      <c r="G20" s="143" t="s">
        <v>1012</v>
      </c>
      <c r="H20" s="145" t="s">
        <v>3930</v>
      </c>
      <c r="I20" s="143" t="s">
        <v>204</v>
      </c>
      <c r="J20" s="145" t="s">
        <v>3930</v>
      </c>
      <c r="K20" s="143" t="s">
        <v>443</v>
      </c>
      <c r="L20" s="143" t="s">
        <v>339</v>
      </c>
      <c r="M20" s="143" t="s">
        <v>338</v>
      </c>
      <c r="N20" s="145" t="s">
        <v>3930</v>
      </c>
      <c r="O20" s="143" t="s">
        <v>3787</v>
      </c>
      <c r="P20" s="143" t="s">
        <v>2018</v>
      </c>
      <c r="Q20" s="143" t="s">
        <v>312</v>
      </c>
      <c r="R20" s="143" t="s">
        <v>408</v>
      </c>
      <c r="S20" s="143" t="s">
        <v>1210</v>
      </c>
      <c r="T20" s="144">
        <v>1.8</v>
      </c>
      <c r="U20" s="165" t="s">
        <v>823</v>
      </c>
      <c r="V20" s="146">
        <v>8.3000000000000004E-2</v>
      </c>
      <c r="W20" s="145" t="s">
        <v>3930</v>
      </c>
      <c r="X20" s="145" t="s">
        <v>3930</v>
      </c>
      <c r="Y20" s="166">
        <v>0</v>
      </c>
      <c r="Z20" s="146">
        <v>7.9500000000000001E-2</v>
      </c>
      <c r="AA20" s="143" t="s">
        <v>3788</v>
      </c>
      <c r="AB20" s="143" t="s">
        <v>412</v>
      </c>
      <c r="AC20" s="145" t="s">
        <v>3930</v>
      </c>
      <c r="AD20" s="145" t="s">
        <v>3930</v>
      </c>
      <c r="AE20" s="167">
        <v>0.75</v>
      </c>
      <c r="AF20" s="143" t="s">
        <v>3787</v>
      </c>
      <c r="AG20" s="145" t="s">
        <v>3930</v>
      </c>
      <c r="AH20" s="145" t="s">
        <v>3930</v>
      </c>
      <c r="AI20" s="145" t="s">
        <v>3930</v>
      </c>
      <c r="AJ20" s="143" t="s">
        <v>339</v>
      </c>
      <c r="AK20" s="143" t="s">
        <v>886</v>
      </c>
      <c r="AL20" s="145" t="s">
        <v>3930</v>
      </c>
      <c r="AM20" s="143" t="s">
        <v>889</v>
      </c>
      <c r="AN20" s="160">
        <v>45565</v>
      </c>
      <c r="AO20" s="160">
        <v>45565</v>
      </c>
      <c r="AP20" s="145" t="s">
        <v>3930</v>
      </c>
      <c r="AQ20" s="144">
        <v>304000</v>
      </c>
      <c r="AR20" s="143" t="s">
        <v>3789</v>
      </c>
      <c r="AS20" s="145" t="s">
        <v>3930</v>
      </c>
      <c r="AT20" s="144">
        <v>309.25920000000002</v>
      </c>
      <c r="AU20" s="144">
        <v>309.25920000000002</v>
      </c>
      <c r="AV20" s="145" t="s">
        <v>3930</v>
      </c>
      <c r="AW20" s="145" t="s">
        <v>3930</v>
      </c>
      <c r="AX20" s="145" t="s">
        <v>3930</v>
      </c>
      <c r="AY20" s="145" t="s">
        <v>3930</v>
      </c>
      <c r="AZ20" s="146">
        <v>1.6761289946054272E-2</v>
      </c>
      <c r="BA20" s="147">
        <v>4.4863861934570966E-4</v>
      </c>
      <c r="BB20" s="177"/>
    </row>
    <row r="21" spans="1:54" ht="15" x14ac:dyDescent="0.2">
      <c r="A21" s="142" t="s">
        <v>1205</v>
      </c>
      <c r="B21" s="143" t="s">
        <v>1205</v>
      </c>
      <c r="C21" s="145" t="s">
        <v>3930</v>
      </c>
      <c r="D21" s="145" t="s">
        <v>3930</v>
      </c>
      <c r="E21" s="145" t="s">
        <v>3930</v>
      </c>
      <c r="F21" s="143" t="s">
        <v>3790</v>
      </c>
      <c r="G21" s="143" t="s">
        <v>1012</v>
      </c>
      <c r="H21" s="145" t="s">
        <v>3930</v>
      </c>
      <c r="I21" s="143" t="s">
        <v>204</v>
      </c>
      <c r="J21" s="145" t="s">
        <v>3930</v>
      </c>
      <c r="K21" s="143" t="s">
        <v>448</v>
      </c>
      <c r="L21" s="143" t="s">
        <v>339</v>
      </c>
      <c r="M21" s="143" t="s">
        <v>338</v>
      </c>
      <c r="N21" s="145" t="s">
        <v>3930</v>
      </c>
      <c r="O21" s="143" t="s">
        <v>3742</v>
      </c>
      <c r="P21" s="145" t="s">
        <v>3930</v>
      </c>
      <c r="Q21" s="143" t="s">
        <v>410</v>
      </c>
      <c r="R21" s="143" t="s">
        <v>410</v>
      </c>
      <c r="S21" s="143" t="s">
        <v>1210</v>
      </c>
      <c r="T21" s="144">
        <v>6.32</v>
      </c>
      <c r="U21" s="165" t="s">
        <v>824</v>
      </c>
      <c r="V21" s="146">
        <v>2.3505000000000002E-2</v>
      </c>
      <c r="W21" s="145" t="s">
        <v>3930</v>
      </c>
      <c r="X21" s="145" t="s">
        <v>3930</v>
      </c>
      <c r="Y21" s="166">
        <v>0</v>
      </c>
      <c r="Z21" s="146">
        <v>2.3E-2</v>
      </c>
      <c r="AA21" s="143" t="s">
        <v>3758</v>
      </c>
      <c r="AB21" s="143" t="s">
        <v>412</v>
      </c>
      <c r="AC21" s="145" t="s">
        <v>3930</v>
      </c>
      <c r="AD21" s="145" t="s">
        <v>3930</v>
      </c>
      <c r="AE21" s="145" t="s">
        <v>3930</v>
      </c>
      <c r="AF21" s="145" t="s">
        <v>3930</v>
      </c>
      <c r="AG21" s="145" t="s">
        <v>3930</v>
      </c>
      <c r="AH21" s="145" t="s">
        <v>3930</v>
      </c>
      <c r="AI21" s="145" t="s">
        <v>3930</v>
      </c>
      <c r="AJ21" s="143" t="s">
        <v>339</v>
      </c>
      <c r="AK21" s="143" t="s">
        <v>886</v>
      </c>
      <c r="AL21" s="145" t="s">
        <v>3930</v>
      </c>
      <c r="AM21" s="143" t="s">
        <v>889</v>
      </c>
      <c r="AN21" s="160">
        <v>45565</v>
      </c>
      <c r="AO21" s="160">
        <v>45565</v>
      </c>
      <c r="AP21" s="145" t="s">
        <v>3930</v>
      </c>
      <c r="AQ21" s="144">
        <v>241562.98</v>
      </c>
      <c r="AR21" s="143" t="s">
        <v>3791</v>
      </c>
      <c r="AS21" s="145" t="s">
        <v>3930</v>
      </c>
      <c r="AT21" s="144">
        <v>285.45499999999998</v>
      </c>
      <c r="AU21" s="144">
        <v>285.45497349999999</v>
      </c>
      <c r="AV21" s="145" t="s">
        <v>3930</v>
      </c>
      <c r="AW21" s="145" t="s">
        <v>3930</v>
      </c>
      <c r="AX21" s="145" t="s">
        <v>3930</v>
      </c>
      <c r="AY21" s="145" t="s">
        <v>3930</v>
      </c>
      <c r="AZ21" s="146">
        <v>1.547114387157069E-2</v>
      </c>
      <c r="BA21" s="147">
        <v>4.1410611286956837E-4</v>
      </c>
      <c r="BB21" s="177"/>
    </row>
    <row r="22" spans="1:54" ht="15" x14ac:dyDescent="0.2">
      <c r="A22" s="142" t="s">
        <v>1205</v>
      </c>
      <c r="B22" s="143" t="s">
        <v>1205</v>
      </c>
      <c r="C22" s="145" t="s">
        <v>3930</v>
      </c>
      <c r="D22" s="145" t="s">
        <v>3930</v>
      </c>
      <c r="E22" s="145" t="s">
        <v>3930</v>
      </c>
      <c r="F22" s="143" t="s">
        <v>3792</v>
      </c>
      <c r="G22" s="143" t="s">
        <v>1012</v>
      </c>
      <c r="H22" s="143" t="s">
        <v>784</v>
      </c>
      <c r="I22" s="143" t="s">
        <v>204</v>
      </c>
      <c r="J22" s="145" t="s">
        <v>3930</v>
      </c>
      <c r="K22" s="143" t="s">
        <v>443</v>
      </c>
      <c r="L22" s="143" t="s">
        <v>339</v>
      </c>
      <c r="M22" s="143" t="s">
        <v>338</v>
      </c>
      <c r="N22" s="145" t="s">
        <v>3930</v>
      </c>
      <c r="O22" s="143" t="s">
        <v>3793</v>
      </c>
      <c r="P22" s="145" t="s">
        <v>3930</v>
      </c>
      <c r="Q22" s="143" t="s">
        <v>410</v>
      </c>
      <c r="R22" s="143" t="s">
        <v>410</v>
      </c>
      <c r="S22" s="143" t="s">
        <v>1210</v>
      </c>
      <c r="T22" s="144">
        <v>2.0499999999999998</v>
      </c>
      <c r="U22" s="168" t="s">
        <v>823</v>
      </c>
      <c r="V22" s="146">
        <v>8.2500000000000004E-2</v>
      </c>
      <c r="W22" s="145" t="s">
        <v>3930</v>
      </c>
      <c r="X22" s="145" t="s">
        <v>3930</v>
      </c>
      <c r="Y22" s="166">
        <v>0</v>
      </c>
      <c r="Z22" s="146">
        <v>6.8500000000000005E-2</v>
      </c>
      <c r="AA22" s="143" t="s">
        <v>3794</v>
      </c>
      <c r="AB22" s="143" t="s">
        <v>412</v>
      </c>
      <c r="AC22" s="145" t="s">
        <v>3930</v>
      </c>
      <c r="AD22" s="145" t="s">
        <v>3930</v>
      </c>
      <c r="AE22" s="169">
        <v>0.62</v>
      </c>
      <c r="AF22" s="143" t="s">
        <v>3795</v>
      </c>
      <c r="AG22" s="145" t="s">
        <v>3930</v>
      </c>
      <c r="AH22" s="145" t="s">
        <v>3930</v>
      </c>
      <c r="AI22" s="145" t="s">
        <v>3930</v>
      </c>
      <c r="AJ22" s="143" t="s">
        <v>338</v>
      </c>
      <c r="AK22" s="143" t="s">
        <v>886</v>
      </c>
      <c r="AL22" s="145" t="s">
        <v>3930</v>
      </c>
      <c r="AM22" s="143" t="s">
        <v>889</v>
      </c>
      <c r="AN22" s="160">
        <v>45565</v>
      </c>
      <c r="AO22" s="160">
        <v>45565</v>
      </c>
      <c r="AP22" s="145" t="s">
        <v>3930</v>
      </c>
      <c r="AQ22" s="144">
        <v>261564</v>
      </c>
      <c r="AR22" s="143" t="s">
        <v>3796</v>
      </c>
      <c r="AS22" s="145" t="s">
        <v>3930</v>
      </c>
      <c r="AT22" s="144">
        <v>274.6422</v>
      </c>
      <c r="AU22" s="144">
        <v>274.6422</v>
      </c>
      <c r="AV22" s="145" t="s">
        <v>3930</v>
      </c>
      <c r="AW22" s="145" t="s">
        <v>3930</v>
      </c>
      <c r="AX22" s="145" t="s">
        <v>3930</v>
      </c>
      <c r="AY22" s="145" t="s">
        <v>3930</v>
      </c>
      <c r="AZ22" s="146">
        <v>1.488511108359016E-2</v>
      </c>
      <c r="BA22" s="147">
        <v>3.9842015184048932E-4</v>
      </c>
      <c r="BB22" s="177"/>
    </row>
    <row r="23" spans="1:54" ht="15" x14ac:dyDescent="0.2">
      <c r="A23" s="142" t="s">
        <v>1205</v>
      </c>
      <c r="B23" s="143" t="s">
        <v>1205</v>
      </c>
      <c r="C23" s="145" t="s">
        <v>3930</v>
      </c>
      <c r="D23" s="145" t="s">
        <v>3930</v>
      </c>
      <c r="E23" s="145" t="s">
        <v>3930</v>
      </c>
      <c r="F23" s="143" t="s">
        <v>3797</v>
      </c>
      <c r="G23" s="143" t="s">
        <v>1012</v>
      </c>
      <c r="H23" s="143" t="s">
        <v>812</v>
      </c>
      <c r="I23" s="143" t="s">
        <v>204</v>
      </c>
      <c r="J23" s="145" t="s">
        <v>3930</v>
      </c>
      <c r="K23" s="143" t="s">
        <v>454</v>
      </c>
      <c r="L23" s="143" t="s">
        <v>339</v>
      </c>
      <c r="M23" s="143" t="s">
        <v>338</v>
      </c>
      <c r="N23" s="145" t="s">
        <v>3930</v>
      </c>
      <c r="O23" s="143" t="s">
        <v>3798</v>
      </c>
      <c r="P23" s="143" t="s">
        <v>1375</v>
      </c>
      <c r="Q23" s="143" t="s">
        <v>413</v>
      </c>
      <c r="R23" s="143" t="s">
        <v>408</v>
      </c>
      <c r="S23" s="143" t="s">
        <v>1211</v>
      </c>
      <c r="T23" s="144">
        <v>2.56</v>
      </c>
      <c r="U23" s="168" t="s">
        <v>823</v>
      </c>
      <c r="V23" s="146">
        <v>0.107045</v>
      </c>
      <c r="W23" s="145" t="s">
        <v>3930</v>
      </c>
      <c r="X23" s="145" t="s">
        <v>3930</v>
      </c>
      <c r="Y23" s="166">
        <v>5.3644999999999998E-2</v>
      </c>
      <c r="Z23" s="146">
        <v>9.7199999999999995E-2</v>
      </c>
      <c r="AA23" s="143" t="s">
        <v>3755</v>
      </c>
      <c r="AB23" s="143" t="s">
        <v>412</v>
      </c>
      <c r="AC23" s="145" t="s">
        <v>3930</v>
      </c>
      <c r="AD23" s="145" t="s">
        <v>3930</v>
      </c>
      <c r="AE23" s="169">
        <v>0.76</v>
      </c>
      <c r="AF23" s="143" t="s">
        <v>3754</v>
      </c>
      <c r="AG23" s="145" t="s">
        <v>3930</v>
      </c>
      <c r="AH23" s="145" t="s">
        <v>3930</v>
      </c>
      <c r="AI23" s="145" t="s">
        <v>3930</v>
      </c>
      <c r="AJ23" s="143" t="s">
        <v>339</v>
      </c>
      <c r="AK23" s="143" t="s">
        <v>886</v>
      </c>
      <c r="AL23" s="145" t="s">
        <v>3930</v>
      </c>
      <c r="AM23" s="143" t="s">
        <v>889</v>
      </c>
      <c r="AN23" s="160">
        <v>45565</v>
      </c>
      <c r="AO23" s="160">
        <v>45565</v>
      </c>
      <c r="AP23" s="145" t="s">
        <v>3930</v>
      </c>
      <c r="AQ23" s="144">
        <v>74364.11</v>
      </c>
      <c r="AR23" s="143" t="s">
        <v>3799</v>
      </c>
      <c r="AS23" s="143" t="s">
        <v>1212</v>
      </c>
      <c r="AT23" s="144">
        <v>274.2355</v>
      </c>
      <c r="AU23" s="144">
        <v>73.917925299999993</v>
      </c>
      <c r="AV23" s="145" t="s">
        <v>3930</v>
      </c>
      <c r="AW23" s="145" t="s">
        <v>3930</v>
      </c>
      <c r="AX23" s="145" t="s">
        <v>3930</v>
      </c>
      <c r="AY23" s="145" t="s">
        <v>3930</v>
      </c>
      <c r="AZ23" s="146">
        <v>1.4863068841528772E-2</v>
      </c>
      <c r="BA23" s="147">
        <v>3.9783016138763438E-4</v>
      </c>
      <c r="BB23" s="177"/>
    </row>
    <row r="24" spans="1:54" ht="15" x14ac:dyDescent="0.2">
      <c r="A24" s="142" t="s">
        <v>1205</v>
      </c>
      <c r="B24" s="143" t="s">
        <v>1205</v>
      </c>
      <c r="C24" s="145" t="s">
        <v>3930</v>
      </c>
      <c r="D24" s="145" t="s">
        <v>3930</v>
      </c>
      <c r="E24" s="145" t="s">
        <v>3930</v>
      </c>
      <c r="F24" s="143" t="s">
        <v>3800</v>
      </c>
      <c r="G24" s="143" t="s">
        <v>1012</v>
      </c>
      <c r="H24" s="143" t="s">
        <v>812</v>
      </c>
      <c r="I24" s="143" t="s">
        <v>204</v>
      </c>
      <c r="J24" s="145" t="s">
        <v>3930</v>
      </c>
      <c r="K24" s="143" t="s">
        <v>454</v>
      </c>
      <c r="L24" s="143" t="s">
        <v>339</v>
      </c>
      <c r="M24" s="143" t="s">
        <v>338</v>
      </c>
      <c r="N24" s="145" t="s">
        <v>3930</v>
      </c>
      <c r="O24" s="143" t="s">
        <v>3098</v>
      </c>
      <c r="P24" s="143" t="s">
        <v>1375</v>
      </c>
      <c r="Q24" s="143" t="s">
        <v>413</v>
      </c>
      <c r="R24" s="143" t="s">
        <v>408</v>
      </c>
      <c r="S24" s="143" t="s">
        <v>1211</v>
      </c>
      <c r="T24" s="144">
        <v>2.56</v>
      </c>
      <c r="U24" s="168" t="s">
        <v>823</v>
      </c>
      <c r="V24" s="146">
        <v>0.107045</v>
      </c>
      <c r="W24" s="145" t="s">
        <v>3930</v>
      </c>
      <c r="X24" s="145" t="s">
        <v>3930</v>
      </c>
      <c r="Y24" s="166">
        <v>5.3644999999999998E-2</v>
      </c>
      <c r="Z24" s="146">
        <v>9.7000000000000003E-2</v>
      </c>
      <c r="AA24" s="143" t="s">
        <v>3755</v>
      </c>
      <c r="AB24" s="143" t="s">
        <v>412</v>
      </c>
      <c r="AC24" s="145" t="s">
        <v>3930</v>
      </c>
      <c r="AD24" s="145" t="s">
        <v>3930</v>
      </c>
      <c r="AE24" s="169">
        <v>0.76</v>
      </c>
      <c r="AF24" s="143" t="s">
        <v>3754</v>
      </c>
      <c r="AG24" s="145" t="s">
        <v>3930</v>
      </c>
      <c r="AH24" s="145" t="s">
        <v>3930</v>
      </c>
      <c r="AI24" s="145" t="s">
        <v>3930</v>
      </c>
      <c r="AJ24" s="143" t="s">
        <v>339</v>
      </c>
      <c r="AK24" s="143" t="s">
        <v>886</v>
      </c>
      <c r="AL24" s="145" t="s">
        <v>3930</v>
      </c>
      <c r="AM24" s="143" t="s">
        <v>889</v>
      </c>
      <c r="AN24" s="160">
        <v>45565</v>
      </c>
      <c r="AO24" s="160">
        <v>45565</v>
      </c>
      <c r="AP24" s="145" t="s">
        <v>3930</v>
      </c>
      <c r="AQ24" s="144">
        <v>73593.55</v>
      </c>
      <c r="AR24" s="143" t="s">
        <v>3801</v>
      </c>
      <c r="AS24" s="143" t="s">
        <v>1212</v>
      </c>
      <c r="AT24" s="144">
        <v>271.50309999999996</v>
      </c>
      <c r="AU24" s="144">
        <v>73.181426099999996</v>
      </c>
      <c r="AV24" s="145" t="s">
        <v>3930</v>
      </c>
      <c r="AW24" s="145" t="s">
        <v>3930</v>
      </c>
      <c r="AX24" s="145" t="s">
        <v>3930</v>
      </c>
      <c r="AY24" s="145" t="s">
        <v>3930</v>
      </c>
      <c r="AZ24" s="146">
        <v>1.4714977041627178E-2</v>
      </c>
      <c r="BA24" s="147">
        <v>3.9386628385445485E-4</v>
      </c>
      <c r="BB24" s="177"/>
    </row>
    <row r="25" spans="1:54" ht="15" x14ac:dyDescent="0.2">
      <c r="A25" s="142" t="s">
        <v>1205</v>
      </c>
      <c r="B25" s="143" t="s">
        <v>1205</v>
      </c>
      <c r="C25" s="145" t="s">
        <v>3930</v>
      </c>
      <c r="D25" s="145" t="s">
        <v>3930</v>
      </c>
      <c r="E25" s="145" t="s">
        <v>3930</v>
      </c>
      <c r="F25" s="143" t="s">
        <v>3802</v>
      </c>
      <c r="G25" s="143" t="s">
        <v>1012</v>
      </c>
      <c r="H25" s="145" t="s">
        <v>3930</v>
      </c>
      <c r="I25" s="143" t="s">
        <v>204</v>
      </c>
      <c r="J25" s="145" t="s">
        <v>3930</v>
      </c>
      <c r="K25" s="143" t="s">
        <v>448</v>
      </c>
      <c r="L25" s="143" t="s">
        <v>339</v>
      </c>
      <c r="M25" s="143" t="s">
        <v>338</v>
      </c>
      <c r="N25" s="145" t="s">
        <v>3930</v>
      </c>
      <c r="O25" s="143" t="s">
        <v>3742</v>
      </c>
      <c r="P25" s="145" t="s">
        <v>3930</v>
      </c>
      <c r="Q25" s="143" t="s">
        <v>410</v>
      </c>
      <c r="R25" s="143" t="s">
        <v>410</v>
      </c>
      <c r="S25" s="143" t="s">
        <v>1210</v>
      </c>
      <c r="T25" s="144">
        <v>6.36</v>
      </c>
      <c r="U25" s="168" t="s">
        <v>823</v>
      </c>
      <c r="V25" s="146">
        <v>3.2063000000000001E-2</v>
      </c>
      <c r="W25" s="145" t="s">
        <v>3930</v>
      </c>
      <c r="X25" s="145" t="s">
        <v>3930</v>
      </c>
      <c r="Y25" s="166">
        <v>0</v>
      </c>
      <c r="Z25" s="146">
        <v>6.6500000000000004E-2</v>
      </c>
      <c r="AA25" s="143" t="s">
        <v>3758</v>
      </c>
      <c r="AB25" s="143" t="s">
        <v>412</v>
      </c>
      <c r="AC25" s="145" t="s">
        <v>3930</v>
      </c>
      <c r="AD25" s="145" t="s">
        <v>3930</v>
      </c>
      <c r="AE25" s="145" t="s">
        <v>3930</v>
      </c>
      <c r="AF25" s="145" t="s">
        <v>3930</v>
      </c>
      <c r="AG25" s="145" t="s">
        <v>3930</v>
      </c>
      <c r="AH25" s="145" t="s">
        <v>3930</v>
      </c>
      <c r="AI25" s="145" t="s">
        <v>3930</v>
      </c>
      <c r="AJ25" s="143" t="s">
        <v>339</v>
      </c>
      <c r="AK25" s="143" t="s">
        <v>886</v>
      </c>
      <c r="AL25" s="145" t="s">
        <v>3930</v>
      </c>
      <c r="AM25" s="143" t="s">
        <v>889</v>
      </c>
      <c r="AN25" s="160">
        <v>45565</v>
      </c>
      <c r="AO25" s="160">
        <v>45565</v>
      </c>
      <c r="AP25" s="145" t="s">
        <v>3930</v>
      </c>
      <c r="AQ25" s="144">
        <v>191581.85</v>
      </c>
      <c r="AR25" s="143" t="s">
        <v>3803</v>
      </c>
      <c r="AS25" s="145" t="s">
        <v>3930</v>
      </c>
      <c r="AT25" s="144">
        <v>225.7792</v>
      </c>
      <c r="AU25" s="144">
        <v>225.77921019999999</v>
      </c>
      <c r="AV25" s="145" t="s">
        <v>3930</v>
      </c>
      <c r="AW25" s="145" t="s">
        <v>3930</v>
      </c>
      <c r="AX25" s="145" t="s">
        <v>3930</v>
      </c>
      <c r="AY25" s="145" t="s">
        <v>3930</v>
      </c>
      <c r="AZ25" s="146">
        <v>1.2236825311493938E-2</v>
      </c>
      <c r="BA25" s="147">
        <v>3.2753519750522778E-4</v>
      </c>
      <c r="BB25" s="177"/>
    </row>
    <row r="26" spans="1:54" ht="15" x14ac:dyDescent="0.2">
      <c r="A26" s="142" t="s">
        <v>1205</v>
      </c>
      <c r="B26" s="143" t="s">
        <v>1205</v>
      </c>
      <c r="C26" s="145" t="s">
        <v>3930</v>
      </c>
      <c r="D26" s="145" t="s">
        <v>3930</v>
      </c>
      <c r="E26" s="145" t="s">
        <v>3930</v>
      </c>
      <c r="F26" s="143" t="s">
        <v>3804</v>
      </c>
      <c r="G26" s="143" t="s">
        <v>1012</v>
      </c>
      <c r="H26" s="145" t="s">
        <v>3930</v>
      </c>
      <c r="I26" s="143" t="s">
        <v>204</v>
      </c>
      <c r="J26" s="145" t="s">
        <v>3930</v>
      </c>
      <c r="K26" s="143" t="s">
        <v>440</v>
      </c>
      <c r="L26" s="143" t="s">
        <v>339</v>
      </c>
      <c r="M26" s="143" t="s">
        <v>338</v>
      </c>
      <c r="N26" s="145" t="s">
        <v>3930</v>
      </c>
      <c r="O26" s="143" t="s">
        <v>3805</v>
      </c>
      <c r="P26" s="143" t="s">
        <v>1425</v>
      </c>
      <c r="Q26" s="143" t="s">
        <v>415</v>
      </c>
      <c r="R26" s="143" t="s">
        <v>408</v>
      </c>
      <c r="S26" s="143" t="s">
        <v>1211</v>
      </c>
      <c r="T26" s="144">
        <v>1.1200000000000001</v>
      </c>
      <c r="U26" s="170" t="s">
        <v>823</v>
      </c>
      <c r="V26" s="146">
        <v>0</v>
      </c>
      <c r="W26" s="145" t="s">
        <v>3930</v>
      </c>
      <c r="X26" s="145" t="s">
        <v>3930</v>
      </c>
      <c r="Y26" s="166">
        <v>0</v>
      </c>
      <c r="Z26" s="146">
        <v>7.7799999999999994E-2</v>
      </c>
      <c r="AA26" s="143" t="s">
        <v>1526</v>
      </c>
      <c r="AB26" s="143" t="s">
        <v>412</v>
      </c>
      <c r="AC26" s="145" t="s">
        <v>3930</v>
      </c>
      <c r="AD26" s="145" t="s">
        <v>3930</v>
      </c>
      <c r="AE26" s="171">
        <v>0.35</v>
      </c>
      <c r="AF26" s="143" t="s">
        <v>3806</v>
      </c>
      <c r="AG26" s="145" t="s">
        <v>3930</v>
      </c>
      <c r="AH26" s="145" t="s">
        <v>3930</v>
      </c>
      <c r="AI26" s="145" t="s">
        <v>3930</v>
      </c>
      <c r="AJ26" s="143" t="s">
        <v>338</v>
      </c>
      <c r="AK26" s="143" t="s">
        <v>886</v>
      </c>
      <c r="AL26" s="145" t="s">
        <v>3930</v>
      </c>
      <c r="AM26" s="143" t="s">
        <v>889</v>
      </c>
      <c r="AN26" s="163">
        <v>45565</v>
      </c>
      <c r="AO26" s="163">
        <v>45565</v>
      </c>
      <c r="AP26" s="145" t="s">
        <v>3930</v>
      </c>
      <c r="AQ26" s="144">
        <v>60070.01</v>
      </c>
      <c r="AR26" s="143" t="s">
        <v>3807</v>
      </c>
      <c r="AS26" s="143" t="s">
        <v>1212</v>
      </c>
      <c r="AT26" s="144">
        <v>224.59800000000001</v>
      </c>
      <c r="AU26" s="144">
        <v>60.538556100000001</v>
      </c>
      <c r="AV26" s="145" t="s">
        <v>3930</v>
      </c>
      <c r="AW26" s="145" t="s">
        <v>3930</v>
      </c>
      <c r="AX26" s="145" t="s">
        <v>3930</v>
      </c>
      <c r="AY26" s="145" t="s">
        <v>3930</v>
      </c>
      <c r="AZ26" s="146">
        <v>1.2172808184419534E-2</v>
      </c>
      <c r="BA26" s="147">
        <v>3.2582169242312633E-4</v>
      </c>
      <c r="BB26" s="177"/>
    </row>
    <row r="27" spans="1:54" ht="15" x14ac:dyDescent="0.2">
      <c r="A27" s="142" t="s">
        <v>1205</v>
      </c>
      <c r="B27" s="143" t="s">
        <v>1205</v>
      </c>
      <c r="C27" s="145" t="s">
        <v>3930</v>
      </c>
      <c r="D27" s="145" t="s">
        <v>3930</v>
      </c>
      <c r="E27" s="145" t="s">
        <v>3930</v>
      </c>
      <c r="F27" s="143" t="s">
        <v>3808</v>
      </c>
      <c r="G27" s="143" t="s">
        <v>1012</v>
      </c>
      <c r="H27" s="145" t="s">
        <v>3930</v>
      </c>
      <c r="I27" s="143" t="s">
        <v>204</v>
      </c>
      <c r="J27" s="145" t="s">
        <v>3930</v>
      </c>
      <c r="K27" s="143" t="s">
        <v>454</v>
      </c>
      <c r="L27" s="143" t="s">
        <v>339</v>
      </c>
      <c r="M27" s="143" t="s">
        <v>338</v>
      </c>
      <c r="N27" s="145" t="s">
        <v>3930</v>
      </c>
      <c r="O27" s="143" t="s">
        <v>3809</v>
      </c>
      <c r="P27" s="143" t="s">
        <v>1375</v>
      </c>
      <c r="Q27" s="143" t="s">
        <v>413</v>
      </c>
      <c r="R27" s="143" t="s">
        <v>408</v>
      </c>
      <c r="S27" s="143" t="s">
        <v>1211</v>
      </c>
      <c r="T27" s="144">
        <v>2.38</v>
      </c>
      <c r="U27" s="170" t="s">
        <v>823</v>
      </c>
      <c r="V27" s="146">
        <v>9.5299999999999996E-2</v>
      </c>
      <c r="W27" s="145" t="s">
        <v>3930</v>
      </c>
      <c r="X27" s="145" t="s">
        <v>3930</v>
      </c>
      <c r="Y27" s="166">
        <v>0</v>
      </c>
      <c r="Z27" s="146">
        <v>8.09E-2</v>
      </c>
      <c r="AA27" s="143" t="s">
        <v>1539</v>
      </c>
      <c r="AB27" s="143" t="s">
        <v>412</v>
      </c>
      <c r="AC27" s="145" t="s">
        <v>3930</v>
      </c>
      <c r="AD27" s="145" t="s">
        <v>3930</v>
      </c>
      <c r="AE27" s="145" t="s">
        <v>3930</v>
      </c>
      <c r="AF27" s="145" t="s">
        <v>3930</v>
      </c>
      <c r="AG27" s="145" t="s">
        <v>3930</v>
      </c>
      <c r="AH27" s="145" t="s">
        <v>3930</v>
      </c>
      <c r="AI27" s="145" t="s">
        <v>3930</v>
      </c>
      <c r="AJ27" s="145" t="s">
        <v>3930</v>
      </c>
      <c r="AK27" s="143" t="s">
        <v>885</v>
      </c>
      <c r="AL27" s="145" t="s">
        <v>3930</v>
      </c>
      <c r="AM27" s="143" t="s">
        <v>889</v>
      </c>
      <c r="AN27" s="163">
        <v>44861</v>
      </c>
      <c r="AO27" s="163">
        <v>44861</v>
      </c>
      <c r="AP27" s="145" t="s">
        <v>3930</v>
      </c>
      <c r="AQ27" s="144">
        <v>55751</v>
      </c>
      <c r="AR27" s="143" t="s">
        <v>3061</v>
      </c>
      <c r="AS27" s="143" t="s">
        <v>1212</v>
      </c>
      <c r="AT27" s="144">
        <v>206.83620000000002</v>
      </c>
      <c r="AU27" s="144">
        <v>55.750999999999998</v>
      </c>
      <c r="AV27" s="145" t="s">
        <v>3930</v>
      </c>
      <c r="AW27" s="145" t="s">
        <v>3930</v>
      </c>
      <c r="AX27" s="145" t="s">
        <v>3930</v>
      </c>
      <c r="AY27" s="145" t="s">
        <v>3930</v>
      </c>
      <c r="AZ27" s="146">
        <v>1.121014892088245E-2</v>
      </c>
      <c r="BA27" s="147">
        <v>3.0005481384256074E-4</v>
      </c>
      <c r="BB27" s="177"/>
    </row>
    <row r="28" spans="1:54" ht="15" x14ac:dyDescent="0.2">
      <c r="A28" s="142" t="s">
        <v>1205</v>
      </c>
      <c r="B28" s="143" t="s">
        <v>1205</v>
      </c>
      <c r="C28" s="145" t="s">
        <v>3930</v>
      </c>
      <c r="D28" s="145" t="s">
        <v>3930</v>
      </c>
      <c r="E28" s="145" t="s">
        <v>3930</v>
      </c>
      <c r="F28" s="143" t="s">
        <v>3810</v>
      </c>
      <c r="G28" s="143" t="s">
        <v>1012</v>
      </c>
      <c r="H28" s="143" t="s">
        <v>801</v>
      </c>
      <c r="I28" s="143" t="s">
        <v>204</v>
      </c>
      <c r="J28" s="145" t="s">
        <v>3930</v>
      </c>
      <c r="K28" s="143" t="s">
        <v>443</v>
      </c>
      <c r="L28" s="143" t="s">
        <v>339</v>
      </c>
      <c r="M28" s="143" t="s">
        <v>338</v>
      </c>
      <c r="N28" s="145" t="s">
        <v>3930</v>
      </c>
      <c r="O28" s="143" t="s">
        <v>3754</v>
      </c>
      <c r="P28" s="145" t="s">
        <v>3930</v>
      </c>
      <c r="Q28" s="143" t="s">
        <v>410</v>
      </c>
      <c r="R28" s="143" t="s">
        <v>410</v>
      </c>
      <c r="S28" s="143" t="s">
        <v>1210</v>
      </c>
      <c r="T28" s="144">
        <v>2.19</v>
      </c>
      <c r="U28" s="170" t="s">
        <v>824</v>
      </c>
      <c r="V28" s="146">
        <v>4.7500000000000001E-2</v>
      </c>
      <c r="W28" s="145" t="s">
        <v>3930</v>
      </c>
      <c r="X28" s="145" t="s">
        <v>3930</v>
      </c>
      <c r="Y28" s="166">
        <v>4.7500000000000001E-2</v>
      </c>
      <c r="Z28" s="146">
        <v>3.7100000000000001E-2</v>
      </c>
      <c r="AA28" s="143" t="s">
        <v>3763</v>
      </c>
      <c r="AB28" s="143" t="s">
        <v>412</v>
      </c>
      <c r="AC28" s="145" t="s">
        <v>3930</v>
      </c>
      <c r="AD28" s="145" t="s">
        <v>3930</v>
      </c>
      <c r="AE28" s="171">
        <v>0.17</v>
      </c>
      <c r="AF28" s="143" t="s">
        <v>3764</v>
      </c>
      <c r="AG28" s="145" t="s">
        <v>3930</v>
      </c>
      <c r="AH28" s="145" t="s">
        <v>3930</v>
      </c>
      <c r="AI28" s="145" t="s">
        <v>3930</v>
      </c>
      <c r="AJ28" s="143" t="s">
        <v>339</v>
      </c>
      <c r="AK28" s="143" t="s">
        <v>886</v>
      </c>
      <c r="AL28" s="145" t="s">
        <v>3930</v>
      </c>
      <c r="AM28" s="143" t="s">
        <v>889</v>
      </c>
      <c r="AN28" s="163">
        <v>45565</v>
      </c>
      <c r="AO28" s="163">
        <v>45565</v>
      </c>
      <c r="AP28" s="145" t="s">
        <v>3930</v>
      </c>
      <c r="AQ28" s="144">
        <v>183097.33</v>
      </c>
      <c r="AR28" s="143" t="s">
        <v>3811</v>
      </c>
      <c r="AS28" s="145" t="s">
        <v>3930</v>
      </c>
      <c r="AT28" s="144">
        <v>203.03659999999999</v>
      </c>
      <c r="AU28" s="144">
        <v>203.03662919999999</v>
      </c>
      <c r="AV28" s="145" t="s">
        <v>3930</v>
      </c>
      <c r="AW28" s="145" t="s">
        <v>3930</v>
      </c>
      <c r="AX28" s="145" t="s">
        <v>3930</v>
      </c>
      <c r="AY28" s="145" t="s">
        <v>3930</v>
      </c>
      <c r="AZ28" s="146">
        <v>1.100421850768183E-2</v>
      </c>
      <c r="BA28" s="147">
        <v>2.9454280751387322E-4</v>
      </c>
      <c r="BB28" s="177"/>
    </row>
    <row r="29" spans="1:54" ht="15" x14ac:dyDescent="0.2">
      <c r="A29" s="142" t="s">
        <v>1205</v>
      </c>
      <c r="B29" s="143" t="s">
        <v>1205</v>
      </c>
      <c r="C29" s="145" t="s">
        <v>3930</v>
      </c>
      <c r="D29" s="145" t="s">
        <v>3930</v>
      </c>
      <c r="E29" s="145" t="s">
        <v>3930</v>
      </c>
      <c r="F29" s="143" t="s">
        <v>3812</v>
      </c>
      <c r="G29" s="143" t="s">
        <v>1012</v>
      </c>
      <c r="H29" s="143" t="s">
        <v>812</v>
      </c>
      <c r="I29" s="143" t="s">
        <v>204</v>
      </c>
      <c r="J29" s="145" t="s">
        <v>3930</v>
      </c>
      <c r="K29" s="143" t="s">
        <v>454</v>
      </c>
      <c r="L29" s="143" t="s">
        <v>339</v>
      </c>
      <c r="M29" s="143" t="s">
        <v>338</v>
      </c>
      <c r="N29" s="145" t="s">
        <v>3930</v>
      </c>
      <c r="O29" s="143" t="s">
        <v>3813</v>
      </c>
      <c r="P29" s="143" t="s">
        <v>1375</v>
      </c>
      <c r="Q29" s="143" t="s">
        <v>413</v>
      </c>
      <c r="R29" s="143" t="s">
        <v>408</v>
      </c>
      <c r="S29" s="143" t="s">
        <v>1211</v>
      </c>
      <c r="T29" s="144">
        <v>2.56</v>
      </c>
      <c r="U29" s="170" t="s">
        <v>823</v>
      </c>
      <c r="V29" s="146">
        <v>0.107045</v>
      </c>
      <c r="W29" s="145" t="s">
        <v>3930</v>
      </c>
      <c r="X29" s="145" t="s">
        <v>3930</v>
      </c>
      <c r="Y29" s="166">
        <v>5.3644999999999998E-2</v>
      </c>
      <c r="Z29" s="146">
        <v>9.7799999999999998E-2</v>
      </c>
      <c r="AA29" s="143" t="s">
        <v>3755</v>
      </c>
      <c r="AB29" s="143" t="s">
        <v>412</v>
      </c>
      <c r="AC29" s="145" t="s">
        <v>3930</v>
      </c>
      <c r="AD29" s="145" t="s">
        <v>3930</v>
      </c>
      <c r="AE29" s="171">
        <v>0.76</v>
      </c>
      <c r="AF29" s="143" t="s">
        <v>3754</v>
      </c>
      <c r="AG29" s="145" t="s">
        <v>3930</v>
      </c>
      <c r="AH29" s="145" t="s">
        <v>3930</v>
      </c>
      <c r="AI29" s="145" t="s">
        <v>3930</v>
      </c>
      <c r="AJ29" s="143" t="s">
        <v>339</v>
      </c>
      <c r="AK29" s="143" t="s">
        <v>886</v>
      </c>
      <c r="AL29" s="145" t="s">
        <v>3930</v>
      </c>
      <c r="AM29" s="143" t="s">
        <v>889</v>
      </c>
      <c r="AN29" s="163">
        <v>45565</v>
      </c>
      <c r="AO29" s="163">
        <v>45565</v>
      </c>
      <c r="AP29" s="145" t="s">
        <v>3930</v>
      </c>
      <c r="AQ29" s="144">
        <v>40900.22</v>
      </c>
      <c r="AR29" s="143" t="s">
        <v>1331</v>
      </c>
      <c r="AS29" s="143" t="s">
        <v>1212</v>
      </c>
      <c r="AT29" s="144">
        <v>150.63210000000001</v>
      </c>
      <c r="AU29" s="144">
        <v>40.601648400000002</v>
      </c>
      <c r="AV29" s="145" t="s">
        <v>3930</v>
      </c>
      <c r="AW29" s="145" t="s">
        <v>3930</v>
      </c>
      <c r="AX29" s="145" t="s">
        <v>3930</v>
      </c>
      <c r="AY29" s="145" t="s">
        <v>3930</v>
      </c>
      <c r="AZ29" s="146">
        <v>8.163988537067457E-3</v>
      </c>
      <c r="BA29" s="147">
        <v>2.185202068225283E-4</v>
      </c>
      <c r="BB29" s="177"/>
    </row>
    <row r="30" spans="1:54" ht="15" x14ac:dyDescent="0.2">
      <c r="A30" s="142" t="s">
        <v>1205</v>
      </c>
      <c r="B30" s="143" t="s">
        <v>1205</v>
      </c>
      <c r="C30" s="145" t="s">
        <v>3930</v>
      </c>
      <c r="D30" s="145" t="s">
        <v>3930</v>
      </c>
      <c r="E30" s="145" t="s">
        <v>3930</v>
      </c>
      <c r="F30" s="143" t="s">
        <v>3814</v>
      </c>
      <c r="G30" s="143" t="s">
        <v>1012</v>
      </c>
      <c r="H30" s="145" t="s">
        <v>3930</v>
      </c>
      <c r="I30" s="143" t="s">
        <v>204</v>
      </c>
      <c r="J30" s="145" t="s">
        <v>3930</v>
      </c>
      <c r="K30" s="143" t="s">
        <v>440</v>
      </c>
      <c r="L30" s="143" t="s">
        <v>339</v>
      </c>
      <c r="M30" s="143" t="s">
        <v>338</v>
      </c>
      <c r="N30" s="145" t="s">
        <v>3930</v>
      </c>
      <c r="O30" s="143" t="s">
        <v>3815</v>
      </c>
      <c r="P30" s="143" t="s">
        <v>1624</v>
      </c>
      <c r="Q30" s="143" t="s">
        <v>415</v>
      </c>
      <c r="R30" s="143" t="s">
        <v>408</v>
      </c>
      <c r="S30" s="143" t="s">
        <v>1210</v>
      </c>
      <c r="T30" s="144">
        <v>7.93</v>
      </c>
      <c r="U30" s="170" t="s">
        <v>824</v>
      </c>
      <c r="V30" s="146">
        <v>0</v>
      </c>
      <c r="W30" s="145" t="s">
        <v>3930</v>
      </c>
      <c r="X30" s="145" t="s">
        <v>3930</v>
      </c>
      <c r="Y30" s="166">
        <v>0</v>
      </c>
      <c r="Z30" s="146">
        <v>3.7100000000000001E-2</v>
      </c>
      <c r="AA30" s="143" t="s">
        <v>3751</v>
      </c>
      <c r="AB30" s="143" t="s">
        <v>412</v>
      </c>
      <c r="AC30" s="145" t="s">
        <v>3930</v>
      </c>
      <c r="AD30" s="145" t="s">
        <v>3930</v>
      </c>
      <c r="AE30" s="171">
        <v>0.75</v>
      </c>
      <c r="AF30" s="143" t="s">
        <v>3739</v>
      </c>
      <c r="AG30" s="145" t="s">
        <v>3930</v>
      </c>
      <c r="AH30" s="145" t="s">
        <v>3930</v>
      </c>
      <c r="AI30" s="145" t="s">
        <v>3930</v>
      </c>
      <c r="AJ30" s="143" t="s">
        <v>338</v>
      </c>
      <c r="AK30" s="143" t="s">
        <v>886</v>
      </c>
      <c r="AL30" s="145" t="s">
        <v>3930</v>
      </c>
      <c r="AM30" s="143" t="s">
        <v>889</v>
      </c>
      <c r="AN30" s="163">
        <v>45565</v>
      </c>
      <c r="AO30" s="163">
        <v>45565</v>
      </c>
      <c r="AP30" s="145" t="s">
        <v>3930</v>
      </c>
      <c r="AQ30" s="144">
        <v>112430.03</v>
      </c>
      <c r="AR30" s="143" t="s">
        <v>3816</v>
      </c>
      <c r="AS30" s="145" t="s">
        <v>3930</v>
      </c>
      <c r="AT30" s="144">
        <v>114.26260000000001</v>
      </c>
      <c r="AU30" s="144">
        <v>114.26263950000001</v>
      </c>
      <c r="AV30" s="145" t="s">
        <v>3930</v>
      </c>
      <c r="AW30" s="145" t="s">
        <v>3930</v>
      </c>
      <c r="AX30" s="145" t="s">
        <v>3930</v>
      </c>
      <c r="AY30" s="145" t="s">
        <v>3930</v>
      </c>
      <c r="AZ30" s="146">
        <v>6.1928286384902997E-3</v>
      </c>
      <c r="BA30" s="147">
        <v>1.657594432862192E-4</v>
      </c>
      <c r="BB30" s="177"/>
    </row>
    <row r="31" spans="1:54" ht="15" x14ac:dyDescent="0.2">
      <c r="A31" s="142" t="s">
        <v>1205</v>
      </c>
      <c r="B31" s="143" t="s">
        <v>1205</v>
      </c>
      <c r="C31" s="145" t="s">
        <v>3930</v>
      </c>
      <c r="D31" s="145" t="s">
        <v>3930</v>
      </c>
      <c r="E31" s="145" t="s">
        <v>3930</v>
      </c>
      <c r="F31" s="143" t="s">
        <v>3817</v>
      </c>
      <c r="G31" s="143" t="s">
        <v>1012</v>
      </c>
      <c r="H31" s="145" t="s">
        <v>3930</v>
      </c>
      <c r="I31" s="143" t="s">
        <v>204</v>
      </c>
      <c r="J31" s="145" t="s">
        <v>3930</v>
      </c>
      <c r="K31" s="143" t="s">
        <v>440</v>
      </c>
      <c r="L31" s="143" t="s">
        <v>339</v>
      </c>
      <c r="M31" s="143" t="s">
        <v>338</v>
      </c>
      <c r="N31" s="145" t="s">
        <v>3930</v>
      </c>
      <c r="O31" s="143" t="s">
        <v>3818</v>
      </c>
      <c r="P31" s="143" t="s">
        <v>1624</v>
      </c>
      <c r="Q31" s="143" t="s">
        <v>415</v>
      </c>
      <c r="R31" s="143" t="s">
        <v>408</v>
      </c>
      <c r="S31" s="143" t="s">
        <v>1210</v>
      </c>
      <c r="T31" s="144">
        <v>8.15</v>
      </c>
      <c r="U31" s="170" t="s">
        <v>824</v>
      </c>
      <c r="V31" s="146">
        <v>0</v>
      </c>
      <c r="W31" s="145" t="s">
        <v>3930</v>
      </c>
      <c r="X31" s="145" t="s">
        <v>3930</v>
      </c>
      <c r="Y31" s="166">
        <v>0</v>
      </c>
      <c r="Z31" s="146">
        <v>3.2800000000000003E-2</v>
      </c>
      <c r="AA31" s="143" t="s">
        <v>3751</v>
      </c>
      <c r="AB31" s="143" t="s">
        <v>412</v>
      </c>
      <c r="AC31" s="145" t="s">
        <v>3930</v>
      </c>
      <c r="AD31" s="145" t="s">
        <v>3930</v>
      </c>
      <c r="AE31" s="171">
        <v>0.75</v>
      </c>
      <c r="AF31" s="145" t="s">
        <v>3930</v>
      </c>
      <c r="AG31" s="145" t="s">
        <v>3930</v>
      </c>
      <c r="AH31" s="145" t="s">
        <v>3930</v>
      </c>
      <c r="AI31" s="145" t="s">
        <v>3930</v>
      </c>
      <c r="AJ31" s="143" t="s">
        <v>338</v>
      </c>
      <c r="AK31" s="143" t="s">
        <v>886</v>
      </c>
      <c r="AL31" s="145" t="s">
        <v>3930</v>
      </c>
      <c r="AM31" s="143" t="s">
        <v>889</v>
      </c>
      <c r="AN31" s="163">
        <v>45565</v>
      </c>
      <c r="AO31" s="163">
        <v>45565</v>
      </c>
      <c r="AP31" s="145" t="s">
        <v>3930</v>
      </c>
      <c r="AQ31" s="144">
        <v>81236.649999999994</v>
      </c>
      <c r="AR31" s="143" t="s">
        <v>3819</v>
      </c>
      <c r="AS31" s="145" t="s">
        <v>3930</v>
      </c>
      <c r="AT31" s="144">
        <v>82.975100000000012</v>
      </c>
      <c r="AU31" s="144">
        <v>82.975114300000001</v>
      </c>
      <c r="AV31" s="145" t="s">
        <v>3930</v>
      </c>
      <c r="AW31" s="145" t="s">
        <v>3930</v>
      </c>
      <c r="AX31" s="145" t="s">
        <v>3930</v>
      </c>
      <c r="AY31" s="145" t="s">
        <v>3930</v>
      </c>
      <c r="AZ31" s="146">
        <v>4.4971012964429413E-3</v>
      </c>
      <c r="BA31" s="147">
        <v>1.2037100504719289E-4</v>
      </c>
      <c r="BB31" s="177"/>
    </row>
    <row r="32" spans="1:54" ht="15" x14ac:dyDescent="0.2">
      <c r="A32" s="142" t="s">
        <v>1205</v>
      </c>
      <c r="B32" s="143" t="s">
        <v>1205</v>
      </c>
      <c r="C32" s="145" t="s">
        <v>3930</v>
      </c>
      <c r="D32" s="145" t="s">
        <v>3930</v>
      </c>
      <c r="E32" s="145" t="s">
        <v>3930</v>
      </c>
      <c r="F32" s="143" t="s">
        <v>3820</v>
      </c>
      <c r="G32" s="143" t="s">
        <v>1012</v>
      </c>
      <c r="H32" s="143" t="s">
        <v>784</v>
      </c>
      <c r="I32" s="143" t="s">
        <v>204</v>
      </c>
      <c r="J32" s="145" t="s">
        <v>3930</v>
      </c>
      <c r="K32" s="143" t="s">
        <v>443</v>
      </c>
      <c r="L32" s="143" t="s">
        <v>339</v>
      </c>
      <c r="M32" s="143" t="s">
        <v>338</v>
      </c>
      <c r="N32" s="145" t="s">
        <v>3930</v>
      </c>
      <c r="O32" s="143" t="s">
        <v>3793</v>
      </c>
      <c r="P32" s="145" t="s">
        <v>3930</v>
      </c>
      <c r="Q32" s="143" t="s">
        <v>410</v>
      </c>
      <c r="R32" s="143" t="s">
        <v>410</v>
      </c>
      <c r="S32" s="143" t="s">
        <v>1210</v>
      </c>
      <c r="T32" s="144">
        <v>2.0499999999999998</v>
      </c>
      <c r="U32" s="170" t="s">
        <v>823</v>
      </c>
      <c r="V32" s="146">
        <v>8.2500000000000004E-2</v>
      </c>
      <c r="W32" s="145" t="s">
        <v>3930</v>
      </c>
      <c r="X32" s="145" t="s">
        <v>3930</v>
      </c>
      <c r="Y32" s="166">
        <v>2.2499999999999999E-2</v>
      </c>
      <c r="Z32" s="146">
        <v>6.8199999999999997E-2</v>
      </c>
      <c r="AA32" s="143" t="s">
        <v>3794</v>
      </c>
      <c r="AB32" s="143" t="s">
        <v>412</v>
      </c>
      <c r="AC32" s="145" t="s">
        <v>3930</v>
      </c>
      <c r="AD32" s="145" t="s">
        <v>3930</v>
      </c>
      <c r="AE32" s="171">
        <v>0.62</v>
      </c>
      <c r="AF32" s="143" t="s">
        <v>3795</v>
      </c>
      <c r="AG32" s="145" t="s">
        <v>3930</v>
      </c>
      <c r="AH32" s="145" t="s">
        <v>3930</v>
      </c>
      <c r="AI32" s="145" t="s">
        <v>3930</v>
      </c>
      <c r="AJ32" s="143" t="s">
        <v>338</v>
      </c>
      <c r="AK32" s="143" t="s">
        <v>886</v>
      </c>
      <c r="AL32" s="145" t="s">
        <v>3930</v>
      </c>
      <c r="AM32" s="143" t="s">
        <v>889</v>
      </c>
      <c r="AN32" s="163">
        <v>45565</v>
      </c>
      <c r="AO32" s="163">
        <v>45565</v>
      </c>
      <c r="AP32" s="145" t="s">
        <v>3930</v>
      </c>
      <c r="AQ32" s="144">
        <v>76516</v>
      </c>
      <c r="AR32" s="143" t="s">
        <v>3821</v>
      </c>
      <c r="AS32" s="145" t="s">
        <v>3930</v>
      </c>
      <c r="AT32" s="144">
        <v>80.364800000000002</v>
      </c>
      <c r="AU32" s="144">
        <v>80.3647548</v>
      </c>
      <c r="AV32" s="145" t="s">
        <v>3930</v>
      </c>
      <c r="AW32" s="145" t="s">
        <v>3930</v>
      </c>
      <c r="AX32" s="145" t="s">
        <v>3930</v>
      </c>
      <c r="AY32" s="145" t="s">
        <v>3930</v>
      </c>
      <c r="AZ32" s="146">
        <v>4.3556245267605837E-3</v>
      </c>
      <c r="BA32" s="147">
        <v>1.1658418775424787E-4</v>
      </c>
      <c r="BB32" s="177"/>
    </row>
    <row r="33" spans="1:54" ht="15" x14ac:dyDescent="0.2">
      <c r="A33" s="142" t="s">
        <v>1205</v>
      </c>
      <c r="B33" s="143" t="s">
        <v>1205</v>
      </c>
      <c r="C33" s="145" t="s">
        <v>3930</v>
      </c>
      <c r="D33" s="145" t="s">
        <v>3930</v>
      </c>
      <c r="E33" s="145" t="s">
        <v>3930</v>
      </c>
      <c r="F33" s="143" t="s">
        <v>3822</v>
      </c>
      <c r="G33" s="143" t="s">
        <v>1012</v>
      </c>
      <c r="H33" s="145" t="s">
        <v>3930</v>
      </c>
      <c r="I33" s="143" t="s">
        <v>204</v>
      </c>
      <c r="J33" s="145" t="s">
        <v>3930</v>
      </c>
      <c r="K33" s="143" t="s">
        <v>485</v>
      </c>
      <c r="L33" s="143" t="s">
        <v>339</v>
      </c>
      <c r="M33" s="143" t="s">
        <v>338</v>
      </c>
      <c r="N33" s="145" t="s">
        <v>3930</v>
      </c>
      <c r="O33" s="143" t="s">
        <v>3197</v>
      </c>
      <c r="P33" s="143" t="s">
        <v>1425</v>
      </c>
      <c r="Q33" s="143" t="s">
        <v>415</v>
      </c>
      <c r="R33" s="143" t="s">
        <v>408</v>
      </c>
      <c r="S33" s="143" t="s">
        <v>1210</v>
      </c>
      <c r="T33" s="144">
        <v>10.06</v>
      </c>
      <c r="U33" s="170" t="s">
        <v>824</v>
      </c>
      <c r="V33" s="146">
        <v>0.03</v>
      </c>
      <c r="W33" s="145" t="s">
        <v>3930</v>
      </c>
      <c r="X33" s="145" t="s">
        <v>3930</v>
      </c>
      <c r="Y33" s="166">
        <v>0</v>
      </c>
      <c r="Z33" s="146">
        <v>3.85E-2</v>
      </c>
      <c r="AA33" s="143" t="s">
        <v>3730</v>
      </c>
      <c r="AB33" s="143" t="s">
        <v>412</v>
      </c>
      <c r="AC33" s="145" t="s">
        <v>3930</v>
      </c>
      <c r="AD33" s="145" t="s">
        <v>3930</v>
      </c>
      <c r="AE33" s="171">
        <v>0.75</v>
      </c>
      <c r="AF33" s="143" t="s">
        <v>3731</v>
      </c>
      <c r="AG33" s="145" t="s">
        <v>3930</v>
      </c>
      <c r="AH33" s="145" t="s">
        <v>3930</v>
      </c>
      <c r="AI33" s="145" t="s">
        <v>3930</v>
      </c>
      <c r="AJ33" s="143" t="s">
        <v>338</v>
      </c>
      <c r="AK33" s="143" t="s">
        <v>886</v>
      </c>
      <c r="AL33" s="145" t="s">
        <v>3930</v>
      </c>
      <c r="AM33" s="143" t="s">
        <v>889</v>
      </c>
      <c r="AN33" s="163">
        <v>45565</v>
      </c>
      <c r="AO33" s="163">
        <v>45565</v>
      </c>
      <c r="AP33" s="145" t="s">
        <v>3930</v>
      </c>
      <c r="AQ33" s="144">
        <v>73354.27</v>
      </c>
      <c r="AR33" s="143" t="s">
        <v>3732</v>
      </c>
      <c r="AS33" s="145" t="s">
        <v>3930</v>
      </c>
      <c r="AT33" s="144">
        <v>76.427800000000005</v>
      </c>
      <c r="AU33" s="144">
        <v>76.427813900000004</v>
      </c>
      <c r="AV33" s="145" t="s">
        <v>3930</v>
      </c>
      <c r="AW33" s="145" t="s">
        <v>3930</v>
      </c>
      <c r="AX33" s="145" t="s">
        <v>3930</v>
      </c>
      <c r="AY33" s="145" t="s">
        <v>3930</v>
      </c>
      <c r="AZ33" s="146">
        <v>4.1422494429878675E-3</v>
      </c>
      <c r="BA33" s="147">
        <v>1.1087291473799046E-4</v>
      </c>
      <c r="BB33" s="177"/>
    </row>
    <row r="34" spans="1:54" ht="15" x14ac:dyDescent="0.2">
      <c r="A34" s="142" t="s">
        <v>1205</v>
      </c>
      <c r="B34" s="143" t="s">
        <v>1205</v>
      </c>
      <c r="C34" s="145" t="s">
        <v>3930</v>
      </c>
      <c r="D34" s="145" t="s">
        <v>3930</v>
      </c>
      <c r="E34" s="145" t="s">
        <v>3930</v>
      </c>
      <c r="F34" s="143" t="s">
        <v>3823</v>
      </c>
      <c r="G34" s="143" t="s">
        <v>1012</v>
      </c>
      <c r="H34" s="143" t="s">
        <v>817</v>
      </c>
      <c r="I34" s="143" t="s">
        <v>204</v>
      </c>
      <c r="J34" s="145" t="s">
        <v>3930</v>
      </c>
      <c r="K34" s="143" t="s">
        <v>446</v>
      </c>
      <c r="L34" s="143" t="s">
        <v>339</v>
      </c>
      <c r="M34" s="143" t="s">
        <v>338</v>
      </c>
      <c r="N34" s="145" t="s">
        <v>3930</v>
      </c>
      <c r="O34" s="143" t="s">
        <v>3824</v>
      </c>
      <c r="P34" s="145" t="s">
        <v>3930</v>
      </c>
      <c r="Q34" s="143" t="s">
        <v>410</v>
      </c>
      <c r="R34" s="143" t="s">
        <v>410</v>
      </c>
      <c r="S34" s="143" t="s">
        <v>1210</v>
      </c>
      <c r="T34" s="144">
        <v>1.55</v>
      </c>
      <c r="U34" s="170" t="s">
        <v>824</v>
      </c>
      <c r="V34" s="146">
        <v>0.08</v>
      </c>
      <c r="W34" s="145" t="s">
        <v>3930</v>
      </c>
      <c r="X34" s="145" t="s">
        <v>3930</v>
      </c>
      <c r="Y34" s="166">
        <v>0</v>
      </c>
      <c r="Z34" s="146">
        <v>0.2485</v>
      </c>
      <c r="AA34" s="143" t="s">
        <v>1426</v>
      </c>
      <c r="AB34" s="143" t="s">
        <v>412</v>
      </c>
      <c r="AC34" s="145" t="s">
        <v>3930</v>
      </c>
      <c r="AD34" s="145" t="s">
        <v>3930</v>
      </c>
      <c r="AE34" s="171">
        <v>0.72</v>
      </c>
      <c r="AF34" s="143" t="s">
        <v>3825</v>
      </c>
      <c r="AG34" s="145" t="s">
        <v>3930</v>
      </c>
      <c r="AH34" s="145" t="s">
        <v>3930</v>
      </c>
      <c r="AI34" s="145" t="s">
        <v>3930</v>
      </c>
      <c r="AJ34" s="143" t="s">
        <v>338</v>
      </c>
      <c r="AK34" s="143" t="s">
        <v>886</v>
      </c>
      <c r="AL34" s="145" t="s">
        <v>3930</v>
      </c>
      <c r="AM34" s="143" t="s">
        <v>889</v>
      </c>
      <c r="AN34" s="163">
        <v>45565</v>
      </c>
      <c r="AO34" s="163">
        <v>45565</v>
      </c>
      <c r="AP34" s="145" t="s">
        <v>3930</v>
      </c>
      <c r="AQ34" s="144">
        <v>87389</v>
      </c>
      <c r="AR34" s="143" t="s">
        <v>3826</v>
      </c>
      <c r="AS34" s="145" t="s">
        <v>3930</v>
      </c>
      <c r="AT34" s="144">
        <v>71.886200000000002</v>
      </c>
      <c r="AU34" s="144">
        <v>71.886191400000001</v>
      </c>
      <c r="AV34" s="145" t="s">
        <v>3930</v>
      </c>
      <c r="AW34" s="145" t="s">
        <v>3930</v>
      </c>
      <c r="AX34" s="145" t="s">
        <v>3930</v>
      </c>
      <c r="AY34" s="145" t="s">
        <v>3930</v>
      </c>
      <c r="AZ34" s="146">
        <v>3.8961017074769415E-3</v>
      </c>
      <c r="BA34" s="147">
        <v>1.0428443732544554E-4</v>
      </c>
      <c r="BB34" s="177"/>
    </row>
    <row r="35" spans="1:54" ht="15" x14ac:dyDescent="0.2">
      <c r="A35" s="142" t="s">
        <v>1205</v>
      </c>
      <c r="B35" s="143" t="s">
        <v>1205</v>
      </c>
      <c r="C35" s="145" t="s">
        <v>3930</v>
      </c>
      <c r="D35" s="145" t="s">
        <v>3930</v>
      </c>
      <c r="E35" s="145" t="s">
        <v>3930</v>
      </c>
      <c r="F35" s="143" t="s">
        <v>3827</v>
      </c>
      <c r="G35" s="143" t="s">
        <v>1012</v>
      </c>
      <c r="H35" s="143" t="s">
        <v>784</v>
      </c>
      <c r="I35" s="143" t="s">
        <v>204</v>
      </c>
      <c r="J35" s="145" t="s">
        <v>3930</v>
      </c>
      <c r="K35" s="143" t="s">
        <v>443</v>
      </c>
      <c r="L35" s="143" t="s">
        <v>339</v>
      </c>
      <c r="M35" s="143" t="s">
        <v>338</v>
      </c>
      <c r="N35" s="145" t="s">
        <v>3930</v>
      </c>
      <c r="O35" s="143" t="s">
        <v>3828</v>
      </c>
      <c r="P35" s="145" t="s">
        <v>3930</v>
      </c>
      <c r="Q35" s="143" t="s">
        <v>410</v>
      </c>
      <c r="R35" s="143" t="s">
        <v>410</v>
      </c>
      <c r="S35" s="143" t="s">
        <v>1210</v>
      </c>
      <c r="T35" s="144">
        <v>2.0499999999999998</v>
      </c>
      <c r="U35" s="170" t="s">
        <v>823</v>
      </c>
      <c r="V35" s="146">
        <v>8.2500000000000004E-2</v>
      </c>
      <c r="W35" s="145" t="s">
        <v>3930</v>
      </c>
      <c r="X35" s="145" t="s">
        <v>3930</v>
      </c>
      <c r="Y35" s="166">
        <v>2.2499999999999999E-2</v>
      </c>
      <c r="Z35" s="146">
        <v>6.8000000000000005E-2</v>
      </c>
      <c r="AA35" s="143" t="s">
        <v>3794</v>
      </c>
      <c r="AB35" s="143" t="s">
        <v>412</v>
      </c>
      <c r="AC35" s="145" t="s">
        <v>3930</v>
      </c>
      <c r="AD35" s="145" t="s">
        <v>3930</v>
      </c>
      <c r="AE35" s="171">
        <v>0.62</v>
      </c>
      <c r="AF35" s="143" t="s">
        <v>3829</v>
      </c>
      <c r="AG35" s="145" t="s">
        <v>3930</v>
      </c>
      <c r="AH35" s="145" t="s">
        <v>3930</v>
      </c>
      <c r="AI35" s="145" t="s">
        <v>3930</v>
      </c>
      <c r="AJ35" s="143" t="s">
        <v>338</v>
      </c>
      <c r="AK35" s="143" t="s">
        <v>886</v>
      </c>
      <c r="AL35" s="145" t="s">
        <v>3930</v>
      </c>
      <c r="AM35" s="143" t="s">
        <v>889</v>
      </c>
      <c r="AN35" s="163">
        <v>45565</v>
      </c>
      <c r="AO35" s="163">
        <v>45565</v>
      </c>
      <c r="AP35" s="145" t="s">
        <v>3930</v>
      </c>
      <c r="AQ35" s="144">
        <v>61324</v>
      </c>
      <c r="AR35" s="143" t="s">
        <v>3830</v>
      </c>
      <c r="AS35" s="145" t="s">
        <v>3930</v>
      </c>
      <c r="AT35" s="144">
        <v>64.433099999999996</v>
      </c>
      <c r="AU35" s="144">
        <v>64.433126799999997</v>
      </c>
      <c r="AV35" s="145" t="s">
        <v>3930</v>
      </c>
      <c r="AW35" s="145" t="s">
        <v>3930</v>
      </c>
      <c r="AX35" s="145" t="s">
        <v>3930</v>
      </c>
      <c r="AY35" s="145" t="s">
        <v>3930</v>
      </c>
      <c r="AZ35" s="146">
        <v>3.4921590705326794E-3</v>
      </c>
      <c r="BA35" s="147">
        <v>9.3472365729714894E-5</v>
      </c>
      <c r="BB35" s="177"/>
    </row>
    <row r="36" spans="1:54" ht="15" x14ac:dyDescent="0.2">
      <c r="A36" s="142" t="s">
        <v>1205</v>
      </c>
      <c r="B36" s="143" t="s">
        <v>1205</v>
      </c>
      <c r="C36" s="145" t="s">
        <v>3930</v>
      </c>
      <c r="D36" s="145" t="s">
        <v>3930</v>
      </c>
      <c r="E36" s="145" t="s">
        <v>3930</v>
      </c>
      <c r="F36" s="143" t="s">
        <v>3831</v>
      </c>
      <c r="G36" s="143" t="s">
        <v>1012</v>
      </c>
      <c r="H36" s="143" t="s">
        <v>784</v>
      </c>
      <c r="I36" s="143" t="s">
        <v>204</v>
      </c>
      <c r="J36" s="145" t="s">
        <v>3930</v>
      </c>
      <c r="K36" s="143" t="s">
        <v>443</v>
      </c>
      <c r="L36" s="143" t="s">
        <v>339</v>
      </c>
      <c r="M36" s="143" t="s">
        <v>338</v>
      </c>
      <c r="N36" s="145" t="s">
        <v>3930</v>
      </c>
      <c r="O36" s="143" t="s">
        <v>3832</v>
      </c>
      <c r="P36" s="145" t="s">
        <v>3930</v>
      </c>
      <c r="Q36" s="143" t="s">
        <v>410</v>
      </c>
      <c r="R36" s="143" t="s">
        <v>410</v>
      </c>
      <c r="S36" s="143" t="s">
        <v>1210</v>
      </c>
      <c r="T36" s="144">
        <v>2.0499999999999998</v>
      </c>
      <c r="U36" s="170" t="s">
        <v>823</v>
      </c>
      <c r="V36" s="146">
        <v>8.2500000000000004E-2</v>
      </c>
      <c r="W36" s="145" t="s">
        <v>3930</v>
      </c>
      <c r="X36" s="145" t="s">
        <v>3930</v>
      </c>
      <c r="Y36" s="166">
        <v>2.2499999999999999E-2</v>
      </c>
      <c r="Z36" s="146">
        <v>6.9199999999999998E-2</v>
      </c>
      <c r="AA36" s="143" t="s">
        <v>3794</v>
      </c>
      <c r="AB36" s="143" t="s">
        <v>412</v>
      </c>
      <c r="AC36" s="145" t="s">
        <v>3930</v>
      </c>
      <c r="AD36" s="145" t="s">
        <v>3930</v>
      </c>
      <c r="AE36" s="171">
        <v>0.62</v>
      </c>
      <c r="AF36" s="143" t="s">
        <v>3795</v>
      </c>
      <c r="AG36" s="145" t="s">
        <v>3930</v>
      </c>
      <c r="AH36" s="145" t="s">
        <v>3930</v>
      </c>
      <c r="AI36" s="145" t="s">
        <v>3930</v>
      </c>
      <c r="AJ36" s="143" t="s">
        <v>338</v>
      </c>
      <c r="AK36" s="143" t="s">
        <v>886</v>
      </c>
      <c r="AL36" s="145" t="s">
        <v>3930</v>
      </c>
      <c r="AM36" s="143" t="s">
        <v>889</v>
      </c>
      <c r="AN36" s="163">
        <v>45565</v>
      </c>
      <c r="AO36" s="163">
        <v>45565</v>
      </c>
      <c r="AP36" s="145" t="s">
        <v>3930</v>
      </c>
      <c r="AQ36" s="144">
        <v>59280</v>
      </c>
      <c r="AR36" s="143" t="s">
        <v>3833</v>
      </c>
      <c r="AS36" s="145" t="s">
        <v>3930</v>
      </c>
      <c r="AT36" s="144">
        <v>62.178800000000003</v>
      </c>
      <c r="AU36" s="144">
        <v>62.178792000000001</v>
      </c>
      <c r="AV36" s="145" t="s">
        <v>3930</v>
      </c>
      <c r="AW36" s="145" t="s">
        <v>3930</v>
      </c>
      <c r="AX36" s="145" t="s">
        <v>3930</v>
      </c>
      <c r="AY36" s="145" t="s">
        <v>3930</v>
      </c>
      <c r="AZ36" s="146">
        <v>3.3699781969538812E-3</v>
      </c>
      <c r="BA36" s="147">
        <v>9.0202029221649854E-5</v>
      </c>
      <c r="BB36" s="177"/>
    </row>
    <row r="37" spans="1:54" ht="15" x14ac:dyDescent="0.2">
      <c r="A37" s="142" t="s">
        <v>1205</v>
      </c>
      <c r="B37" s="143" t="s">
        <v>1205</v>
      </c>
      <c r="C37" s="145" t="s">
        <v>3930</v>
      </c>
      <c r="D37" s="145" t="s">
        <v>3930</v>
      </c>
      <c r="E37" s="145" t="s">
        <v>3930</v>
      </c>
      <c r="F37" s="143" t="s">
        <v>3834</v>
      </c>
      <c r="G37" s="143" t="s">
        <v>1012</v>
      </c>
      <c r="H37" s="143" t="s">
        <v>784</v>
      </c>
      <c r="I37" s="143" t="s">
        <v>204</v>
      </c>
      <c r="J37" s="145" t="s">
        <v>3930</v>
      </c>
      <c r="K37" s="143" t="s">
        <v>443</v>
      </c>
      <c r="L37" s="143" t="s">
        <v>339</v>
      </c>
      <c r="M37" s="143" t="s">
        <v>338</v>
      </c>
      <c r="N37" s="145" t="s">
        <v>3930</v>
      </c>
      <c r="O37" s="143" t="s">
        <v>3835</v>
      </c>
      <c r="P37" s="145" t="s">
        <v>3930</v>
      </c>
      <c r="Q37" s="143" t="s">
        <v>410</v>
      </c>
      <c r="R37" s="143" t="s">
        <v>410</v>
      </c>
      <c r="S37" s="143" t="s">
        <v>1210</v>
      </c>
      <c r="T37" s="144">
        <v>0.72</v>
      </c>
      <c r="U37" s="170" t="s">
        <v>823</v>
      </c>
      <c r="V37" s="146">
        <v>7.0000000000000007E-2</v>
      </c>
      <c r="W37" s="145" t="s">
        <v>3930</v>
      </c>
      <c r="X37" s="145" t="s">
        <v>3930</v>
      </c>
      <c r="Y37" s="166">
        <v>0.02</v>
      </c>
      <c r="Z37" s="146">
        <v>8.8200000000000001E-2</v>
      </c>
      <c r="AA37" s="143" t="s">
        <v>3836</v>
      </c>
      <c r="AB37" s="143" t="s">
        <v>412</v>
      </c>
      <c r="AC37" s="145" t="s">
        <v>3930</v>
      </c>
      <c r="AD37" s="145" t="s">
        <v>3930</v>
      </c>
      <c r="AE37" s="171">
        <v>0.67</v>
      </c>
      <c r="AF37" s="143" t="s">
        <v>3795</v>
      </c>
      <c r="AG37" s="145" t="s">
        <v>3930</v>
      </c>
      <c r="AH37" s="145" t="s">
        <v>3930</v>
      </c>
      <c r="AI37" s="145" t="s">
        <v>3930</v>
      </c>
      <c r="AJ37" s="143" t="s">
        <v>338</v>
      </c>
      <c r="AK37" s="143" t="s">
        <v>886</v>
      </c>
      <c r="AL37" s="145" t="s">
        <v>3930</v>
      </c>
      <c r="AM37" s="143" t="s">
        <v>889</v>
      </c>
      <c r="AN37" s="163">
        <v>45565</v>
      </c>
      <c r="AO37" s="163">
        <v>45565</v>
      </c>
      <c r="AP37" s="145" t="s">
        <v>3930</v>
      </c>
      <c r="AQ37" s="144">
        <v>58048.04</v>
      </c>
      <c r="AR37" s="143" t="s">
        <v>3837</v>
      </c>
      <c r="AS37" s="145" t="s">
        <v>3930</v>
      </c>
      <c r="AT37" s="144">
        <v>58.918800000000005</v>
      </c>
      <c r="AU37" s="144">
        <v>58.918760599999999</v>
      </c>
      <c r="AV37" s="145" t="s">
        <v>3930</v>
      </c>
      <c r="AW37" s="145" t="s">
        <v>3930</v>
      </c>
      <c r="AX37" s="145" t="s">
        <v>3930</v>
      </c>
      <c r="AY37" s="145" t="s">
        <v>3930</v>
      </c>
      <c r="AZ37" s="146">
        <v>3.1932903845019274E-3</v>
      </c>
      <c r="BA37" s="147">
        <v>8.5472740695004054E-5</v>
      </c>
      <c r="BB37" s="177"/>
    </row>
    <row r="38" spans="1:54" ht="15" x14ac:dyDescent="0.2">
      <c r="A38" s="142" t="s">
        <v>1205</v>
      </c>
      <c r="B38" s="143" t="s">
        <v>1205</v>
      </c>
      <c r="C38" s="145" t="s">
        <v>3930</v>
      </c>
      <c r="D38" s="145" t="s">
        <v>3930</v>
      </c>
      <c r="E38" s="145" t="s">
        <v>3930</v>
      </c>
      <c r="F38" s="143" t="s">
        <v>3838</v>
      </c>
      <c r="G38" s="143" t="s">
        <v>1012</v>
      </c>
      <c r="H38" s="143" t="s">
        <v>784</v>
      </c>
      <c r="I38" s="143" t="s">
        <v>204</v>
      </c>
      <c r="J38" s="145" t="s">
        <v>3930</v>
      </c>
      <c r="K38" s="143" t="s">
        <v>443</v>
      </c>
      <c r="L38" s="143" t="s">
        <v>339</v>
      </c>
      <c r="M38" s="143" t="s">
        <v>338</v>
      </c>
      <c r="N38" s="145" t="s">
        <v>3930</v>
      </c>
      <c r="O38" s="143" t="s">
        <v>3839</v>
      </c>
      <c r="P38" s="145" t="s">
        <v>3930</v>
      </c>
      <c r="Q38" s="143" t="s">
        <v>410</v>
      </c>
      <c r="R38" s="143" t="s">
        <v>410</v>
      </c>
      <c r="S38" s="143" t="s">
        <v>1210</v>
      </c>
      <c r="T38" s="144">
        <v>2.0499999999999998</v>
      </c>
      <c r="U38" s="170" t="s">
        <v>823</v>
      </c>
      <c r="V38" s="146">
        <v>8.2500000000000004E-2</v>
      </c>
      <c r="W38" s="145" t="s">
        <v>3930</v>
      </c>
      <c r="X38" s="145" t="s">
        <v>3930</v>
      </c>
      <c r="Y38" s="166">
        <v>2.2499999999999999E-2</v>
      </c>
      <c r="Z38" s="146">
        <v>7.0400000000000004E-2</v>
      </c>
      <c r="AA38" s="143" t="s">
        <v>3794</v>
      </c>
      <c r="AB38" s="143" t="s">
        <v>412</v>
      </c>
      <c r="AC38" s="145" t="s">
        <v>3930</v>
      </c>
      <c r="AD38" s="145" t="s">
        <v>3930</v>
      </c>
      <c r="AE38" s="171">
        <v>0.62</v>
      </c>
      <c r="AF38" s="143" t="s">
        <v>3795</v>
      </c>
      <c r="AG38" s="145" t="s">
        <v>3930</v>
      </c>
      <c r="AH38" s="145" t="s">
        <v>3930</v>
      </c>
      <c r="AI38" s="145" t="s">
        <v>3930</v>
      </c>
      <c r="AJ38" s="143" t="s">
        <v>338</v>
      </c>
      <c r="AK38" s="143" t="s">
        <v>886</v>
      </c>
      <c r="AL38" s="145" t="s">
        <v>3930</v>
      </c>
      <c r="AM38" s="143" t="s">
        <v>889</v>
      </c>
      <c r="AN38" s="163">
        <v>45565</v>
      </c>
      <c r="AO38" s="163">
        <v>45565</v>
      </c>
      <c r="AP38" s="145" t="s">
        <v>3930</v>
      </c>
      <c r="AQ38" s="144">
        <v>41496</v>
      </c>
      <c r="AR38" s="143" t="s">
        <v>3840</v>
      </c>
      <c r="AS38" s="145" t="s">
        <v>3930</v>
      </c>
      <c r="AT38" s="144">
        <v>43.462900000000005</v>
      </c>
      <c r="AU38" s="144">
        <v>43.462910399999998</v>
      </c>
      <c r="AV38" s="145" t="s">
        <v>3930</v>
      </c>
      <c r="AW38" s="145" t="s">
        <v>3930</v>
      </c>
      <c r="AX38" s="145" t="s">
        <v>3930</v>
      </c>
      <c r="AY38" s="145" t="s">
        <v>3930</v>
      </c>
      <c r="AZ38" s="146">
        <v>2.3556112255149649E-3</v>
      </c>
      <c r="BA38" s="147">
        <v>6.3051123829468248E-5</v>
      </c>
      <c r="BB38" s="177"/>
    </row>
    <row r="39" spans="1:54" ht="15" x14ac:dyDescent="0.2">
      <c r="A39" s="142" t="s">
        <v>1205</v>
      </c>
      <c r="B39" s="143" t="s">
        <v>1205</v>
      </c>
      <c r="C39" s="145" t="s">
        <v>3930</v>
      </c>
      <c r="D39" s="145" t="s">
        <v>3930</v>
      </c>
      <c r="E39" s="145" t="s">
        <v>3930</v>
      </c>
      <c r="F39" s="143" t="s">
        <v>3841</v>
      </c>
      <c r="G39" s="143" t="s">
        <v>1012</v>
      </c>
      <c r="H39" s="145" t="s">
        <v>3930</v>
      </c>
      <c r="I39" s="143" t="s">
        <v>204</v>
      </c>
      <c r="J39" s="145" t="s">
        <v>3930</v>
      </c>
      <c r="K39" s="143" t="s">
        <v>444</v>
      </c>
      <c r="L39" s="143" t="s">
        <v>339</v>
      </c>
      <c r="M39" s="143" t="s">
        <v>338</v>
      </c>
      <c r="N39" s="145" t="s">
        <v>3930</v>
      </c>
      <c r="O39" s="143" t="s">
        <v>3842</v>
      </c>
      <c r="P39" s="145" t="s">
        <v>3930</v>
      </c>
      <c r="Q39" s="143" t="s">
        <v>410</v>
      </c>
      <c r="R39" s="143" t="s">
        <v>410</v>
      </c>
      <c r="S39" s="143" t="s">
        <v>1211</v>
      </c>
      <c r="T39" s="144">
        <v>0.01</v>
      </c>
      <c r="U39" s="170" t="s">
        <v>314</v>
      </c>
      <c r="V39" s="143" t="s">
        <v>1270</v>
      </c>
      <c r="W39" s="145" t="s">
        <v>3930</v>
      </c>
      <c r="X39" s="145" t="s">
        <v>3930</v>
      </c>
      <c r="Y39" s="166">
        <v>0</v>
      </c>
      <c r="Z39" s="146">
        <v>1E-4</v>
      </c>
      <c r="AA39" s="143" t="s">
        <v>3747</v>
      </c>
      <c r="AB39" s="143" t="s">
        <v>412</v>
      </c>
      <c r="AC39" s="145" t="s">
        <v>3930</v>
      </c>
      <c r="AD39" s="145" t="s">
        <v>3930</v>
      </c>
      <c r="AE39" s="145" t="s">
        <v>3930</v>
      </c>
      <c r="AF39" s="145" t="s">
        <v>3930</v>
      </c>
      <c r="AG39" s="145" t="s">
        <v>3930</v>
      </c>
      <c r="AH39" s="145" t="s">
        <v>3930</v>
      </c>
      <c r="AI39" s="145" t="s">
        <v>3930</v>
      </c>
      <c r="AJ39" s="145" t="s">
        <v>3930</v>
      </c>
      <c r="AK39" s="143" t="s">
        <v>885</v>
      </c>
      <c r="AL39" s="145" t="s">
        <v>3930</v>
      </c>
      <c r="AM39" s="143" t="s">
        <v>889</v>
      </c>
      <c r="AN39" s="163">
        <v>45250</v>
      </c>
      <c r="AO39" s="163">
        <v>45250</v>
      </c>
      <c r="AP39" s="145" t="s">
        <v>3930</v>
      </c>
      <c r="AQ39" s="144">
        <v>20518.22</v>
      </c>
      <c r="AR39" s="143" t="s">
        <v>3843</v>
      </c>
      <c r="AS39" s="143" t="s">
        <v>1212</v>
      </c>
      <c r="AT39" s="144">
        <v>42.0092</v>
      </c>
      <c r="AU39" s="144">
        <v>11.3232464</v>
      </c>
      <c r="AV39" s="145" t="s">
        <v>3930</v>
      </c>
      <c r="AW39" s="145" t="s">
        <v>3930</v>
      </c>
      <c r="AX39" s="145" t="s">
        <v>3930</v>
      </c>
      <c r="AY39" s="145" t="s">
        <v>3930</v>
      </c>
      <c r="AZ39" s="146">
        <v>2.2768251493878715E-3</v>
      </c>
      <c r="BA39" s="147">
        <v>6.0942307829560914E-5</v>
      </c>
      <c r="BB39" s="177"/>
    </row>
    <row r="40" spans="1:54" ht="15" x14ac:dyDescent="0.2">
      <c r="A40" s="142" t="s">
        <v>1205</v>
      </c>
      <c r="B40" s="143" t="s">
        <v>1205</v>
      </c>
      <c r="C40" s="145" t="s">
        <v>3930</v>
      </c>
      <c r="D40" s="145" t="s">
        <v>3930</v>
      </c>
      <c r="E40" s="145" t="s">
        <v>3930</v>
      </c>
      <c r="F40" s="143" t="s">
        <v>3844</v>
      </c>
      <c r="G40" s="143" t="s">
        <v>1012</v>
      </c>
      <c r="H40" s="145" t="s">
        <v>3930</v>
      </c>
      <c r="I40" s="143" t="s">
        <v>204</v>
      </c>
      <c r="J40" s="145" t="s">
        <v>3930</v>
      </c>
      <c r="K40" s="143" t="s">
        <v>485</v>
      </c>
      <c r="L40" s="143" t="s">
        <v>339</v>
      </c>
      <c r="M40" s="143" t="s">
        <v>338</v>
      </c>
      <c r="N40" s="145" t="s">
        <v>3930</v>
      </c>
      <c r="O40" s="143" t="s">
        <v>3845</v>
      </c>
      <c r="P40" s="143" t="s">
        <v>1721</v>
      </c>
      <c r="Q40" s="143" t="s">
        <v>413</v>
      </c>
      <c r="R40" s="143" t="s">
        <v>408</v>
      </c>
      <c r="S40" s="143" t="s">
        <v>1210</v>
      </c>
      <c r="T40" s="144">
        <v>5.74</v>
      </c>
      <c r="U40" s="170" t="s">
        <v>824</v>
      </c>
      <c r="V40" s="146">
        <v>3.3099999999999997E-2</v>
      </c>
      <c r="W40" s="145" t="s">
        <v>3930</v>
      </c>
      <c r="X40" s="145" t="s">
        <v>3930</v>
      </c>
      <c r="Y40" s="166">
        <v>0</v>
      </c>
      <c r="Z40" s="146">
        <v>3.3500000000000002E-2</v>
      </c>
      <c r="AA40" s="143" t="s">
        <v>3735</v>
      </c>
      <c r="AB40" s="143" t="s">
        <v>412</v>
      </c>
      <c r="AC40" s="145" t="s">
        <v>3930</v>
      </c>
      <c r="AD40" s="145" t="s">
        <v>3930</v>
      </c>
      <c r="AE40" s="145" t="s">
        <v>3930</v>
      </c>
      <c r="AF40" s="145" t="s">
        <v>3930</v>
      </c>
      <c r="AG40" s="145" t="s">
        <v>3930</v>
      </c>
      <c r="AH40" s="145" t="s">
        <v>3930</v>
      </c>
      <c r="AI40" s="145" t="s">
        <v>3930</v>
      </c>
      <c r="AJ40" s="145" t="s">
        <v>3930</v>
      </c>
      <c r="AK40" s="143" t="s">
        <v>886</v>
      </c>
      <c r="AL40" s="145" t="s">
        <v>3930</v>
      </c>
      <c r="AM40" s="143" t="s">
        <v>889</v>
      </c>
      <c r="AN40" s="163">
        <v>45565</v>
      </c>
      <c r="AO40" s="163">
        <v>45565</v>
      </c>
      <c r="AP40" s="145" t="s">
        <v>3930</v>
      </c>
      <c r="AQ40" s="144">
        <v>30680.43</v>
      </c>
      <c r="AR40" s="143" t="s">
        <v>3846</v>
      </c>
      <c r="AS40" s="145" t="s">
        <v>3930</v>
      </c>
      <c r="AT40" s="144">
        <v>35.6629</v>
      </c>
      <c r="AU40" s="144">
        <v>35.662931799999996</v>
      </c>
      <c r="AV40" s="145" t="s">
        <v>3930</v>
      </c>
      <c r="AW40" s="145" t="s">
        <v>3930</v>
      </c>
      <c r="AX40" s="145" t="s">
        <v>3930</v>
      </c>
      <c r="AY40" s="145" t="s">
        <v>3930</v>
      </c>
      <c r="AZ40" s="146">
        <v>1.9328664782244809E-3</v>
      </c>
      <c r="BA40" s="147">
        <v>5.1735788293213717E-5</v>
      </c>
      <c r="BB40" s="177"/>
    </row>
    <row r="41" spans="1:54" ht="15" x14ac:dyDescent="0.2">
      <c r="A41" s="142" t="s">
        <v>1205</v>
      </c>
      <c r="B41" s="143" t="s">
        <v>1205</v>
      </c>
      <c r="C41" s="145" t="s">
        <v>3930</v>
      </c>
      <c r="D41" s="145" t="s">
        <v>3930</v>
      </c>
      <c r="E41" s="145" t="s">
        <v>3930</v>
      </c>
      <c r="F41" s="143" t="s">
        <v>3847</v>
      </c>
      <c r="G41" s="143" t="s">
        <v>1012</v>
      </c>
      <c r="H41" s="143" t="s">
        <v>784</v>
      </c>
      <c r="I41" s="143" t="s">
        <v>204</v>
      </c>
      <c r="J41" s="145" t="s">
        <v>3930</v>
      </c>
      <c r="K41" s="143" t="s">
        <v>443</v>
      </c>
      <c r="L41" s="143" t="s">
        <v>339</v>
      </c>
      <c r="M41" s="143" t="s">
        <v>338</v>
      </c>
      <c r="N41" s="145" t="s">
        <v>3930</v>
      </c>
      <c r="O41" s="143" t="s">
        <v>3848</v>
      </c>
      <c r="P41" s="145" t="s">
        <v>3930</v>
      </c>
      <c r="Q41" s="143" t="s">
        <v>410</v>
      </c>
      <c r="R41" s="143" t="s">
        <v>410</v>
      </c>
      <c r="S41" s="143" t="s">
        <v>1210</v>
      </c>
      <c r="T41" s="144">
        <v>2.04</v>
      </c>
      <c r="U41" s="170" t="s">
        <v>823</v>
      </c>
      <c r="V41" s="146">
        <v>8.2500000000000004E-2</v>
      </c>
      <c r="W41" s="145" t="s">
        <v>3930</v>
      </c>
      <c r="X41" s="145" t="s">
        <v>3930</v>
      </c>
      <c r="Y41" s="166">
        <v>0</v>
      </c>
      <c r="Z41" s="146">
        <v>8.3099999999999993E-2</v>
      </c>
      <c r="AA41" s="143" t="s">
        <v>3849</v>
      </c>
      <c r="AB41" s="143" t="s">
        <v>412</v>
      </c>
      <c r="AC41" s="145" t="s">
        <v>3930</v>
      </c>
      <c r="AD41" s="145" t="s">
        <v>3930</v>
      </c>
      <c r="AE41" s="171">
        <v>0.62</v>
      </c>
      <c r="AF41" s="143" t="s">
        <v>3829</v>
      </c>
      <c r="AG41" s="145" t="s">
        <v>3930</v>
      </c>
      <c r="AH41" s="145" t="s">
        <v>3930</v>
      </c>
      <c r="AI41" s="145" t="s">
        <v>3930</v>
      </c>
      <c r="AJ41" s="143" t="s">
        <v>338</v>
      </c>
      <c r="AK41" s="143" t="s">
        <v>886</v>
      </c>
      <c r="AL41" s="145" t="s">
        <v>3930</v>
      </c>
      <c r="AM41" s="143" t="s">
        <v>889</v>
      </c>
      <c r="AN41" s="163">
        <v>45565</v>
      </c>
      <c r="AO41" s="163">
        <v>45565</v>
      </c>
      <c r="AP41" s="145" t="s">
        <v>3930</v>
      </c>
      <c r="AQ41" s="144">
        <v>34342</v>
      </c>
      <c r="AR41" s="143" t="s">
        <v>3850</v>
      </c>
      <c r="AS41" s="145" t="s">
        <v>3930</v>
      </c>
      <c r="AT41" s="144">
        <v>35.258900000000004</v>
      </c>
      <c r="AU41" s="144">
        <v>35.258931400000002</v>
      </c>
      <c r="AV41" s="145" t="s">
        <v>3930</v>
      </c>
      <c r="AW41" s="145" t="s">
        <v>3930</v>
      </c>
      <c r="AX41" s="145" t="s">
        <v>3930</v>
      </c>
      <c r="AY41" s="145" t="s">
        <v>3930</v>
      </c>
      <c r="AZ41" s="146">
        <v>1.9109703846593318E-3</v>
      </c>
      <c r="BA41" s="147">
        <v>5.1149709702738317E-5</v>
      </c>
      <c r="BB41" s="177"/>
    </row>
    <row r="42" spans="1:54" ht="15" x14ac:dyDescent="0.2">
      <c r="A42" s="142" t="s">
        <v>1205</v>
      </c>
      <c r="B42" s="143" t="s">
        <v>1205</v>
      </c>
      <c r="C42" s="145" t="s">
        <v>3930</v>
      </c>
      <c r="D42" s="145" t="s">
        <v>3930</v>
      </c>
      <c r="E42" s="145" t="s">
        <v>3930</v>
      </c>
      <c r="F42" s="143" t="s">
        <v>3851</v>
      </c>
      <c r="G42" s="143" t="s">
        <v>1012</v>
      </c>
      <c r="H42" s="143" t="s">
        <v>784</v>
      </c>
      <c r="I42" s="143" t="s">
        <v>204</v>
      </c>
      <c r="J42" s="145" t="s">
        <v>3930</v>
      </c>
      <c r="K42" s="143" t="s">
        <v>443</v>
      </c>
      <c r="L42" s="143" t="s">
        <v>339</v>
      </c>
      <c r="M42" s="143" t="s">
        <v>338</v>
      </c>
      <c r="N42" s="145" t="s">
        <v>3930</v>
      </c>
      <c r="O42" s="143" t="s">
        <v>3852</v>
      </c>
      <c r="P42" s="145" t="s">
        <v>3930</v>
      </c>
      <c r="Q42" s="143" t="s">
        <v>410</v>
      </c>
      <c r="R42" s="143" t="s">
        <v>410</v>
      </c>
      <c r="S42" s="143" t="s">
        <v>1210</v>
      </c>
      <c r="T42" s="144">
        <v>0.72</v>
      </c>
      <c r="U42" s="170" t="s">
        <v>823</v>
      </c>
      <c r="V42" s="146">
        <v>7.0000000000000007E-2</v>
      </c>
      <c r="W42" s="145" t="s">
        <v>3930</v>
      </c>
      <c r="X42" s="145" t="s">
        <v>3930</v>
      </c>
      <c r="Y42" s="166">
        <v>0</v>
      </c>
      <c r="Z42" s="146">
        <v>7.5899999999999995E-2</v>
      </c>
      <c r="AA42" s="143" t="s">
        <v>3836</v>
      </c>
      <c r="AB42" s="143" t="s">
        <v>412</v>
      </c>
      <c r="AC42" s="145" t="s">
        <v>3930</v>
      </c>
      <c r="AD42" s="145" t="s">
        <v>3930</v>
      </c>
      <c r="AE42" s="171">
        <v>0.67</v>
      </c>
      <c r="AF42" s="143" t="s">
        <v>3853</v>
      </c>
      <c r="AG42" s="145" t="s">
        <v>3930</v>
      </c>
      <c r="AH42" s="145" t="s">
        <v>3930</v>
      </c>
      <c r="AI42" s="145" t="s">
        <v>3930</v>
      </c>
      <c r="AJ42" s="143" t="s">
        <v>338</v>
      </c>
      <c r="AK42" s="143" t="s">
        <v>886</v>
      </c>
      <c r="AL42" s="145" t="s">
        <v>3930</v>
      </c>
      <c r="AM42" s="143" t="s">
        <v>889</v>
      </c>
      <c r="AN42" s="163">
        <v>45565</v>
      </c>
      <c r="AO42" s="163">
        <v>45565</v>
      </c>
      <c r="AP42" s="145" t="s">
        <v>3930</v>
      </c>
      <c r="AQ42" s="144">
        <v>31409</v>
      </c>
      <c r="AR42" s="143" t="s">
        <v>3854</v>
      </c>
      <c r="AS42" s="145" t="s">
        <v>3930</v>
      </c>
      <c r="AT42" s="144">
        <v>32.037199999999999</v>
      </c>
      <c r="AU42" s="144">
        <v>32.037179999999999</v>
      </c>
      <c r="AV42" s="145" t="s">
        <v>3930</v>
      </c>
      <c r="AW42" s="145" t="s">
        <v>3930</v>
      </c>
      <c r="AX42" s="145" t="s">
        <v>3930</v>
      </c>
      <c r="AY42" s="145" t="s">
        <v>3930</v>
      </c>
      <c r="AZ42" s="146">
        <v>1.7363572790524292E-3</v>
      </c>
      <c r="BA42" s="147">
        <v>4.6475953513848524E-5</v>
      </c>
      <c r="BB42" s="177"/>
    </row>
    <row r="43" spans="1:54" ht="15" x14ac:dyDescent="0.2">
      <c r="A43" s="142" t="s">
        <v>1205</v>
      </c>
      <c r="B43" s="143" t="s">
        <v>1205</v>
      </c>
      <c r="C43" s="145" t="s">
        <v>3930</v>
      </c>
      <c r="D43" s="145" t="s">
        <v>3930</v>
      </c>
      <c r="E43" s="145" t="s">
        <v>3930</v>
      </c>
      <c r="F43" s="143" t="s">
        <v>3855</v>
      </c>
      <c r="G43" s="143" t="s">
        <v>1012</v>
      </c>
      <c r="H43" s="145" t="s">
        <v>3930</v>
      </c>
      <c r="I43" s="143" t="s">
        <v>204</v>
      </c>
      <c r="J43" s="145" t="s">
        <v>3930</v>
      </c>
      <c r="K43" s="143" t="s">
        <v>440</v>
      </c>
      <c r="L43" s="143" t="s">
        <v>339</v>
      </c>
      <c r="M43" s="143" t="s">
        <v>338</v>
      </c>
      <c r="N43" s="145" t="s">
        <v>3930</v>
      </c>
      <c r="O43" s="143" t="s">
        <v>3856</v>
      </c>
      <c r="P43" s="143" t="s">
        <v>1624</v>
      </c>
      <c r="Q43" s="143" t="s">
        <v>415</v>
      </c>
      <c r="R43" s="143" t="s">
        <v>408</v>
      </c>
      <c r="S43" s="143" t="s">
        <v>1210</v>
      </c>
      <c r="T43" s="144">
        <v>0</v>
      </c>
      <c r="U43" s="170" t="s">
        <v>824</v>
      </c>
      <c r="V43" s="146">
        <v>0</v>
      </c>
      <c r="W43" s="145" t="s">
        <v>3930</v>
      </c>
      <c r="X43" s="145" t="s">
        <v>3930</v>
      </c>
      <c r="Y43" s="166">
        <v>0</v>
      </c>
      <c r="Z43" s="145" t="s">
        <v>3930</v>
      </c>
      <c r="AA43" s="143" t="s">
        <v>3857</v>
      </c>
      <c r="AB43" s="143" t="s">
        <v>412</v>
      </c>
      <c r="AC43" s="145" t="s">
        <v>3930</v>
      </c>
      <c r="AD43" s="145" t="s">
        <v>3930</v>
      </c>
      <c r="AE43" s="171">
        <v>0.75</v>
      </c>
      <c r="AF43" s="145" t="s">
        <v>3930</v>
      </c>
      <c r="AG43" s="145" t="s">
        <v>3930</v>
      </c>
      <c r="AH43" s="145" t="s">
        <v>3930</v>
      </c>
      <c r="AI43" s="145" t="s">
        <v>3930</v>
      </c>
      <c r="AJ43" s="143" t="s">
        <v>338</v>
      </c>
      <c r="AK43" s="143" t="s">
        <v>886</v>
      </c>
      <c r="AL43" s="145" t="s">
        <v>3930</v>
      </c>
      <c r="AM43" s="143" t="s">
        <v>889</v>
      </c>
      <c r="AN43" s="163">
        <v>45565</v>
      </c>
      <c r="AO43" s="163">
        <v>45565</v>
      </c>
      <c r="AP43" s="145" t="s">
        <v>3930</v>
      </c>
      <c r="AQ43" s="144">
        <v>17454.12</v>
      </c>
      <c r="AR43" s="143" t="s">
        <v>3858</v>
      </c>
      <c r="AS43" s="145" t="s">
        <v>3930</v>
      </c>
      <c r="AT43" s="144">
        <v>17.483799999999999</v>
      </c>
      <c r="AU43" s="144">
        <v>17.483792000000001</v>
      </c>
      <c r="AV43" s="145" t="s">
        <v>3930</v>
      </c>
      <c r="AW43" s="145" t="s">
        <v>3930</v>
      </c>
      <c r="AX43" s="145" t="s">
        <v>3930</v>
      </c>
      <c r="AY43" s="145" t="s">
        <v>3930</v>
      </c>
      <c r="AZ43" s="146">
        <v>9.4758994117410012E-4</v>
      </c>
      <c r="BA43" s="147">
        <v>2.5363527764419357E-5</v>
      </c>
      <c r="BB43" s="177"/>
    </row>
    <row r="44" spans="1:54" ht="15" x14ac:dyDescent="0.2">
      <c r="A44" s="142" t="s">
        <v>1205</v>
      </c>
      <c r="B44" s="143" t="s">
        <v>1205</v>
      </c>
      <c r="C44" s="145" t="s">
        <v>3930</v>
      </c>
      <c r="D44" s="145" t="s">
        <v>3930</v>
      </c>
      <c r="E44" s="145" t="s">
        <v>3930</v>
      </c>
      <c r="F44" s="143" t="s">
        <v>3859</v>
      </c>
      <c r="G44" s="143" t="s">
        <v>1012</v>
      </c>
      <c r="H44" s="143" t="s">
        <v>784</v>
      </c>
      <c r="I44" s="143" t="s">
        <v>204</v>
      </c>
      <c r="J44" s="145" t="s">
        <v>3930</v>
      </c>
      <c r="K44" s="143" t="s">
        <v>443</v>
      </c>
      <c r="L44" s="143" t="s">
        <v>339</v>
      </c>
      <c r="M44" s="143" t="s">
        <v>338</v>
      </c>
      <c r="N44" s="145" t="s">
        <v>3930</v>
      </c>
      <c r="O44" s="143" t="s">
        <v>3860</v>
      </c>
      <c r="P44" s="145" t="s">
        <v>3930</v>
      </c>
      <c r="Q44" s="143" t="s">
        <v>410</v>
      </c>
      <c r="R44" s="143" t="s">
        <v>410</v>
      </c>
      <c r="S44" s="143" t="s">
        <v>1210</v>
      </c>
      <c r="T44" s="144">
        <v>0.72</v>
      </c>
      <c r="U44" s="170" t="s">
        <v>823</v>
      </c>
      <c r="V44" s="146">
        <v>7.0000000000000007E-2</v>
      </c>
      <c r="W44" s="145" t="s">
        <v>3930</v>
      </c>
      <c r="X44" s="145" t="s">
        <v>3930</v>
      </c>
      <c r="Y44" s="166">
        <v>0</v>
      </c>
      <c r="Z44" s="146">
        <v>6.7599999999999993E-2</v>
      </c>
      <c r="AA44" s="143" t="s">
        <v>3836</v>
      </c>
      <c r="AB44" s="143" t="s">
        <v>412</v>
      </c>
      <c r="AC44" s="145" t="s">
        <v>3930</v>
      </c>
      <c r="AD44" s="145" t="s">
        <v>3930</v>
      </c>
      <c r="AE44" s="171">
        <v>0.67</v>
      </c>
      <c r="AF44" s="143" t="s">
        <v>3853</v>
      </c>
      <c r="AG44" s="145" t="s">
        <v>3930</v>
      </c>
      <c r="AH44" s="145" t="s">
        <v>3930</v>
      </c>
      <c r="AI44" s="145" t="s">
        <v>3930</v>
      </c>
      <c r="AJ44" s="143" t="s">
        <v>338</v>
      </c>
      <c r="AK44" s="143" t="s">
        <v>886</v>
      </c>
      <c r="AL44" s="145" t="s">
        <v>3930</v>
      </c>
      <c r="AM44" s="143" t="s">
        <v>889</v>
      </c>
      <c r="AN44" s="163">
        <v>45565</v>
      </c>
      <c r="AO44" s="163">
        <v>45565</v>
      </c>
      <c r="AP44" s="145" t="s">
        <v>3930</v>
      </c>
      <c r="AQ44" s="144">
        <v>12089</v>
      </c>
      <c r="AR44" s="143" t="s">
        <v>3861</v>
      </c>
      <c r="AS44" s="145" t="s">
        <v>3930</v>
      </c>
      <c r="AT44" s="144">
        <v>12.387600000000001</v>
      </c>
      <c r="AU44" s="144">
        <v>12.387598300000001</v>
      </c>
      <c r="AV44" s="145" t="s">
        <v>3930</v>
      </c>
      <c r="AW44" s="145" t="s">
        <v>3930</v>
      </c>
      <c r="AX44" s="145" t="s">
        <v>3930</v>
      </c>
      <c r="AY44" s="145" t="s">
        <v>3930</v>
      </c>
      <c r="AZ44" s="146">
        <v>6.7138544897467551E-4</v>
      </c>
      <c r="BA44" s="147">
        <v>1.7970540563777116E-5</v>
      </c>
      <c r="BB44" s="177"/>
    </row>
    <row r="45" spans="1:54" ht="15" x14ac:dyDescent="0.2">
      <c r="A45" s="142" t="s">
        <v>1205</v>
      </c>
      <c r="B45" s="143" t="s">
        <v>1205</v>
      </c>
      <c r="C45" s="145" t="s">
        <v>3930</v>
      </c>
      <c r="D45" s="145" t="s">
        <v>3930</v>
      </c>
      <c r="E45" s="145" t="s">
        <v>3930</v>
      </c>
      <c r="F45" s="143" t="s">
        <v>3862</v>
      </c>
      <c r="G45" s="143" t="s">
        <v>1012</v>
      </c>
      <c r="H45" s="143" t="s">
        <v>784</v>
      </c>
      <c r="I45" s="143" t="s">
        <v>204</v>
      </c>
      <c r="J45" s="145" t="s">
        <v>3930</v>
      </c>
      <c r="K45" s="143" t="s">
        <v>443</v>
      </c>
      <c r="L45" s="143" t="s">
        <v>339</v>
      </c>
      <c r="M45" s="143" t="s">
        <v>338</v>
      </c>
      <c r="N45" s="145" t="s">
        <v>3930</v>
      </c>
      <c r="O45" s="143" t="s">
        <v>3832</v>
      </c>
      <c r="P45" s="145" t="s">
        <v>3930</v>
      </c>
      <c r="Q45" s="143" t="s">
        <v>410</v>
      </c>
      <c r="R45" s="143" t="s">
        <v>410</v>
      </c>
      <c r="S45" s="143" t="s">
        <v>1210</v>
      </c>
      <c r="T45" s="144">
        <v>0.72</v>
      </c>
      <c r="U45" s="170" t="s">
        <v>823</v>
      </c>
      <c r="V45" s="146">
        <v>7.0000000000000007E-2</v>
      </c>
      <c r="W45" s="145" t="s">
        <v>3930</v>
      </c>
      <c r="X45" s="145" t="s">
        <v>3930</v>
      </c>
      <c r="Y45" s="166">
        <v>0</v>
      </c>
      <c r="Z45" s="146">
        <v>6.9199999999999998E-2</v>
      </c>
      <c r="AA45" s="143" t="s">
        <v>3863</v>
      </c>
      <c r="AB45" s="143" t="s">
        <v>412</v>
      </c>
      <c r="AC45" s="145" t="s">
        <v>3930</v>
      </c>
      <c r="AD45" s="145" t="s">
        <v>3930</v>
      </c>
      <c r="AE45" s="171">
        <v>0.67</v>
      </c>
      <c r="AF45" s="143" t="s">
        <v>3853</v>
      </c>
      <c r="AG45" s="145" t="s">
        <v>3930</v>
      </c>
      <c r="AH45" s="145" t="s">
        <v>3930</v>
      </c>
      <c r="AI45" s="145" t="s">
        <v>3930</v>
      </c>
      <c r="AJ45" s="143" t="s">
        <v>338</v>
      </c>
      <c r="AK45" s="143" t="s">
        <v>886</v>
      </c>
      <c r="AL45" s="145" t="s">
        <v>3930</v>
      </c>
      <c r="AM45" s="143" t="s">
        <v>889</v>
      </c>
      <c r="AN45" s="163">
        <v>45565</v>
      </c>
      <c r="AO45" s="163">
        <v>45565</v>
      </c>
      <c r="AP45" s="145" t="s">
        <v>3930</v>
      </c>
      <c r="AQ45" s="144">
        <v>11643</v>
      </c>
      <c r="AR45" s="143" t="s">
        <v>3864</v>
      </c>
      <c r="AS45" s="145" t="s">
        <v>3930</v>
      </c>
      <c r="AT45" s="144">
        <v>11.916600000000001</v>
      </c>
      <c r="AU45" s="144">
        <v>11.916610500000001</v>
      </c>
      <c r="AV45" s="145" t="s">
        <v>3930</v>
      </c>
      <c r="AW45" s="145" t="s">
        <v>3930</v>
      </c>
      <c r="AX45" s="145" t="s">
        <v>3930</v>
      </c>
      <c r="AY45" s="145" t="s">
        <v>3930</v>
      </c>
      <c r="AZ45" s="146">
        <v>6.4585876108033246E-4</v>
      </c>
      <c r="BA45" s="147">
        <v>1.7287284200439589E-5</v>
      </c>
      <c r="BB45" s="177"/>
    </row>
    <row r="46" spans="1:54" ht="15" x14ac:dyDescent="0.2">
      <c r="A46" s="142" t="s">
        <v>1205</v>
      </c>
      <c r="B46" s="143" t="s">
        <v>1205</v>
      </c>
      <c r="C46" s="145" t="s">
        <v>3930</v>
      </c>
      <c r="D46" s="145" t="s">
        <v>3930</v>
      </c>
      <c r="E46" s="145" t="s">
        <v>3930</v>
      </c>
      <c r="F46" s="143" t="s">
        <v>3865</v>
      </c>
      <c r="G46" s="143" t="s">
        <v>1012</v>
      </c>
      <c r="H46" s="143" t="s">
        <v>784</v>
      </c>
      <c r="I46" s="143" t="s">
        <v>204</v>
      </c>
      <c r="J46" s="145" t="s">
        <v>3930</v>
      </c>
      <c r="K46" s="143" t="s">
        <v>443</v>
      </c>
      <c r="L46" s="143" t="s">
        <v>339</v>
      </c>
      <c r="M46" s="143" t="s">
        <v>338</v>
      </c>
      <c r="N46" s="145" t="s">
        <v>3930</v>
      </c>
      <c r="O46" s="143" t="s">
        <v>3866</v>
      </c>
      <c r="P46" s="145" t="s">
        <v>3930</v>
      </c>
      <c r="Q46" s="143" t="s">
        <v>410</v>
      </c>
      <c r="R46" s="143" t="s">
        <v>410</v>
      </c>
      <c r="S46" s="143" t="s">
        <v>1210</v>
      </c>
      <c r="T46" s="144">
        <v>0.72</v>
      </c>
      <c r="U46" s="170" t="s">
        <v>823</v>
      </c>
      <c r="V46" s="146">
        <v>7.0000000000000007E-2</v>
      </c>
      <c r="W46" s="145" t="s">
        <v>3930</v>
      </c>
      <c r="X46" s="145" t="s">
        <v>3930</v>
      </c>
      <c r="Y46" s="166">
        <v>0</v>
      </c>
      <c r="Z46" s="146">
        <v>6.8599999999999994E-2</v>
      </c>
      <c r="AA46" s="143" t="s">
        <v>3836</v>
      </c>
      <c r="AB46" s="143" t="s">
        <v>412</v>
      </c>
      <c r="AC46" s="145" t="s">
        <v>3930</v>
      </c>
      <c r="AD46" s="145" t="s">
        <v>3930</v>
      </c>
      <c r="AE46" s="171">
        <v>0.67</v>
      </c>
      <c r="AF46" s="143" t="s">
        <v>3853</v>
      </c>
      <c r="AG46" s="145" t="s">
        <v>3930</v>
      </c>
      <c r="AH46" s="145" t="s">
        <v>3930</v>
      </c>
      <c r="AI46" s="145" t="s">
        <v>3930</v>
      </c>
      <c r="AJ46" s="143" t="s">
        <v>338</v>
      </c>
      <c r="AK46" s="143" t="s">
        <v>886</v>
      </c>
      <c r="AL46" s="145" t="s">
        <v>3930</v>
      </c>
      <c r="AM46" s="143" t="s">
        <v>889</v>
      </c>
      <c r="AN46" s="163">
        <v>45565</v>
      </c>
      <c r="AO46" s="163">
        <v>45565</v>
      </c>
      <c r="AP46" s="145" t="s">
        <v>3930</v>
      </c>
      <c r="AQ46" s="144">
        <v>10476</v>
      </c>
      <c r="AR46" s="143" t="s">
        <v>3867</v>
      </c>
      <c r="AS46" s="145" t="s">
        <v>3930</v>
      </c>
      <c r="AT46" s="144">
        <v>10.727399999999999</v>
      </c>
      <c r="AU46" s="144">
        <v>10.727423999999999</v>
      </c>
      <c r="AV46" s="145" t="s">
        <v>3930</v>
      </c>
      <c r="AW46" s="145" t="s">
        <v>3930</v>
      </c>
      <c r="AX46" s="145" t="s">
        <v>3930</v>
      </c>
      <c r="AY46" s="145" t="s">
        <v>3930</v>
      </c>
      <c r="AZ46" s="146">
        <v>5.8140700111188699E-4</v>
      </c>
      <c r="BA46" s="147">
        <v>1.5562145580458171E-5</v>
      </c>
      <c r="BB46" s="177"/>
    </row>
    <row r="47" spans="1:54" ht="15" x14ac:dyDescent="0.2">
      <c r="A47" s="142" t="s">
        <v>1205</v>
      </c>
      <c r="B47" s="143" t="s">
        <v>1205</v>
      </c>
      <c r="C47" s="145" t="s">
        <v>3930</v>
      </c>
      <c r="D47" s="145" t="s">
        <v>3930</v>
      </c>
      <c r="E47" s="145" t="s">
        <v>3930</v>
      </c>
      <c r="F47" s="143" t="s">
        <v>3868</v>
      </c>
      <c r="G47" s="143" t="s">
        <v>1012</v>
      </c>
      <c r="H47" s="145" t="s">
        <v>3930</v>
      </c>
      <c r="I47" s="143" t="s">
        <v>204</v>
      </c>
      <c r="J47" s="145" t="s">
        <v>3930</v>
      </c>
      <c r="K47" s="143" t="s">
        <v>454</v>
      </c>
      <c r="L47" s="143" t="s">
        <v>339</v>
      </c>
      <c r="M47" s="143" t="s">
        <v>338</v>
      </c>
      <c r="N47" s="145" t="s">
        <v>3930</v>
      </c>
      <c r="O47" s="143" t="s">
        <v>3869</v>
      </c>
      <c r="P47" s="143" t="s">
        <v>1721</v>
      </c>
      <c r="Q47" s="143" t="s">
        <v>413</v>
      </c>
      <c r="R47" s="143" t="s">
        <v>408</v>
      </c>
      <c r="S47" s="143" t="s">
        <v>1210</v>
      </c>
      <c r="T47" s="144">
        <v>5.74</v>
      </c>
      <c r="U47" s="170" t="s">
        <v>824</v>
      </c>
      <c r="V47" s="146">
        <v>3.3099999999999997E-2</v>
      </c>
      <c r="W47" s="145" t="s">
        <v>3930</v>
      </c>
      <c r="X47" s="145" t="s">
        <v>3930</v>
      </c>
      <c r="Y47" s="166">
        <v>0</v>
      </c>
      <c r="Z47" s="146">
        <v>3.3500000000000002E-2</v>
      </c>
      <c r="AA47" s="143" t="s">
        <v>3735</v>
      </c>
      <c r="AB47" s="143" t="s">
        <v>412</v>
      </c>
      <c r="AC47" s="145" t="s">
        <v>3930</v>
      </c>
      <c r="AD47" s="145" t="s">
        <v>3930</v>
      </c>
      <c r="AE47" s="145" t="s">
        <v>3930</v>
      </c>
      <c r="AF47" s="145" t="s">
        <v>3930</v>
      </c>
      <c r="AG47" s="145" t="s">
        <v>3930</v>
      </c>
      <c r="AH47" s="145" t="s">
        <v>3930</v>
      </c>
      <c r="AI47" s="145" t="s">
        <v>3930</v>
      </c>
      <c r="AJ47" s="145" t="s">
        <v>3930</v>
      </c>
      <c r="AK47" s="143" t="s">
        <v>886</v>
      </c>
      <c r="AL47" s="145" t="s">
        <v>3930</v>
      </c>
      <c r="AM47" s="143" t="s">
        <v>889</v>
      </c>
      <c r="AN47" s="163">
        <v>45565</v>
      </c>
      <c r="AO47" s="163">
        <v>45565</v>
      </c>
      <c r="AP47" s="145" t="s">
        <v>3930</v>
      </c>
      <c r="AQ47" s="144">
        <v>7592.73</v>
      </c>
      <c r="AR47" s="143" t="s">
        <v>3870</v>
      </c>
      <c r="AS47" s="145" t="s">
        <v>3930</v>
      </c>
      <c r="AT47" s="144">
        <v>8.8523999999999994</v>
      </c>
      <c r="AU47" s="144">
        <v>8.8523639000000003</v>
      </c>
      <c r="AV47" s="145" t="s">
        <v>3930</v>
      </c>
      <c r="AW47" s="145" t="s">
        <v>3930</v>
      </c>
      <c r="AX47" s="145" t="s">
        <v>3930</v>
      </c>
      <c r="AY47" s="145" t="s">
        <v>3930</v>
      </c>
      <c r="AZ47" s="146">
        <v>4.7978213147163544E-4</v>
      </c>
      <c r="BA47" s="147">
        <v>1.2842018349598887E-5</v>
      </c>
      <c r="BB47" s="177"/>
    </row>
    <row r="48" spans="1:54" ht="15" x14ac:dyDescent="0.2">
      <c r="A48" s="142" t="s">
        <v>1205</v>
      </c>
      <c r="B48" s="143" t="s">
        <v>1205</v>
      </c>
      <c r="C48" s="145" t="s">
        <v>3930</v>
      </c>
      <c r="D48" s="145" t="s">
        <v>3930</v>
      </c>
      <c r="E48" s="145" t="s">
        <v>3930</v>
      </c>
      <c r="F48" s="143" t="s">
        <v>3871</v>
      </c>
      <c r="G48" s="143" t="s">
        <v>1012</v>
      </c>
      <c r="H48" s="143" t="s">
        <v>784</v>
      </c>
      <c r="I48" s="143" t="s">
        <v>204</v>
      </c>
      <c r="J48" s="145" t="s">
        <v>3930</v>
      </c>
      <c r="K48" s="143" t="s">
        <v>443</v>
      </c>
      <c r="L48" s="143" t="s">
        <v>339</v>
      </c>
      <c r="M48" s="143" t="s">
        <v>338</v>
      </c>
      <c r="N48" s="145" t="s">
        <v>3930</v>
      </c>
      <c r="O48" s="143" t="s">
        <v>3872</v>
      </c>
      <c r="P48" s="145" t="s">
        <v>3930</v>
      </c>
      <c r="Q48" s="143" t="s">
        <v>410</v>
      </c>
      <c r="R48" s="143" t="s">
        <v>410</v>
      </c>
      <c r="S48" s="143" t="s">
        <v>1210</v>
      </c>
      <c r="T48" s="144">
        <v>0.72</v>
      </c>
      <c r="U48" s="170" t="s">
        <v>823</v>
      </c>
      <c r="V48" s="146">
        <v>7.0000000000000007E-2</v>
      </c>
      <c r="W48" s="145" t="s">
        <v>3930</v>
      </c>
      <c r="X48" s="145" t="s">
        <v>3930</v>
      </c>
      <c r="Y48" s="166">
        <v>0</v>
      </c>
      <c r="Z48" s="146">
        <v>6.9599999999999995E-2</v>
      </c>
      <c r="AA48" s="143" t="s">
        <v>3863</v>
      </c>
      <c r="AB48" s="143" t="s">
        <v>412</v>
      </c>
      <c r="AC48" s="145" t="s">
        <v>3930</v>
      </c>
      <c r="AD48" s="145" t="s">
        <v>3930</v>
      </c>
      <c r="AE48" s="171">
        <v>0.67</v>
      </c>
      <c r="AF48" s="143" t="s">
        <v>3853</v>
      </c>
      <c r="AG48" s="145" t="s">
        <v>3930</v>
      </c>
      <c r="AH48" s="145" t="s">
        <v>3930</v>
      </c>
      <c r="AI48" s="145" t="s">
        <v>3930</v>
      </c>
      <c r="AJ48" s="143" t="s">
        <v>338</v>
      </c>
      <c r="AK48" s="143" t="s">
        <v>886</v>
      </c>
      <c r="AL48" s="145" t="s">
        <v>3930</v>
      </c>
      <c r="AM48" s="143" t="s">
        <v>889</v>
      </c>
      <c r="AN48" s="163">
        <v>45565</v>
      </c>
      <c r="AO48" s="163">
        <v>45565</v>
      </c>
      <c r="AP48" s="145" t="s">
        <v>3930</v>
      </c>
      <c r="AQ48" s="144">
        <v>7758</v>
      </c>
      <c r="AR48" s="143" t="s">
        <v>3765</v>
      </c>
      <c r="AS48" s="145" t="s">
        <v>3930</v>
      </c>
      <c r="AT48" s="144">
        <v>7.9388000000000005</v>
      </c>
      <c r="AU48" s="144">
        <v>7.9387614000000006</v>
      </c>
      <c r="AV48" s="145" t="s">
        <v>3930</v>
      </c>
      <c r="AW48" s="145" t="s">
        <v>3930</v>
      </c>
      <c r="AX48" s="145" t="s">
        <v>3930</v>
      </c>
      <c r="AY48" s="145" t="s">
        <v>3930</v>
      </c>
      <c r="AZ48" s="146">
        <v>4.3026652606597871E-4</v>
      </c>
      <c r="BA48" s="147">
        <v>1.1516666129289001E-5</v>
      </c>
      <c r="BB48" s="177"/>
    </row>
    <row r="49" spans="1:54" ht="15" x14ac:dyDescent="0.2">
      <c r="A49" s="142" t="s">
        <v>1205</v>
      </c>
      <c r="B49" s="143" t="s">
        <v>1205</v>
      </c>
      <c r="C49" s="145" t="s">
        <v>3930</v>
      </c>
      <c r="D49" s="145" t="s">
        <v>3930</v>
      </c>
      <c r="E49" s="145" t="s">
        <v>3930</v>
      </c>
      <c r="F49" s="143" t="s">
        <v>3873</v>
      </c>
      <c r="G49" s="143" t="s">
        <v>1012</v>
      </c>
      <c r="H49" s="143" t="s">
        <v>784</v>
      </c>
      <c r="I49" s="143" t="s">
        <v>204</v>
      </c>
      <c r="J49" s="145" t="s">
        <v>3930</v>
      </c>
      <c r="K49" s="143" t="s">
        <v>443</v>
      </c>
      <c r="L49" s="143" t="s">
        <v>339</v>
      </c>
      <c r="M49" s="143" t="s">
        <v>338</v>
      </c>
      <c r="N49" s="145" t="s">
        <v>3930</v>
      </c>
      <c r="O49" s="143" t="s">
        <v>3874</v>
      </c>
      <c r="P49" s="145" t="s">
        <v>3930</v>
      </c>
      <c r="Q49" s="143" t="s">
        <v>410</v>
      </c>
      <c r="R49" s="143" t="s">
        <v>410</v>
      </c>
      <c r="S49" s="143" t="s">
        <v>1210</v>
      </c>
      <c r="T49" s="144">
        <v>0.72</v>
      </c>
      <c r="U49" s="170" t="s">
        <v>823</v>
      </c>
      <c r="V49" s="146">
        <v>7.0000000000000007E-2</v>
      </c>
      <c r="W49" s="145" t="s">
        <v>3930</v>
      </c>
      <c r="X49" s="145" t="s">
        <v>3930</v>
      </c>
      <c r="Y49" s="166">
        <v>0</v>
      </c>
      <c r="Z49" s="146">
        <v>7.0099999999999996E-2</v>
      </c>
      <c r="AA49" s="143" t="s">
        <v>3836</v>
      </c>
      <c r="AB49" s="143" t="s">
        <v>412</v>
      </c>
      <c r="AC49" s="145" t="s">
        <v>3930</v>
      </c>
      <c r="AD49" s="145" t="s">
        <v>3930</v>
      </c>
      <c r="AE49" s="171">
        <v>0.67</v>
      </c>
      <c r="AF49" s="143" t="s">
        <v>3853</v>
      </c>
      <c r="AG49" s="145" t="s">
        <v>3930</v>
      </c>
      <c r="AH49" s="145" t="s">
        <v>3930</v>
      </c>
      <c r="AI49" s="145" t="s">
        <v>3930</v>
      </c>
      <c r="AJ49" s="143" t="s">
        <v>338</v>
      </c>
      <c r="AK49" s="143" t="s">
        <v>886</v>
      </c>
      <c r="AL49" s="145" t="s">
        <v>3930</v>
      </c>
      <c r="AM49" s="143" t="s">
        <v>889</v>
      </c>
      <c r="AN49" s="163">
        <v>45565</v>
      </c>
      <c r="AO49" s="163">
        <v>45565</v>
      </c>
      <c r="AP49" s="145" t="s">
        <v>3930</v>
      </c>
      <c r="AQ49" s="144">
        <v>7739.54</v>
      </c>
      <c r="AR49" s="143" t="s">
        <v>3875</v>
      </c>
      <c r="AS49" s="145" t="s">
        <v>3930</v>
      </c>
      <c r="AT49" s="144">
        <v>7.9175000000000004</v>
      </c>
      <c r="AU49" s="144">
        <v>7.9175494000000004</v>
      </c>
      <c r="AV49" s="145" t="s">
        <v>3930</v>
      </c>
      <c r="AW49" s="145" t="s">
        <v>3930</v>
      </c>
      <c r="AX49" s="145" t="s">
        <v>3930</v>
      </c>
      <c r="AY49" s="145" t="s">
        <v>3930</v>
      </c>
      <c r="AZ49" s="146">
        <v>4.291168750706004E-4</v>
      </c>
      <c r="BA49" s="147">
        <v>1.1485894163828349E-5</v>
      </c>
      <c r="BB49" s="177"/>
    </row>
    <row r="50" spans="1:54" ht="15" x14ac:dyDescent="0.2">
      <c r="A50" s="142" t="s">
        <v>1205</v>
      </c>
      <c r="B50" s="143" t="s">
        <v>1205</v>
      </c>
      <c r="C50" s="145" t="s">
        <v>3930</v>
      </c>
      <c r="D50" s="145" t="s">
        <v>3930</v>
      </c>
      <c r="E50" s="145" t="s">
        <v>3930</v>
      </c>
      <c r="F50" s="143" t="s">
        <v>3876</v>
      </c>
      <c r="G50" s="143" t="s">
        <v>1012</v>
      </c>
      <c r="H50" s="143" t="s">
        <v>784</v>
      </c>
      <c r="I50" s="143" t="s">
        <v>204</v>
      </c>
      <c r="J50" s="145" t="s">
        <v>3930</v>
      </c>
      <c r="K50" s="143" t="s">
        <v>443</v>
      </c>
      <c r="L50" s="143" t="s">
        <v>339</v>
      </c>
      <c r="M50" s="143" t="s">
        <v>338</v>
      </c>
      <c r="N50" s="145" t="s">
        <v>3930</v>
      </c>
      <c r="O50" s="143" t="s">
        <v>3877</v>
      </c>
      <c r="P50" s="145" t="s">
        <v>3930</v>
      </c>
      <c r="Q50" s="143" t="s">
        <v>410</v>
      </c>
      <c r="R50" s="143" t="s">
        <v>410</v>
      </c>
      <c r="S50" s="143" t="s">
        <v>1210</v>
      </c>
      <c r="T50" s="144">
        <v>0.72</v>
      </c>
      <c r="U50" s="170" t="s">
        <v>823</v>
      </c>
      <c r="V50" s="146">
        <v>7.0000000000000007E-2</v>
      </c>
      <c r="W50" s="145" t="s">
        <v>3930</v>
      </c>
      <c r="X50" s="145" t="s">
        <v>3930</v>
      </c>
      <c r="Y50" s="166">
        <v>0</v>
      </c>
      <c r="Z50" s="146">
        <v>7.0699999999999999E-2</v>
      </c>
      <c r="AA50" s="143" t="s">
        <v>3863</v>
      </c>
      <c r="AB50" s="143" t="s">
        <v>412</v>
      </c>
      <c r="AC50" s="145" t="s">
        <v>3930</v>
      </c>
      <c r="AD50" s="145" t="s">
        <v>3930</v>
      </c>
      <c r="AE50" s="171">
        <v>0.67</v>
      </c>
      <c r="AF50" s="143" t="s">
        <v>3878</v>
      </c>
      <c r="AG50" s="145" t="s">
        <v>3930</v>
      </c>
      <c r="AH50" s="145" t="s">
        <v>3930</v>
      </c>
      <c r="AI50" s="145" t="s">
        <v>3930</v>
      </c>
      <c r="AJ50" s="143" t="s">
        <v>338</v>
      </c>
      <c r="AK50" s="143" t="s">
        <v>886</v>
      </c>
      <c r="AL50" s="145" t="s">
        <v>3930</v>
      </c>
      <c r="AM50" s="143" t="s">
        <v>889</v>
      </c>
      <c r="AN50" s="163">
        <v>45565</v>
      </c>
      <c r="AO50" s="163">
        <v>45565</v>
      </c>
      <c r="AP50" s="145" t="s">
        <v>3930</v>
      </c>
      <c r="AQ50" s="144">
        <v>5821</v>
      </c>
      <c r="AR50" s="143" t="s">
        <v>3879</v>
      </c>
      <c r="AS50" s="145" t="s">
        <v>3930</v>
      </c>
      <c r="AT50" s="144">
        <v>5.9531000000000001</v>
      </c>
      <c r="AU50" s="144">
        <v>5.9531366999999999</v>
      </c>
      <c r="AV50" s="145" t="s">
        <v>3930</v>
      </c>
      <c r="AW50" s="145" t="s">
        <v>3930</v>
      </c>
      <c r="AX50" s="145" t="s">
        <v>3930</v>
      </c>
      <c r="AY50" s="145" t="s">
        <v>3930</v>
      </c>
      <c r="AZ50" s="146">
        <v>3.226492544674393E-4</v>
      </c>
      <c r="BA50" s="147">
        <v>8.6361441466067111E-6</v>
      </c>
      <c r="BB50" s="177"/>
    </row>
    <row r="51" spans="1:54" ht="15" x14ac:dyDescent="0.2">
      <c r="A51" s="142" t="s">
        <v>1205</v>
      </c>
      <c r="B51" s="143" t="s">
        <v>1205</v>
      </c>
      <c r="C51" s="145" t="s">
        <v>3930</v>
      </c>
      <c r="D51" s="145" t="s">
        <v>3930</v>
      </c>
      <c r="E51" s="145" t="s">
        <v>3930</v>
      </c>
      <c r="F51" s="143" t="s">
        <v>3880</v>
      </c>
      <c r="G51" s="143" t="s">
        <v>1012</v>
      </c>
      <c r="H51" s="143" t="s">
        <v>784</v>
      </c>
      <c r="I51" s="143" t="s">
        <v>204</v>
      </c>
      <c r="J51" s="145" t="s">
        <v>3930</v>
      </c>
      <c r="K51" s="143" t="s">
        <v>443</v>
      </c>
      <c r="L51" s="143" t="s">
        <v>339</v>
      </c>
      <c r="M51" s="143" t="s">
        <v>338</v>
      </c>
      <c r="N51" s="145" t="s">
        <v>3930</v>
      </c>
      <c r="O51" s="143" t="s">
        <v>3881</v>
      </c>
      <c r="P51" s="145" t="s">
        <v>3930</v>
      </c>
      <c r="Q51" s="143" t="s">
        <v>410</v>
      </c>
      <c r="R51" s="143" t="s">
        <v>410</v>
      </c>
      <c r="S51" s="143" t="s">
        <v>1210</v>
      </c>
      <c r="T51" s="144">
        <v>0.72</v>
      </c>
      <c r="U51" s="170" t="s">
        <v>823</v>
      </c>
      <c r="V51" s="146">
        <v>7.0000000000000007E-2</v>
      </c>
      <c r="W51" s="145" t="s">
        <v>3930</v>
      </c>
      <c r="X51" s="145" t="s">
        <v>3930</v>
      </c>
      <c r="Y51" s="166">
        <v>0</v>
      </c>
      <c r="Z51" s="146">
        <v>7.1499999999999994E-2</v>
      </c>
      <c r="AA51" s="143" t="s">
        <v>3836</v>
      </c>
      <c r="AB51" s="143" t="s">
        <v>412</v>
      </c>
      <c r="AC51" s="145" t="s">
        <v>3930</v>
      </c>
      <c r="AD51" s="145" t="s">
        <v>3930</v>
      </c>
      <c r="AE51" s="171">
        <v>0.67</v>
      </c>
      <c r="AF51" s="143" t="s">
        <v>3853</v>
      </c>
      <c r="AG51" s="145" t="s">
        <v>3930</v>
      </c>
      <c r="AH51" s="145" t="s">
        <v>3930</v>
      </c>
      <c r="AI51" s="145" t="s">
        <v>3930</v>
      </c>
      <c r="AJ51" s="143" t="s">
        <v>338</v>
      </c>
      <c r="AK51" s="143" t="s">
        <v>886</v>
      </c>
      <c r="AL51" s="145" t="s">
        <v>3930</v>
      </c>
      <c r="AM51" s="143" t="s">
        <v>889</v>
      </c>
      <c r="AN51" s="163">
        <v>45565</v>
      </c>
      <c r="AO51" s="163">
        <v>45565</v>
      </c>
      <c r="AP51" s="145" t="s">
        <v>3930</v>
      </c>
      <c r="AQ51" s="144">
        <v>5821</v>
      </c>
      <c r="AR51" s="143" t="s">
        <v>3882</v>
      </c>
      <c r="AS51" s="145" t="s">
        <v>3930</v>
      </c>
      <c r="AT51" s="144">
        <v>5.9501999999999997</v>
      </c>
      <c r="AU51" s="144">
        <v>5.9502262000000004</v>
      </c>
      <c r="AV51" s="145" t="s">
        <v>3930</v>
      </c>
      <c r="AW51" s="145" t="s">
        <v>3930</v>
      </c>
      <c r="AX51" s="145" t="s">
        <v>3930</v>
      </c>
      <c r="AY51" s="145" t="s">
        <v>3930</v>
      </c>
      <c r="AZ51" s="146">
        <v>3.2249151062541944E-4</v>
      </c>
      <c r="BA51" s="147">
        <v>8.6319219190978584E-6</v>
      </c>
      <c r="BB51" s="177"/>
    </row>
    <row r="52" spans="1:54" ht="15" x14ac:dyDescent="0.2">
      <c r="A52" s="142" t="s">
        <v>1205</v>
      </c>
      <c r="B52" s="143" t="s">
        <v>1205</v>
      </c>
      <c r="C52" s="145" t="s">
        <v>3930</v>
      </c>
      <c r="D52" s="145" t="s">
        <v>3930</v>
      </c>
      <c r="E52" s="145" t="s">
        <v>3930</v>
      </c>
      <c r="F52" s="143" t="s">
        <v>3883</v>
      </c>
      <c r="G52" s="143" t="s">
        <v>1012</v>
      </c>
      <c r="H52" s="143" t="s">
        <v>784</v>
      </c>
      <c r="I52" s="143" t="s">
        <v>204</v>
      </c>
      <c r="J52" s="145" t="s">
        <v>3930</v>
      </c>
      <c r="K52" s="143" t="s">
        <v>443</v>
      </c>
      <c r="L52" s="143" t="s">
        <v>339</v>
      </c>
      <c r="M52" s="143" t="s">
        <v>338</v>
      </c>
      <c r="N52" s="145" t="s">
        <v>3930</v>
      </c>
      <c r="O52" s="143" t="s">
        <v>3884</v>
      </c>
      <c r="P52" s="145" t="s">
        <v>3930</v>
      </c>
      <c r="Q52" s="143" t="s">
        <v>410</v>
      </c>
      <c r="R52" s="143" t="s">
        <v>410</v>
      </c>
      <c r="S52" s="143" t="s">
        <v>1210</v>
      </c>
      <c r="T52" s="144">
        <v>0.72</v>
      </c>
      <c r="U52" s="170" t="s">
        <v>823</v>
      </c>
      <c r="V52" s="146">
        <v>7.0000000000000007E-2</v>
      </c>
      <c r="W52" s="145" t="s">
        <v>3930</v>
      </c>
      <c r="X52" s="145" t="s">
        <v>3930</v>
      </c>
      <c r="Y52" s="166">
        <v>0</v>
      </c>
      <c r="Z52" s="146">
        <v>7.8E-2</v>
      </c>
      <c r="AA52" s="143" t="s">
        <v>3836</v>
      </c>
      <c r="AB52" s="143" t="s">
        <v>412</v>
      </c>
      <c r="AC52" s="145" t="s">
        <v>3930</v>
      </c>
      <c r="AD52" s="145" t="s">
        <v>3930</v>
      </c>
      <c r="AE52" s="171">
        <v>0.67</v>
      </c>
      <c r="AF52" s="143" t="s">
        <v>3853</v>
      </c>
      <c r="AG52" s="145" t="s">
        <v>3930</v>
      </c>
      <c r="AH52" s="145" t="s">
        <v>3930</v>
      </c>
      <c r="AI52" s="145" t="s">
        <v>3930</v>
      </c>
      <c r="AJ52" s="143" t="s">
        <v>338</v>
      </c>
      <c r="AK52" s="143" t="s">
        <v>886</v>
      </c>
      <c r="AL52" s="145" t="s">
        <v>3930</v>
      </c>
      <c r="AM52" s="143" t="s">
        <v>889</v>
      </c>
      <c r="AN52" s="163">
        <v>45565</v>
      </c>
      <c r="AO52" s="163">
        <v>45565</v>
      </c>
      <c r="AP52" s="145" t="s">
        <v>3930</v>
      </c>
      <c r="AQ52" s="144">
        <v>5817</v>
      </c>
      <c r="AR52" s="143" t="s">
        <v>3885</v>
      </c>
      <c r="AS52" s="145" t="s">
        <v>3930</v>
      </c>
      <c r="AT52" s="144">
        <v>5.9287000000000001</v>
      </c>
      <c r="AU52" s="144">
        <v>5.9286864000000001</v>
      </c>
      <c r="AV52" s="145" t="s">
        <v>3930</v>
      </c>
      <c r="AW52" s="145" t="s">
        <v>3930</v>
      </c>
      <c r="AX52" s="145" t="s">
        <v>3930</v>
      </c>
      <c r="AY52" s="145" t="s">
        <v>3930</v>
      </c>
      <c r="AZ52" s="146">
        <v>3.2132409237826617E-4</v>
      </c>
      <c r="BA52" s="147">
        <v>8.600674389087489E-6</v>
      </c>
      <c r="BB52" s="177"/>
    </row>
    <row r="53" spans="1:54" ht="15" x14ac:dyDescent="0.2">
      <c r="A53" s="142" t="s">
        <v>1205</v>
      </c>
      <c r="B53" s="143" t="s">
        <v>1205</v>
      </c>
      <c r="C53" s="145" t="s">
        <v>3930</v>
      </c>
      <c r="D53" s="145" t="s">
        <v>3930</v>
      </c>
      <c r="E53" s="145" t="s">
        <v>3930</v>
      </c>
      <c r="F53" s="143" t="s">
        <v>3886</v>
      </c>
      <c r="G53" s="143" t="s">
        <v>1012</v>
      </c>
      <c r="H53" s="143" t="s">
        <v>784</v>
      </c>
      <c r="I53" s="143" t="s">
        <v>204</v>
      </c>
      <c r="J53" s="145" t="s">
        <v>3930</v>
      </c>
      <c r="K53" s="143" t="s">
        <v>443</v>
      </c>
      <c r="L53" s="143" t="s">
        <v>339</v>
      </c>
      <c r="M53" s="143" t="s">
        <v>338</v>
      </c>
      <c r="N53" s="145" t="s">
        <v>3930</v>
      </c>
      <c r="O53" s="143" t="s">
        <v>3887</v>
      </c>
      <c r="P53" s="145" t="s">
        <v>3930</v>
      </c>
      <c r="Q53" s="143" t="s">
        <v>410</v>
      </c>
      <c r="R53" s="143" t="s">
        <v>410</v>
      </c>
      <c r="S53" s="143" t="s">
        <v>1210</v>
      </c>
      <c r="T53" s="144">
        <v>0.72</v>
      </c>
      <c r="U53" s="170" t="s">
        <v>823</v>
      </c>
      <c r="V53" s="146">
        <v>7.0000000000000007E-2</v>
      </c>
      <c r="W53" s="145" t="s">
        <v>3930</v>
      </c>
      <c r="X53" s="145" t="s">
        <v>3930</v>
      </c>
      <c r="Y53" s="166">
        <v>0</v>
      </c>
      <c r="Z53" s="146">
        <v>8.1600000000000006E-2</v>
      </c>
      <c r="AA53" s="143" t="s">
        <v>3836</v>
      </c>
      <c r="AB53" s="143" t="s">
        <v>412</v>
      </c>
      <c r="AC53" s="145" t="s">
        <v>3930</v>
      </c>
      <c r="AD53" s="145" t="s">
        <v>3930</v>
      </c>
      <c r="AE53" s="171">
        <v>0.67</v>
      </c>
      <c r="AF53" s="143" t="s">
        <v>3853</v>
      </c>
      <c r="AG53" s="145" t="s">
        <v>3930</v>
      </c>
      <c r="AH53" s="145" t="s">
        <v>3930</v>
      </c>
      <c r="AI53" s="145" t="s">
        <v>3930</v>
      </c>
      <c r="AJ53" s="143" t="s">
        <v>338</v>
      </c>
      <c r="AK53" s="143" t="s">
        <v>886</v>
      </c>
      <c r="AL53" s="145" t="s">
        <v>3930</v>
      </c>
      <c r="AM53" s="143" t="s">
        <v>889</v>
      </c>
      <c r="AN53" s="163">
        <v>45565</v>
      </c>
      <c r="AO53" s="163">
        <v>45565</v>
      </c>
      <c r="AP53" s="145" t="s">
        <v>3930</v>
      </c>
      <c r="AQ53" s="144">
        <v>5815</v>
      </c>
      <c r="AR53" s="143" t="s">
        <v>3888</v>
      </c>
      <c r="AS53" s="145" t="s">
        <v>3930</v>
      </c>
      <c r="AT53" s="144">
        <v>5.9173</v>
      </c>
      <c r="AU53" s="144">
        <v>5.9173439999999999</v>
      </c>
      <c r="AV53" s="145" t="s">
        <v>3930</v>
      </c>
      <c r="AW53" s="145" t="s">
        <v>3930</v>
      </c>
      <c r="AX53" s="145" t="s">
        <v>3930</v>
      </c>
      <c r="AY53" s="145" t="s">
        <v>3930</v>
      </c>
      <c r="AZ53" s="146">
        <v>3.207093547889426E-4</v>
      </c>
      <c r="BA53" s="147">
        <v>8.5842201051856149E-6</v>
      </c>
      <c r="BB53" s="177"/>
    </row>
    <row r="54" spans="1:54" ht="15" x14ac:dyDescent="0.2">
      <c r="A54" s="142" t="s">
        <v>1205</v>
      </c>
      <c r="B54" s="143" t="s">
        <v>1205</v>
      </c>
      <c r="C54" s="145" t="s">
        <v>3930</v>
      </c>
      <c r="D54" s="145" t="s">
        <v>3930</v>
      </c>
      <c r="E54" s="145" t="s">
        <v>3930</v>
      </c>
      <c r="F54" s="143" t="s">
        <v>3889</v>
      </c>
      <c r="G54" s="143" t="s">
        <v>1012</v>
      </c>
      <c r="H54" s="143" t="s">
        <v>784</v>
      </c>
      <c r="I54" s="143" t="s">
        <v>204</v>
      </c>
      <c r="J54" s="145" t="s">
        <v>3930</v>
      </c>
      <c r="K54" s="143" t="s">
        <v>443</v>
      </c>
      <c r="L54" s="143" t="s">
        <v>339</v>
      </c>
      <c r="M54" s="143" t="s">
        <v>338</v>
      </c>
      <c r="N54" s="145" t="s">
        <v>3930</v>
      </c>
      <c r="O54" s="143" t="s">
        <v>3890</v>
      </c>
      <c r="P54" s="145" t="s">
        <v>3930</v>
      </c>
      <c r="Q54" s="143" t="s">
        <v>410</v>
      </c>
      <c r="R54" s="143" t="s">
        <v>410</v>
      </c>
      <c r="S54" s="143" t="s">
        <v>1210</v>
      </c>
      <c r="T54" s="144">
        <v>0.72</v>
      </c>
      <c r="U54" s="170" t="s">
        <v>823</v>
      </c>
      <c r="V54" s="146">
        <v>7.0000000000000007E-2</v>
      </c>
      <c r="W54" s="145" t="s">
        <v>3930</v>
      </c>
      <c r="X54" s="145" t="s">
        <v>3930</v>
      </c>
      <c r="Y54" s="166">
        <v>0</v>
      </c>
      <c r="Z54" s="146">
        <v>6.9900000000000004E-2</v>
      </c>
      <c r="AA54" s="143" t="s">
        <v>3863</v>
      </c>
      <c r="AB54" s="143" t="s">
        <v>412</v>
      </c>
      <c r="AC54" s="145" t="s">
        <v>3930</v>
      </c>
      <c r="AD54" s="145" t="s">
        <v>3930</v>
      </c>
      <c r="AE54" s="171">
        <v>0.67</v>
      </c>
      <c r="AF54" s="143" t="s">
        <v>3853</v>
      </c>
      <c r="AG54" s="145" t="s">
        <v>3930</v>
      </c>
      <c r="AH54" s="145" t="s">
        <v>3930</v>
      </c>
      <c r="AI54" s="145" t="s">
        <v>3930</v>
      </c>
      <c r="AJ54" s="143" t="s">
        <v>338</v>
      </c>
      <c r="AK54" s="143" t="s">
        <v>886</v>
      </c>
      <c r="AL54" s="145" t="s">
        <v>3930</v>
      </c>
      <c r="AM54" s="143" t="s">
        <v>889</v>
      </c>
      <c r="AN54" s="163">
        <v>45565</v>
      </c>
      <c r="AO54" s="163">
        <v>45565</v>
      </c>
      <c r="AP54" s="145" t="s">
        <v>3930</v>
      </c>
      <c r="AQ54" s="144">
        <v>5044</v>
      </c>
      <c r="AR54" s="143" t="s">
        <v>3891</v>
      </c>
      <c r="AS54" s="145" t="s">
        <v>3930</v>
      </c>
      <c r="AT54" s="144">
        <v>5.1604999999999999</v>
      </c>
      <c r="AU54" s="144">
        <v>5.1605164000000006</v>
      </c>
      <c r="AV54" s="145" t="s">
        <v>3930</v>
      </c>
      <c r="AW54" s="145" t="s">
        <v>3930</v>
      </c>
      <c r="AX54" s="145" t="s">
        <v>3930</v>
      </c>
      <c r="AY54" s="145" t="s">
        <v>3930</v>
      </c>
      <c r="AZ54" s="146">
        <v>2.7969066612009661E-4</v>
      </c>
      <c r="BA54" s="147">
        <v>7.4862993657323438E-6</v>
      </c>
      <c r="BB54" s="177"/>
    </row>
    <row r="55" spans="1:54" ht="15" x14ac:dyDescent="0.2">
      <c r="A55" s="142" t="s">
        <v>1205</v>
      </c>
      <c r="B55" s="143" t="s">
        <v>1205</v>
      </c>
      <c r="C55" s="145" t="s">
        <v>3930</v>
      </c>
      <c r="D55" s="145" t="s">
        <v>3930</v>
      </c>
      <c r="E55" s="145" t="s">
        <v>3930</v>
      </c>
      <c r="F55" s="143" t="s">
        <v>3892</v>
      </c>
      <c r="G55" s="143" t="s">
        <v>1012</v>
      </c>
      <c r="H55" s="143" t="s">
        <v>784</v>
      </c>
      <c r="I55" s="143" t="s">
        <v>204</v>
      </c>
      <c r="J55" s="145" t="s">
        <v>3930</v>
      </c>
      <c r="K55" s="143" t="s">
        <v>443</v>
      </c>
      <c r="L55" s="143" t="s">
        <v>339</v>
      </c>
      <c r="M55" s="143" t="s">
        <v>338</v>
      </c>
      <c r="N55" s="145" t="s">
        <v>3930</v>
      </c>
      <c r="O55" s="143" t="s">
        <v>3893</v>
      </c>
      <c r="P55" s="145" t="s">
        <v>3930</v>
      </c>
      <c r="Q55" s="143" t="s">
        <v>410</v>
      </c>
      <c r="R55" s="143" t="s">
        <v>410</v>
      </c>
      <c r="S55" s="143" t="s">
        <v>1210</v>
      </c>
      <c r="T55" s="144">
        <v>0.72</v>
      </c>
      <c r="U55" s="170" t="s">
        <v>823</v>
      </c>
      <c r="V55" s="146">
        <v>7.0000000000000007E-2</v>
      </c>
      <c r="W55" s="145" t="s">
        <v>3930</v>
      </c>
      <c r="X55" s="145" t="s">
        <v>3930</v>
      </c>
      <c r="Y55" s="166">
        <v>0</v>
      </c>
      <c r="Z55" s="146">
        <v>7.6100000000000001E-2</v>
      </c>
      <c r="AA55" s="143" t="s">
        <v>3836</v>
      </c>
      <c r="AB55" s="143" t="s">
        <v>412</v>
      </c>
      <c r="AC55" s="145" t="s">
        <v>3930</v>
      </c>
      <c r="AD55" s="145" t="s">
        <v>3930</v>
      </c>
      <c r="AE55" s="171">
        <v>0.67</v>
      </c>
      <c r="AF55" s="143" t="s">
        <v>3853</v>
      </c>
      <c r="AG55" s="145" t="s">
        <v>3930</v>
      </c>
      <c r="AH55" s="145" t="s">
        <v>3930</v>
      </c>
      <c r="AI55" s="145" t="s">
        <v>3930</v>
      </c>
      <c r="AJ55" s="143" t="s">
        <v>338</v>
      </c>
      <c r="AK55" s="143" t="s">
        <v>886</v>
      </c>
      <c r="AL55" s="145" t="s">
        <v>3930</v>
      </c>
      <c r="AM55" s="143" t="s">
        <v>889</v>
      </c>
      <c r="AN55" s="163">
        <v>45565</v>
      </c>
      <c r="AO55" s="163">
        <v>45565</v>
      </c>
      <c r="AP55" s="145" t="s">
        <v>3930</v>
      </c>
      <c r="AQ55" s="144">
        <v>4265</v>
      </c>
      <c r="AR55" s="143" t="s">
        <v>3854</v>
      </c>
      <c r="AS55" s="145" t="s">
        <v>3930</v>
      </c>
      <c r="AT55" s="144">
        <v>4.3502999999999998</v>
      </c>
      <c r="AU55" s="144">
        <v>4.3502999999999998</v>
      </c>
      <c r="AV55" s="145" t="s">
        <v>3930</v>
      </c>
      <c r="AW55" s="145" t="s">
        <v>3930</v>
      </c>
      <c r="AX55" s="145" t="s">
        <v>3930</v>
      </c>
      <c r="AY55" s="145" t="s">
        <v>3930</v>
      </c>
      <c r="AZ55" s="146">
        <v>2.3577840094108726E-4</v>
      </c>
      <c r="BA55" s="147">
        <v>6.3109281332281808E-6</v>
      </c>
      <c r="BB55" s="177"/>
    </row>
    <row r="56" spans="1:54" ht="15" x14ac:dyDescent="0.2">
      <c r="A56" s="142" t="s">
        <v>1205</v>
      </c>
      <c r="B56" s="143" t="s">
        <v>1205</v>
      </c>
      <c r="C56" s="145" t="s">
        <v>3930</v>
      </c>
      <c r="D56" s="145" t="s">
        <v>3930</v>
      </c>
      <c r="E56" s="145" t="s">
        <v>3930</v>
      </c>
      <c r="F56" s="143" t="s">
        <v>3894</v>
      </c>
      <c r="G56" s="143" t="s">
        <v>1012</v>
      </c>
      <c r="H56" s="143" t="s">
        <v>784</v>
      </c>
      <c r="I56" s="143" t="s">
        <v>204</v>
      </c>
      <c r="J56" s="145" t="s">
        <v>3930</v>
      </c>
      <c r="K56" s="143" t="s">
        <v>443</v>
      </c>
      <c r="L56" s="143" t="s">
        <v>339</v>
      </c>
      <c r="M56" s="143" t="s">
        <v>338</v>
      </c>
      <c r="N56" s="145" t="s">
        <v>3930</v>
      </c>
      <c r="O56" s="143" t="s">
        <v>3895</v>
      </c>
      <c r="P56" s="145" t="s">
        <v>3930</v>
      </c>
      <c r="Q56" s="143" t="s">
        <v>410</v>
      </c>
      <c r="R56" s="143" t="s">
        <v>410</v>
      </c>
      <c r="S56" s="143" t="s">
        <v>1210</v>
      </c>
      <c r="T56" s="144">
        <v>0.72</v>
      </c>
      <c r="U56" s="170" t="s">
        <v>823</v>
      </c>
      <c r="V56" s="146">
        <v>7.0000000000000007E-2</v>
      </c>
      <c r="W56" s="145" t="s">
        <v>3930</v>
      </c>
      <c r="X56" s="145" t="s">
        <v>3930</v>
      </c>
      <c r="Y56" s="166">
        <v>0</v>
      </c>
      <c r="Z56" s="146">
        <v>6.9099999999999995E-2</v>
      </c>
      <c r="AA56" s="143" t="s">
        <v>3863</v>
      </c>
      <c r="AB56" s="143" t="s">
        <v>412</v>
      </c>
      <c r="AC56" s="145" t="s">
        <v>3930</v>
      </c>
      <c r="AD56" s="145" t="s">
        <v>3930</v>
      </c>
      <c r="AE56" s="171">
        <v>0.67</v>
      </c>
      <c r="AF56" s="143" t="s">
        <v>3853</v>
      </c>
      <c r="AG56" s="145" t="s">
        <v>3930</v>
      </c>
      <c r="AH56" s="145" t="s">
        <v>3930</v>
      </c>
      <c r="AI56" s="145" t="s">
        <v>3930</v>
      </c>
      <c r="AJ56" s="143" t="s">
        <v>338</v>
      </c>
      <c r="AK56" s="143" t="s">
        <v>886</v>
      </c>
      <c r="AL56" s="145" t="s">
        <v>3930</v>
      </c>
      <c r="AM56" s="143" t="s">
        <v>889</v>
      </c>
      <c r="AN56" s="163">
        <v>45565</v>
      </c>
      <c r="AO56" s="163">
        <v>45565</v>
      </c>
      <c r="AP56" s="145" t="s">
        <v>3930</v>
      </c>
      <c r="AQ56" s="144">
        <v>3867.88</v>
      </c>
      <c r="AR56" s="143" t="s">
        <v>3896</v>
      </c>
      <c r="AS56" s="145" t="s">
        <v>3930</v>
      </c>
      <c r="AT56" s="144">
        <v>3.9594999999999998</v>
      </c>
      <c r="AU56" s="144">
        <v>3.9595487999999999</v>
      </c>
      <c r="AV56" s="145" t="s">
        <v>3930</v>
      </c>
      <c r="AW56" s="145" t="s">
        <v>3930</v>
      </c>
      <c r="AX56" s="145" t="s">
        <v>3930</v>
      </c>
      <c r="AY56" s="145" t="s">
        <v>3930</v>
      </c>
      <c r="AZ56" s="146">
        <v>2.1460038943014304E-4</v>
      </c>
      <c r="BA56" s="147">
        <v>5.7440699811803893E-6</v>
      </c>
      <c r="BB56" s="177"/>
    </row>
    <row r="57" spans="1:54" ht="15" x14ac:dyDescent="0.2">
      <c r="A57" s="142" t="s">
        <v>1205</v>
      </c>
      <c r="B57" s="143" t="s">
        <v>1205</v>
      </c>
      <c r="C57" s="145" t="s">
        <v>3930</v>
      </c>
      <c r="D57" s="145" t="s">
        <v>3930</v>
      </c>
      <c r="E57" s="145" t="s">
        <v>3930</v>
      </c>
      <c r="F57" s="143" t="s">
        <v>3897</v>
      </c>
      <c r="G57" s="143" t="s">
        <v>1012</v>
      </c>
      <c r="H57" s="143" t="s">
        <v>784</v>
      </c>
      <c r="I57" s="143" t="s">
        <v>204</v>
      </c>
      <c r="J57" s="145" t="s">
        <v>3930</v>
      </c>
      <c r="K57" s="143" t="s">
        <v>443</v>
      </c>
      <c r="L57" s="143" t="s">
        <v>339</v>
      </c>
      <c r="M57" s="143" t="s">
        <v>338</v>
      </c>
      <c r="N57" s="145" t="s">
        <v>3930</v>
      </c>
      <c r="O57" s="143" t="s">
        <v>3898</v>
      </c>
      <c r="P57" s="145" t="s">
        <v>3930</v>
      </c>
      <c r="Q57" s="143" t="s">
        <v>410</v>
      </c>
      <c r="R57" s="143" t="s">
        <v>410</v>
      </c>
      <c r="S57" s="143" t="s">
        <v>1210</v>
      </c>
      <c r="T57" s="144">
        <v>0.72</v>
      </c>
      <c r="U57" s="170" t="s">
        <v>823</v>
      </c>
      <c r="V57" s="146">
        <v>7.0000000000000007E-2</v>
      </c>
      <c r="W57" s="145" t="s">
        <v>3930</v>
      </c>
      <c r="X57" s="145" t="s">
        <v>3930</v>
      </c>
      <c r="Y57" s="166">
        <v>0</v>
      </c>
      <c r="Z57" s="146">
        <v>8.2199999999999995E-2</v>
      </c>
      <c r="AA57" s="143" t="s">
        <v>3836</v>
      </c>
      <c r="AB57" s="143" t="s">
        <v>412</v>
      </c>
      <c r="AC57" s="145" t="s">
        <v>3930</v>
      </c>
      <c r="AD57" s="145" t="s">
        <v>3930</v>
      </c>
      <c r="AE57" s="171">
        <v>0.67</v>
      </c>
      <c r="AF57" s="143" t="s">
        <v>3853</v>
      </c>
      <c r="AG57" s="145" t="s">
        <v>3930</v>
      </c>
      <c r="AH57" s="145" t="s">
        <v>3930</v>
      </c>
      <c r="AI57" s="145" t="s">
        <v>3930</v>
      </c>
      <c r="AJ57" s="143" t="s">
        <v>338</v>
      </c>
      <c r="AK57" s="143" t="s">
        <v>886</v>
      </c>
      <c r="AL57" s="145" t="s">
        <v>3930</v>
      </c>
      <c r="AM57" s="143" t="s">
        <v>889</v>
      </c>
      <c r="AN57" s="163">
        <v>45565</v>
      </c>
      <c r="AO57" s="163">
        <v>45565</v>
      </c>
      <c r="AP57" s="145" t="s">
        <v>3930</v>
      </c>
      <c r="AQ57" s="144">
        <v>3876</v>
      </c>
      <c r="AR57" s="143" t="s">
        <v>3899</v>
      </c>
      <c r="AS57" s="145" t="s">
        <v>3930</v>
      </c>
      <c r="AT57" s="144">
        <v>3.9030999999999998</v>
      </c>
      <c r="AU57" s="144">
        <v>3.9031319999999998</v>
      </c>
      <c r="AV57" s="145" t="s">
        <v>3930</v>
      </c>
      <c r="AW57" s="145" t="s">
        <v>3930</v>
      </c>
      <c r="AX57" s="145" t="s">
        <v>3930</v>
      </c>
      <c r="AY57" s="145" t="s">
        <v>3930</v>
      </c>
      <c r="AZ57" s="146">
        <v>2.1154270317495064E-4</v>
      </c>
      <c r="BA57" s="147">
        <v>5.6622268686074931E-6</v>
      </c>
      <c r="BB57" s="177"/>
    </row>
    <row r="58" spans="1:54" ht="15" x14ac:dyDescent="0.2">
      <c r="A58" s="142" t="s">
        <v>1205</v>
      </c>
      <c r="B58" s="143" t="s">
        <v>1205</v>
      </c>
      <c r="C58" s="145" t="s">
        <v>3930</v>
      </c>
      <c r="D58" s="145" t="s">
        <v>3930</v>
      </c>
      <c r="E58" s="145" t="s">
        <v>3930</v>
      </c>
      <c r="F58" s="143" t="s">
        <v>3900</v>
      </c>
      <c r="G58" s="143" t="s">
        <v>1012</v>
      </c>
      <c r="H58" s="143" t="s">
        <v>793</v>
      </c>
      <c r="I58" s="143" t="s">
        <v>204</v>
      </c>
      <c r="J58" s="145" t="s">
        <v>3930</v>
      </c>
      <c r="K58" s="143" t="s">
        <v>447</v>
      </c>
      <c r="L58" s="143" t="s">
        <v>339</v>
      </c>
      <c r="M58" s="143" t="s">
        <v>338</v>
      </c>
      <c r="N58" s="145" t="s">
        <v>3930</v>
      </c>
      <c r="O58" s="143" t="s">
        <v>3901</v>
      </c>
      <c r="P58" s="145" t="s">
        <v>3930</v>
      </c>
      <c r="Q58" s="143" t="s">
        <v>410</v>
      </c>
      <c r="R58" s="143" t="s">
        <v>410</v>
      </c>
      <c r="S58" s="143" t="s">
        <v>1210</v>
      </c>
      <c r="T58" s="144">
        <v>0.01</v>
      </c>
      <c r="U58" s="170" t="s">
        <v>824</v>
      </c>
      <c r="V58" s="146">
        <v>0</v>
      </c>
      <c r="W58" s="145" t="s">
        <v>3930</v>
      </c>
      <c r="X58" s="145" t="s">
        <v>3930</v>
      </c>
      <c r="Y58" s="166">
        <v>0</v>
      </c>
      <c r="Z58" s="146">
        <v>1E-4</v>
      </c>
      <c r="AA58" s="143" t="s">
        <v>3902</v>
      </c>
      <c r="AB58" s="143" t="s">
        <v>412</v>
      </c>
      <c r="AC58" s="145" t="s">
        <v>3930</v>
      </c>
      <c r="AD58" s="145" t="s">
        <v>3930</v>
      </c>
      <c r="AE58" s="145" t="s">
        <v>3930</v>
      </c>
      <c r="AF58" s="143" t="s">
        <v>3768</v>
      </c>
      <c r="AG58" s="145" t="s">
        <v>3930</v>
      </c>
      <c r="AH58" s="145" t="s">
        <v>3930</v>
      </c>
      <c r="AI58" s="145" t="s">
        <v>3930</v>
      </c>
      <c r="AJ58" s="145" t="s">
        <v>3930</v>
      </c>
      <c r="AK58" s="143" t="s">
        <v>314</v>
      </c>
      <c r="AL58" s="145" t="s">
        <v>3930</v>
      </c>
      <c r="AM58" s="143" t="s">
        <v>888</v>
      </c>
      <c r="AN58" s="163">
        <v>45529</v>
      </c>
      <c r="AO58" s="163">
        <v>45529</v>
      </c>
      <c r="AP58" s="145" t="s">
        <v>3930</v>
      </c>
      <c r="AQ58" s="144">
        <v>345640.15</v>
      </c>
      <c r="AR58" s="143" t="s">
        <v>3101</v>
      </c>
      <c r="AS58" s="145" t="s">
        <v>3930</v>
      </c>
      <c r="AT58" s="144">
        <v>3.4599999999999999E-2</v>
      </c>
      <c r="AU58" s="144">
        <v>3.4563999999999998E-2</v>
      </c>
      <c r="AV58" s="145" t="s">
        <v>3930</v>
      </c>
      <c r="AW58" s="145" t="s">
        <v>3930</v>
      </c>
      <c r="AX58" s="145" t="s">
        <v>3930</v>
      </c>
      <c r="AY58" s="145" t="s">
        <v>3930</v>
      </c>
      <c r="AZ58" s="146">
        <v>1.8733071711844596E-6</v>
      </c>
      <c r="BA58" s="147">
        <v>5.0141602799995598E-8</v>
      </c>
      <c r="BB58" s="177"/>
    </row>
    <row r="59" spans="1:54" ht="15" x14ac:dyDescent="0.2">
      <c r="A59" s="142" t="s">
        <v>1205</v>
      </c>
      <c r="B59" s="143" t="s">
        <v>1205</v>
      </c>
      <c r="C59" s="145" t="s">
        <v>3930</v>
      </c>
      <c r="D59" s="145" t="s">
        <v>3930</v>
      </c>
      <c r="E59" s="145" t="s">
        <v>3930</v>
      </c>
      <c r="F59" s="143" t="s">
        <v>3903</v>
      </c>
      <c r="G59" s="143" t="s">
        <v>1012</v>
      </c>
      <c r="H59" s="143" t="s">
        <v>793</v>
      </c>
      <c r="I59" s="143" t="s">
        <v>204</v>
      </c>
      <c r="J59" s="145" t="s">
        <v>3930</v>
      </c>
      <c r="K59" s="143" t="s">
        <v>447</v>
      </c>
      <c r="L59" s="143" t="s">
        <v>339</v>
      </c>
      <c r="M59" s="143" t="s">
        <v>338</v>
      </c>
      <c r="N59" s="145" t="s">
        <v>3930</v>
      </c>
      <c r="O59" s="143" t="s">
        <v>3901</v>
      </c>
      <c r="P59" s="145" t="s">
        <v>3930</v>
      </c>
      <c r="Q59" s="143" t="s">
        <v>410</v>
      </c>
      <c r="R59" s="143" t="s">
        <v>410</v>
      </c>
      <c r="S59" s="143" t="s">
        <v>1210</v>
      </c>
      <c r="T59" s="144">
        <v>0.01</v>
      </c>
      <c r="U59" s="170" t="s">
        <v>823</v>
      </c>
      <c r="V59" s="146">
        <v>0</v>
      </c>
      <c r="W59" s="145" t="s">
        <v>3930</v>
      </c>
      <c r="X59" s="145" t="s">
        <v>3930</v>
      </c>
      <c r="Y59" s="166">
        <v>0</v>
      </c>
      <c r="Z59" s="146">
        <v>1E-4</v>
      </c>
      <c r="AA59" s="143" t="s">
        <v>3904</v>
      </c>
      <c r="AB59" s="143" t="s">
        <v>412</v>
      </c>
      <c r="AC59" s="145" t="s">
        <v>3930</v>
      </c>
      <c r="AD59" s="145" t="s">
        <v>3930</v>
      </c>
      <c r="AE59" s="145" t="s">
        <v>3930</v>
      </c>
      <c r="AF59" s="143" t="s">
        <v>3768</v>
      </c>
      <c r="AG59" s="145" t="s">
        <v>3930</v>
      </c>
      <c r="AH59" s="145" t="s">
        <v>3930</v>
      </c>
      <c r="AI59" s="145" t="s">
        <v>3930</v>
      </c>
      <c r="AJ59" s="145" t="s">
        <v>3930</v>
      </c>
      <c r="AK59" s="143" t="s">
        <v>314</v>
      </c>
      <c r="AL59" s="145" t="s">
        <v>3930</v>
      </c>
      <c r="AM59" s="143" t="s">
        <v>888</v>
      </c>
      <c r="AN59" s="163">
        <v>45529</v>
      </c>
      <c r="AO59" s="163">
        <v>45529</v>
      </c>
      <c r="AP59" s="145" t="s">
        <v>3930</v>
      </c>
      <c r="AQ59" s="144">
        <v>26569.94</v>
      </c>
      <c r="AR59" s="143" t="s">
        <v>3101</v>
      </c>
      <c r="AS59" s="145" t="s">
        <v>3930</v>
      </c>
      <c r="AT59" s="144">
        <v>2.7000000000000001E-3</v>
      </c>
      <c r="AU59" s="144">
        <v>2.6570000000000001E-3</v>
      </c>
      <c r="AV59" s="145" t="s">
        <v>3930</v>
      </c>
      <c r="AW59" s="145" t="s">
        <v>3930</v>
      </c>
      <c r="AX59" s="145" t="s">
        <v>3930</v>
      </c>
      <c r="AY59" s="145" t="s">
        <v>3930</v>
      </c>
      <c r="AZ59" s="146">
        <v>1.4400427479255757E-7</v>
      </c>
      <c r="BA59" s="147">
        <v>3.8544693893337195E-9</v>
      </c>
      <c r="BB59" s="177"/>
    </row>
    <row r="60" spans="1:54" ht="15" x14ac:dyDescent="0.2">
      <c r="A60" s="142" t="s">
        <v>1220</v>
      </c>
      <c r="B60" s="143" t="s">
        <v>1221</v>
      </c>
      <c r="C60" s="145" t="s">
        <v>3930</v>
      </c>
      <c r="D60" s="145" t="s">
        <v>3930</v>
      </c>
      <c r="E60" s="145" t="s">
        <v>3930</v>
      </c>
      <c r="F60" s="143" t="s">
        <v>3905</v>
      </c>
      <c r="G60" s="143" t="s">
        <v>1011</v>
      </c>
      <c r="H60" s="145" t="s">
        <v>3930</v>
      </c>
      <c r="I60" s="143" t="s">
        <v>204</v>
      </c>
      <c r="J60" s="145" t="s">
        <v>3930</v>
      </c>
      <c r="K60" s="143" t="s">
        <v>478</v>
      </c>
      <c r="L60" s="143" t="s">
        <v>339</v>
      </c>
      <c r="M60" s="143" t="s">
        <v>339</v>
      </c>
      <c r="N60" s="145" t="s">
        <v>3930</v>
      </c>
      <c r="O60" s="143" t="s">
        <v>3906</v>
      </c>
      <c r="P60" s="143" t="s">
        <v>1721</v>
      </c>
      <c r="Q60" s="143" t="s">
        <v>413</v>
      </c>
      <c r="R60" s="143" t="s">
        <v>408</v>
      </c>
      <c r="S60" s="143" t="s">
        <v>1210</v>
      </c>
      <c r="T60" s="144">
        <v>2.0442999999999998</v>
      </c>
      <c r="U60" s="170" t="s">
        <v>314</v>
      </c>
      <c r="V60" s="146">
        <v>5.3999999999999999E-2</v>
      </c>
      <c r="W60" s="145" t="s">
        <v>3930</v>
      </c>
      <c r="X60" s="145" t="s">
        <v>3930</v>
      </c>
      <c r="Y60" s="166">
        <v>0</v>
      </c>
      <c r="Z60" s="146">
        <v>5.5904373234924302E-2</v>
      </c>
      <c r="AA60" s="143" t="s">
        <v>1526</v>
      </c>
      <c r="AB60" s="143" t="s">
        <v>412</v>
      </c>
      <c r="AC60" s="145" t="s">
        <v>3930</v>
      </c>
      <c r="AD60" s="145" t="s">
        <v>3930</v>
      </c>
      <c r="AE60" s="145" t="s">
        <v>3930</v>
      </c>
      <c r="AF60" s="143" t="s">
        <v>3717</v>
      </c>
      <c r="AG60" s="145" t="s">
        <v>3930</v>
      </c>
      <c r="AH60" s="145" t="s">
        <v>3930</v>
      </c>
      <c r="AI60" s="145" t="s">
        <v>3930</v>
      </c>
      <c r="AJ60" s="145" t="s">
        <v>3930</v>
      </c>
      <c r="AK60" s="143" t="s">
        <v>314</v>
      </c>
      <c r="AL60" s="145" t="s">
        <v>3930</v>
      </c>
      <c r="AM60" s="143" t="s">
        <v>889</v>
      </c>
      <c r="AN60" s="163">
        <v>45565</v>
      </c>
      <c r="AO60" s="163">
        <v>45565</v>
      </c>
      <c r="AP60" s="145" t="s">
        <v>3930</v>
      </c>
      <c r="AQ60" s="144">
        <v>1285456.77</v>
      </c>
      <c r="AR60" s="143" t="s">
        <v>3907</v>
      </c>
      <c r="AS60" s="145" t="s">
        <v>3930</v>
      </c>
      <c r="AT60" s="144">
        <v>1297.4102</v>
      </c>
      <c r="AU60" s="144">
        <v>1297.4102324999999</v>
      </c>
      <c r="AV60" s="145" t="s">
        <v>3930</v>
      </c>
      <c r="AW60" s="145" t="s">
        <v>3930</v>
      </c>
      <c r="AX60" s="145" t="s">
        <v>3930</v>
      </c>
      <c r="AY60" s="145" t="s">
        <v>3930</v>
      </c>
      <c r="AZ60" s="146">
        <v>1</v>
      </c>
      <c r="BA60" s="147">
        <v>4.2956182350975735E-3</v>
      </c>
      <c r="BB60" s="177"/>
    </row>
    <row r="61" spans="1:54" ht="15" x14ac:dyDescent="0.2">
      <c r="A61" s="142" t="s">
        <v>1220</v>
      </c>
      <c r="B61" s="143" t="s">
        <v>1220</v>
      </c>
      <c r="C61" s="145" t="s">
        <v>3930</v>
      </c>
      <c r="D61" s="145" t="s">
        <v>3930</v>
      </c>
      <c r="E61" s="145" t="s">
        <v>3930</v>
      </c>
      <c r="F61" s="143" t="s">
        <v>3908</v>
      </c>
      <c r="G61" s="143" t="s">
        <v>1011</v>
      </c>
      <c r="H61" s="145" t="s">
        <v>3930</v>
      </c>
      <c r="I61" s="143" t="s">
        <v>204</v>
      </c>
      <c r="J61" s="145" t="s">
        <v>3930</v>
      </c>
      <c r="K61" s="143" t="s">
        <v>478</v>
      </c>
      <c r="L61" s="143" t="s">
        <v>339</v>
      </c>
      <c r="M61" s="143" t="s">
        <v>339</v>
      </c>
      <c r="N61" s="145" t="s">
        <v>3930</v>
      </c>
      <c r="O61" s="143" t="s">
        <v>3716</v>
      </c>
      <c r="P61" s="143" t="s">
        <v>1721</v>
      </c>
      <c r="Q61" s="143" t="s">
        <v>413</v>
      </c>
      <c r="R61" s="143" t="s">
        <v>408</v>
      </c>
      <c r="S61" s="143" t="s">
        <v>1210</v>
      </c>
      <c r="T61" s="144">
        <v>1.5760000000000001</v>
      </c>
      <c r="U61" s="170" t="s">
        <v>314</v>
      </c>
      <c r="V61" s="146">
        <v>5.3999999999999999E-2</v>
      </c>
      <c r="W61" s="145" t="s">
        <v>3930</v>
      </c>
      <c r="X61" s="145" t="s">
        <v>3930</v>
      </c>
      <c r="Y61" s="166">
        <v>0</v>
      </c>
      <c r="Z61" s="146">
        <v>6.0578506989237703E-2</v>
      </c>
      <c r="AA61" s="143" t="s">
        <v>1526</v>
      </c>
      <c r="AB61" s="143" t="s">
        <v>412</v>
      </c>
      <c r="AC61" s="145" t="s">
        <v>3930</v>
      </c>
      <c r="AD61" s="145" t="s">
        <v>3930</v>
      </c>
      <c r="AE61" s="145" t="s">
        <v>3930</v>
      </c>
      <c r="AF61" s="143" t="s">
        <v>3717</v>
      </c>
      <c r="AG61" s="145" t="s">
        <v>3930</v>
      </c>
      <c r="AH61" s="145" t="s">
        <v>3930</v>
      </c>
      <c r="AI61" s="145" t="s">
        <v>3930</v>
      </c>
      <c r="AJ61" s="145" t="s">
        <v>3930</v>
      </c>
      <c r="AK61" s="143" t="s">
        <v>314</v>
      </c>
      <c r="AL61" s="145" t="s">
        <v>3930</v>
      </c>
      <c r="AM61" s="143" t="s">
        <v>889</v>
      </c>
      <c r="AN61" s="163">
        <v>45565</v>
      </c>
      <c r="AO61" s="163">
        <v>45565</v>
      </c>
      <c r="AP61" s="145" t="s">
        <v>3930</v>
      </c>
      <c r="AQ61" s="144">
        <v>30541604.399999999</v>
      </c>
      <c r="AR61" s="143" t="s">
        <v>3909</v>
      </c>
      <c r="AS61" s="145" t="s">
        <v>3930</v>
      </c>
      <c r="AT61" s="144">
        <v>30974.5622</v>
      </c>
      <c r="AU61" s="144">
        <v>30974.562183999999</v>
      </c>
      <c r="AV61" s="145" t="s">
        <v>3930</v>
      </c>
      <c r="AW61" s="145" t="s">
        <v>3930</v>
      </c>
      <c r="AX61" s="145" t="s">
        <v>3930</v>
      </c>
      <c r="AY61" s="145" t="s">
        <v>3930</v>
      </c>
      <c r="AZ61" s="146">
        <v>0.15911794672141857</v>
      </c>
      <c r="BA61" s="147">
        <v>3.9536683117025948E-3</v>
      </c>
      <c r="BB61" s="177"/>
    </row>
    <row r="62" spans="1:54" ht="15" x14ac:dyDescent="0.2">
      <c r="A62" s="142" t="s">
        <v>1220</v>
      </c>
      <c r="B62" s="143" t="s">
        <v>1220</v>
      </c>
      <c r="C62" s="145" t="s">
        <v>3930</v>
      </c>
      <c r="D62" s="145" t="s">
        <v>3930</v>
      </c>
      <c r="E62" s="145" t="s">
        <v>3930</v>
      </c>
      <c r="F62" s="143" t="s">
        <v>3719</v>
      </c>
      <c r="G62" s="143" t="s">
        <v>1012</v>
      </c>
      <c r="H62" s="143" t="s">
        <v>817</v>
      </c>
      <c r="I62" s="143" t="s">
        <v>204</v>
      </c>
      <c r="J62" s="145" t="s">
        <v>3930</v>
      </c>
      <c r="K62" s="143" t="s">
        <v>447</v>
      </c>
      <c r="L62" s="143" t="s">
        <v>339</v>
      </c>
      <c r="M62" s="143" t="s">
        <v>338</v>
      </c>
      <c r="N62" s="145" t="s">
        <v>3930</v>
      </c>
      <c r="O62" s="143" t="s">
        <v>3720</v>
      </c>
      <c r="P62" s="143" t="s">
        <v>3721</v>
      </c>
      <c r="Q62" s="143" t="s">
        <v>415</v>
      </c>
      <c r="R62" s="143" t="s">
        <v>408</v>
      </c>
      <c r="S62" s="143" t="s">
        <v>1210</v>
      </c>
      <c r="T62" s="144">
        <v>0.37</v>
      </c>
      <c r="U62" s="170" t="s">
        <v>823</v>
      </c>
      <c r="V62" s="146">
        <v>7.400000000000001E-2</v>
      </c>
      <c r="W62" s="145" t="s">
        <v>3930</v>
      </c>
      <c r="X62" s="145" t="s">
        <v>3930</v>
      </c>
      <c r="Y62" s="166">
        <v>0</v>
      </c>
      <c r="Z62" s="146">
        <v>7.51E-2</v>
      </c>
      <c r="AA62" s="143" t="s">
        <v>3722</v>
      </c>
      <c r="AB62" s="143" t="s">
        <v>412</v>
      </c>
      <c r="AC62" s="145" t="s">
        <v>3930</v>
      </c>
      <c r="AD62" s="145" t="s">
        <v>3930</v>
      </c>
      <c r="AE62" s="171">
        <v>0.55000000000000004</v>
      </c>
      <c r="AF62" s="143" t="s">
        <v>3723</v>
      </c>
      <c r="AG62" s="145" t="s">
        <v>3930</v>
      </c>
      <c r="AH62" s="145" t="s">
        <v>3930</v>
      </c>
      <c r="AI62" s="145" t="s">
        <v>3930</v>
      </c>
      <c r="AJ62" s="143" t="s">
        <v>339</v>
      </c>
      <c r="AK62" s="143" t="s">
        <v>886</v>
      </c>
      <c r="AL62" s="145" t="s">
        <v>3930</v>
      </c>
      <c r="AM62" s="143" t="s">
        <v>889</v>
      </c>
      <c r="AN62" s="163">
        <v>45565</v>
      </c>
      <c r="AO62" s="163">
        <v>45565</v>
      </c>
      <c r="AP62" s="145" t="s">
        <v>3930</v>
      </c>
      <c r="AQ62" s="144">
        <v>15392000</v>
      </c>
      <c r="AR62" s="143" t="s">
        <v>3724</v>
      </c>
      <c r="AS62" s="145" t="s">
        <v>3930</v>
      </c>
      <c r="AT62" s="144">
        <v>16398.6368</v>
      </c>
      <c r="AU62" s="144">
        <v>16398.6368</v>
      </c>
      <c r="AV62" s="145" t="s">
        <v>3930</v>
      </c>
      <c r="AW62" s="145" t="s">
        <v>3930</v>
      </c>
      <c r="AX62" s="145" t="s">
        <v>3930</v>
      </c>
      <c r="AY62" s="145" t="s">
        <v>3930</v>
      </c>
      <c r="AZ62" s="146">
        <v>8.4240655320587582E-2</v>
      </c>
      <c r="BA62" s="147">
        <v>2.093161810849556E-3</v>
      </c>
      <c r="BB62" s="177"/>
    </row>
    <row r="63" spans="1:54" ht="15" x14ac:dyDescent="0.2">
      <c r="A63" s="142" t="s">
        <v>1220</v>
      </c>
      <c r="B63" s="143" t="s">
        <v>1220</v>
      </c>
      <c r="C63" s="145" t="s">
        <v>3930</v>
      </c>
      <c r="D63" s="145" t="s">
        <v>3930</v>
      </c>
      <c r="E63" s="145" t="s">
        <v>3930</v>
      </c>
      <c r="F63" s="143" t="s">
        <v>3725</v>
      </c>
      <c r="G63" s="143" t="s">
        <v>1012</v>
      </c>
      <c r="H63" s="143" t="s">
        <v>3726</v>
      </c>
      <c r="I63" s="143" t="s">
        <v>204</v>
      </c>
      <c r="J63" s="145" t="s">
        <v>3930</v>
      </c>
      <c r="K63" s="143" t="s">
        <v>447</v>
      </c>
      <c r="L63" s="143" t="s">
        <v>339</v>
      </c>
      <c r="M63" s="143" t="s">
        <v>338</v>
      </c>
      <c r="N63" s="145" t="s">
        <v>3930</v>
      </c>
      <c r="O63" s="143" t="s">
        <v>3727</v>
      </c>
      <c r="P63" s="145" t="s">
        <v>3930</v>
      </c>
      <c r="Q63" s="143" t="s">
        <v>410</v>
      </c>
      <c r="R63" s="143" t="s">
        <v>410</v>
      </c>
      <c r="S63" s="143" t="s">
        <v>1210</v>
      </c>
      <c r="T63" s="144">
        <v>0.22</v>
      </c>
      <c r="U63" s="170" t="s">
        <v>823</v>
      </c>
      <c r="V63" s="146">
        <v>7.0000000000000007E-2</v>
      </c>
      <c r="W63" s="145" t="s">
        <v>3930</v>
      </c>
      <c r="X63" s="145" t="s">
        <v>3930</v>
      </c>
      <c r="Y63" s="166">
        <v>0</v>
      </c>
      <c r="Z63" s="146">
        <v>8.1799999999999998E-2</v>
      </c>
      <c r="AA63" s="143" t="s">
        <v>3728</v>
      </c>
      <c r="AB63" s="143" t="s">
        <v>412</v>
      </c>
      <c r="AC63" s="145" t="s">
        <v>3930</v>
      </c>
      <c r="AD63" s="145" t="s">
        <v>3930</v>
      </c>
      <c r="AE63" s="145" t="s">
        <v>3930</v>
      </c>
      <c r="AF63" s="145" t="s">
        <v>3930</v>
      </c>
      <c r="AG63" s="145" t="s">
        <v>3930</v>
      </c>
      <c r="AH63" s="145" t="s">
        <v>3930</v>
      </c>
      <c r="AI63" s="145" t="s">
        <v>3930</v>
      </c>
      <c r="AJ63" s="143" t="s">
        <v>338</v>
      </c>
      <c r="AK63" s="143" t="s">
        <v>885</v>
      </c>
      <c r="AL63" s="145" t="s">
        <v>3930</v>
      </c>
      <c r="AM63" s="143" t="s">
        <v>889</v>
      </c>
      <c r="AN63" s="163">
        <v>45502</v>
      </c>
      <c r="AO63" s="163">
        <v>45502</v>
      </c>
      <c r="AP63" s="145" t="s">
        <v>3930</v>
      </c>
      <c r="AQ63" s="144">
        <v>16271887</v>
      </c>
      <c r="AR63" s="143" t="s">
        <v>3061</v>
      </c>
      <c r="AS63" s="145" t="s">
        <v>3930</v>
      </c>
      <c r="AT63" s="144">
        <v>16271.887000000001</v>
      </c>
      <c r="AU63" s="144">
        <v>16271.887000000001</v>
      </c>
      <c r="AV63" s="145" t="s">
        <v>3930</v>
      </c>
      <c r="AW63" s="145" t="s">
        <v>3930</v>
      </c>
      <c r="AX63" s="145" t="s">
        <v>3930</v>
      </c>
      <c r="AY63" s="145" t="s">
        <v>3930</v>
      </c>
      <c r="AZ63" s="146">
        <v>8.3589534965647264E-2</v>
      </c>
      <c r="BA63" s="147">
        <v>2.0769831586769059E-3</v>
      </c>
      <c r="BB63" s="177"/>
    </row>
    <row r="64" spans="1:54" ht="15" x14ac:dyDescent="0.2">
      <c r="A64" s="142" t="s">
        <v>1220</v>
      </c>
      <c r="B64" s="143" t="s">
        <v>1220</v>
      </c>
      <c r="C64" s="145" t="s">
        <v>3930</v>
      </c>
      <c r="D64" s="145" t="s">
        <v>3930</v>
      </c>
      <c r="E64" s="145" t="s">
        <v>3930</v>
      </c>
      <c r="F64" s="143" t="s">
        <v>3729</v>
      </c>
      <c r="G64" s="143" t="s">
        <v>1012</v>
      </c>
      <c r="H64" s="145" t="s">
        <v>3930</v>
      </c>
      <c r="I64" s="143" t="s">
        <v>204</v>
      </c>
      <c r="J64" s="145" t="s">
        <v>3930</v>
      </c>
      <c r="K64" s="143" t="s">
        <v>485</v>
      </c>
      <c r="L64" s="143" t="s">
        <v>339</v>
      </c>
      <c r="M64" s="143" t="s">
        <v>338</v>
      </c>
      <c r="N64" s="145" t="s">
        <v>3930</v>
      </c>
      <c r="O64" s="143" t="s">
        <v>3197</v>
      </c>
      <c r="P64" s="143" t="s">
        <v>1425</v>
      </c>
      <c r="Q64" s="143" t="s">
        <v>415</v>
      </c>
      <c r="R64" s="143" t="s">
        <v>408</v>
      </c>
      <c r="S64" s="143" t="s">
        <v>1210</v>
      </c>
      <c r="T64" s="144">
        <v>10.06</v>
      </c>
      <c r="U64" s="170" t="s">
        <v>824</v>
      </c>
      <c r="V64" s="146">
        <v>0.03</v>
      </c>
      <c r="W64" s="145" t="s">
        <v>3930</v>
      </c>
      <c r="X64" s="145" t="s">
        <v>3930</v>
      </c>
      <c r="Y64" s="166">
        <v>0</v>
      </c>
      <c r="Z64" s="146">
        <v>3.85E-2</v>
      </c>
      <c r="AA64" s="143" t="s">
        <v>3730</v>
      </c>
      <c r="AB64" s="143" t="s">
        <v>412</v>
      </c>
      <c r="AC64" s="145" t="s">
        <v>3930</v>
      </c>
      <c r="AD64" s="145" t="s">
        <v>3930</v>
      </c>
      <c r="AE64" s="171">
        <v>0.75</v>
      </c>
      <c r="AF64" s="143" t="s">
        <v>3731</v>
      </c>
      <c r="AG64" s="145" t="s">
        <v>3930</v>
      </c>
      <c r="AH64" s="145" t="s">
        <v>3930</v>
      </c>
      <c r="AI64" s="145" t="s">
        <v>3930</v>
      </c>
      <c r="AJ64" s="143" t="s">
        <v>338</v>
      </c>
      <c r="AK64" s="143" t="s">
        <v>886</v>
      </c>
      <c r="AL64" s="145" t="s">
        <v>3930</v>
      </c>
      <c r="AM64" s="143" t="s">
        <v>889</v>
      </c>
      <c r="AN64" s="163">
        <v>45565</v>
      </c>
      <c r="AO64" s="163">
        <v>45565</v>
      </c>
      <c r="AP64" s="145" t="s">
        <v>3930</v>
      </c>
      <c r="AQ64" s="144">
        <v>11228805.4</v>
      </c>
      <c r="AR64" s="143" t="s">
        <v>3732</v>
      </c>
      <c r="AS64" s="145" t="s">
        <v>3930</v>
      </c>
      <c r="AT64" s="144">
        <v>11699.292300000001</v>
      </c>
      <c r="AU64" s="144">
        <v>11699.292346299999</v>
      </c>
      <c r="AV64" s="145" t="s">
        <v>3930</v>
      </c>
      <c r="AW64" s="145" t="s">
        <v>3930</v>
      </c>
      <c r="AX64" s="145" t="s">
        <v>3930</v>
      </c>
      <c r="AY64" s="145" t="s">
        <v>3930</v>
      </c>
      <c r="AZ64" s="146">
        <v>6.0099876962704427E-2</v>
      </c>
      <c r="BA64" s="147">
        <v>1.4933260765404557E-3</v>
      </c>
      <c r="BB64" s="177"/>
    </row>
    <row r="65" spans="1:54" ht="15" x14ac:dyDescent="0.2">
      <c r="A65" s="142" t="s">
        <v>1220</v>
      </c>
      <c r="B65" s="143" t="s">
        <v>1220</v>
      </c>
      <c r="C65" s="145" t="s">
        <v>3930</v>
      </c>
      <c r="D65" s="145" t="s">
        <v>3930</v>
      </c>
      <c r="E65" s="145" t="s">
        <v>3930</v>
      </c>
      <c r="F65" s="143" t="s">
        <v>3733</v>
      </c>
      <c r="G65" s="143" t="s">
        <v>1012</v>
      </c>
      <c r="H65" s="145" t="s">
        <v>3930</v>
      </c>
      <c r="I65" s="143" t="s">
        <v>204</v>
      </c>
      <c r="J65" s="145" t="s">
        <v>3930</v>
      </c>
      <c r="K65" s="143" t="s">
        <v>485</v>
      </c>
      <c r="L65" s="143" t="s">
        <v>339</v>
      </c>
      <c r="M65" s="143" t="s">
        <v>338</v>
      </c>
      <c r="N65" s="145" t="s">
        <v>3930</v>
      </c>
      <c r="O65" s="143" t="s">
        <v>3734</v>
      </c>
      <c r="P65" s="143" t="s">
        <v>1721</v>
      </c>
      <c r="Q65" s="143" t="s">
        <v>413</v>
      </c>
      <c r="R65" s="143" t="s">
        <v>408</v>
      </c>
      <c r="S65" s="143" t="s">
        <v>1210</v>
      </c>
      <c r="T65" s="144">
        <v>5.76</v>
      </c>
      <c r="U65" s="170" t="s">
        <v>824</v>
      </c>
      <c r="V65" s="146">
        <v>3.4099999999999998E-2</v>
      </c>
      <c r="W65" s="145" t="s">
        <v>3930</v>
      </c>
      <c r="X65" s="145" t="s">
        <v>3930</v>
      </c>
      <c r="Y65" s="166">
        <v>0</v>
      </c>
      <c r="Z65" s="146">
        <v>3.1800000000000002E-2</v>
      </c>
      <c r="AA65" s="143" t="s">
        <v>3735</v>
      </c>
      <c r="AB65" s="143" t="s">
        <v>412</v>
      </c>
      <c r="AC65" s="145" t="s">
        <v>3930</v>
      </c>
      <c r="AD65" s="145" t="s">
        <v>3930</v>
      </c>
      <c r="AE65" s="145" t="s">
        <v>3930</v>
      </c>
      <c r="AF65" s="145" t="s">
        <v>3930</v>
      </c>
      <c r="AG65" s="145" t="s">
        <v>3930</v>
      </c>
      <c r="AH65" s="145" t="s">
        <v>3930</v>
      </c>
      <c r="AI65" s="145" t="s">
        <v>3930</v>
      </c>
      <c r="AJ65" s="145" t="s">
        <v>3930</v>
      </c>
      <c r="AK65" s="143" t="s">
        <v>886</v>
      </c>
      <c r="AL65" s="145" t="s">
        <v>3930</v>
      </c>
      <c r="AM65" s="143" t="s">
        <v>889</v>
      </c>
      <c r="AN65" s="163">
        <v>45565</v>
      </c>
      <c r="AO65" s="163">
        <v>45565</v>
      </c>
      <c r="AP65" s="145" t="s">
        <v>3930</v>
      </c>
      <c r="AQ65" s="144">
        <v>7295934.4900000002</v>
      </c>
      <c r="AR65" s="143" t="s">
        <v>3736</v>
      </c>
      <c r="AS65" s="145" t="s">
        <v>3930</v>
      </c>
      <c r="AT65" s="144">
        <v>8544.9984999999997</v>
      </c>
      <c r="AU65" s="144">
        <v>8544.9984746999999</v>
      </c>
      <c r="AV65" s="145" t="s">
        <v>3930</v>
      </c>
      <c r="AW65" s="145" t="s">
        <v>3930</v>
      </c>
      <c r="AX65" s="145" t="s">
        <v>3930</v>
      </c>
      <c r="AY65" s="145" t="s">
        <v>3930</v>
      </c>
      <c r="AZ65" s="146">
        <v>4.3896104292104235E-2</v>
      </c>
      <c r="BA65" s="147">
        <v>1.0907043493386371E-3</v>
      </c>
      <c r="BB65" s="177"/>
    </row>
    <row r="66" spans="1:54" ht="15" x14ac:dyDescent="0.2">
      <c r="A66" s="142" t="s">
        <v>1220</v>
      </c>
      <c r="B66" s="143" t="s">
        <v>1220</v>
      </c>
      <c r="C66" s="145" t="s">
        <v>3930</v>
      </c>
      <c r="D66" s="145" t="s">
        <v>3930</v>
      </c>
      <c r="E66" s="145" t="s">
        <v>3930</v>
      </c>
      <c r="F66" s="143" t="s">
        <v>3737</v>
      </c>
      <c r="G66" s="143" t="s">
        <v>1012</v>
      </c>
      <c r="H66" s="145" t="s">
        <v>3930</v>
      </c>
      <c r="I66" s="143" t="s">
        <v>204</v>
      </c>
      <c r="J66" s="145" t="s">
        <v>3930</v>
      </c>
      <c r="K66" s="143" t="s">
        <v>440</v>
      </c>
      <c r="L66" s="143" t="s">
        <v>339</v>
      </c>
      <c r="M66" s="143" t="s">
        <v>338</v>
      </c>
      <c r="N66" s="145" t="s">
        <v>3930</v>
      </c>
      <c r="O66" s="143" t="s">
        <v>3738</v>
      </c>
      <c r="P66" s="143" t="s">
        <v>1368</v>
      </c>
      <c r="Q66" s="143" t="s">
        <v>415</v>
      </c>
      <c r="R66" s="143" t="s">
        <v>408</v>
      </c>
      <c r="S66" s="143" t="s">
        <v>1210</v>
      </c>
      <c r="T66" s="144">
        <v>3.75</v>
      </c>
      <c r="U66" s="170" t="s">
        <v>824</v>
      </c>
      <c r="V66" s="146">
        <v>0</v>
      </c>
      <c r="W66" s="145" t="s">
        <v>3930</v>
      </c>
      <c r="X66" s="145" t="s">
        <v>3930</v>
      </c>
      <c r="Y66" s="166">
        <v>0</v>
      </c>
      <c r="Z66" s="146">
        <v>2.86E-2</v>
      </c>
      <c r="AA66" s="143" t="s">
        <v>1757</v>
      </c>
      <c r="AB66" s="143" t="s">
        <v>412</v>
      </c>
      <c r="AC66" s="145" t="s">
        <v>3930</v>
      </c>
      <c r="AD66" s="145" t="s">
        <v>3930</v>
      </c>
      <c r="AE66" s="171">
        <v>0.75</v>
      </c>
      <c r="AF66" s="143" t="s">
        <v>3739</v>
      </c>
      <c r="AG66" s="145" t="s">
        <v>3930</v>
      </c>
      <c r="AH66" s="145" t="s">
        <v>3930</v>
      </c>
      <c r="AI66" s="145" t="s">
        <v>3930</v>
      </c>
      <c r="AJ66" s="143" t="s">
        <v>338</v>
      </c>
      <c r="AK66" s="143" t="s">
        <v>886</v>
      </c>
      <c r="AL66" s="145" t="s">
        <v>3930</v>
      </c>
      <c r="AM66" s="143" t="s">
        <v>889</v>
      </c>
      <c r="AN66" s="163">
        <v>45565</v>
      </c>
      <c r="AO66" s="163">
        <v>45565</v>
      </c>
      <c r="AP66" s="145" t="s">
        <v>3930</v>
      </c>
      <c r="AQ66" s="144">
        <v>7012987.3200000003</v>
      </c>
      <c r="AR66" s="143" t="s">
        <v>3740</v>
      </c>
      <c r="AS66" s="145" t="s">
        <v>3930</v>
      </c>
      <c r="AT66" s="144">
        <v>8212.9094999999998</v>
      </c>
      <c r="AU66" s="144">
        <v>8212.9094504999994</v>
      </c>
      <c r="AV66" s="145" t="s">
        <v>3930</v>
      </c>
      <c r="AW66" s="145" t="s">
        <v>3930</v>
      </c>
      <c r="AX66" s="145" t="s">
        <v>3930</v>
      </c>
      <c r="AY66" s="145" t="s">
        <v>3930</v>
      </c>
      <c r="AZ66" s="146">
        <v>4.2190145597634267E-2</v>
      </c>
      <c r="BA66" s="147">
        <v>1.0483157000984096E-3</v>
      </c>
      <c r="BB66" s="177"/>
    </row>
    <row r="67" spans="1:54" ht="15" x14ac:dyDescent="0.2">
      <c r="A67" s="142" t="s">
        <v>1220</v>
      </c>
      <c r="B67" s="143" t="s">
        <v>1220</v>
      </c>
      <c r="C67" s="145" t="s">
        <v>3930</v>
      </c>
      <c r="D67" s="145" t="s">
        <v>3930</v>
      </c>
      <c r="E67" s="145" t="s">
        <v>3930</v>
      </c>
      <c r="F67" s="143" t="s">
        <v>3741</v>
      </c>
      <c r="G67" s="143" t="s">
        <v>1012</v>
      </c>
      <c r="H67" s="145" t="s">
        <v>3930</v>
      </c>
      <c r="I67" s="143" t="s">
        <v>204</v>
      </c>
      <c r="J67" s="145" t="s">
        <v>3930</v>
      </c>
      <c r="K67" s="143" t="s">
        <v>448</v>
      </c>
      <c r="L67" s="143" t="s">
        <v>339</v>
      </c>
      <c r="M67" s="143" t="s">
        <v>338</v>
      </c>
      <c r="N67" s="145" t="s">
        <v>3930</v>
      </c>
      <c r="O67" s="143" t="s">
        <v>3742</v>
      </c>
      <c r="P67" s="145" t="s">
        <v>3930</v>
      </c>
      <c r="Q67" s="143" t="s">
        <v>410</v>
      </c>
      <c r="R67" s="143" t="s">
        <v>410</v>
      </c>
      <c r="S67" s="143" t="s">
        <v>1210</v>
      </c>
      <c r="T67" s="144">
        <v>5.34</v>
      </c>
      <c r="U67" s="170" t="s">
        <v>823</v>
      </c>
      <c r="V67" s="146">
        <v>3.4764000000000003E-2</v>
      </c>
      <c r="W67" s="145" t="s">
        <v>3930</v>
      </c>
      <c r="X67" s="145" t="s">
        <v>3930</v>
      </c>
      <c r="Y67" s="166">
        <v>0</v>
      </c>
      <c r="Z67" s="146">
        <v>4.9299999999999997E-2</v>
      </c>
      <c r="AA67" s="143" t="s">
        <v>3743</v>
      </c>
      <c r="AB67" s="143" t="s">
        <v>412</v>
      </c>
      <c r="AC67" s="145" t="s">
        <v>3930</v>
      </c>
      <c r="AD67" s="145" t="s">
        <v>3930</v>
      </c>
      <c r="AE67" s="145" t="s">
        <v>3930</v>
      </c>
      <c r="AF67" s="145" t="s">
        <v>3930</v>
      </c>
      <c r="AG67" s="145" t="s">
        <v>3930</v>
      </c>
      <c r="AH67" s="145" t="s">
        <v>3930</v>
      </c>
      <c r="AI67" s="145" t="s">
        <v>3930</v>
      </c>
      <c r="AJ67" s="143" t="s">
        <v>339</v>
      </c>
      <c r="AK67" s="143" t="s">
        <v>886</v>
      </c>
      <c r="AL67" s="145" t="s">
        <v>3930</v>
      </c>
      <c r="AM67" s="143" t="s">
        <v>889</v>
      </c>
      <c r="AN67" s="163">
        <v>45565</v>
      </c>
      <c r="AO67" s="163">
        <v>45565</v>
      </c>
      <c r="AP67" s="145" t="s">
        <v>3930</v>
      </c>
      <c r="AQ67" s="144">
        <v>8439212.9499999993</v>
      </c>
      <c r="AR67" s="143" t="s">
        <v>3744</v>
      </c>
      <c r="AS67" s="145" t="s">
        <v>3930</v>
      </c>
      <c r="AT67" s="144">
        <v>7960.7095999999992</v>
      </c>
      <c r="AU67" s="144">
        <v>7960.7095756999997</v>
      </c>
      <c r="AV67" s="145" t="s">
        <v>3930</v>
      </c>
      <c r="AW67" s="145" t="s">
        <v>3930</v>
      </c>
      <c r="AX67" s="145" t="s">
        <v>3930</v>
      </c>
      <c r="AY67" s="145" t="s">
        <v>3930</v>
      </c>
      <c r="AZ67" s="146">
        <v>4.0894581644542134E-2</v>
      </c>
      <c r="BA67" s="147">
        <v>1.0161242958434736E-3</v>
      </c>
      <c r="BB67" s="177"/>
    </row>
    <row r="68" spans="1:54" ht="15" x14ac:dyDescent="0.2">
      <c r="A68" s="142" t="s">
        <v>1220</v>
      </c>
      <c r="B68" s="143" t="s">
        <v>1220</v>
      </c>
      <c r="C68" s="145" t="s">
        <v>3930</v>
      </c>
      <c r="D68" s="145" t="s">
        <v>3930</v>
      </c>
      <c r="E68" s="145" t="s">
        <v>3930</v>
      </c>
      <c r="F68" s="143" t="s">
        <v>3745</v>
      </c>
      <c r="G68" s="143" t="s">
        <v>1012</v>
      </c>
      <c r="H68" s="145" t="s">
        <v>3930</v>
      </c>
      <c r="I68" s="143" t="s">
        <v>204</v>
      </c>
      <c r="J68" s="145" t="s">
        <v>3930</v>
      </c>
      <c r="K68" s="143" t="s">
        <v>451</v>
      </c>
      <c r="L68" s="143" t="s">
        <v>339</v>
      </c>
      <c r="M68" s="143" t="s">
        <v>338</v>
      </c>
      <c r="N68" s="145" t="s">
        <v>3930</v>
      </c>
      <c r="O68" s="143" t="s">
        <v>3746</v>
      </c>
      <c r="P68" s="145" t="s">
        <v>3930</v>
      </c>
      <c r="Q68" s="143" t="s">
        <v>410</v>
      </c>
      <c r="R68" s="143" t="s">
        <v>410</v>
      </c>
      <c r="S68" s="143" t="s">
        <v>1211</v>
      </c>
      <c r="T68" s="144">
        <v>0.01</v>
      </c>
      <c r="U68" s="170" t="s">
        <v>314</v>
      </c>
      <c r="V68" s="143" t="s">
        <v>1270</v>
      </c>
      <c r="W68" s="145" t="s">
        <v>3930</v>
      </c>
      <c r="X68" s="145" t="s">
        <v>3930</v>
      </c>
      <c r="Y68" s="166">
        <v>0</v>
      </c>
      <c r="Z68" s="146">
        <v>1E-4</v>
      </c>
      <c r="AA68" s="143" t="s">
        <v>3747</v>
      </c>
      <c r="AB68" s="143" t="s">
        <v>412</v>
      </c>
      <c r="AC68" s="145" t="s">
        <v>3930</v>
      </c>
      <c r="AD68" s="145" t="s">
        <v>3930</v>
      </c>
      <c r="AE68" s="145" t="s">
        <v>3930</v>
      </c>
      <c r="AF68" s="145" t="s">
        <v>3930</v>
      </c>
      <c r="AG68" s="145" t="s">
        <v>3930</v>
      </c>
      <c r="AH68" s="145" t="s">
        <v>3930</v>
      </c>
      <c r="AI68" s="145" t="s">
        <v>3930</v>
      </c>
      <c r="AJ68" s="145" t="s">
        <v>3930</v>
      </c>
      <c r="AK68" s="143" t="s">
        <v>885</v>
      </c>
      <c r="AL68" s="145" t="s">
        <v>3930</v>
      </c>
      <c r="AM68" s="143" t="s">
        <v>889</v>
      </c>
      <c r="AN68" s="163">
        <v>45565</v>
      </c>
      <c r="AO68" s="163">
        <v>45565</v>
      </c>
      <c r="AP68" s="145" t="s">
        <v>3930</v>
      </c>
      <c r="AQ68" s="144">
        <v>1297199.96</v>
      </c>
      <c r="AR68" s="143" t="s">
        <v>3748</v>
      </c>
      <c r="AS68" s="143" t="s">
        <v>1212</v>
      </c>
      <c r="AT68" s="144">
        <v>7503.0302999999994</v>
      </c>
      <c r="AU68" s="144">
        <v>2022.3801395999999</v>
      </c>
      <c r="AV68" s="145" t="s">
        <v>3930</v>
      </c>
      <c r="AW68" s="145" t="s">
        <v>3930</v>
      </c>
      <c r="AX68" s="145" t="s">
        <v>3930</v>
      </c>
      <c r="AY68" s="145" t="s">
        <v>3930</v>
      </c>
      <c r="AZ68" s="146">
        <v>3.8543459349227399E-2</v>
      </c>
      <c r="BA68" s="147">
        <v>9.5770500432133094E-4</v>
      </c>
      <c r="BB68" s="177"/>
    </row>
    <row r="69" spans="1:54" ht="15" x14ac:dyDescent="0.2">
      <c r="A69" s="142" t="s">
        <v>1220</v>
      </c>
      <c r="B69" s="143" t="s">
        <v>1220</v>
      </c>
      <c r="C69" s="145" t="s">
        <v>3930</v>
      </c>
      <c r="D69" s="145" t="s">
        <v>3930</v>
      </c>
      <c r="E69" s="145" t="s">
        <v>3930</v>
      </c>
      <c r="F69" s="143" t="s">
        <v>3753</v>
      </c>
      <c r="G69" s="143" t="s">
        <v>1012</v>
      </c>
      <c r="H69" s="143" t="s">
        <v>812</v>
      </c>
      <c r="I69" s="143" t="s">
        <v>204</v>
      </c>
      <c r="J69" s="145" t="s">
        <v>3930</v>
      </c>
      <c r="K69" s="143" t="s">
        <v>454</v>
      </c>
      <c r="L69" s="143" t="s">
        <v>339</v>
      </c>
      <c r="M69" s="143" t="s">
        <v>338</v>
      </c>
      <c r="N69" s="145" t="s">
        <v>3930</v>
      </c>
      <c r="O69" s="143" t="s">
        <v>3754</v>
      </c>
      <c r="P69" s="143" t="s">
        <v>1375</v>
      </c>
      <c r="Q69" s="143" t="s">
        <v>413</v>
      </c>
      <c r="R69" s="143" t="s">
        <v>408</v>
      </c>
      <c r="S69" s="143" t="s">
        <v>1211</v>
      </c>
      <c r="T69" s="144">
        <v>2.5299999999999998</v>
      </c>
      <c r="U69" s="170" t="s">
        <v>823</v>
      </c>
      <c r="V69" s="146">
        <v>0.110153</v>
      </c>
      <c r="W69" s="145" t="s">
        <v>3930</v>
      </c>
      <c r="X69" s="145" t="s">
        <v>3930</v>
      </c>
      <c r="Y69" s="166">
        <v>5.6783E-2</v>
      </c>
      <c r="Z69" s="146">
        <v>9.8599999999999993E-2</v>
      </c>
      <c r="AA69" s="143" t="s">
        <v>3755</v>
      </c>
      <c r="AB69" s="143" t="s">
        <v>412</v>
      </c>
      <c r="AC69" s="145" t="s">
        <v>3930</v>
      </c>
      <c r="AD69" s="145" t="s">
        <v>3930</v>
      </c>
      <c r="AE69" s="171">
        <v>0.76</v>
      </c>
      <c r="AF69" s="143" t="s">
        <v>3754</v>
      </c>
      <c r="AG69" s="145" t="s">
        <v>3930</v>
      </c>
      <c r="AH69" s="145" t="s">
        <v>3930</v>
      </c>
      <c r="AI69" s="145" t="s">
        <v>3930</v>
      </c>
      <c r="AJ69" s="143" t="s">
        <v>339</v>
      </c>
      <c r="AK69" s="143" t="s">
        <v>886</v>
      </c>
      <c r="AL69" s="145" t="s">
        <v>3930</v>
      </c>
      <c r="AM69" s="143" t="s">
        <v>889</v>
      </c>
      <c r="AN69" s="163">
        <v>45565</v>
      </c>
      <c r="AO69" s="163">
        <v>45565</v>
      </c>
      <c r="AP69" s="145" t="s">
        <v>3930</v>
      </c>
      <c r="AQ69" s="144">
        <v>1932598.65</v>
      </c>
      <c r="AR69" s="143" t="s">
        <v>3756</v>
      </c>
      <c r="AS69" s="143" t="s">
        <v>1212</v>
      </c>
      <c r="AT69" s="144">
        <v>7386.4732000000004</v>
      </c>
      <c r="AU69" s="144">
        <v>1990.9631292000001</v>
      </c>
      <c r="AV69" s="145" t="s">
        <v>3930</v>
      </c>
      <c r="AW69" s="145" t="s">
        <v>3930</v>
      </c>
      <c r="AX69" s="145" t="s">
        <v>3930</v>
      </c>
      <c r="AY69" s="145" t="s">
        <v>3930</v>
      </c>
      <c r="AZ69" s="146">
        <v>3.7944699383272357E-2</v>
      </c>
      <c r="BA69" s="147">
        <v>9.4282737202095184E-4</v>
      </c>
      <c r="BB69" s="177"/>
    </row>
    <row r="70" spans="1:54" ht="15" x14ac:dyDescent="0.2">
      <c r="A70" s="142" t="s">
        <v>1220</v>
      </c>
      <c r="B70" s="143" t="s">
        <v>1220</v>
      </c>
      <c r="C70" s="145" t="s">
        <v>3930</v>
      </c>
      <c r="D70" s="145" t="s">
        <v>3930</v>
      </c>
      <c r="E70" s="145" t="s">
        <v>3930</v>
      </c>
      <c r="F70" s="143" t="s">
        <v>3749</v>
      </c>
      <c r="G70" s="143" t="s">
        <v>1012</v>
      </c>
      <c r="H70" s="145" t="s">
        <v>3930</v>
      </c>
      <c r="I70" s="143" t="s">
        <v>204</v>
      </c>
      <c r="J70" s="145" t="s">
        <v>3930</v>
      </c>
      <c r="K70" s="143" t="s">
        <v>440</v>
      </c>
      <c r="L70" s="143" t="s">
        <v>339</v>
      </c>
      <c r="M70" s="143" t="s">
        <v>338</v>
      </c>
      <c r="N70" s="145" t="s">
        <v>3930</v>
      </c>
      <c r="O70" s="143" t="s">
        <v>3750</v>
      </c>
      <c r="P70" s="143" t="s">
        <v>1425</v>
      </c>
      <c r="Q70" s="143" t="s">
        <v>415</v>
      </c>
      <c r="R70" s="143" t="s">
        <v>408</v>
      </c>
      <c r="S70" s="143" t="s">
        <v>1210</v>
      </c>
      <c r="T70" s="144">
        <v>8.2100000000000009</v>
      </c>
      <c r="U70" s="170" t="s">
        <v>824</v>
      </c>
      <c r="V70" s="146">
        <v>0</v>
      </c>
      <c r="W70" s="145" t="s">
        <v>3930</v>
      </c>
      <c r="X70" s="145" t="s">
        <v>3930</v>
      </c>
      <c r="Y70" s="166">
        <v>0</v>
      </c>
      <c r="Z70" s="146">
        <v>3.3399999999999999E-2</v>
      </c>
      <c r="AA70" s="143" t="s">
        <v>3751</v>
      </c>
      <c r="AB70" s="143" t="s">
        <v>412</v>
      </c>
      <c r="AC70" s="145" t="s">
        <v>3930</v>
      </c>
      <c r="AD70" s="145" t="s">
        <v>3930</v>
      </c>
      <c r="AE70" s="171">
        <v>0.75</v>
      </c>
      <c r="AF70" s="143" t="s">
        <v>3739</v>
      </c>
      <c r="AG70" s="145" t="s">
        <v>3930</v>
      </c>
      <c r="AH70" s="145" t="s">
        <v>3930</v>
      </c>
      <c r="AI70" s="145" t="s">
        <v>3930</v>
      </c>
      <c r="AJ70" s="143" t="s">
        <v>338</v>
      </c>
      <c r="AK70" s="143" t="s">
        <v>886</v>
      </c>
      <c r="AL70" s="145" t="s">
        <v>3930</v>
      </c>
      <c r="AM70" s="143" t="s">
        <v>889</v>
      </c>
      <c r="AN70" s="163">
        <v>45565</v>
      </c>
      <c r="AO70" s="163">
        <v>45565</v>
      </c>
      <c r="AP70" s="145" t="s">
        <v>3930</v>
      </c>
      <c r="AQ70" s="144">
        <v>7253522.6100000003</v>
      </c>
      <c r="AR70" s="143" t="s">
        <v>3752</v>
      </c>
      <c r="AS70" s="145" t="s">
        <v>3930</v>
      </c>
      <c r="AT70" s="144">
        <v>7281.8112999999994</v>
      </c>
      <c r="AU70" s="144">
        <v>7281.8113481999999</v>
      </c>
      <c r="AV70" s="145" t="s">
        <v>3930</v>
      </c>
      <c r="AW70" s="145" t="s">
        <v>3930</v>
      </c>
      <c r="AX70" s="145" t="s">
        <v>3930</v>
      </c>
      <c r="AY70" s="145" t="s">
        <v>3930</v>
      </c>
      <c r="AZ70" s="146">
        <v>3.7407045925396086E-2</v>
      </c>
      <c r="BA70" s="147">
        <v>9.2946807796970071E-4</v>
      </c>
      <c r="BB70" s="177"/>
    </row>
    <row r="71" spans="1:54" ht="15" x14ac:dyDescent="0.2">
      <c r="A71" s="142" t="s">
        <v>1220</v>
      </c>
      <c r="B71" s="143" t="s">
        <v>1220</v>
      </c>
      <c r="C71" s="145" t="s">
        <v>3930</v>
      </c>
      <c r="D71" s="145" t="s">
        <v>3930</v>
      </c>
      <c r="E71" s="145" t="s">
        <v>3930</v>
      </c>
      <c r="F71" s="143" t="s">
        <v>3757</v>
      </c>
      <c r="G71" s="143" t="s">
        <v>1012</v>
      </c>
      <c r="H71" s="145" t="s">
        <v>3930</v>
      </c>
      <c r="I71" s="143" t="s">
        <v>204</v>
      </c>
      <c r="J71" s="145" t="s">
        <v>3930</v>
      </c>
      <c r="K71" s="143" t="s">
        <v>448</v>
      </c>
      <c r="L71" s="143" t="s">
        <v>339</v>
      </c>
      <c r="M71" s="143" t="s">
        <v>338</v>
      </c>
      <c r="N71" s="145" t="s">
        <v>3930</v>
      </c>
      <c r="O71" s="143" t="s">
        <v>3742</v>
      </c>
      <c r="P71" s="145" t="s">
        <v>3930</v>
      </c>
      <c r="Q71" s="143" t="s">
        <v>410</v>
      </c>
      <c r="R71" s="143" t="s">
        <v>410</v>
      </c>
      <c r="S71" s="143" t="s">
        <v>1210</v>
      </c>
      <c r="T71" s="144">
        <v>6.92</v>
      </c>
      <c r="U71" s="170" t="s">
        <v>823</v>
      </c>
      <c r="V71" s="146">
        <v>5.2093E-2</v>
      </c>
      <c r="W71" s="145" t="s">
        <v>3930</v>
      </c>
      <c r="X71" s="145" t="s">
        <v>3930</v>
      </c>
      <c r="Y71" s="166">
        <v>0</v>
      </c>
      <c r="Z71" s="146">
        <v>6.1499999999999999E-2</v>
      </c>
      <c r="AA71" s="143" t="s">
        <v>3758</v>
      </c>
      <c r="AB71" s="143" t="s">
        <v>412</v>
      </c>
      <c r="AC71" s="145" t="s">
        <v>3930</v>
      </c>
      <c r="AD71" s="145" t="s">
        <v>3930</v>
      </c>
      <c r="AE71" s="145" t="s">
        <v>3930</v>
      </c>
      <c r="AF71" s="145" t="s">
        <v>3930</v>
      </c>
      <c r="AG71" s="145" t="s">
        <v>3930</v>
      </c>
      <c r="AH71" s="145" t="s">
        <v>3930</v>
      </c>
      <c r="AI71" s="145" t="s">
        <v>3930</v>
      </c>
      <c r="AJ71" s="143" t="s">
        <v>339</v>
      </c>
      <c r="AK71" s="143" t="s">
        <v>886</v>
      </c>
      <c r="AL71" s="145" t="s">
        <v>3930</v>
      </c>
      <c r="AM71" s="143" t="s">
        <v>889</v>
      </c>
      <c r="AN71" s="163">
        <v>45565</v>
      </c>
      <c r="AO71" s="163">
        <v>45565</v>
      </c>
      <c r="AP71" s="145" t="s">
        <v>3930</v>
      </c>
      <c r="AQ71" s="144">
        <v>7203901.8300000001</v>
      </c>
      <c r="AR71" s="143" t="s">
        <v>3759</v>
      </c>
      <c r="AS71" s="145" t="s">
        <v>3930</v>
      </c>
      <c r="AT71" s="144">
        <v>6992.8275000000003</v>
      </c>
      <c r="AU71" s="144">
        <v>6992.8275063999999</v>
      </c>
      <c r="AV71" s="145" t="s">
        <v>3930</v>
      </c>
      <c r="AW71" s="145" t="s">
        <v>3930</v>
      </c>
      <c r="AX71" s="145" t="s">
        <v>3930</v>
      </c>
      <c r="AY71" s="145" t="s">
        <v>3930</v>
      </c>
      <c r="AZ71" s="146">
        <v>3.5922520808642201E-2</v>
      </c>
      <c r="BA71" s="147">
        <v>8.9258147885896467E-4</v>
      </c>
      <c r="BB71" s="177"/>
    </row>
    <row r="72" spans="1:54" ht="15" x14ac:dyDescent="0.2">
      <c r="A72" s="142" t="s">
        <v>1220</v>
      </c>
      <c r="B72" s="143" t="s">
        <v>1220</v>
      </c>
      <c r="C72" s="145" t="s">
        <v>3930</v>
      </c>
      <c r="D72" s="145" t="s">
        <v>3930</v>
      </c>
      <c r="E72" s="145" t="s">
        <v>3930</v>
      </c>
      <c r="F72" s="143" t="s">
        <v>3760</v>
      </c>
      <c r="G72" s="143" t="s">
        <v>1012</v>
      </c>
      <c r="H72" s="143" t="s">
        <v>3761</v>
      </c>
      <c r="I72" s="143" t="s">
        <v>204</v>
      </c>
      <c r="J72" s="145" t="s">
        <v>3930</v>
      </c>
      <c r="K72" s="143" t="s">
        <v>443</v>
      </c>
      <c r="L72" s="143" t="s">
        <v>339</v>
      </c>
      <c r="M72" s="143" t="s">
        <v>338</v>
      </c>
      <c r="N72" s="145" t="s">
        <v>3930</v>
      </c>
      <c r="O72" s="143" t="s">
        <v>3762</v>
      </c>
      <c r="P72" s="145" t="s">
        <v>3930</v>
      </c>
      <c r="Q72" s="143" t="s">
        <v>410</v>
      </c>
      <c r="R72" s="143" t="s">
        <v>410</v>
      </c>
      <c r="S72" s="143" t="s">
        <v>1210</v>
      </c>
      <c r="T72" s="144">
        <v>2.1</v>
      </c>
      <c r="U72" s="170" t="s">
        <v>823</v>
      </c>
      <c r="V72" s="146">
        <v>0.09</v>
      </c>
      <c r="W72" s="145" t="s">
        <v>3930</v>
      </c>
      <c r="X72" s="145" t="s">
        <v>3930</v>
      </c>
      <c r="Y72" s="166">
        <v>0.03</v>
      </c>
      <c r="Z72" s="146">
        <v>8.2900000000000001E-2</v>
      </c>
      <c r="AA72" s="143" t="s">
        <v>3763</v>
      </c>
      <c r="AB72" s="143" t="s">
        <v>412</v>
      </c>
      <c r="AC72" s="145" t="s">
        <v>3930</v>
      </c>
      <c r="AD72" s="145" t="s">
        <v>3930</v>
      </c>
      <c r="AE72" s="171">
        <v>0.76</v>
      </c>
      <c r="AF72" s="143" t="s">
        <v>3764</v>
      </c>
      <c r="AG72" s="145" t="s">
        <v>3930</v>
      </c>
      <c r="AH72" s="145" t="s">
        <v>3930</v>
      </c>
      <c r="AI72" s="145" t="s">
        <v>3930</v>
      </c>
      <c r="AJ72" s="143" t="s">
        <v>339</v>
      </c>
      <c r="AK72" s="143" t="s">
        <v>886</v>
      </c>
      <c r="AL72" s="145" t="s">
        <v>3930</v>
      </c>
      <c r="AM72" s="143" t="s">
        <v>889</v>
      </c>
      <c r="AN72" s="163">
        <v>45565</v>
      </c>
      <c r="AO72" s="163">
        <v>45565</v>
      </c>
      <c r="AP72" s="145" t="s">
        <v>3930</v>
      </c>
      <c r="AQ72" s="144">
        <v>5955122.6299999999</v>
      </c>
      <c r="AR72" s="143" t="s">
        <v>3765</v>
      </c>
      <c r="AS72" s="145" t="s">
        <v>3930</v>
      </c>
      <c r="AT72" s="144">
        <v>6093.8770000000004</v>
      </c>
      <c r="AU72" s="144">
        <v>6093.8769873000001</v>
      </c>
      <c r="AV72" s="145" t="s">
        <v>3930</v>
      </c>
      <c r="AW72" s="145" t="s">
        <v>3930</v>
      </c>
      <c r="AX72" s="145" t="s">
        <v>3930</v>
      </c>
      <c r="AY72" s="145" t="s">
        <v>3930</v>
      </c>
      <c r="AZ72" s="146">
        <v>3.1304564953315565E-2</v>
      </c>
      <c r="BA72" s="147">
        <v>7.7783725228839447E-4</v>
      </c>
      <c r="BB72" s="177"/>
    </row>
    <row r="73" spans="1:54" ht="15" x14ac:dyDescent="0.2">
      <c r="A73" s="142" t="s">
        <v>1220</v>
      </c>
      <c r="B73" s="143" t="s">
        <v>1220</v>
      </c>
      <c r="C73" s="145" t="s">
        <v>3930</v>
      </c>
      <c r="D73" s="145" t="s">
        <v>3930</v>
      </c>
      <c r="E73" s="145" t="s">
        <v>3930</v>
      </c>
      <c r="F73" s="143" t="s">
        <v>3770</v>
      </c>
      <c r="G73" s="143" t="s">
        <v>1012</v>
      </c>
      <c r="H73" s="145" t="s">
        <v>3930</v>
      </c>
      <c r="I73" s="143" t="s">
        <v>204</v>
      </c>
      <c r="J73" s="145" t="s">
        <v>3930</v>
      </c>
      <c r="K73" s="143" t="s">
        <v>441</v>
      </c>
      <c r="L73" s="143" t="s">
        <v>339</v>
      </c>
      <c r="M73" s="143" t="s">
        <v>338</v>
      </c>
      <c r="N73" s="145" t="s">
        <v>3930</v>
      </c>
      <c r="O73" s="143" t="s">
        <v>3771</v>
      </c>
      <c r="P73" s="145" t="s">
        <v>3930</v>
      </c>
      <c r="Q73" s="143" t="s">
        <v>410</v>
      </c>
      <c r="R73" s="143" t="s">
        <v>410</v>
      </c>
      <c r="S73" s="143" t="s">
        <v>1210</v>
      </c>
      <c r="T73" s="144">
        <v>3.1</v>
      </c>
      <c r="U73" s="170" t="s">
        <v>824</v>
      </c>
      <c r="V73" s="146">
        <v>7.7499999999999999E-2</v>
      </c>
      <c r="W73" s="145" t="s">
        <v>3930</v>
      </c>
      <c r="X73" s="145" t="s">
        <v>3930</v>
      </c>
      <c r="Y73" s="166">
        <v>0</v>
      </c>
      <c r="Z73" s="146">
        <v>0.1232</v>
      </c>
      <c r="AA73" s="143" t="s">
        <v>3772</v>
      </c>
      <c r="AB73" s="143" t="s">
        <v>412</v>
      </c>
      <c r="AC73" s="145" t="s">
        <v>3930</v>
      </c>
      <c r="AD73" s="145" t="s">
        <v>3930</v>
      </c>
      <c r="AE73" s="145" t="s">
        <v>3930</v>
      </c>
      <c r="AF73" s="145" t="s">
        <v>3930</v>
      </c>
      <c r="AG73" s="145" t="s">
        <v>3930</v>
      </c>
      <c r="AH73" s="145" t="s">
        <v>3930</v>
      </c>
      <c r="AI73" s="145" t="s">
        <v>3930</v>
      </c>
      <c r="AJ73" s="145" t="s">
        <v>3930</v>
      </c>
      <c r="AK73" s="143" t="s">
        <v>886</v>
      </c>
      <c r="AL73" s="145" t="s">
        <v>3930</v>
      </c>
      <c r="AM73" s="143" t="s">
        <v>889</v>
      </c>
      <c r="AN73" s="163">
        <v>45565</v>
      </c>
      <c r="AO73" s="163">
        <v>45565</v>
      </c>
      <c r="AP73" s="145" t="s">
        <v>3930</v>
      </c>
      <c r="AQ73" s="144">
        <v>4968002</v>
      </c>
      <c r="AR73" s="143" t="s">
        <v>3773</v>
      </c>
      <c r="AS73" s="145" t="s">
        <v>3930</v>
      </c>
      <c r="AT73" s="144">
        <v>5374.3845999999994</v>
      </c>
      <c r="AU73" s="144">
        <v>5374.3845636000005</v>
      </c>
      <c r="AV73" s="145" t="s">
        <v>3930</v>
      </c>
      <c r="AW73" s="145" t="s">
        <v>3930</v>
      </c>
      <c r="AX73" s="145" t="s">
        <v>3930</v>
      </c>
      <c r="AY73" s="145" t="s">
        <v>3930</v>
      </c>
      <c r="AZ73" s="146">
        <v>2.7608494724544061E-2</v>
      </c>
      <c r="BA73" s="147">
        <v>6.8599949267410308E-4</v>
      </c>
      <c r="BB73" s="177"/>
    </row>
    <row r="74" spans="1:54" ht="15" x14ac:dyDescent="0.2">
      <c r="A74" s="142" t="s">
        <v>1220</v>
      </c>
      <c r="B74" s="143" t="s">
        <v>1220</v>
      </c>
      <c r="C74" s="145" t="s">
        <v>3930</v>
      </c>
      <c r="D74" s="145" t="s">
        <v>3930</v>
      </c>
      <c r="E74" s="145" t="s">
        <v>3930</v>
      </c>
      <c r="F74" s="143" t="s">
        <v>3766</v>
      </c>
      <c r="G74" s="143" t="s">
        <v>1012</v>
      </c>
      <c r="H74" s="145" t="s">
        <v>3930</v>
      </c>
      <c r="I74" s="143" t="s">
        <v>204</v>
      </c>
      <c r="J74" s="145" t="s">
        <v>3930</v>
      </c>
      <c r="K74" s="143" t="s">
        <v>484</v>
      </c>
      <c r="L74" s="143" t="s">
        <v>339</v>
      </c>
      <c r="M74" s="143" t="s">
        <v>338</v>
      </c>
      <c r="N74" s="145" t="s">
        <v>3930</v>
      </c>
      <c r="O74" s="143" t="s">
        <v>3767</v>
      </c>
      <c r="P74" s="145" t="s">
        <v>3930</v>
      </c>
      <c r="Q74" s="143" t="s">
        <v>410</v>
      </c>
      <c r="R74" s="143" t="s">
        <v>410</v>
      </c>
      <c r="S74" s="143" t="s">
        <v>1210</v>
      </c>
      <c r="T74" s="144">
        <v>4.74</v>
      </c>
      <c r="U74" s="170" t="s">
        <v>824</v>
      </c>
      <c r="V74" s="146">
        <v>0</v>
      </c>
      <c r="W74" s="145" t="s">
        <v>3930</v>
      </c>
      <c r="X74" s="145" t="s">
        <v>3930</v>
      </c>
      <c r="Y74" s="166">
        <v>0</v>
      </c>
      <c r="Z74" s="146">
        <v>3.32E-2</v>
      </c>
      <c r="AA74" s="143" t="s">
        <v>1767</v>
      </c>
      <c r="AB74" s="143" t="s">
        <v>412</v>
      </c>
      <c r="AC74" s="145" t="s">
        <v>3930</v>
      </c>
      <c r="AD74" s="145" t="s">
        <v>3930</v>
      </c>
      <c r="AE74" s="145" t="s">
        <v>3930</v>
      </c>
      <c r="AF74" s="143" t="s">
        <v>3768</v>
      </c>
      <c r="AG74" s="145" t="s">
        <v>3930</v>
      </c>
      <c r="AH74" s="145" t="s">
        <v>3930</v>
      </c>
      <c r="AI74" s="145" t="s">
        <v>3930</v>
      </c>
      <c r="AJ74" s="145" t="s">
        <v>3930</v>
      </c>
      <c r="AK74" s="143" t="s">
        <v>886</v>
      </c>
      <c r="AL74" s="145" t="s">
        <v>3930</v>
      </c>
      <c r="AM74" s="143" t="s">
        <v>889</v>
      </c>
      <c r="AN74" s="163">
        <v>45565</v>
      </c>
      <c r="AO74" s="163">
        <v>45565</v>
      </c>
      <c r="AP74" s="145" t="s">
        <v>3930</v>
      </c>
      <c r="AQ74" s="144">
        <v>4502183.87</v>
      </c>
      <c r="AR74" s="143" t="s">
        <v>3769</v>
      </c>
      <c r="AS74" s="145" t="s">
        <v>3930</v>
      </c>
      <c r="AT74" s="144">
        <v>5186.5158000000001</v>
      </c>
      <c r="AU74" s="144">
        <v>5186.5158181999996</v>
      </c>
      <c r="AV74" s="145" t="s">
        <v>3930</v>
      </c>
      <c r="AW74" s="145" t="s">
        <v>3930</v>
      </c>
      <c r="AX74" s="145" t="s">
        <v>3930</v>
      </c>
      <c r="AY74" s="145" t="s">
        <v>3930</v>
      </c>
      <c r="AZ74" s="146">
        <v>2.6643403149164881E-2</v>
      </c>
      <c r="BA74" s="147">
        <v>6.6201946994198357E-4</v>
      </c>
      <c r="BB74" s="177"/>
    </row>
    <row r="75" spans="1:54" ht="15" x14ac:dyDescent="0.2">
      <c r="A75" s="142" t="s">
        <v>1220</v>
      </c>
      <c r="B75" s="143" t="s">
        <v>1220</v>
      </c>
      <c r="C75" s="145" t="s">
        <v>3930</v>
      </c>
      <c r="D75" s="145" t="s">
        <v>3930</v>
      </c>
      <c r="E75" s="145" t="s">
        <v>3930</v>
      </c>
      <c r="F75" s="143" t="s">
        <v>3774</v>
      </c>
      <c r="G75" s="143" t="s">
        <v>1012</v>
      </c>
      <c r="H75" s="145" t="s">
        <v>3930</v>
      </c>
      <c r="I75" s="143" t="s">
        <v>204</v>
      </c>
      <c r="J75" s="145" t="s">
        <v>3930</v>
      </c>
      <c r="K75" s="143" t="s">
        <v>448</v>
      </c>
      <c r="L75" s="143" t="s">
        <v>339</v>
      </c>
      <c r="M75" s="143" t="s">
        <v>338</v>
      </c>
      <c r="N75" s="145" t="s">
        <v>3930</v>
      </c>
      <c r="O75" s="143" t="s">
        <v>3742</v>
      </c>
      <c r="P75" s="145" t="s">
        <v>3930</v>
      </c>
      <c r="Q75" s="143" t="s">
        <v>410</v>
      </c>
      <c r="R75" s="143" t="s">
        <v>410</v>
      </c>
      <c r="S75" s="143" t="s">
        <v>1210</v>
      </c>
      <c r="T75" s="144">
        <v>7.63</v>
      </c>
      <c r="U75" s="170" t="s">
        <v>824</v>
      </c>
      <c r="V75" s="146">
        <v>1.7982999999999999E-2</v>
      </c>
      <c r="W75" s="145" t="s">
        <v>3930</v>
      </c>
      <c r="X75" s="145" t="s">
        <v>3930</v>
      </c>
      <c r="Y75" s="166">
        <v>0</v>
      </c>
      <c r="Z75" s="146">
        <v>2.64E-2</v>
      </c>
      <c r="AA75" s="143" t="s">
        <v>3758</v>
      </c>
      <c r="AB75" s="143" t="s">
        <v>412</v>
      </c>
      <c r="AC75" s="145" t="s">
        <v>3930</v>
      </c>
      <c r="AD75" s="145" t="s">
        <v>3930</v>
      </c>
      <c r="AE75" s="145" t="s">
        <v>3930</v>
      </c>
      <c r="AF75" s="145" t="s">
        <v>3930</v>
      </c>
      <c r="AG75" s="145" t="s">
        <v>3930</v>
      </c>
      <c r="AH75" s="145" t="s">
        <v>3930</v>
      </c>
      <c r="AI75" s="145" t="s">
        <v>3930</v>
      </c>
      <c r="AJ75" s="143" t="s">
        <v>339</v>
      </c>
      <c r="AK75" s="143" t="s">
        <v>886</v>
      </c>
      <c r="AL75" s="145" t="s">
        <v>3930</v>
      </c>
      <c r="AM75" s="143" t="s">
        <v>889</v>
      </c>
      <c r="AN75" s="163">
        <v>45565</v>
      </c>
      <c r="AO75" s="163">
        <v>45565</v>
      </c>
      <c r="AP75" s="145" t="s">
        <v>3930</v>
      </c>
      <c r="AQ75" s="144">
        <v>3825086.15</v>
      </c>
      <c r="AR75" s="143" t="s">
        <v>3775</v>
      </c>
      <c r="AS75" s="145" t="s">
        <v>3930</v>
      </c>
      <c r="AT75" s="144">
        <v>4925.1809000000003</v>
      </c>
      <c r="AU75" s="144">
        <v>4925.1809266999999</v>
      </c>
      <c r="AV75" s="145" t="s">
        <v>3930</v>
      </c>
      <c r="AW75" s="145" t="s">
        <v>3930</v>
      </c>
      <c r="AX75" s="145" t="s">
        <v>3930</v>
      </c>
      <c r="AY75" s="145" t="s">
        <v>3930</v>
      </c>
      <c r="AZ75" s="146">
        <v>2.5300912136857402E-2</v>
      </c>
      <c r="BA75" s="147">
        <v>6.286620499684945E-4</v>
      </c>
      <c r="BB75" s="177"/>
    </row>
    <row r="76" spans="1:54" ht="15" x14ac:dyDescent="0.2">
      <c r="A76" s="142" t="s">
        <v>1220</v>
      </c>
      <c r="B76" s="143" t="s">
        <v>1220</v>
      </c>
      <c r="C76" s="145" t="s">
        <v>3930</v>
      </c>
      <c r="D76" s="145" t="s">
        <v>3930</v>
      </c>
      <c r="E76" s="145" t="s">
        <v>3930</v>
      </c>
      <c r="F76" s="143" t="s">
        <v>3776</v>
      </c>
      <c r="G76" s="143" t="s">
        <v>1012</v>
      </c>
      <c r="H76" s="145" t="s">
        <v>3930</v>
      </c>
      <c r="I76" s="143" t="s">
        <v>204</v>
      </c>
      <c r="J76" s="145" t="s">
        <v>3930</v>
      </c>
      <c r="K76" s="143" t="s">
        <v>443</v>
      </c>
      <c r="L76" s="143" t="s">
        <v>339</v>
      </c>
      <c r="M76" s="143" t="s">
        <v>338</v>
      </c>
      <c r="N76" s="145" t="s">
        <v>3930</v>
      </c>
      <c r="O76" s="143" t="s">
        <v>3777</v>
      </c>
      <c r="P76" s="145" t="s">
        <v>3930</v>
      </c>
      <c r="Q76" s="143" t="s">
        <v>410</v>
      </c>
      <c r="R76" s="143" t="s">
        <v>410</v>
      </c>
      <c r="S76" s="143" t="s">
        <v>1210</v>
      </c>
      <c r="T76" s="144">
        <v>3</v>
      </c>
      <c r="U76" s="170" t="s">
        <v>823</v>
      </c>
      <c r="V76" s="146">
        <v>8.5000000000000006E-2</v>
      </c>
      <c r="W76" s="145" t="s">
        <v>3930</v>
      </c>
      <c r="X76" s="145" t="s">
        <v>3930</v>
      </c>
      <c r="Y76" s="166">
        <v>0</v>
      </c>
      <c r="Z76" s="146">
        <v>7.8E-2</v>
      </c>
      <c r="AA76" s="143" t="s">
        <v>3778</v>
      </c>
      <c r="AB76" s="143" t="s">
        <v>412</v>
      </c>
      <c r="AC76" s="145" t="s">
        <v>3930</v>
      </c>
      <c r="AD76" s="145" t="s">
        <v>3930</v>
      </c>
      <c r="AE76" s="171">
        <v>0.17</v>
      </c>
      <c r="AF76" s="143" t="s">
        <v>3779</v>
      </c>
      <c r="AG76" s="145" t="s">
        <v>3930</v>
      </c>
      <c r="AH76" s="145" t="s">
        <v>3930</v>
      </c>
      <c r="AI76" s="145" t="s">
        <v>3930</v>
      </c>
      <c r="AJ76" s="143" t="s">
        <v>338</v>
      </c>
      <c r="AK76" s="143" t="s">
        <v>886</v>
      </c>
      <c r="AL76" s="145" t="s">
        <v>3930</v>
      </c>
      <c r="AM76" s="143" t="s">
        <v>889</v>
      </c>
      <c r="AN76" s="163">
        <v>45565</v>
      </c>
      <c r="AO76" s="163">
        <v>45565</v>
      </c>
      <c r="AP76" s="145" t="s">
        <v>3930</v>
      </c>
      <c r="AQ76" s="144">
        <v>3848000</v>
      </c>
      <c r="AR76" s="143" t="s">
        <v>3780</v>
      </c>
      <c r="AS76" s="145" t="s">
        <v>3930</v>
      </c>
      <c r="AT76" s="144">
        <v>3974.9839999999999</v>
      </c>
      <c r="AU76" s="144">
        <v>3974.9839999999999</v>
      </c>
      <c r="AV76" s="145" t="s">
        <v>3930</v>
      </c>
      <c r="AW76" s="145" t="s">
        <v>3930</v>
      </c>
      <c r="AX76" s="145" t="s">
        <v>3930</v>
      </c>
      <c r="AY76" s="145" t="s">
        <v>3930</v>
      </c>
      <c r="AZ76" s="146">
        <v>2.041970080396259E-2</v>
      </c>
      <c r="BA76" s="147">
        <v>5.073766075200844E-4</v>
      </c>
      <c r="BB76" s="177"/>
    </row>
    <row r="77" spans="1:54" ht="15" x14ac:dyDescent="0.2">
      <c r="A77" s="142" t="s">
        <v>1220</v>
      </c>
      <c r="B77" s="143" t="s">
        <v>1220</v>
      </c>
      <c r="C77" s="145" t="s">
        <v>3930</v>
      </c>
      <c r="D77" s="145" t="s">
        <v>3930</v>
      </c>
      <c r="E77" s="145" t="s">
        <v>3930</v>
      </c>
      <c r="F77" s="143" t="s">
        <v>3781</v>
      </c>
      <c r="G77" s="143" t="s">
        <v>1012</v>
      </c>
      <c r="H77" s="145" t="s">
        <v>3930</v>
      </c>
      <c r="I77" s="143" t="s">
        <v>204</v>
      </c>
      <c r="J77" s="145" t="s">
        <v>3930</v>
      </c>
      <c r="K77" s="143" t="s">
        <v>443</v>
      </c>
      <c r="L77" s="143" t="s">
        <v>339</v>
      </c>
      <c r="M77" s="143" t="s">
        <v>338</v>
      </c>
      <c r="N77" s="145" t="s">
        <v>3930</v>
      </c>
      <c r="O77" s="143" t="s">
        <v>3782</v>
      </c>
      <c r="P77" s="145" t="s">
        <v>3930</v>
      </c>
      <c r="Q77" s="143" t="s">
        <v>410</v>
      </c>
      <c r="R77" s="143" t="s">
        <v>410</v>
      </c>
      <c r="S77" s="143" t="s">
        <v>1210</v>
      </c>
      <c r="T77" s="144">
        <v>1.32</v>
      </c>
      <c r="U77" s="170" t="s">
        <v>824</v>
      </c>
      <c r="V77" s="146">
        <v>9.0439000000000005E-2</v>
      </c>
      <c r="W77" s="145" t="s">
        <v>3930</v>
      </c>
      <c r="X77" s="145" t="s">
        <v>3930</v>
      </c>
      <c r="Y77" s="166">
        <v>0</v>
      </c>
      <c r="Z77" s="146">
        <v>7.4999999999999997E-2</v>
      </c>
      <c r="AA77" s="143" t="s">
        <v>3783</v>
      </c>
      <c r="AB77" s="143" t="s">
        <v>412</v>
      </c>
      <c r="AC77" s="145" t="s">
        <v>3930</v>
      </c>
      <c r="AD77" s="145" t="s">
        <v>3930</v>
      </c>
      <c r="AE77" s="171">
        <v>0</v>
      </c>
      <c r="AF77" s="143" t="s">
        <v>3784</v>
      </c>
      <c r="AG77" s="145" t="s">
        <v>3930</v>
      </c>
      <c r="AH77" s="145" t="s">
        <v>3930</v>
      </c>
      <c r="AI77" s="145" t="s">
        <v>3930</v>
      </c>
      <c r="AJ77" s="145" t="s">
        <v>3930</v>
      </c>
      <c r="AK77" s="143" t="s">
        <v>886</v>
      </c>
      <c r="AL77" s="145" t="s">
        <v>3930</v>
      </c>
      <c r="AM77" s="143" t="s">
        <v>889</v>
      </c>
      <c r="AN77" s="163">
        <v>45565</v>
      </c>
      <c r="AO77" s="163">
        <v>45565</v>
      </c>
      <c r="AP77" s="145" t="s">
        <v>3930</v>
      </c>
      <c r="AQ77" s="144">
        <v>3274819.25</v>
      </c>
      <c r="AR77" s="143" t="s">
        <v>3785</v>
      </c>
      <c r="AS77" s="145" t="s">
        <v>3930</v>
      </c>
      <c r="AT77" s="144">
        <v>3686.4639999999999</v>
      </c>
      <c r="AU77" s="144">
        <v>3686.4640296999996</v>
      </c>
      <c r="AV77" s="145" t="s">
        <v>3930</v>
      </c>
      <c r="AW77" s="145" t="s">
        <v>3930</v>
      </c>
      <c r="AX77" s="145" t="s">
        <v>3930</v>
      </c>
      <c r="AY77" s="145" t="s">
        <v>3930</v>
      </c>
      <c r="AZ77" s="146">
        <v>1.8937558619495011E-2</v>
      </c>
      <c r="BA77" s="147">
        <v>4.7054921809664893E-4</v>
      </c>
      <c r="BB77" s="177"/>
    </row>
    <row r="78" spans="1:54" ht="15" x14ac:dyDescent="0.2">
      <c r="A78" s="142" t="s">
        <v>1220</v>
      </c>
      <c r="B78" s="143" t="s">
        <v>1220</v>
      </c>
      <c r="C78" s="145" t="s">
        <v>3930</v>
      </c>
      <c r="D78" s="145" t="s">
        <v>3930</v>
      </c>
      <c r="E78" s="145" t="s">
        <v>3930</v>
      </c>
      <c r="F78" s="143" t="s">
        <v>3797</v>
      </c>
      <c r="G78" s="143" t="s">
        <v>1012</v>
      </c>
      <c r="H78" s="143" t="s">
        <v>812</v>
      </c>
      <c r="I78" s="143" t="s">
        <v>204</v>
      </c>
      <c r="J78" s="145" t="s">
        <v>3930</v>
      </c>
      <c r="K78" s="143" t="s">
        <v>454</v>
      </c>
      <c r="L78" s="143" t="s">
        <v>339</v>
      </c>
      <c r="M78" s="143" t="s">
        <v>338</v>
      </c>
      <c r="N78" s="145" t="s">
        <v>3930</v>
      </c>
      <c r="O78" s="143" t="s">
        <v>3798</v>
      </c>
      <c r="P78" s="143" t="s">
        <v>1375</v>
      </c>
      <c r="Q78" s="143" t="s">
        <v>413</v>
      </c>
      <c r="R78" s="143" t="s">
        <v>408</v>
      </c>
      <c r="S78" s="143" t="s">
        <v>1211</v>
      </c>
      <c r="T78" s="144">
        <v>2.56</v>
      </c>
      <c r="U78" s="170" t="s">
        <v>823</v>
      </c>
      <c r="V78" s="146">
        <v>0.107045</v>
      </c>
      <c r="W78" s="145" t="s">
        <v>3930</v>
      </c>
      <c r="X78" s="145" t="s">
        <v>3930</v>
      </c>
      <c r="Y78" s="166">
        <v>5.3644999999999998E-2</v>
      </c>
      <c r="Z78" s="146">
        <v>9.7199999999999995E-2</v>
      </c>
      <c r="AA78" s="143" t="s">
        <v>3755</v>
      </c>
      <c r="AB78" s="143" t="s">
        <v>412</v>
      </c>
      <c r="AC78" s="145" t="s">
        <v>3930</v>
      </c>
      <c r="AD78" s="145" t="s">
        <v>3930</v>
      </c>
      <c r="AE78" s="171">
        <v>0.76</v>
      </c>
      <c r="AF78" s="143" t="s">
        <v>3754</v>
      </c>
      <c r="AG78" s="145" t="s">
        <v>3930</v>
      </c>
      <c r="AH78" s="145" t="s">
        <v>3930</v>
      </c>
      <c r="AI78" s="145" t="s">
        <v>3930</v>
      </c>
      <c r="AJ78" s="143" t="s">
        <v>339</v>
      </c>
      <c r="AK78" s="143" t="s">
        <v>886</v>
      </c>
      <c r="AL78" s="145" t="s">
        <v>3930</v>
      </c>
      <c r="AM78" s="143" t="s">
        <v>889</v>
      </c>
      <c r="AN78" s="163">
        <v>45565</v>
      </c>
      <c r="AO78" s="163">
        <v>45565</v>
      </c>
      <c r="AP78" s="145" t="s">
        <v>3930</v>
      </c>
      <c r="AQ78" s="144">
        <v>776052.15</v>
      </c>
      <c r="AR78" s="143" t="s">
        <v>3799</v>
      </c>
      <c r="AS78" s="143" t="s">
        <v>1212</v>
      </c>
      <c r="AT78" s="144">
        <v>2861.8786</v>
      </c>
      <c r="AU78" s="144">
        <v>771.39583709999999</v>
      </c>
      <c r="AV78" s="145" t="s">
        <v>3930</v>
      </c>
      <c r="AW78" s="145" t="s">
        <v>3930</v>
      </c>
      <c r="AX78" s="145" t="s">
        <v>3930</v>
      </c>
      <c r="AY78" s="145" t="s">
        <v>3930</v>
      </c>
      <c r="AZ78" s="146">
        <v>1.4701619891668953E-2</v>
      </c>
      <c r="BA78" s="147">
        <v>3.6529712640242314E-4</v>
      </c>
      <c r="BB78" s="177"/>
    </row>
    <row r="79" spans="1:54" ht="15" x14ac:dyDescent="0.2">
      <c r="A79" s="142" t="s">
        <v>1220</v>
      </c>
      <c r="B79" s="143" t="s">
        <v>1220</v>
      </c>
      <c r="C79" s="145" t="s">
        <v>3930</v>
      </c>
      <c r="D79" s="145" t="s">
        <v>3930</v>
      </c>
      <c r="E79" s="145" t="s">
        <v>3930</v>
      </c>
      <c r="F79" s="143" t="s">
        <v>3790</v>
      </c>
      <c r="G79" s="143" t="s">
        <v>1012</v>
      </c>
      <c r="H79" s="145" t="s">
        <v>3930</v>
      </c>
      <c r="I79" s="143" t="s">
        <v>204</v>
      </c>
      <c r="J79" s="145" t="s">
        <v>3930</v>
      </c>
      <c r="K79" s="143" t="s">
        <v>448</v>
      </c>
      <c r="L79" s="143" t="s">
        <v>339</v>
      </c>
      <c r="M79" s="143" t="s">
        <v>338</v>
      </c>
      <c r="N79" s="145" t="s">
        <v>3930</v>
      </c>
      <c r="O79" s="143" t="s">
        <v>3742</v>
      </c>
      <c r="P79" s="145" t="s">
        <v>3930</v>
      </c>
      <c r="Q79" s="143" t="s">
        <v>410</v>
      </c>
      <c r="R79" s="143" t="s">
        <v>410</v>
      </c>
      <c r="S79" s="143" t="s">
        <v>1210</v>
      </c>
      <c r="T79" s="144">
        <v>6.32</v>
      </c>
      <c r="U79" s="170" t="s">
        <v>824</v>
      </c>
      <c r="V79" s="146">
        <v>2.3505000000000002E-2</v>
      </c>
      <c r="W79" s="145" t="s">
        <v>3930</v>
      </c>
      <c r="X79" s="145" t="s">
        <v>3930</v>
      </c>
      <c r="Y79" s="166">
        <v>0</v>
      </c>
      <c r="Z79" s="146">
        <v>2.3E-2</v>
      </c>
      <c r="AA79" s="143" t="s">
        <v>3758</v>
      </c>
      <c r="AB79" s="143" t="s">
        <v>412</v>
      </c>
      <c r="AC79" s="145" t="s">
        <v>3930</v>
      </c>
      <c r="AD79" s="145" t="s">
        <v>3930</v>
      </c>
      <c r="AE79" s="145" t="s">
        <v>3930</v>
      </c>
      <c r="AF79" s="145" t="s">
        <v>3930</v>
      </c>
      <c r="AG79" s="145" t="s">
        <v>3930</v>
      </c>
      <c r="AH79" s="145" t="s">
        <v>3930</v>
      </c>
      <c r="AI79" s="145" t="s">
        <v>3930</v>
      </c>
      <c r="AJ79" s="143" t="s">
        <v>339</v>
      </c>
      <c r="AK79" s="143" t="s">
        <v>886</v>
      </c>
      <c r="AL79" s="145" t="s">
        <v>3930</v>
      </c>
      <c r="AM79" s="143" t="s">
        <v>889</v>
      </c>
      <c r="AN79" s="163">
        <v>45565</v>
      </c>
      <c r="AO79" s="163">
        <v>45565</v>
      </c>
      <c r="AP79" s="145" t="s">
        <v>3930</v>
      </c>
      <c r="AQ79" s="144">
        <v>2419697.86</v>
      </c>
      <c r="AR79" s="143" t="s">
        <v>3791</v>
      </c>
      <c r="AS79" s="145" t="s">
        <v>3930</v>
      </c>
      <c r="AT79" s="144">
        <v>2859.357</v>
      </c>
      <c r="AU79" s="144">
        <v>2859.3569611999997</v>
      </c>
      <c r="AV79" s="145" t="s">
        <v>3930</v>
      </c>
      <c r="AW79" s="145" t="s">
        <v>3930</v>
      </c>
      <c r="AX79" s="145" t="s">
        <v>3930</v>
      </c>
      <c r="AY79" s="145" t="s">
        <v>3930</v>
      </c>
      <c r="AZ79" s="146">
        <v>1.4688666328884775E-2</v>
      </c>
      <c r="BA79" s="147">
        <v>3.6497526396164439E-4</v>
      </c>
      <c r="BB79" s="177"/>
    </row>
    <row r="80" spans="1:54" ht="15" x14ac:dyDescent="0.2">
      <c r="A80" s="142" t="s">
        <v>1220</v>
      </c>
      <c r="B80" s="143" t="s">
        <v>1220</v>
      </c>
      <c r="C80" s="145" t="s">
        <v>3930</v>
      </c>
      <c r="D80" s="145" t="s">
        <v>3930</v>
      </c>
      <c r="E80" s="145" t="s">
        <v>3930</v>
      </c>
      <c r="F80" s="143" t="s">
        <v>3800</v>
      </c>
      <c r="G80" s="143" t="s">
        <v>1012</v>
      </c>
      <c r="H80" s="143" t="s">
        <v>812</v>
      </c>
      <c r="I80" s="143" t="s">
        <v>204</v>
      </c>
      <c r="J80" s="145" t="s">
        <v>3930</v>
      </c>
      <c r="K80" s="143" t="s">
        <v>454</v>
      </c>
      <c r="L80" s="143" t="s">
        <v>339</v>
      </c>
      <c r="M80" s="143" t="s">
        <v>338</v>
      </c>
      <c r="N80" s="145" t="s">
        <v>3930</v>
      </c>
      <c r="O80" s="143" t="s">
        <v>3098</v>
      </c>
      <c r="P80" s="143" t="s">
        <v>1375</v>
      </c>
      <c r="Q80" s="143" t="s">
        <v>413</v>
      </c>
      <c r="R80" s="143" t="s">
        <v>408</v>
      </c>
      <c r="S80" s="143" t="s">
        <v>1211</v>
      </c>
      <c r="T80" s="144">
        <v>2.56</v>
      </c>
      <c r="U80" s="170" t="s">
        <v>823</v>
      </c>
      <c r="V80" s="146">
        <v>0.107045</v>
      </c>
      <c r="W80" s="145" t="s">
        <v>3930</v>
      </c>
      <c r="X80" s="145" t="s">
        <v>3930</v>
      </c>
      <c r="Y80" s="166">
        <v>5.3644999999999998E-2</v>
      </c>
      <c r="Z80" s="146">
        <v>9.7000000000000003E-2</v>
      </c>
      <c r="AA80" s="143" t="s">
        <v>3755</v>
      </c>
      <c r="AB80" s="143" t="s">
        <v>412</v>
      </c>
      <c r="AC80" s="145" t="s">
        <v>3930</v>
      </c>
      <c r="AD80" s="145" t="s">
        <v>3930</v>
      </c>
      <c r="AE80" s="171">
        <v>0.76</v>
      </c>
      <c r="AF80" s="143" t="s">
        <v>3754</v>
      </c>
      <c r="AG80" s="145" t="s">
        <v>3930</v>
      </c>
      <c r="AH80" s="145" t="s">
        <v>3930</v>
      </c>
      <c r="AI80" s="145" t="s">
        <v>3930</v>
      </c>
      <c r="AJ80" s="143" t="s">
        <v>339</v>
      </c>
      <c r="AK80" s="143" t="s">
        <v>886</v>
      </c>
      <c r="AL80" s="145" t="s">
        <v>3930</v>
      </c>
      <c r="AM80" s="143" t="s">
        <v>889</v>
      </c>
      <c r="AN80" s="163">
        <v>45565</v>
      </c>
      <c r="AO80" s="163">
        <v>45565</v>
      </c>
      <c r="AP80" s="145" t="s">
        <v>3930</v>
      </c>
      <c r="AQ80" s="144">
        <v>768010.5</v>
      </c>
      <c r="AR80" s="143" t="s">
        <v>3801</v>
      </c>
      <c r="AS80" s="143" t="s">
        <v>1212</v>
      </c>
      <c r="AT80" s="144">
        <v>2833.3627999999999</v>
      </c>
      <c r="AU80" s="144">
        <v>763.70964120000008</v>
      </c>
      <c r="AV80" s="145" t="s">
        <v>3930</v>
      </c>
      <c r="AW80" s="145" t="s">
        <v>3930</v>
      </c>
      <c r="AX80" s="145" t="s">
        <v>3930</v>
      </c>
      <c r="AY80" s="145" t="s">
        <v>3930</v>
      </c>
      <c r="AZ80" s="146">
        <v>1.4555132802809987E-2</v>
      </c>
      <c r="BA80" s="147">
        <v>3.6165730215111325E-4</v>
      </c>
      <c r="BB80" s="177"/>
    </row>
    <row r="81" spans="1:54" ht="15" x14ac:dyDescent="0.2">
      <c r="A81" s="142" t="s">
        <v>1220</v>
      </c>
      <c r="B81" s="143" t="s">
        <v>1220</v>
      </c>
      <c r="C81" s="145" t="s">
        <v>3930</v>
      </c>
      <c r="D81" s="145" t="s">
        <v>3930</v>
      </c>
      <c r="E81" s="145" t="s">
        <v>3930</v>
      </c>
      <c r="F81" s="143" t="s">
        <v>3786</v>
      </c>
      <c r="G81" s="143" t="s">
        <v>1012</v>
      </c>
      <c r="H81" s="145" t="s">
        <v>3930</v>
      </c>
      <c r="I81" s="143" t="s">
        <v>204</v>
      </c>
      <c r="J81" s="145" t="s">
        <v>3930</v>
      </c>
      <c r="K81" s="143" t="s">
        <v>443</v>
      </c>
      <c r="L81" s="143" t="s">
        <v>339</v>
      </c>
      <c r="M81" s="143" t="s">
        <v>338</v>
      </c>
      <c r="N81" s="145" t="s">
        <v>3930</v>
      </c>
      <c r="O81" s="143" t="s">
        <v>3787</v>
      </c>
      <c r="P81" s="143" t="s">
        <v>2018</v>
      </c>
      <c r="Q81" s="143" t="s">
        <v>312</v>
      </c>
      <c r="R81" s="143" t="s">
        <v>408</v>
      </c>
      <c r="S81" s="143" t="s">
        <v>1210</v>
      </c>
      <c r="T81" s="144">
        <v>1.8</v>
      </c>
      <c r="U81" s="170" t="s">
        <v>823</v>
      </c>
      <c r="V81" s="146">
        <v>8.3000000000000004E-2</v>
      </c>
      <c r="W81" s="145" t="s">
        <v>3930</v>
      </c>
      <c r="X81" s="145" t="s">
        <v>3930</v>
      </c>
      <c r="Y81" s="166">
        <v>0</v>
      </c>
      <c r="Z81" s="146">
        <v>7.9500000000000001E-2</v>
      </c>
      <c r="AA81" s="143" t="s">
        <v>3788</v>
      </c>
      <c r="AB81" s="143" t="s">
        <v>412</v>
      </c>
      <c r="AC81" s="145" t="s">
        <v>3930</v>
      </c>
      <c r="AD81" s="145" t="s">
        <v>3930</v>
      </c>
      <c r="AE81" s="171">
        <v>0.75</v>
      </c>
      <c r="AF81" s="143" t="s">
        <v>3787</v>
      </c>
      <c r="AG81" s="145" t="s">
        <v>3930</v>
      </c>
      <c r="AH81" s="145" t="s">
        <v>3930</v>
      </c>
      <c r="AI81" s="145" t="s">
        <v>3930</v>
      </c>
      <c r="AJ81" s="143" t="s">
        <v>339</v>
      </c>
      <c r="AK81" s="143" t="s">
        <v>886</v>
      </c>
      <c r="AL81" s="145" t="s">
        <v>3930</v>
      </c>
      <c r="AM81" s="143" t="s">
        <v>889</v>
      </c>
      <c r="AN81" s="163">
        <v>45565</v>
      </c>
      <c r="AO81" s="163">
        <v>45565</v>
      </c>
      <c r="AP81" s="145" t="s">
        <v>3930</v>
      </c>
      <c r="AQ81" s="144">
        <v>2565333.33</v>
      </c>
      <c r="AR81" s="143" t="s">
        <v>3789</v>
      </c>
      <c r="AS81" s="145" t="s">
        <v>3930</v>
      </c>
      <c r="AT81" s="144">
        <v>2609.7136</v>
      </c>
      <c r="AU81" s="144">
        <v>2609.7135966000001</v>
      </c>
      <c r="AV81" s="145" t="s">
        <v>3930</v>
      </c>
      <c r="AW81" s="145" t="s">
        <v>3930</v>
      </c>
      <c r="AX81" s="145" t="s">
        <v>3930</v>
      </c>
      <c r="AY81" s="145" t="s">
        <v>3930</v>
      </c>
      <c r="AZ81" s="146">
        <v>1.3406235302277669E-2</v>
      </c>
      <c r="BA81" s="147">
        <v>3.3311017887028286E-4</v>
      </c>
      <c r="BB81" s="177"/>
    </row>
    <row r="82" spans="1:54" ht="15" x14ac:dyDescent="0.2">
      <c r="A82" s="142" t="s">
        <v>1220</v>
      </c>
      <c r="B82" s="143" t="s">
        <v>1220</v>
      </c>
      <c r="C82" s="145" t="s">
        <v>3930</v>
      </c>
      <c r="D82" s="145" t="s">
        <v>3930</v>
      </c>
      <c r="E82" s="145" t="s">
        <v>3930</v>
      </c>
      <c r="F82" s="143" t="s">
        <v>3792</v>
      </c>
      <c r="G82" s="143" t="s">
        <v>1012</v>
      </c>
      <c r="H82" s="143" t="s">
        <v>784</v>
      </c>
      <c r="I82" s="143" t="s">
        <v>204</v>
      </c>
      <c r="J82" s="145" t="s">
        <v>3930</v>
      </c>
      <c r="K82" s="143" t="s">
        <v>443</v>
      </c>
      <c r="L82" s="143" t="s">
        <v>339</v>
      </c>
      <c r="M82" s="143" t="s">
        <v>338</v>
      </c>
      <c r="N82" s="145" t="s">
        <v>3930</v>
      </c>
      <c r="O82" s="143" t="s">
        <v>3793</v>
      </c>
      <c r="P82" s="145" t="s">
        <v>3930</v>
      </c>
      <c r="Q82" s="143" t="s">
        <v>410</v>
      </c>
      <c r="R82" s="143" t="s">
        <v>410</v>
      </c>
      <c r="S82" s="143" t="s">
        <v>1210</v>
      </c>
      <c r="T82" s="144">
        <v>2.0499999999999998</v>
      </c>
      <c r="U82" s="170" t="s">
        <v>823</v>
      </c>
      <c r="V82" s="146">
        <v>8.2500000000000004E-2</v>
      </c>
      <c r="W82" s="145" t="s">
        <v>3930</v>
      </c>
      <c r="X82" s="145" t="s">
        <v>3930</v>
      </c>
      <c r="Y82" s="166">
        <v>0</v>
      </c>
      <c r="Z82" s="146">
        <v>6.8500000000000005E-2</v>
      </c>
      <c r="AA82" s="143" t="s">
        <v>3794</v>
      </c>
      <c r="AB82" s="143" t="s">
        <v>412</v>
      </c>
      <c r="AC82" s="145" t="s">
        <v>3930</v>
      </c>
      <c r="AD82" s="145" t="s">
        <v>3930</v>
      </c>
      <c r="AE82" s="171">
        <v>0.62</v>
      </c>
      <c r="AF82" s="143" t="s">
        <v>3795</v>
      </c>
      <c r="AG82" s="145" t="s">
        <v>3930</v>
      </c>
      <c r="AH82" s="145" t="s">
        <v>3930</v>
      </c>
      <c r="AI82" s="145" t="s">
        <v>3930</v>
      </c>
      <c r="AJ82" s="143" t="s">
        <v>338</v>
      </c>
      <c r="AK82" s="143" t="s">
        <v>886</v>
      </c>
      <c r="AL82" s="145" t="s">
        <v>3930</v>
      </c>
      <c r="AM82" s="143" t="s">
        <v>889</v>
      </c>
      <c r="AN82" s="163">
        <v>45565</v>
      </c>
      <c r="AO82" s="163">
        <v>45565</v>
      </c>
      <c r="AP82" s="145" t="s">
        <v>3930</v>
      </c>
      <c r="AQ82" s="144">
        <v>2207232</v>
      </c>
      <c r="AR82" s="143" t="s">
        <v>3796</v>
      </c>
      <c r="AS82" s="145" t="s">
        <v>3930</v>
      </c>
      <c r="AT82" s="144">
        <v>2317.5936000000002</v>
      </c>
      <c r="AU82" s="144">
        <v>2317.5936000000002</v>
      </c>
      <c r="AV82" s="145" t="s">
        <v>3930</v>
      </c>
      <c r="AW82" s="145" t="s">
        <v>3930</v>
      </c>
      <c r="AX82" s="145" t="s">
        <v>3930</v>
      </c>
      <c r="AY82" s="145" t="s">
        <v>3930</v>
      </c>
      <c r="AZ82" s="146">
        <v>1.1905599594156492E-2</v>
      </c>
      <c r="BA82" s="147">
        <v>2.9582327334607116E-4</v>
      </c>
      <c r="BB82" s="177"/>
    </row>
    <row r="83" spans="1:54" ht="15" x14ac:dyDescent="0.2">
      <c r="A83" s="142" t="s">
        <v>1220</v>
      </c>
      <c r="B83" s="143" t="s">
        <v>1220</v>
      </c>
      <c r="C83" s="145" t="s">
        <v>3930</v>
      </c>
      <c r="D83" s="145" t="s">
        <v>3930</v>
      </c>
      <c r="E83" s="145" t="s">
        <v>3930</v>
      </c>
      <c r="F83" s="143" t="s">
        <v>3802</v>
      </c>
      <c r="G83" s="143" t="s">
        <v>1012</v>
      </c>
      <c r="H83" s="145" t="s">
        <v>3930</v>
      </c>
      <c r="I83" s="143" t="s">
        <v>204</v>
      </c>
      <c r="J83" s="145" t="s">
        <v>3930</v>
      </c>
      <c r="K83" s="143" t="s">
        <v>448</v>
      </c>
      <c r="L83" s="143" t="s">
        <v>339</v>
      </c>
      <c r="M83" s="143" t="s">
        <v>338</v>
      </c>
      <c r="N83" s="145" t="s">
        <v>3930</v>
      </c>
      <c r="O83" s="143" t="s">
        <v>3742</v>
      </c>
      <c r="P83" s="145" t="s">
        <v>3930</v>
      </c>
      <c r="Q83" s="143" t="s">
        <v>410</v>
      </c>
      <c r="R83" s="143" t="s">
        <v>410</v>
      </c>
      <c r="S83" s="143" t="s">
        <v>1210</v>
      </c>
      <c r="T83" s="144">
        <v>6.36</v>
      </c>
      <c r="U83" s="170" t="s">
        <v>823</v>
      </c>
      <c r="V83" s="146">
        <v>3.2063000000000001E-2</v>
      </c>
      <c r="W83" s="145" t="s">
        <v>3930</v>
      </c>
      <c r="X83" s="145" t="s">
        <v>3930</v>
      </c>
      <c r="Y83" s="166">
        <v>0</v>
      </c>
      <c r="Z83" s="146">
        <v>6.6500000000000004E-2</v>
      </c>
      <c r="AA83" s="143" t="s">
        <v>3758</v>
      </c>
      <c r="AB83" s="143" t="s">
        <v>412</v>
      </c>
      <c r="AC83" s="145" t="s">
        <v>3930</v>
      </c>
      <c r="AD83" s="145" t="s">
        <v>3930</v>
      </c>
      <c r="AE83" s="145" t="s">
        <v>3930</v>
      </c>
      <c r="AF83" s="145" t="s">
        <v>3930</v>
      </c>
      <c r="AG83" s="145" t="s">
        <v>3930</v>
      </c>
      <c r="AH83" s="145" t="s">
        <v>3930</v>
      </c>
      <c r="AI83" s="145" t="s">
        <v>3930</v>
      </c>
      <c r="AJ83" s="143" t="s">
        <v>339</v>
      </c>
      <c r="AK83" s="143" t="s">
        <v>886</v>
      </c>
      <c r="AL83" s="145" t="s">
        <v>3930</v>
      </c>
      <c r="AM83" s="143" t="s">
        <v>889</v>
      </c>
      <c r="AN83" s="163">
        <v>45565</v>
      </c>
      <c r="AO83" s="163">
        <v>45565</v>
      </c>
      <c r="AP83" s="145" t="s">
        <v>3930</v>
      </c>
      <c r="AQ83" s="144">
        <v>1919037.08</v>
      </c>
      <c r="AR83" s="143" t="s">
        <v>3803</v>
      </c>
      <c r="AS83" s="145" t="s">
        <v>3930</v>
      </c>
      <c r="AT83" s="144">
        <v>2261.5852</v>
      </c>
      <c r="AU83" s="144">
        <v>2261.5851988000004</v>
      </c>
      <c r="AV83" s="145" t="s">
        <v>3930</v>
      </c>
      <c r="AW83" s="145" t="s">
        <v>3930</v>
      </c>
      <c r="AX83" s="145" t="s">
        <v>3930</v>
      </c>
      <c r="AY83" s="145" t="s">
        <v>3930</v>
      </c>
      <c r="AZ83" s="146">
        <v>1.1617881506380368E-2</v>
      </c>
      <c r="BA83" s="147">
        <v>2.8867422504710258E-4</v>
      </c>
      <c r="BB83" s="177"/>
    </row>
    <row r="84" spans="1:54" ht="15" x14ac:dyDescent="0.2">
      <c r="A84" s="142" t="s">
        <v>1220</v>
      </c>
      <c r="B84" s="143" t="s">
        <v>1220</v>
      </c>
      <c r="C84" s="145" t="s">
        <v>3930</v>
      </c>
      <c r="D84" s="145" t="s">
        <v>3930</v>
      </c>
      <c r="E84" s="145" t="s">
        <v>3930</v>
      </c>
      <c r="F84" s="143" t="s">
        <v>3804</v>
      </c>
      <c r="G84" s="143" t="s">
        <v>1012</v>
      </c>
      <c r="H84" s="145" t="s">
        <v>3930</v>
      </c>
      <c r="I84" s="143" t="s">
        <v>204</v>
      </c>
      <c r="J84" s="145" t="s">
        <v>3930</v>
      </c>
      <c r="K84" s="143" t="s">
        <v>440</v>
      </c>
      <c r="L84" s="143" t="s">
        <v>339</v>
      </c>
      <c r="M84" s="143" t="s">
        <v>338</v>
      </c>
      <c r="N84" s="145" t="s">
        <v>3930</v>
      </c>
      <c r="O84" s="143" t="s">
        <v>3805</v>
      </c>
      <c r="P84" s="143" t="s">
        <v>1425</v>
      </c>
      <c r="Q84" s="143" t="s">
        <v>415</v>
      </c>
      <c r="R84" s="143" t="s">
        <v>408</v>
      </c>
      <c r="S84" s="143" t="s">
        <v>1211</v>
      </c>
      <c r="T84" s="144">
        <v>1.1200000000000001</v>
      </c>
      <c r="U84" s="170" t="s">
        <v>823</v>
      </c>
      <c r="V84" s="146">
        <v>0</v>
      </c>
      <c r="W84" s="145" t="s">
        <v>3930</v>
      </c>
      <c r="X84" s="145" t="s">
        <v>3930</v>
      </c>
      <c r="Y84" s="166">
        <v>0</v>
      </c>
      <c r="Z84" s="146">
        <v>7.7799999999999994E-2</v>
      </c>
      <c r="AA84" s="143" t="s">
        <v>1526</v>
      </c>
      <c r="AB84" s="143" t="s">
        <v>412</v>
      </c>
      <c r="AC84" s="145" t="s">
        <v>3930</v>
      </c>
      <c r="AD84" s="145" t="s">
        <v>3930</v>
      </c>
      <c r="AE84" s="171">
        <v>0.35</v>
      </c>
      <c r="AF84" s="143" t="s">
        <v>3806</v>
      </c>
      <c r="AG84" s="145" t="s">
        <v>3930</v>
      </c>
      <c r="AH84" s="145" t="s">
        <v>3930</v>
      </c>
      <c r="AI84" s="145" t="s">
        <v>3930</v>
      </c>
      <c r="AJ84" s="143" t="s">
        <v>338</v>
      </c>
      <c r="AK84" s="143" t="s">
        <v>886</v>
      </c>
      <c r="AL84" s="145" t="s">
        <v>3930</v>
      </c>
      <c r="AM84" s="143" t="s">
        <v>889</v>
      </c>
      <c r="AN84" s="163">
        <v>45565</v>
      </c>
      <c r="AO84" s="163">
        <v>45565</v>
      </c>
      <c r="AP84" s="145" t="s">
        <v>3930</v>
      </c>
      <c r="AQ84" s="144">
        <v>582314.26</v>
      </c>
      <c r="AR84" s="143" t="s">
        <v>3807</v>
      </c>
      <c r="AS84" s="143" t="s">
        <v>1212</v>
      </c>
      <c r="AT84" s="144">
        <v>2177.2368999999999</v>
      </c>
      <c r="AU84" s="144">
        <v>586.85631120000005</v>
      </c>
      <c r="AV84" s="145" t="s">
        <v>3930</v>
      </c>
      <c r="AW84" s="145" t="s">
        <v>3930</v>
      </c>
      <c r="AX84" s="145" t="s">
        <v>3930</v>
      </c>
      <c r="AY84" s="145" t="s">
        <v>3930</v>
      </c>
      <c r="AZ84" s="146">
        <v>1.1184579957206293E-2</v>
      </c>
      <c r="BA84" s="147">
        <v>2.7790780529571838E-4</v>
      </c>
      <c r="BB84" s="177"/>
    </row>
    <row r="85" spans="1:54" ht="15" x14ac:dyDescent="0.2">
      <c r="A85" s="142" t="s">
        <v>1220</v>
      </c>
      <c r="B85" s="143" t="s">
        <v>1220</v>
      </c>
      <c r="C85" s="145" t="s">
        <v>3930</v>
      </c>
      <c r="D85" s="145" t="s">
        <v>3930</v>
      </c>
      <c r="E85" s="145" t="s">
        <v>3930</v>
      </c>
      <c r="F85" s="143" t="s">
        <v>3808</v>
      </c>
      <c r="G85" s="143" t="s">
        <v>1012</v>
      </c>
      <c r="H85" s="145" t="s">
        <v>3930</v>
      </c>
      <c r="I85" s="143" t="s">
        <v>204</v>
      </c>
      <c r="J85" s="145" t="s">
        <v>3930</v>
      </c>
      <c r="K85" s="143" t="s">
        <v>454</v>
      </c>
      <c r="L85" s="143" t="s">
        <v>339</v>
      </c>
      <c r="M85" s="143" t="s">
        <v>338</v>
      </c>
      <c r="N85" s="145" t="s">
        <v>3930</v>
      </c>
      <c r="O85" s="143" t="s">
        <v>3809</v>
      </c>
      <c r="P85" s="143" t="s">
        <v>1375</v>
      </c>
      <c r="Q85" s="143" t="s">
        <v>413</v>
      </c>
      <c r="R85" s="143" t="s">
        <v>408</v>
      </c>
      <c r="S85" s="143" t="s">
        <v>1211</v>
      </c>
      <c r="T85" s="144">
        <v>2.38</v>
      </c>
      <c r="U85" s="170" t="s">
        <v>823</v>
      </c>
      <c r="V85" s="146">
        <v>9.5299999999999996E-2</v>
      </c>
      <c r="W85" s="145" t="s">
        <v>3930</v>
      </c>
      <c r="X85" s="145" t="s">
        <v>3930</v>
      </c>
      <c r="Y85" s="166">
        <v>0</v>
      </c>
      <c r="Z85" s="146">
        <v>8.09E-2</v>
      </c>
      <c r="AA85" s="143" t="s">
        <v>1539</v>
      </c>
      <c r="AB85" s="143" t="s">
        <v>412</v>
      </c>
      <c r="AC85" s="145" t="s">
        <v>3930</v>
      </c>
      <c r="AD85" s="145" t="s">
        <v>3930</v>
      </c>
      <c r="AE85" s="145" t="s">
        <v>3930</v>
      </c>
      <c r="AF85" s="145" t="s">
        <v>3930</v>
      </c>
      <c r="AG85" s="145" t="s">
        <v>3930</v>
      </c>
      <c r="AH85" s="145" t="s">
        <v>3930</v>
      </c>
      <c r="AI85" s="145" t="s">
        <v>3930</v>
      </c>
      <c r="AJ85" s="145" t="s">
        <v>3930</v>
      </c>
      <c r="AK85" s="143" t="s">
        <v>885</v>
      </c>
      <c r="AL85" s="145" t="s">
        <v>3930</v>
      </c>
      <c r="AM85" s="143" t="s">
        <v>889</v>
      </c>
      <c r="AN85" s="163">
        <v>44861</v>
      </c>
      <c r="AO85" s="163">
        <v>44861</v>
      </c>
      <c r="AP85" s="145" t="s">
        <v>3930</v>
      </c>
      <c r="AQ85" s="144">
        <v>581814</v>
      </c>
      <c r="AR85" s="143" t="s">
        <v>3061</v>
      </c>
      <c r="AS85" s="143" t="s">
        <v>1212</v>
      </c>
      <c r="AT85" s="144">
        <v>2158.5299</v>
      </c>
      <c r="AU85" s="144">
        <v>581.81399999999996</v>
      </c>
      <c r="AV85" s="145" t="s">
        <v>3930</v>
      </c>
      <c r="AW85" s="145" t="s">
        <v>3930</v>
      </c>
      <c r="AX85" s="145" t="s">
        <v>3930</v>
      </c>
      <c r="AY85" s="145" t="s">
        <v>3930</v>
      </c>
      <c r="AZ85" s="146">
        <v>1.1088481249533412E-2</v>
      </c>
      <c r="BA85" s="147">
        <v>2.755200016371717E-4</v>
      </c>
      <c r="BB85" s="177"/>
    </row>
    <row r="86" spans="1:54" ht="15" x14ac:dyDescent="0.2">
      <c r="A86" s="142" t="s">
        <v>1220</v>
      </c>
      <c r="B86" s="143" t="s">
        <v>1220</v>
      </c>
      <c r="C86" s="145" t="s">
        <v>3930</v>
      </c>
      <c r="D86" s="145" t="s">
        <v>3930</v>
      </c>
      <c r="E86" s="145" t="s">
        <v>3930</v>
      </c>
      <c r="F86" s="143" t="s">
        <v>3810</v>
      </c>
      <c r="G86" s="143" t="s">
        <v>1012</v>
      </c>
      <c r="H86" s="143" t="s">
        <v>801</v>
      </c>
      <c r="I86" s="143" t="s">
        <v>204</v>
      </c>
      <c r="J86" s="145" t="s">
        <v>3930</v>
      </c>
      <c r="K86" s="143" t="s">
        <v>443</v>
      </c>
      <c r="L86" s="143" t="s">
        <v>339</v>
      </c>
      <c r="M86" s="143" t="s">
        <v>338</v>
      </c>
      <c r="N86" s="145" t="s">
        <v>3930</v>
      </c>
      <c r="O86" s="143" t="s">
        <v>3754</v>
      </c>
      <c r="P86" s="145" t="s">
        <v>3930</v>
      </c>
      <c r="Q86" s="143" t="s">
        <v>410</v>
      </c>
      <c r="R86" s="143" t="s">
        <v>410</v>
      </c>
      <c r="S86" s="143" t="s">
        <v>1210</v>
      </c>
      <c r="T86" s="144">
        <v>2.19</v>
      </c>
      <c r="U86" s="170" t="s">
        <v>824</v>
      </c>
      <c r="V86" s="146">
        <v>4.7500000000000001E-2</v>
      </c>
      <c r="W86" s="145" t="s">
        <v>3930</v>
      </c>
      <c r="X86" s="145" t="s">
        <v>3930</v>
      </c>
      <c r="Y86" s="166">
        <v>4.7500000000000001E-2</v>
      </c>
      <c r="Z86" s="146">
        <v>3.7100000000000001E-2</v>
      </c>
      <c r="AA86" s="143" t="s">
        <v>3763</v>
      </c>
      <c r="AB86" s="143" t="s">
        <v>412</v>
      </c>
      <c r="AC86" s="145" t="s">
        <v>3930</v>
      </c>
      <c r="AD86" s="145" t="s">
        <v>3930</v>
      </c>
      <c r="AE86" s="171">
        <v>0.17</v>
      </c>
      <c r="AF86" s="143" t="s">
        <v>3764</v>
      </c>
      <c r="AG86" s="145" t="s">
        <v>3930</v>
      </c>
      <c r="AH86" s="145" t="s">
        <v>3930</v>
      </c>
      <c r="AI86" s="145" t="s">
        <v>3930</v>
      </c>
      <c r="AJ86" s="143" t="s">
        <v>339</v>
      </c>
      <c r="AK86" s="143" t="s">
        <v>886</v>
      </c>
      <c r="AL86" s="145" t="s">
        <v>3930</v>
      </c>
      <c r="AM86" s="143" t="s">
        <v>889</v>
      </c>
      <c r="AN86" s="163">
        <v>45565</v>
      </c>
      <c r="AO86" s="163">
        <v>45565</v>
      </c>
      <c r="AP86" s="145" t="s">
        <v>3930</v>
      </c>
      <c r="AQ86" s="144">
        <v>1647872.93</v>
      </c>
      <c r="AR86" s="143" t="s">
        <v>3811</v>
      </c>
      <c r="AS86" s="145" t="s">
        <v>3930</v>
      </c>
      <c r="AT86" s="144">
        <v>1827.3262999999999</v>
      </c>
      <c r="AU86" s="144">
        <v>1827.3262920999998</v>
      </c>
      <c r="AV86" s="145" t="s">
        <v>3930</v>
      </c>
      <c r="AW86" s="145" t="s">
        <v>3930</v>
      </c>
      <c r="AX86" s="145" t="s">
        <v>3930</v>
      </c>
      <c r="AY86" s="145" t="s">
        <v>3930</v>
      </c>
      <c r="AZ86" s="146">
        <v>9.3870707795117407E-3</v>
      </c>
      <c r="BA86" s="147">
        <v>2.3324436397889479E-4</v>
      </c>
      <c r="BB86" s="177"/>
    </row>
    <row r="87" spans="1:54" ht="15" x14ac:dyDescent="0.2">
      <c r="A87" s="142" t="s">
        <v>1220</v>
      </c>
      <c r="B87" s="143" t="s">
        <v>1220</v>
      </c>
      <c r="C87" s="145" t="s">
        <v>3930</v>
      </c>
      <c r="D87" s="145" t="s">
        <v>3930</v>
      </c>
      <c r="E87" s="145" t="s">
        <v>3930</v>
      </c>
      <c r="F87" s="143" t="s">
        <v>3910</v>
      </c>
      <c r="G87" s="143" t="s">
        <v>1012</v>
      </c>
      <c r="H87" s="145" t="s">
        <v>3930</v>
      </c>
      <c r="I87" s="143" t="s">
        <v>204</v>
      </c>
      <c r="J87" s="145" t="s">
        <v>3930</v>
      </c>
      <c r="K87" s="143" t="s">
        <v>447</v>
      </c>
      <c r="L87" s="143" t="s">
        <v>339</v>
      </c>
      <c r="M87" s="143" t="s">
        <v>338</v>
      </c>
      <c r="N87" s="145" t="s">
        <v>3930</v>
      </c>
      <c r="O87" s="143" t="s">
        <v>3911</v>
      </c>
      <c r="P87" s="143" t="s">
        <v>1478</v>
      </c>
      <c r="Q87" s="143" t="s">
        <v>415</v>
      </c>
      <c r="R87" s="143" t="s">
        <v>408</v>
      </c>
      <c r="S87" s="143" t="s">
        <v>1210</v>
      </c>
      <c r="T87" s="144">
        <v>1.54</v>
      </c>
      <c r="U87" s="170" t="s">
        <v>824</v>
      </c>
      <c r="V87" s="146">
        <v>5.2121000000000001E-2</v>
      </c>
      <c r="W87" s="145" t="s">
        <v>3930</v>
      </c>
      <c r="X87" s="145" t="s">
        <v>3930</v>
      </c>
      <c r="Y87" s="166">
        <v>0</v>
      </c>
      <c r="Z87" s="146">
        <v>1.95E-2</v>
      </c>
      <c r="AA87" s="143" t="s">
        <v>1517</v>
      </c>
      <c r="AB87" s="143" t="s">
        <v>412</v>
      </c>
      <c r="AC87" s="145" t="s">
        <v>3930</v>
      </c>
      <c r="AD87" s="145" t="s">
        <v>3930</v>
      </c>
      <c r="AE87" s="171">
        <v>0.75</v>
      </c>
      <c r="AF87" s="143" t="s">
        <v>3739</v>
      </c>
      <c r="AG87" s="145" t="s">
        <v>3930</v>
      </c>
      <c r="AH87" s="145" t="s">
        <v>3930</v>
      </c>
      <c r="AI87" s="145" t="s">
        <v>3930</v>
      </c>
      <c r="AJ87" s="143" t="s">
        <v>339</v>
      </c>
      <c r="AK87" s="143" t="s">
        <v>886</v>
      </c>
      <c r="AL87" s="145" t="s">
        <v>3930</v>
      </c>
      <c r="AM87" s="143" t="s">
        <v>889</v>
      </c>
      <c r="AN87" s="163">
        <v>45565</v>
      </c>
      <c r="AO87" s="163">
        <v>45565</v>
      </c>
      <c r="AP87" s="145" t="s">
        <v>3930</v>
      </c>
      <c r="AQ87" s="144">
        <v>1102968.54</v>
      </c>
      <c r="AR87" s="143" t="s">
        <v>3912</v>
      </c>
      <c r="AS87" s="145" t="s">
        <v>3930</v>
      </c>
      <c r="AT87" s="144">
        <v>1723.8295000000001</v>
      </c>
      <c r="AU87" s="144">
        <v>1723.8295312</v>
      </c>
      <c r="AV87" s="145" t="s">
        <v>3930</v>
      </c>
      <c r="AW87" s="145" t="s">
        <v>3930</v>
      </c>
      <c r="AX87" s="145" t="s">
        <v>3930</v>
      </c>
      <c r="AY87" s="145" t="s">
        <v>3930</v>
      </c>
      <c r="AZ87" s="146">
        <v>8.8554025031156915E-3</v>
      </c>
      <c r="BA87" s="147">
        <v>2.2003378616516258E-4</v>
      </c>
      <c r="BB87" s="177"/>
    </row>
    <row r="88" spans="1:54" ht="15" x14ac:dyDescent="0.2">
      <c r="A88" s="142" t="s">
        <v>1220</v>
      </c>
      <c r="B88" s="143" t="s">
        <v>1220</v>
      </c>
      <c r="C88" s="145" t="s">
        <v>3930</v>
      </c>
      <c r="D88" s="145" t="s">
        <v>3930</v>
      </c>
      <c r="E88" s="145" t="s">
        <v>3930</v>
      </c>
      <c r="F88" s="143" t="s">
        <v>3913</v>
      </c>
      <c r="G88" s="143" t="s">
        <v>1012</v>
      </c>
      <c r="H88" s="145" t="s">
        <v>3930</v>
      </c>
      <c r="I88" s="143" t="s">
        <v>204</v>
      </c>
      <c r="J88" s="145" t="s">
        <v>3930</v>
      </c>
      <c r="K88" s="143" t="s">
        <v>447</v>
      </c>
      <c r="L88" s="143" t="s">
        <v>339</v>
      </c>
      <c r="M88" s="143" t="s">
        <v>338</v>
      </c>
      <c r="N88" s="145" t="s">
        <v>3930</v>
      </c>
      <c r="O88" s="143" t="s">
        <v>3914</v>
      </c>
      <c r="P88" s="143" t="s">
        <v>1478</v>
      </c>
      <c r="Q88" s="143" t="s">
        <v>415</v>
      </c>
      <c r="R88" s="143" t="s">
        <v>408</v>
      </c>
      <c r="S88" s="143" t="s">
        <v>1210</v>
      </c>
      <c r="T88" s="144">
        <v>1.55</v>
      </c>
      <c r="U88" s="170" t="s">
        <v>824</v>
      </c>
      <c r="V88" s="146">
        <v>3.8767999999999997E-2</v>
      </c>
      <c r="W88" s="145" t="s">
        <v>3930</v>
      </c>
      <c r="X88" s="145" t="s">
        <v>3930</v>
      </c>
      <c r="Y88" s="166">
        <v>0</v>
      </c>
      <c r="Z88" s="146">
        <v>1.95E-2</v>
      </c>
      <c r="AA88" s="143" t="s">
        <v>1517</v>
      </c>
      <c r="AB88" s="143" t="s">
        <v>412</v>
      </c>
      <c r="AC88" s="145" t="s">
        <v>3930</v>
      </c>
      <c r="AD88" s="145" t="s">
        <v>3930</v>
      </c>
      <c r="AE88" s="171">
        <v>0.75</v>
      </c>
      <c r="AF88" s="143" t="s">
        <v>3739</v>
      </c>
      <c r="AG88" s="145" t="s">
        <v>3930</v>
      </c>
      <c r="AH88" s="145" t="s">
        <v>3930</v>
      </c>
      <c r="AI88" s="145" t="s">
        <v>3930</v>
      </c>
      <c r="AJ88" s="143" t="s">
        <v>339</v>
      </c>
      <c r="AK88" s="143" t="s">
        <v>886</v>
      </c>
      <c r="AL88" s="145" t="s">
        <v>3930</v>
      </c>
      <c r="AM88" s="143" t="s">
        <v>889</v>
      </c>
      <c r="AN88" s="163">
        <v>45565</v>
      </c>
      <c r="AO88" s="163">
        <v>45565</v>
      </c>
      <c r="AP88" s="145" t="s">
        <v>3930</v>
      </c>
      <c r="AQ88" s="144">
        <v>1102971.25</v>
      </c>
      <c r="AR88" s="143" t="s">
        <v>3915</v>
      </c>
      <c r="AS88" s="145" t="s">
        <v>3930</v>
      </c>
      <c r="AT88" s="144">
        <v>1686.8842</v>
      </c>
      <c r="AU88" s="144">
        <v>1686.8842298</v>
      </c>
      <c r="AV88" s="145" t="s">
        <v>3930</v>
      </c>
      <c r="AW88" s="145" t="s">
        <v>3930</v>
      </c>
      <c r="AX88" s="145" t="s">
        <v>3930</v>
      </c>
      <c r="AY88" s="145" t="s">
        <v>3930</v>
      </c>
      <c r="AZ88" s="146">
        <v>8.6656125565330294E-3</v>
      </c>
      <c r="BA88" s="147">
        <v>2.1531799820318412E-4</v>
      </c>
      <c r="BB88" s="177"/>
    </row>
    <row r="89" spans="1:54" ht="15" x14ac:dyDescent="0.2">
      <c r="A89" s="142" t="s">
        <v>1220</v>
      </c>
      <c r="B89" s="143" t="s">
        <v>1220</v>
      </c>
      <c r="C89" s="145" t="s">
        <v>3930</v>
      </c>
      <c r="D89" s="145" t="s">
        <v>3930</v>
      </c>
      <c r="E89" s="145" t="s">
        <v>3930</v>
      </c>
      <c r="F89" s="143" t="s">
        <v>3812</v>
      </c>
      <c r="G89" s="143" t="s">
        <v>1012</v>
      </c>
      <c r="H89" s="143" t="s">
        <v>812</v>
      </c>
      <c r="I89" s="143" t="s">
        <v>204</v>
      </c>
      <c r="J89" s="145" t="s">
        <v>3930</v>
      </c>
      <c r="K89" s="143" t="s">
        <v>454</v>
      </c>
      <c r="L89" s="143" t="s">
        <v>339</v>
      </c>
      <c r="M89" s="143" t="s">
        <v>338</v>
      </c>
      <c r="N89" s="145" t="s">
        <v>3930</v>
      </c>
      <c r="O89" s="143" t="s">
        <v>3813</v>
      </c>
      <c r="P89" s="143" t="s">
        <v>1375</v>
      </c>
      <c r="Q89" s="143" t="s">
        <v>413</v>
      </c>
      <c r="R89" s="143" t="s">
        <v>408</v>
      </c>
      <c r="S89" s="143" t="s">
        <v>1211</v>
      </c>
      <c r="T89" s="144">
        <v>2.56</v>
      </c>
      <c r="U89" s="170" t="s">
        <v>823</v>
      </c>
      <c r="V89" s="146">
        <v>0.107045</v>
      </c>
      <c r="W89" s="145" t="s">
        <v>3930</v>
      </c>
      <c r="X89" s="145" t="s">
        <v>3930</v>
      </c>
      <c r="Y89" s="166">
        <v>5.3644999999999998E-2</v>
      </c>
      <c r="Z89" s="146">
        <v>9.7799999999999998E-2</v>
      </c>
      <c r="AA89" s="143" t="s">
        <v>3755</v>
      </c>
      <c r="AB89" s="143" t="s">
        <v>412</v>
      </c>
      <c r="AC89" s="145" t="s">
        <v>3930</v>
      </c>
      <c r="AD89" s="145" t="s">
        <v>3930</v>
      </c>
      <c r="AE89" s="171">
        <v>0.76</v>
      </c>
      <c r="AF89" s="143" t="s">
        <v>3754</v>
      </c>
      <c r="AG89" s="145" t="s">
        <v>3930</v>
      </c>
      <c r="AH89" s="145" t="s">
        <v>3930</v>
      </c>
      <c r="AI89" s="145" t="s">
        <v>3930</v>
      </c>
      <c r="AJ89" s="143" t="s">
        <v>339</v>
      </c>
      <c r="AK89" s="143" t="s">
        <v>886</v>
      </c>
      <c r="AL89" s="145" t="s">
        <v>3930</v>
      </c>
      <c r="AM89" s="143" t="s">
        <v>889</v>
      </c>
      <c r="AN89" s="163">
        <v>45565</v>
      </c>
      <c r="AO89" s="163">
        <v>45565</v>
      </c>
      <c r="AP89" s="145" t="s">
        <v>3930</v>
      </c>
      <c r="AQ89" s="144">
        <v>426832.32</v>
      </c>
      <c r="AR89" s="143" t="s">
        <v>1331</v>
      </c>
      <c r="AS89" s="143" t="s">
        <v>1212</v>
      </c>
      <c r="AT89" s="144">
        <v>1571.9880000000001</v>
      </c>
      <c r="AU89" s="144">
        <v>423.71644410000005</v>
      </c>
      <c r="AV89" s="145" t="s">
        <v>3930</v>
      </c>
      <c r="AW89" s="145" t="s">
        <v>3930</v>
      </c>
      <c r="AX89" s="145" t="s">
        <v>3930</v>
      </c>
      <c r="AY89" s="145" t="s">
        <v>3930</v>
      </c>
      <c r="AZ89" s="146">
        <v>8.0753846506317079E-3</v>
      </c>
      <c r="BA89" s="147">
        <v>2.0065236546767498E-4</v>
      </c>
      <c r="BB89" s="177"/>
    </row>
    <row r="90" spans="1:54" ht="15" x14ac:dyDescent="0.2">
      <c r="A90" s="142" t="s">
        <v>1220</v>
      </c>
      <c r="B90" s="143" t="s">
        <v>1220</v>
      </c>
      <c r="C90" s="145" t="s">
        <v>3930</v>
      </c>
      <c r="D90" s="145" t="s">
        <v>3930</v>
      </c>
      <c r="E90" s="145" t="s">
        <v>3930</v>
      </c>
      <c r="F90" s="143" t="s">
        <v>3814</v>
      </c>
      <c r="G90" s="143" t="s">
        <v>1012</v>
      </c>
      <c r="H90" s="145" t="s">
        <v>3930</v>
      </c>
      <c r="I90" s="143" t="s">
        <v>204</v>
      </c>
      <c r="J90" s="145" t="s">
        <v>3930</v>
      </c>
      <c r="K90" s="143" t="s">
        <v>440</v>
      </c>
      <c r="L90" s="143" t="s">
        <v>339</v>
      </c>
      <c r="M90" s="143" t="s">
        <v>338</v>
      </c>
      <c r="N90" s="145" t="s">
        <v>3930</v>
      </c>
      <c r="O90" s="143" t="s">
        <v>3815</v>
      </c>
      <c r="P90" s="143" t="s">
        <v>1624</v>
      </c>
      <c r="Q90" s="143" t="s">
        <v>415</v>
      </c>
      <c r="R90" s="143" t="s">
        <v>408</v>
      </c>
      <c r="S90" s="143" t="s">
        <v>1210</v>
      </c>
      <c r="T90" s="144">
        <v>7.93</v>
      </c>
      <c r="U90" s="170" t="s">
        <v>824</v>
      </c>
      <c r="V90" s="146">
        <v>0</v>
      </c>
      <c r="W90" s="145" t="s">
        <v>3930</v>
      </c>
      <c r="X90" s="145" t="s">
        <v>3930</v>
      </c>
      <c r="Y90" s="166">
        <v>0</v>
      </c>
      <c r="Z90" s="146">
        <v>3.7100000000000001E-2</v>
      </c>
      <c r="AA90" s="143" t="s">
        <v>3751</v>
      </c>
      <c r="AB90" s="143" t="s">
        <v>412</v>
      </c>
      <c r="AC90" s="145" t="s">
        <v>3930</v>
      </c>
      <c r="AD90" s="145" t="s">
        <v>3930</v>
      </c>
      <c r="AE90" s="171">
        <v>0.75</v>
      </c>
      <c r="AF90" s="143" t="s">
        <v>3739</v>
      </c>
      <c r="AG90" s="145" t="s">
        <v>3930</v>
      </c>
      <c r="AH90" s="145" t="s">
        <v>3930</v>
      </c>
      <c r="AI90" s="145" t="s">
        <v>3930</v>
      </c>
      <c r="AJ90" s="143" t="s">
        <v>338</v>
      </c>
      <c r="AK90" s="143" t="s">
        <v>886</v>
      </c>
      <c r="AL90" s="145" t="s">
        <v>3930</v>
      </c>
      <c r="AM90" s="143" t="s">
        <v>889</v>
      </c>
      <c r="AN90" s="163">
        <v>45565</v>
      </c>
      <c r="AO90" s="163">
        <v>45565</v>
      </c>
      <c r="AP90" s="145" t="s">
        <v>3930</v>
      </c>
      <c r="AQ90" s="144">
        <v>1126004.47</v>
      </c>
      <c r="AR90" s="143" t="s">
        <v>3816</v>
      </c>
      <c r="AS90" s="145" t="s">
        <v>3930</v>
      </c>
      <c r="AT90" s="144">
        <v>1144.3583000000001</v>
      </c>
      <c r="AU90" s="144">
        <v>1144.3583429</v>
      </c>
      <c r="AV90" s="145" t="s">
        <v>3930</v>
      </c>
      <c r="AW90" s="145" t="s">
        <v>3930</v>
      </c>
      <c r="AX90" s="145" t="s">
        <v>3930</v>
      </c>
      <c r="AY90" s="145" t="s">
        <v>3930</v>
      </c>
      <c r="AZ90" s="146">
        <v>5.8786286872450451E-3</v>
      </c>
      <c r="BA90" s="147">
        <v>1.4606867695269207E-4</v>
      </c>
      <c r="BB90" s="177"/>
    </row>
    <row r="91" spans="1:54" ht="15" x14ac:dyDescent="0.2">
      <c r="A91" s="142" t="s">
        <v>1220</v>
      </c>
      <c r="B91" s="143" t="s">
        <v>1220</v>
      </c>
      <c r="C91" s="145" t="s">
        <v>3930</v>
      </c>
      <c r="D91" s="145" t="s">
        <v>3930</v>
      </c>
      <c r="E91" s="145" t="s">
        <v>3930</v>
      </c>
      <c r="F91" s="143" t="s">
        <v>3817</v>
      </c>
      <c r="G91" s="143" t="s">
        <v>1012</v>
      </c>
      <c r="H91" s="145" t="s">
        <v>3930</v>
      </c>
      <c r="I91" s="143" t="s">
        <v>204</v>
      </c>
      <c r="J91" s="145" t="s">
        <v>3930</v>
      </c>
      <c r="K91" s="143" t="s">
        <v>440</v>
      </c>
      <c r="L91" s="143" t="s">
        <v>339</v>
      </c>
      <c r="M91" s="143" t="s">
        <v>338</v>
      </c>
      <c r="N91" s="145" t="s">
        <v>3930</v>
      </c>
      <c r="O91" s="143" t="s">
        <v>3818</v>
      </c>
      <c r="P91" s="143" t="s">
        <v>1624</v>
      </c>
      <c r="Q91" s="143" t="s">
        <v>415</v>
      </c>
      <c r="R91" s="143" t="s">
        <v>408</v>
      </c>
      <c r="S91" s="143" t="s">
        <v>1210</v>
      </c>
      <c r="T91" s="144">
        <v>8.15</v>
      </c>
      <c r="U91" s="170" t="s">
        <v>824</v>
      </c>
      <c r="V91" s="146">
        <v>0</v>
      </c>
      <c r="W91" s="145" t="s">
        <v>3930</v>
      </c>
      <c r="X91" s="145" t="s">
        <v>3930</v>
      </c>
      <c r="Y91" s="166">
        <v>0</v>
      </c>
      <c r="Z91" s="146">
        <v>3.2800000000000003E-2</v>
      </c>
      <c r="AA91" s="143" t="s">
        <v>3751</v>
      </c>
      <c r="AB91" s="143" t="s">
        <v>412</v>
      </c>
      <c r="AC91" s="145" t="s">
        <v>3930</v>
      </c>
      <c r="AD91" s="145" t="s">
        <v>3930</v>
      </c>
      <c r="AE91" s="171">
        <v>0.75</v>
      </c>
      <c r="AF91" s="145" t="s">
        <v>3930</v>
      </c>
      <c r="AG91" s="145" t="s">
        <v>3930</v>
      </c>
      <c r="AH91" s="145" t="s">
        <v>3930</v>
      </c>
      <c r="AI91" s="145" t="s">
        <v>3930</v>
      </c>
      <c r="AJ91" s="143" t="s">
        <v>338</v>
      </c>
      <c r="AK91" s="143" t="s">
        <v>886</v>
      </c>
      <c r="AL91" s="145" t="s">
        <v>3930</v>
      </c>
      <c r="AM91" s="143" t="s">
        <v>889</v>
      </c>
      <c r="AN91" s="163">
        <v>45565</v>
      </c>
      <c r="AO91" s="163">
        <v>45565</v>
      </c>
      <c r="AP91" s="145" t="s">
        <v>3930</v>
      </c>
      <c r="AQ91" s="144">
        <v>813905.67</v>
      </c>
      <c r="AR91" s="143" t="s">
        <v>3819</v>
      </c>
      <c r="AS91" s="145" t="s">
        <v>3930</v>
      </c>
      <c r="AT91" s="144">
        <v>831.32330000000002</v>
      </c>
      <c r="AU91" s="144">
        <v>831.32325129999992</v>
      </c>
      <c r="AV91" s="145" t="s">
        <v>3930</v>
      </c>
      <c r="AW91" s="145" t="s">
        <v>3930</v>
      </c>
      <c r="AX91" s="145" t="s">
        <v>3930</v>
      </c>
      <c r="AY91" s="145" t="s">
        <v>3930</v>
      </c>
      <c r="AZ91" s="146">
        <v>4.2705510421423964E-3</v>
      </c>
      <c r="BA91" s="147">
        <v>1.0611211793970514E-4</v>
      </c>
      <c r="BB91" s="177"/>
    </row>
    <row r="92" spans="1:54" ht="15" x14ac:dyDescent="0.2">
      <c r="A92" s="142" t="s">
        <v>1220</v>
      </c>
      <c r="B92" s="143" t="s">
        <v>1220</v>
      </c>
      <c r="C92" s="145" t="s">
        <v>3930</v>
      </c>
      <c r="D92" s="145" t="s">
        <v>3930</v>
      </c>
      <c r="E92" s="145" t="s">
        <v>3930</v>
      </c>
      <c r="F92" s="143" t="s">
        <v>3823</v>
      </c>
      <c r="G92" s="143" t="s">
        <v>1012</v>
      </c>
      <c r="H92" s="143" t="s">
        <v>817</v>
      </c>
      <c r="I92" s="143" t="s">
        <v>204</v>
      </c>
      <c r="J92" s="145" t="s">
        <v>3930</v>
      </c>
      <c r="K92" s="143" t="s">
        <v>446</v>
      </c>
      <c r="L92" s="143" t="s">
        <v>339</v>
      </c>
      <c r="M92" s="143" t="s">
        <v>338</v>
      </c>
      <c r="N92" s="145" t="s">
        <v>3930</v>
      </c>
      <c r="O92" s="143" t="s">
        <v>3824</v>
      </c>
      <c r="P92" s="145" t="s">
        <v>3930</v>
      </c>
      <c r="Q92" s="143" t="s">
        <v>410</v>
      </c>
      <c r="R92" s="143" t="s">
        <v>410</v>
      </c>
      <c r="S92" s="143" t="s">
        <v>1210</v>
      </c>
      <c r="T92" s="144">
        <v>1.55</v>
      </c>
      <c r="U92" s="170" t="s">
        <v>824</v>
      </c>
      <c r="V92" s="146">
        <v>0.08</v>
      </c>
      <c r="W92" s="145" t="s">
        <v>3930</v>
      </c>
      <c r="X92" s="145" t="s">
        <v>3930</v>
      </c>
      <c r="Y92" s="166">
        <v>0</v>
      </c>
      <c r="Z92" s="146">
        <v>0.2485</v>
      </c>
      <c r="AA92" s="143" t="s">
        <v>1426</v>
      </c>
      <c r="AB92" s="143" t="s">
        <v>412</v>
      </c>
      <c r="AC92" s="145" t="s">
        <v>3930</v>
      </c>
      <c r="AD92" s="145" t="s">
        <v>3930</v>
      </c>
      <c r="AE92" s="171">
        <v>0.72</v>
      </c>
      <c r="AF92" s="143" t="s">
        <v>3825</v>
      </c>
      <c r="AG92" s="145" t="s">
        <v>3930</v>
      </c>
      <c r="AH92" s="145" t="s">
        <v>3930</v>
      </c>
      <c r="AI92" s="145" t="s">
        <v>3930</v>
      </c>
      <c r="AJ92" s="143" t="s">
        <v>338</v>
      </c>
      <c r="AK92" s="143" t="s">
        <v>886</v>
      </c>
      <c r="AL92" s="145" t="s">
        <v>3930</v>
      </c>
      <c r="AM92" s="143" t="s">
        <v>889</v>
      </c>
      <c r="AN92" s="163">
        <v>45565</v>
      </c>
      <c r="AO92" s="163">
        <v>45565</v>
      </c>
      <c r="AP92" s="145" t="s">
        <v>3930</v>
      </c>
      <c r="AQ92" s="144">
        <v>923288</v>
      </c>
      <c r="AR92" s="143" t="s">
        <v>3826</v>
      </c>
      <c r="AS92" s="145" t="s">
        <v>3930</v>
      </c>
      <c r="AT92" s="144">
        <v>759.49669999999992</v>
      </c>
      <c r="AU92" s="144">
        <v>759.49670879999996</v>
      </c>
      <c r="AV92" s="145" t="s">
        <v>3930</v>
      </c>
      <c r="AW92" s="145" t="s">
        <v>3930</v>
      </c>
      <c r="AX92" s="145" t="s">
        <v>3930</v>
      </c>
      <c r="AY92" s="145" t="s">
        <v>3930</v>
      </c>
      <c r="AZ92" s="146">
        <v>3.9015743347118634E-3</v>
      </c>
      <c r="BA92" s="147">
        <v>9.694400368243329E-5</v>
      </c>
      <c r="BB92" s="177"/>
    </row>
    <row r="93" spans="1:54" ht="15" x14ac:dyDescent="0.2">
      <c r="A93" s="142" t="s">
        <v>1220</v>
      </c>
      <c r="B93" s="143" t="s">
        <v>1220</v>
      </c>
      <c r="C93" s="145" t="s">
        <v>3930</v>
      </c>
      <c r="D93" s="145" t="s">
        <v>3930</v>
      </c>
      <c r="E93" s="145" t="s">
        <v>3930</v>
      </c>
      <c r="F93" s="143" t="s">
        <v>3822</v>
      </c>
      <c r="G93" s="143" t="s">
        <v>1012</v>
      </c>
      <c r="H93" s="145" t="s">
        <v>3930</v>
      </c>
      <c r="I93" s="143" t="s">
        <v>204</v>
      </c>
      <c r="J93" s="145" t="s">
        <v>3930</v>
      </c>
      <c r="K93" s="143" t="s">
        <v>485</v>
      </c>
      <c r="L93" s="143" t="s">
        <v>339</v>
      </c>
      <c r="M93" s="143" t="s">
        <v>338</v>
      </c>
      <c r="N93" s="145" t="s">
        <v>3930</v>
      </c>
      <c r="O93" s="143" t="s">
        <v>3197</v>
      </c>
      <c r="P93" s="143" t="s">
        <v>1425</v>
      </c>
      <c r="Q93" s="143" t="s">
        <v>415</v>
      </c>
      <c r="R93" s="143" t="s">
        <v>408</v>
      </c>
      <c r="S93" s="143" t="s">
        <v>1210</v>
      </c>
      <c r="T93" s="144">
        <v>10.06</v>
      </c>
      <c r="U93" s="170" t="s">
        <v>824</v>
      </c>
      <c r="V93" s="146">
        <v>0.03</v>
      </c>
      <c r="W93" s="145" t="s">
        <v>3930</v>
      </c>
      <c r="X93" s="145" t="s">
        <v>3930</v>
      </c>
      <c r="Y93" s="166">
        <v>0</v>
      </c>
      <c r="Z93" s="146">
        <v>3.85E-2</v>
      </c>
      <c r="AA93" s="143" t="s">
        <v>3730</v>
      </c>
      <c r="AB93" s="143" t="s">
        <v>412</v>
      </c>
      <c r="AC93" s="145" t="s">
        <v>3930</v>
      </c>
      <c r="AD93" s="145" t="s">
        <v>3930</v>
      </c>
      <c r="AE93" s="171">
        <v>0.75</v>
      </c>
      <c r="AF93" s="143" t="s">
        <v>3731</v>
      </c>
      <c r="AG93" s="145" t="s">
        <v>3930</v>
      </c>
      <c r="AH93" s="145" t="s">
        <v>3930</v>
      </c>
      <c r="AI93" s="145" t="s">
        <v>3930</v>
      </c>
      <c r="AJ93" s="143" t="s">
        <v>338</v>
      </c>
      <c r="AK93" s="143" t="s">
        <v>886</v>
      </c>
      <c r="AL93" s="145" t="s">
        <v>3930</v>
      </c>
      <c r="AM93" s="143" t="s">
        <v>889</v>
      </c>
      <c r="AN93" s="163">
        <v>45565</v>
      </c>
      <c r="AO93" s="163">
        <v>45565</v>
      </c>
      <c r="AP93" s="145" t="s">
        <v>3930</v>
      </c>
      <c r="AQ93" s="144">
        <v>727274.27</v>
      </c>
      <c r="AR93" s="143" t="s">
        <v>3732</v>
      </c>
      <c r="AS93" s="145" t="s">
        <v>3930</v>
      </c>
      <c r="AT93" s="144">
        <v>757.74709999999993</v>
      </c>
      <c r="AU93" s="144">
        <v>757.74706189999995</v>
      </c>
      <c r="AV93" s="145" t="s">
        <v>3930</v>
      </c>
      <c r="AW93" s="145" t="s">
        <v>3930</v>
      </c>
      <c r="AX93" s="145" t="s">
        <v>3930</v>
      </c>
      <c r="AY93" s="145" t="s">
        <v>3930</v>
      </c>
      <c r="AZ93" s="146">
        <v>3.8925863071009033E-3</v>
      </c>
      <c r="BA93" s="147">
        <v>9.6720674506294685E-5</v>
      </c>
      <c r="BB93" s="177"/>
    </row>
    <row r="94" spans="1:54" ht="15" x14ac:dyDescent="0.2">
      <c r="A94" s="142" t="s">
        <v>1220</v>
      </c>
      <c r="B94" s="143" t="s">
        <v>1220</v>
      </c>
      <c r="C94" s="145" t="s">
        <v>3930</v>
      </c>
      <c r="D94" s="145" t="s">
        <v>3930</v>
      </c>
      <c r="E94" s="145" t="s">
        <v>3930</v>
      </c>
      <c r="F94" s="143" t="s">
        <v>3820</v>
      </c>
      <c r="G94" s="143" t="s">
        <v>1012</v>
      </c>
      <c r="H94" s="143" t="s">
        <v>784</v>
      </c>
      <c r="I94" s="143" t="s">
        <v>204</v>
      </c>
      <c r="J94" s="145" t="s">
        <v>3930</v>
      </c>
      <c r="K94" s="143" t="s">
        <v>443</v>
      </c>
      <c r="L94" s="143" t="s">
        <v>339</v>
      </c>
      <c r="M94" s="143" t="s">
        <v>338</v>
      </c>
      <c r="N94" s="145" t="s">
        <v>3930</v>
      </c>
      <c r="O94" s="143" t="s">
        <v>3793</v>
      </c>
      <c r="P94" s="145" t="s">
        <v>3930</v>
      </c>
      <c r="Q94" s="143" t="s">
        <v>410</v>
      </c>
      <c r="R94" s="143" t="s">
        <v>410</v>
      </c>
      <c r="S94" s="143" t="s">
        <v>1210</v>
      </c>
      <c r="T94" s="144">
        <v>2.0499999999999998</v>
      </c>
      <c r="U94" s="170" t="s">
        <v>823</v>
      </c>
      <c r="V94" s="146">
        <v>8.2500000000000004E-2</v>
      </c>
      <c r="W94" s="145" t="s">
        <v>3930</v>
      </c>
      <c r="X94" s="145" t="s">
        <v>3930</v>
      </c>
      <c r="Y94" s="166">
        <v>2.2499999999999999E-2</v>
      </c>
      <c r="Z94" s="146">
        <v>6.8199999999999997E-2</v>
      </c>
      <c r="AA94" s="143" t="s">
        <v>3794</v>
      </c>
      <c r="AB94" s="143" t="s">
        <v>412</v>
      </c>
      <c r="AC94" s="145" t="s">
        <v>3930</v>
      </c>
      <c r="AD94" s="145" t="s">
        <v>3930</v>
      </c>
      <c r="AE94" s="171">
        <v>0.62</v>
      </c>
      <c r="AF94" s="143" t="s">
        <v>3795</v>
      </c>
      <c r="AG94" s="145" t="s">
        <v>3930</v>
      </c>
      <c r="AH94" s="145" t="s">
        <v>3930</v>
      </c>
      <c r="AI94" s="145" t="s">
        <v>3930</v>
      </c>
      <c r="AJ94" s="143" t="s">
        <v>338</v>
      </c>
      <c r="AK94" s="143" t="s">
        <v>886</v>
      </c>
      <c r="AL94" s="145" t="s">
        <v>3930</v>
      </c>
      <c r="AM94" s="143" t="s">
        <v>889</v>
      </c>
      <c r="AN94" s="163">
        <v>45565</v>
      </c>
      <c r="AO94" s="163">
        <v>45565</v>
      </c>
      <c r="AP94" s="145" t="s">
        <v>3930</v>
      </c>
      <c r="AQ94" s="144">
        <v>645686</v>
      </c>
      <c r="AR94" s="143" t="s">
        <v>3821</v>
      </c>
      <c r="AS94" s="145" t="s">
        <v>3930</v>
      </c>
      <c r="AT94" s="144">
        <v>678.16399999999999</v>
      </c>
      <c r="AU94" s="144">
        <v>678.16400579999993</v>
      </c>
      <c r="AV94" s="145" t="s">
        <v>3930</v>
      </c>
      <c r="AW94" s="145" t="s">
        <v>3930</v>
      </c>
      <c r="AX94" s="145" t="s">
        <v>3930</v>
      </c>
      <c r="AY94" s="145" t="s">
        <v>3930</v>
      </c>
      <c r="AZ94" s="146">
        <v>3.4837639835664119E-3</v>
      </c>
      <c r="BA94" s="147">
        <v>8.6562500026423955E-5</v>
      </c>
      <c r="BB94" s="177"/>
    </row>
    <row r="95" spans="1:54" ht="15" x14ac:dyDescent="0.2">
      <c r="A95" s="142" t="s">
        <v>1220</v>
      </c>
      <c r="B95" s="143" t="s">
        <v>1220</v>
      </c>
      <c r="C95" s="145" t="s">
        <v>3930</v>
      </c>
      <c r="D95" s="145" t="s">
        <v>3930</v>
      </c>
      <c r="E95" s="145" t="s">
        <v>3930</v>
      </c>
      <c r="F95" s="143" t="s">
        <v>3916</v>
      </c>
      <c r="G95" s="143" t="s">
        <v>1012</v>
      </c>
      <c r="H95" s="145" t="s">
        <v>3930</v>
      </c>
      <c r="I95" s="143" t="s">
        <v>204</v>
      </c>
      <c r="J95" s="145" t="s">
        <v>3930</v>
      </c>
      <c r="K95" s="143" t="s">
        <v>447</v>
      </c>
      <c r="L95" s="143" t="s">
        <v>339</v>
      </c>
      <c r="M95" s="143" t="s">
        <v>338</v>
      </c>
      <c r="N95" s="145" t="s">
        <v>3930</v>
      </c>
      <c r="O95" s="143" t="s">
        <v>3917</v>
      </c>
      <c r="P95" s="143" t="s">
        <v>1368</v>
      </c>
      <c r="Q95" s="143" t="s">
        <v>415</v>
      </c>
      <c r="R95" s="143" t="s">
        <v>408</v>
      </c>
      <c r="S95" s="143" t="s">
        <v>1210</v>
      </c>
      <c r="T95" s="144">
        <v>1.54</v>
      </c>
      <c r="U95" s="170" t="s">
        <v>824</v>
      </c>
      <c r="V95" s="146">
        <v>4.7426000000000003E-2</v>
      </c>
      <c r="W95" s="145" t="s">
        <v>3930</v>
      </c>
      <c r="X95" s="145" t="s">
        <v>3930</v>
      </c>
      <c r="Y95" s="166">
        <v>0</v>
      </c>
      <c r="Z95" s="146">
        <v>3.6799999999999999E-2</v>
      </c>
      <c r="AA95" s="143" t="s">
        <v>1517</v>
      </c>
      <c r="AB95" s="143" t="s">
        <v>412</v>
      </c>
      <c r="AC95" s="145" t="s">
        <v>3930</v>
      </c>
      <c r="AD95" s="145" t="s">
        <v>3930</v>
      </c>
      <c r="AE95" s="171">
        <v>0.75</v>
      </c>
      <c r="AF95" s="143" t="s">
        <v>3739</v>
      </c>
      <c r="AG95" s="145" t="s">
        <v>3930</v>
      </c>
      <c r="AH95" s="145" t="s">
        <v>3930</v>
      </c>
      <c r="AI95" s="145" t="s">
        <v>3930</v>
      </c>
      <c r="AJ95" s="143" t="s">
        <v>339</v>
      </c>
      <c r="AK95" s="143" t="s">
        <v>886</v>
      </c>
      <c r="AL95" s="145" t="s">
        <v>3930</v>
      </c>
      <c r="AM95" s="143" t="s">
        <v>889</v>
      </c>
      <c r="AN95" s="163">
        <v>45565</v>
      </c>
      <c r="AO95" s="163">
        <v>45565</v>
      </c>
      <c r="AP95" s="145" t="s">
        <v>3930</v>
      </c>
      <c r="AQ95" s="144">
        <v>425981.71</v>
      </c>
      <c r="AR95" s="143" t="s">
        <v>3918</v>
      </c>
      <c r="AS95" s="145" t="s">
        <v>3930</v>
      </c>
      <c r="AT95" s="144">
        <v>607.49249999999995</v>
      </c>
      <c r="AU95" s="144">
        <v>607.49251660000004</v>
      </c>
      <c r="AV95" s="145" t="s">
        <v>3930</v>
      </c>
      <c r="AW95" s="145" t="s">
        <v>3930</v>
      </c>
      <c r="AX95" s="145" t="s">
        <v>3930</v>
      </c>
      <c r="AY95" s="145" t="s">
        <v>3930</v>
      </c>
      <c r="AZ95" s="146">
        <v>3.12072084573203E-3</v>
      </c>
      <c r="BA95" s="147">
        <v>7.7541819585204671E-5</v>
      </c>
      <c r="BB95" s="177"/>
    </row>
    <row r="96" spans="1:54" ht="15" x14ac:dyDescent="0.2">
      <c r="A96" s="142" t="s">
        <v>1220</v>
      </c>
      <c r="B96" s="143" t="s">
        <v>1220</v>
      </c>
      <c r="C96" s="145" t="s">
        <v>3930</v>
      </c>
      <c r="D96" s="145" t="s">
        <v>3930</v>
      </c>
      <c r="E96" s="145" t="s">
        <v>3930</v>
      </c>
      <c r="F96" s="143" t="s">
        <v>3827</v>
      </c>
      <c r="G96" s="143" t="s">
        <v>1012</v>
      </c>
      <c r="H96" s="143" t="s">
        <v>784</v>
      </c>
      <c r="I96" s="143" t="s">
        <v>204</v>
      </c>
      <c r="J96" s="145" t="s">
        <v>3930</v>
      </c>
      <c r="K96" s="143" t="s">
        <v>443</v>
      </c>
      <c r="L96" s="143" t="s">
        <v>339</v>
      </c>
      <c r="M96" s="143" t="s">
        <v>338</v>
      </c>
      <c r="N96" s="145" t="s">
        <v>3930</v>
      </c>
      <c r="O96" s="143" t="s">
        <v>3828</v>
      </c>
      <c r="P96" s="145" t="s">
        <v>3930</v>
      </c>
      <c r="Q96" s="143" t="s">
        <v>410</v>
      </c>
      <c r="R96" s="143" t="s">
        <v>410</v>
      </c>
      <c r="S96" s="143" t="s">
        <v>1210</v>
      </c>
      <c r="T96" s="144">
        <v>2.0499999999999998</v>
      </c>
      <c r="U96" s="170" t="s">
        <v>823</v>
      </c>
      <c r="V96" s="146">
        <v>8.2500000000000004E-2</v>
      </c>
      <c r="W96" s="145" t="s">
        <v>3930</v>
      </c>
      <c r="X96" s="145" t="s">
        <v>3930</v>
      </c>
      <c r="Y96" s="166">
        <v>2.2499999999999999E-2</v>
      </c>
      <c r="Z96" s="146">
        <v>6.8000000000000005E-2</v>
      </c>
      <c r="AA96" s="143" t="s">
        <v>3794</v>
      </c>
      <c r="AB96" s="143" t="s">
        <v>412</v>
      </c>
      <c r="AC96" s="145" t="s">
        <v>3930</v>
      </c>
      <c r="AD96" s="145" t="s">
        <v>3930</v>
      </c>
      <c r="AE96" s="171">
        <v>0.62</v>
      </c>
      <c r="AF96" s="143" t="s">
        <v>3829</v>
      </c>
      <c r="AG96" s="145" t="s">
        <v>3930</v>
      </c>
      <c r="AH96" s="145" t="s">
        <v>3930</v>
      </c>
      <c r="AI96" s="145" t="s">
        <v>3930</v>
      </c>
      <c r="AJ96" s="143" t="s">
        <v>338</v>
      </c>
      <c r="AK96" s="143" t="s">
        <v>886</v>
      </c>
      <c r="AL96" s="145" t="s">
        <v>3930</v>
      </c>
      <c r="AM96" s="143" t="s">
        <v>889</v>
      </c>
      <c r="AN96" s="163">
        <v>45565</v>
      </c>
      <c r="AO96" s="163">
        <v>45565</v>
      </c>
      <c r="AP96" s="145" t="s">
        <v>3930</v>
      </c>
      <c r="AQ96" s="144">
        <v>517489</v>
      </c>
      <c r="AR96" s="143" t="s">
        <v>3830</v>
      </c>
      <c r="AS96" s="145" t="s">
        <v>3930</v>
      </c>
      <c r="AT96" s="144">
        <v>543.72569999999996</v>
      </c>
      <c r="AU96" s="144">
        <v>543.72569229999999</v>
      </c>
      <c r="AV96" s="145" t="s">
        <v>3930</v>
      </c>
      <c r="AW96" s="145" t="s">
        <v>3930</v>
      </c>
      <c r="AX96" s="145" t="s">
        <v>3930</v>
      </c>
      <c r="AY96" s="145" t="s">
        <v>3930</v>
      </c>
      <c r="AZ96" s="146">
        <v>2.793147332465596E-3</v>
      </c>
      <c r="BA96" s="147">
        <v>6.9402467325826539E-5</v>
      </c>
      <c r="BB96" s="177"/>
    </row>
    <row r="97" spans="1:54" ht="15" x14ac:dyDescent="0.2">
      <c r="A97" s="142" t="s">
        <v>1220</v>
      </c>
      <c r="B97" s="143" t="s">
        <v>1220</v>
      </c>
      <c r="C97" s="145" t="s">
        <v>3930</v>
      </c>
      <c r="D97" s="145" t="s">
        <v>3930</v>
      </c>
      <c r="E97" s="145" t="s">
        <v>3930</v>
      </c>
      <c r="F97" s="143" t="s">
        <v>3831</v>
      </c>
      <c r="G97" s="143" t="s">
        <v>1012</v>
      </c>
      <c r="H97" s="143" t="s">
        <v>784</v>
      </c>
      <c r="I97" s="143" t="s">
        <v>204</v>
      </c>
      <c r="J97" s="145" t="s">
        <v>3930</v>
      </c>
      <c r="K97" s="143" t="s">
        <v>443</v>
      </c>
      <c r="L97" s="143" t="s">
        <v>339</v>
      </c>
      <c r="M97" s="143" t="s">
        <v>338</v>
      </c>
      <c r="N97" s="145" t="s">
        <v>3930</v>
      </c>
      <c r="O97" s="143" t="s">
        <v>3832</v>
      </c>
      <c r="P97" s="145" t="s">
        <v>3930</v>
      </c>
      <c r="Q97" s="143" t="s">
        <v>410</v>
      </c>
      <c r="R97" s="143" t="s">
        <v>410</v>
      </c>
      <c r="S97" s="143" t="s">
        <v>1210</v>
      </c>
      <c r="T97" s="144">
        <v>2.0499999999999998</v>
      </c>
      <c r="U97" s="170" t="s">
        <v>823</v>
      </c>
      <c r="V97" s="146">
        <v>8.2500000000000004E-2</v>
      </c>
      <c r="W97" s="145" t="s">
        <v>3930</v>
      </c>
      <c r="X97" s="145" t="s">
        <v>3930</v>
      </c>
      <c r="Y97" s="166">
        <v>2.2499999999999999E-2</v>
      </c>
      <c r="Z97" s="146">
        <v>6.9199999999999998E-2</v>
      </c>
      <c r="AA97" s="143" t="s">
        <v>3794</v>
      </c>
      <c r="AB97" s="143" t="s">
        <v>412</v>
      </c>
      <c r="AC97" s="145" t="s">
        <v>3930</v>
      </c>
      <c r="AD97" s="145" t="s">
        <v>3930</v>
      </c>
      <c r="AE97" s="171">
        <v>0.62</v>
      </c>
      <c r="AF97" s="143" t="s">
        <v>3795</v>
      </c>
      <c r="AG97" s="145" t="s">
        <v>3930</v>
      </c>
      <c r="AH97" s="145" t="s">
        <v>3930</v>
      </c>
      <c r="AI97" s="145" t="s">
        <v>3930</v>
      </c>
      <c r="AJ97" s="143" t="s">
        <v>338</v>
      </c>
      <c r="AK97" s="143" t="s">
        <v>886</v>
      </c>
      <c r="AL97" s="145" t="s">
        <v>3930</v>
      </c>
      <c r="AM97" s="143" t="s">
        <v>889</v>
      </c>
      <c r="AN97" s="163">
        <v>45565</v>
      </c>
      <c r="AO97" s="163">
        <v>45565</v>
      </c>
      <c r="AP97" s="145" t="s">
        <v>3930</v>
      </c>
      <c r="AQ97" s="144">
        <v>500240</v>
      </c>
      <c r="AR97" s="143" t="s">
        <v>3833</v>
      </c>
      <c r="AS97" s="145" t="s">
        <v>3930</v>
      </c>
      <c r="AT97" s="144">
        <v>524.70169999999996</v>
      </c>
      <c r="AU97" s="144">
        <v>524.70173599999998</v>
      </c>
      <c r="AV97" s="145" t="s">
        <v>3930</v>
      </c>
      <c r="AW97" s="145" t="s">
        <v>3930</v>
      </c>
      <c r="AX97" s="145" t="s">
        <v>3930</v>
      </c>
      <c r="AY97" s="145" t="s">
        <v>3930</v>
      </c>
      <c r="AZ97" s="146">
        <v>2.6954202735004133E-3</v>
      </c>
      <c r="BA97" s="147">
        <v>6.6974203360712628E-5</v>
      </c>
      <c r="BB97" s="177"/>
    </row>
    <row r="98" spans="1:54" ht="15" x14ac:dyDescent="0.2">
      <c r="A98" s="142" t="s">
        <v>1220</v>
      </c>
      <c r="B98" s="143" t="s">
        <v>1220</v>
      </c>
      <c r="C98" s="145" t="s">
        <v>3930</v>
      </c>
      <c r="D98" s="145" t="s">
        <v>3930</v>
      </c>
      <c r="E98" s="145" t="s">
        <v>3930</v>
      </c>
      <c r="F98" s="143" t="s">
        <v>3834</v>
      </c>
      <c r="G98" s="143" t="s">
        <v>1012</v>
      </c>
      <c r="H98" s="143" t="s">
        <v>784</v>
      </c>
      <c r="I98" s="143" t="s">
        <v>204</v>
      </c>
      <c r="J98" s="145" t="s">
        <v>3930</v>
      </c>
      <c r="K98" s="143" t="s">
        <v>443</v>
      </c>
      <c r="L98" s="143" t="s">
        <v>339</v>
      </c>
      <c r="M98" s="143" t="s">
        <v>338</v>
      </c>
      <c r="N98" s="145" t="s">
        <v>3930</v>
      </c>
      <c r="O98" s="143" t="s">
        <v>3835</v>
      </c>
      <c r="P98" s="145" t="s">
        <v>3930</v>
      </c>
      <c r="Q98" s="143" t="s">
        <v>410</v>
      </c>
      <c r="R98" s="143" t="s">
        <v>410</v>
      </c>
      <c r="S98" s="143" t="s">
        <v>1210</v>
      </c>
      <c r="T98" s="144">
        <v>0.72</v>
      </c>
      <c r="U98" s="170" t="s">
        <v>823</v>
      </c>
      <c r="V98" s="146">
        <v>7.0000000000000007E-2</v>
      </c>
      <c r="W98" s="145" t="s">
        <v>3930</v>
      </c>
      <c r="X98" s="145" t="s">
        <v>3930</v>
      </c>
      <c r="Y98" s="166">
        <v>0.02</v>
      </c>
      <c r="Z98" s="146">
        <v>8.8200000000000001E-2</v>
      </c>
      <c r="AA98" s="143" t="s">
        <v>3836</v>
      </c>
      <c r="AB98" s="143" t="s">
        <v>412</v>
      </c>
      <c r="AC98" s="145" t="s">
        <v>3930</v>
      </c>
      <c r="AD98" s="145" t="s">
        <v>3930</v>
      </c>
      <c r="AE98" s="171">
        <v>0.67</v>
      </c>
      <c r="AF98" s="143" t="s">
        <v>3795</v>
      </c>
      <c r="AG98" s="145" t="s">
        <v>3930</v>
      </c>
      <c r="AH98" s="145" t="s">
        <v>3930</v>
      </c>
      <c r="AI98" s="145" t="s">
        <v>3930</v>
      </c>
      <c r="AJ98" s="143" t="s">
        <v>338</v>
      </c>
      <c r="AK98" s="143" t="s">
        <v>886</v>
      </c>
      <c r="AL98" s="145" t="s">
        <v>3930</v>
      </c>
      <c r="AM98" s="143" t="s">
        <v>889</v>
      </c>
      <c r="AN98" s="163">
        <v>45565</v>
      </c>
      <c r="AO98" s="163">
        <v>45565</v>
      </c>
      <c r="AP98" s="145" t="s">
        <v>3930</v>
      </c>
      <c r="AQ98" s="144">
        <v>489831.2</v>
      </c>
      <c r="AR98" s="143" t="s">
        <v>3837</v>
      </c>
      <c r="AS98" s="145" t="s">
        <v>3930</v>
      </c>
      <c r="AT98" s="144">
        <v>497.17869999999999</v>
      </c>
      <c r="AU98" s="144">
        <v>497.17866800000002</v>
      </c>
      <c r="AV98" s="145" t="s">
        <v>3930</v>
      </c>
      <c r="AW98" s="145" t="s">
        <v>3930</v>
      </c>
      <c r="AX98" s="145" t="s">
        <v>3930</v>
      </c>
      <c r="AY98" s="145" t="s">
        <v>3930</v>
      </c>
      <c r="AZ98" s="146">
        <v>2.5540328330057806E-3</v>
      </c>
      <c r="BA98" s="147">
        <v>6.3461092145577024E-5</v>
      </c>
      <c r="BB98" s="177"/>
    </row>
    <row r="99" spans="1:54" ht="15" x14ac:dyDescent="0.2">
      <c r="A99" s="142" t="s">
        <v>1220</v>
      </c>
      <c r="B99" s="143" t="s">
        <v>1220</v>
      </c>
      <c r="C99" s="145" t="s">
        <v>3930</v>
      </c>
      <c r="D99" s="145" t="s">
        <v>3930</v>
      </c>
      <c r="E99" s="145" t="s">
        <v>3930</v>
      </c>
      <c r="F99" s="143" t="s">
        <v>3841</v>
      </c>
      <c r="G99" s="143" t="s">
        <v>1012</v>
      </c>
      <c r="H99" s="145" t="s">
        <v>3930</v>
      </c>
      <c r="I99" s="143" t="s">
        <v>204</v>
      </c>
      <c r="J99" s="145" t="s">
        <v>3930</v>
      </c>
      <c r="K99" s="143" t="s">
        <v>444</v>
      </c>
      <c r="L99" s="143" t="s">
        <v>339</v>
      </c>
      <c r="M99" s="143" t="s">
        <v>338</v>
      </c>
      <c r="N99" s="145" t="s">
        <v>3930</v>
      </c>
      <c r="O99" s="143" t="s">
        <v>3842</v>
      </c>
      <c r="P99" s="145" t="s">
        <v>3930</v>
      </c>
      <c r="Q99" s="143" t="s">
        <v>410</v>
      </c>
      <c r="R99" s="143" t="s">
        <v>410</v>
      </c>
      <c r="S99" s="143" t="s">
        <v>1211</v>
      </c>
      <c r="T99" s="144">
        <v>0.01</v>
      </c>
      <c r="U99" s="170" t="s">
        <v>314</v>
      </c>
      <c r="V99" s="143" t="s">
        <v>1270</v>
      </c>
      <c r="W99" s="145" t="s">
        <v>3930</v>
      </c>
      <c r="X99" s="145" t="s">
        <v>3930</v>
      </c>
      <c r="Y99" s="166">
        <v>0</v>
      </c>
      <c r="Z99" s="146">
        <v>1E-4</v>
      </c>
      <c r="AA99" s="143" t="s">
        <v>3747</v>
      </c>
      <c r="AB99" s="143" t="s">
        <v>412</v>
      </c>
      <c r="AC99" s="145" t="s">
        <v>3930</v>
      </c>
      <c r="AD99" s="145" t="s">
        <v>3930</v>
      </c>
      <c r="AE99" s="145" t="s">
        <v>3930</v>
      </c>
      <c r="AF99" s="145" t="s">
        <v>3930</v>
      </c>
      <c r="AG99" s="145" t="s">
        <v>3930</v>
      </c>
      <c r="AH99" s="145" t="s">
        <v>3930</v>
      </c>
      <c r="AI99" s="145" t="s">
        <v>3930</v>
      </c>
      <c r="AJ99" s="145" t="s">
        <v>3930</v>
      </c>
      <c r="AK99" s="143" t="s">
        <v>885</v>
      </c>
      <c r="AL99" s="145" t="s">
        <v>3930</v>
      </c>
      <c r="AM99" s="143" t="s">
        <v>889</v>
      </c>
      <c r="AN99" s="163">
        <v>45250</v>
      </c>
      <c r="AO99" s="163">
        <v>45250</v>
      </c>
      <c r="AP99" s="145" t="s">
        <v>3930</v>
      </c>
      <c r="AQ99" s="144">
        <v>208515.78</v>
      </c>
      <c r="AR99" s="143" t="s">
        <v>3843</v>
      </c>
      <c r="AS99" s="143" t="s">
        <v>1212</v>
      </c>
      <c r="AT99" s="144">
        <v>426.91770000000002</v>
      </c>
      <c r="AU99" s="144">
        <v>115.0721439</v>
      </c>
      <c r="AV99" s="145" t="s">
        <v>3930</v>
      </c>
      <c r="AW99" s="145" t="s">
        <v>3930</v>
      </c>
      <c r="AX99" s="145" t="s">
        <v>3930</v>
      </c>
      <c r="AY99" s="145" t="s">
        <v>3930</v>
      </c>
      <c r="AZ99" s="146">
        <v>2.1930983268847689E-3</v>
      </c>
      <c r="BA99" s="147">
        <v>5.4492805733805576E-5</v>
      </c>
      <c r="BB99" s="177"/>
    </row>
    <row r="100" spans="1:54" ht="15" x14ac:dyDescent="0.2">
      <c r="A100" s="142" t="s">
        <v>1220</v>
      </c>
      <c r="B100" s="143" t="s">
        <v>1220</v>
      </c>
      <c r="C100" s="145" t="s">
        <v>3930</v>
      </c>
      <c r="D100" s="145" t="s">
        <v>3930</v>
      </c>
      <c r="E100" s="145" t="s">
        <v>3930</v>
      </c>
      <c r="F100" s="143" t="s">
        <v>3855</v>
      </c>
      <c r="G100" s="143" t="s">
        <v>1012</v>
      </c>
      <c r="H100" s="145" t="s">
        <v>3930</v>
      </c>
      <c r="I100" s="143" t="s">
        <v>204</v>
      </c>
      <c r="J100" s="145" t="s">
        <v>3930</v>
      </c>
      <c r="K100" s="143" t="s">
        <v>440</v>
      </c>
      <c r="L100" s="143" t="s">
        <v>339</v>
      </c>
      <c r="M100" s="143" t="s">
        <v>338</v>
      </c>
      <c r="N100" s="145" t="s">
        <v>3930</v>
      </c>
      <c r="O100" s="143" t="s">
        <v>3856</v>
      </c>
      <c r="P100" s="143" t="s">
        <v>1624</v>
      </c>
      <c r="Q100" s="143" t="s">
        <v>415</v>
      </c>
      <c r="R100" s="143" t="s">
        <v>408</v>
      </c>
      <c r="S100" s="143" t="s">
        <v>1210</v>
      </c>
      <c r="T100" s="144">
        <v>0</v>
      </c>
      <c r="U100" s="170" t="s">
        <v>824</v>
      </c>
      <c r="V100" s="146">
        <v>0</v>
      </c>
      <c r="W100" s="145" t="s">
        <v>3930</v>
      </c>
      <c r="X100" s="145" t="s">
        <v>3930</v>
      </c>
      <c r="Y100" s="166">
        <v>0</v>
      </c>
      <c r="Z100" s="145" t="s">
        <v>3930</v>
      </c>
      <c r="AA100" s="143" t="s">
        <v>3857</v>
      </c>
      <c r="AB100" s="143" t="s">
        <v>412</v>
      </c>
      <c r="AC100" s="145" t="s">
        <v>3930</v>
      </c>
      <c r="AD100" s="145" t="s">
        <v>3930</v>
      </c>
      <c r="AE100" s="171">
        <v>0.75</v>
      </c>
      <c r="AF100" s="145" t="s">
        <v>3930</v>
      </c>
      <c r="AG100" s="145" t="s">
        <v>3930</v>
      </c>
      <c r="AH100" s="145" t="s">
        <v>3930</v>
      </c>
      <c r="AI100" s="145" t="s">
        <v>3930</v>
      </c>
      <c r="AJ100" s="143" t="s">
        <v>338</v>
      </c>
      <c r="AK100" s="143" t="s">
        <v>886</v>
      </c>
      <c r="AL100" s="145" t="s">
        <v>3930</v>
      </c>
      <c r="AM100" s="143" t="s">
        <v>889</v>
      </c>
      <c r="AN100" s="163">
        <v>45565</v>
      </c>
      <c r="AO100" s="163">
        <v>45565</v>
      </c>
      <c r="AP100" s="145" t="s">
        <v>3930</v>
      </c>
      <c r="AQ100" s="144">
        <v>389592.02</v>
      </c>
      <c r="AR100" s="143" t="s">
        <v>3858</v>
      </c>
      <c r="AS100" s="145" t="s">
        <v>3930</v>
      </c>
      <c r="AT100" s="144">
        <v>390.2543</v>
      </c>
      <c r="AU100" s="144">
        <v>390.25432639999997</v>
      </c>
      <c r="AV100" s="145" t="s">
        <v>3930</v>
      </c>
      <c r="AW100" s="145" t="s">
        <v>3930</v>
      </c>
      <c r="AX100" s="145" t="s">
        <v>3930</v>
      </c>
      <c r="AY100" s="145" t="s">
        <v>3930</v>
      </c>
      <c r="AZ100" s="146">
        <v>2.0047568954325926E-3</v>
      </c>
      <c r="BA100" s="147">
        <v>4.9813009616169147E-5</v>
      </c>
      <c r="BB100" s="177"/>
    </row>
    <row r="101" spans="1:54" ht="15" x14ac:dyDescent="0.2">
      <c r="A101" s="142" t="s">
        <v>1220</v>
      </c>
      <c r="B101" s="143" t="s">
        <v>1220</v>
      </c>
      <c r="C101" s="145" t="s">
        <v>3930</v>
      </c>
      <c r="D101" s="145" t="s">
        <v>3930</v>
      </c>
      <c r="E101" s="145" t="s">
        <v>3930</v>
      </c>
      <c r="F101" s="143" t="s">
        <v>3838</v>
      </c>
      <c r="G101" s="143" t="s">
        <v>1012</v>
      </c>
      <c r="H101" s="143" t="s">
        <v>784</v>
      </c>
      <c r="I101" s="143" t="s">
        <v>204</v>
      </c>
      <c r="J101" s="145" t="s">
        <v>3930</v>
      </c>
      <c r="K101" s="143" t="s">
        <v>443</v>
      </c>
      <c r="L101" s="143" t="s">
        <v>339</v>
      </c>
      <c r="M101" s="143" t="s">
        <v>338</v>
      </c>
      <c r="N101" s="145" t="s">
        <v>3930</v>
      </c>
      <c r="O101" s="143" t="s">
        <v>3839</v>
      </c>
      <c r="P101" s="145" t="s">
        <v>3930</v>
      </c>
      <c r="Q101" s="143" t="s">
        <v>410</v>
      </c>
      <c r="R101" s="143" t="s">
        <v>410</v>
      </c>
      <c r="S101" s="143" t="s">
        <v>1210</v>
      </c>
      <c r="T101" s="144">
        <v>2.0499999999999998</v>
      </c>
      <c r="U101" s="170" t="s">
        <v>823</v>
      </c>
      <c r="V101" s="146">
        <v>8.2500000000000004E-2</v>
      </c>
      <c r="W101" s="145" t="s">
        <v>3930</v>
      </c>
      <c r="X101" s="145" t="s">
        <v>3930</v>
      </c>
      <c r="Y101" s="166">
        <v>2.2499999999999999E-2</v>
      </c>
      <c r="Z101" s="146">
        <v>7.0400000000000004E-2</v>
      </c>
      <c r="AA101" s="143" t="s">
        <v>3794</v>
      </c>
      <c r="AB101" s="143" t="s">
        <v>412</v>
      </c>
      <c r="AC101" s="145" t="s">
        <v>3930</v>
      </c>
      <c r="AD101" s="145" t="s">
        <v>3930</v>
      </c>
      <c r="AE101" s="171">
        <v>0.62</v>
      </c>
      <c r="AF101" s="143" t="s">
        <v>3795</v>
      </c>
      <c r="AG101" s="145" t="s">
        <v>3930</v>
      </c>
      <c r="AH101" s="145" t="s">
        <v>3930</v>
      </c>
      <c r="AI101" s="145" t="s">
        <v>3930</v>
      </c>
      <c r="AJ101" s="143" t="s">
        <v>338</v>
      </c>
      <c r="AK101" s="143" t="s">
        <v>886</v>
      </c>
      <c r="AL101" s="145" t="s">
        <v>3930</v>
      </c>
      <c r="AM101" s="143" t="s">
        <v>889</v>
      </c>
      <c r="AN101" s="163">
        <v>45565</v>
      </c>
      <c r="AO101" s="163">
        <v>45565</v>
      </c>
      <c r="AP101" s="145" t="s">
        <v>3930</v>
      </c>
      <c r="AQ101" s="144">
        <v>350168</v>
      </c>
      <c r="AR101" s="143" t="s">
        <v>3840</v>
      </c>
      <c r="AS101" s="145" t="s">
        <v>3930</v>
      </c>
      <c r="AT101" s="144">
        <v>366.76600000000002</v>
      </c>
      <c r="AU101" s="144">
        <v>366.76596319999999</v>
      </c>
      <c r="AV101" s="145" t="s">
        <v>3930</v>
      </c>
      <c r="AW101" s="145" t="s">
        <v>3930</v>
      </c>
      <c r="AX101" s="145" t="s">
        <v>3930</v>
      </c>
      <c r="AY101" s="145" t="s">
        <v>3930</v>
      </c>
      <c r="AZ101" s="146">
        <v>1.8840959444418276E-3</v>
      </c>
      <c r="BA101" s="147">
        <v>4.6814897912105335E-5</v>
      </c>
      <c r="BB101" s="177"/>
    </row>
    <row r="102" spans="1:54" ht="15" x14ac:dyDescent="0.2">
      <c r="A102" s="142" t="s">
        <v>1220</v>
      </c>
      <c r="B102" s="143" t="s">
        <v>1220</v>
      </c>
      <c r="C102" s="145" t="s">
        <v>3930</v>
      </c>
      <c r="D102" s="145" t="s">
        <v>3930</v>
      </c>
      <c r="E102" s="145" t="s">
        <v>3930</v>
      </c>
      <c r="F102" s="143" t="s">
        <v>3844</v>
      </c>
      <c r="G102" s="143" t="s">
        <v>1012</v>
      </c>
      <c r="H102" s="145" t="s">
        <v>3930</v>
      </c>
      <c r="I102" s="143" t="s">
        <v>204</v>
      </c>
      <c r="J102" s="145" t="s">
        <v>3930</v>
      </c>
      <c r="K102" s="143" t="s">
        <v>485</v>
      </c>
      <c r="L102" s="143" t="s">
        <v>339</v>
      </c>
      <c r="M102" s="143" t="s">
        <v>338</v>
      </c>
      <c r="N102" s="145" t="s">
        <v>3930</v>
      </c>
      <c r="O102" s="143" t="s">
        <v>3845</v>
      </c>
      <c r="P102" s="143" t="s">
        <v>1721</v>
      </c>
      <c r="Q102" s="143" t="s">
        <v>413</v>
      </c>
      <c r="R102" s="143" t="s">
        <v>408</v>
      </c>
      <c r="S102" s="143" t="s">
        <v>1210</v>
      </c>
      <c r="T102" s="144">
        <v>5.74</v>
      </c>
      <c r="U102" s="170" t="s">
        <v>824</v>
      </c>
      <c r="V102" s="146">
        <v>3.3099999999999997E-2</v>
      </c>
      <c r="W102" s="145" t="s">
        <v>3930</v>
      </c>
      <c r="X102" s="145" t="s">
        <v>3930</v>
      </c>
      <c r="Y102" s="166">
        <v>0</v>
      </c>
      <c r="Z102" s="146">
        <v>3.3500000000000002E-2</v>
      </c>
      <c r="AA102" s="143" t="s">
        <v>3735</v>
      </c>
      <c r="AB102" s="143" t="s">
        <v>412</v>
      </c>
      <c r="AC102" s="145" t="s">
        <v>3930</v>
      </c>
      <c r="AD102" s="145" t="s">
        <v>3930</v>
      </c>
      <c r="AE102" s="145" t="s">
        <v>3930</v>
      </c>
      <c r="AF102" s="145" t="s">
        <v>3930</v>
      </c>
      <c r="AG102" s="145" t="s">
        <v>3930</v>
      </c>
      <c r="AH102" s="145" t="s">
        <v>3930</v>
      </c>
      <c r="AI102" s="145" t="s">
        <v>3930</v>
      </c>
      <c r="AJ102" s="145" t="s">
        <v>3930</v>
      </c>
      <c r="AK102" s="143" t="s">
        <v>886</v>
      </c>
      <c r="AL102" s="145" t="s">
        <v>3930</v>
      </c>
      <c r="AM102" s="143" t="s">
        <v>889</v>
      </c>
      <c r="AN102" s="163">
        <v>45565</v>
      </c>
      <c r="AO102" s="163">
        <v>45565</v>
      </c>
      <c r="AP102" s="145" t="s">
        <v>3930</v>
      </c>
      <c r="AQ102" s="144">
        <v>298966.43</v>
      </c>
      <c r="AR102" s="143" t="s">
        <v>3846</v>
      </c>
      <c r="AS102" s="145" t="s">
        <v>3930</v>
      </c>
      <c r="AT102" s="144">
        <v>347.51859999999999</v>
      </c>
      <c r="AU102" s="144">
        <v>347.51857819999998</v>
      </c>
      <c r="AV102" s="145" t="s">
        <v>3930</v>
      </c>
      <c r="AW102" s="145" t="s">
        <v>3930</v>
      </c>
      <c r="AX102" s="145" t="s">
        <v>3930</v>
      </c>
      <c r="AY102" s="145" t="s">
        <v>3930</v>
      </c>
      <c r="AZ102" s="146">
        <v>1.7852211207179467E-3</v>
      </c>
      <c r="BA102" s="147">
        <v>4.4358114969407473E-5</v>
      </c>
      <c r="BB102" s="177"/>
    </row>
    <row r="103" spans="1:54" ht="15" x14ac:dyDescent="0.2">
      <c r="A103" s="142" t="s">
        <v>1220</v>
      </c>
      <c r="B103" s="143" t="s">
        <v>1220</v>
      </c>
      <c r="C103" s="145" t="s">
        <v>3930</v>
      </c>
      <c r="D103" s="145" t="s">
        <v>3930</v>
      </c>
      <c r="E103" s="145" t="s">
        <v>3930</v>
      </c>
      <c r="F103" s="143" t="s">
        <v>3847</v>
      </c>
      <c r="G103" s="143" t="s">
        <v>1012</v>
      </c>
      <c r="H103" s="143" t="s">
        <v>784</v>
      </c>
      <c r="I103" s="143" t="s">
        <v>204</v>
      </c>
      <c r="J103" s="145" t="s">
        <v>3930</v>
      </c>
      <c r="K103" s="143" t="s">
        <v>443</v>
      </c>
      <c r="L103" s="143" t="s">
        <v>339</v>
      </c>
      <c r="M103" s="143" t="s">
        <v>338</v>
      </c>
      <c r="N103" s="145" t="s">
        <v>3930</v>
      </c>
      <c r="O103" s="143" t="s">
        <v>3848</v>
      </c>
      <c r="P103" s="145" t="s">
        <v>3930</v>
      </c>
      <c r="Q103" s="143" t="s">
        <v>410</v>
      </c>
      <c r="R103" s="143" t="s">
        <v>410</v>
      </c>
      <c r="S103" s="143" t="s">
        <v>1210</v>
      </c>
      <c r="T103" s="144">
        <v>2.04</v>
      </c>
      <c r="U103" s="170" t="s">
        <v>823</v>
      </c>
      <c r="V103" s="146">
        <v>8.2500000000000004E-2</v>
      </c>
      <c r="W103" s="145" t="s">
        <v>3930</v>
      </c>
      <c r="X103" s="145" t="s">
        <v>3930</v>
      </c>
      <c r="Y103" s="166">
        <v>0</v>
      </c>
      <c r="Z103" s="146">
        <v>8.3099999999999993E-2</v>
      </c>
      <c r="AA103" s="143" t="s">
        <v>3849</v>
      </c>
      <c r="AB103" s="143" t="s">
        <v>412</v>
      </c>
      <c r="AC103" s="145" t="s">
        <v>3930</v>
      </c>
      <c r="AD103" s="145" t="s">
        <v>3930</v>
      </c>
      <c r="AE103" s="171">
        <v>0.62</v>
      </c>
      <c r="AF103" s="143" t="s">
        <v>3829</v>
      </c>
      <c r="AG103" s="145" t="s">
        <v>3930</v>
      </c>
      <c r="AH103" s="145" t="s">
        <v>3930</v>
      </c>
      <c r="AI103" s="145" t="s">
        <v>3930</v>
      </c>
      <c r="AJ103" s="143" t="s">
        <v>338</v>
      </c>
      <c r="AK103" s="143" t="s">
        <v>886</v>
      </c>
      <c r="AL103" s="145" t="s">
        <v>3930</v>
      </c>
      <c r="AM103" s="143" t="s">
        <v>889</v>
      </c>
      <c r="AN103" s="163">
        <v>45565</v>
      </c>
      <c r="AO103" s="163">
        <v>45565</v>
      </c>
      <c r="AP103" s="145" t="s">
        <v>3930</v>
      </c>
      <c r="AQ103" s="144">
        <v>289794</v>
      </c>
      <c r="AR103" s="143" t="s">
        <v>3850</v>
      </c>
      <c r="AS103" s="145" t="s">
        <v>3930</v>
      </c>
      <c r="AT103" s="144">
        <v>297.53149999999999</v>
      </c>
      <c r="AU103" s="144">
        <v>297.53149980000001</v>
      </c>
      <c r="AV103" s="145" t="s">
        <v>3930</v>
      </c>
      <c r="AW103" s="145" t="s">
        <v>3930</v>
      </c>
      <c r="AX103" s="145" t="s">
        <v>3930</v>
      </c>
      <c r="AY103" s="145" t="s">
        <v>3930</v>
      </c>
      <c r="AZ103" s="146">
        <v>1.5284348831769523E-3</v>
      </c>
      <c r="BA103" s="147">
        <v>3.7977642928597113E-5</v>
      </c>
      <c r="BB103" s="177"/>
    </row>
    <row r="104" spans="1:54" ht="15" x14ac:dyDescent="0.2">
      <c r="A104" s="142" t="s">
        <v>1220</v>
      </c>
      <c r="B104" s="143" t="s">
        <v>1220</v>
      </c>
      <c r="C104" s="145" t="s">
        <v>3930</v>
      </c>
      <c r="D104" s="145" t="s">
        <v>3930</v>
      </c>
      <c r="E104" s="145" t="s">
        <v>3930</v>
      </c>
      <c r="F104" s="143" t="s">
        <v>3851</v>
      </c>
      <c r="G104" s="143" t="s">
        <v>1012</v>
      </c>
      <c r="H104" s="143" t="s">
        <v>784</v>
      </c>
      <c r="I104" s="143" t="s">
        <v>204</v>
      </c>
      <c r="J104" s="145" t="s">
        <v>3930</v>
      </c>
      <c r="K104" s="143" t="s">
        <v>443</v>
      </c>
      <c r="L104" s="143" t="s">
        <v>339</v>
      </c>
      <c r="M104" s="143" t="s">
        <v>338</v>
      </c>
      <c r="N104" s="145" t="s">
        <v>3930</v>
      </c>
      <c r="O104" s="143" t="s">
        <v>3852</v>
      </c>
      <c r="P104" s="145" t="s">
        <v>3930</v>
      </c>
      <c r="Q104" s="143" t="s">
        <v>410</v>
      </c>
      <c r="R104" s="143" t="s">
        <v>410</v>
      </c>
      <c r="S104" s="143" t="s">
        <v>1210</v>
      </c>
      <c r="T104" s="144">
        <v>0.72</v>
      </c>
      <c r="U104" s="170" t="s">
        <v>823</v>
      </c>
      <c r="V104" s="146">
        <v>7.0000000000000007E-2</v>
      </c>
      <c r="W104" s="145" t="s">
        <v>3930</v>
      </c>
      <c r="X104" s="145" t="s">
        <v>3930</v>
      </c>
      <c r="Y104" s="166">
        <v>0</v>
      </c>
      <c r="Z104" s="146">
        <v>7.5899999999999995E-2</v>
      </c>
      <c r="AA104" s="143" t="s">
        <v>3836</v>
      </c>
      <c r="AB104" s="143" t="s">
        <v>412</v>
      </c>
      <c r="AC104" s="145" t="s">
        <v>3930</v>
      </c>
      <c r="AD104" s="145" t="s">
        <v>3930</v>
      </c>
      <c r="AE104" s="171">
        <v>0.67</v>
      </c>
      <c r="AF104" s="143" t="s">
        <v>3853</v>
      </c>
      <c r="AG104" s="145" t="s">
        <v>3930</v>
      </c>
      <c r="AH104" s="145" t="s">
        <v>3930</v>
      </c>
      <c r="AI104" s="145" t="s">
        <v>3930</v>
      </c>
      <c r="AJ104" s="143" t="s">
        <v>338</v>
      </c>
      <c r="AK104" s="143" t="s">
        <v>886</v>
      </c>
      <c r="AL104" s="145" t="s">
        <v>3930</v>
      </c>
      <c r="AM104" s="143" t="s">
        <v>889</v>
      </c>
      <c r="AN104" s="163">
        <v>45565</v>
      </c>
      <c r="AO104" s="163">
        <v>45565</v>
      </c>
      <c r="AP104" s="145" t="s">
        <v>3930</v>
      </c>
      <c r="AQ104" s="144">
        <v>265047</v>
      </c>
      <c r="AR104" s="143" t="s">
        <v>3854</v>
      </c>
      <c r="AS104" s="145" t="s">
        <v>3930</v>
      </c>
      <c r="AT104" s="144">
        <v>270.34790000000004</v>
      </c>
      <c r="AU104" s="144">
        <v>270.34793999999999</v>
      </c>
      <c r="AV104" s="145" t="s">
        <v>3930</v>
      </c>
      <c r="AW104" s="145" t="s">
        <v>3930</v>
      </c>
      <c r="AX104" s="145" t="s">
        <v>3930</v>
      </c>
      <c r="AY104" s="145" t="s">
        <v>3930</v>
      </c>
      <c r="AZ104" s="146">
        <v>1.3887915140709068E-3</v>
      </c>
      <c r="BA104" s="147">
        <v>3.4507867364307209E-5</v>
      </c>
      <c r="BB104" s="177"/>
    </row>
    <row r="105" spans="1:54" ht="15" x14ac:dyDescent="0.2">
      <c r="A105" s="142" t="s">
        <v>1220</v>
      </c>
      <c r="B105" s="143" t="s">
        <v>1220</v>
      </c>
      <c r="C105" s="145" t="s">
        <v>3930</v>
      </c>
      <c r="D105" s="145" t="s">
        <v>3930</v>
      </c>
      <c r="E105" s="145" t="s">
        <v>3930</v>
      </c>
      <c r="F105" s="143" t="s">
        <v>3859</v>
      </c>
      <c r="G105" s="143" t="s">
        <v>1012</v>
      </c>
      <c r="H105" s="143" t="s">
        <v>784</v>
      </c>
      <c r="I105" s="143" t="s">
        <v>204</v>
      </c>
      <c r="J105" s="145" t="s">
        <v>3930</v>
      </c>
      <c r="K105" s="143" t="s">
        <v>443</v>
      </c>
      <c r="L105" s="143" t="s">
        <v>339</v>
      </c>
      <c r="M105" s="143" t="s">
        <v>338</v>
      </c>
      <c r="N105" s="145" t="s">
        <v>3930</v>
      </c>
      <c r="O105" s="143" t="s">
        <v>3860</v>
      </c>
      <c r="P105" s="145" t="s">
        <v>3930</v>
      </c>
      <c r="Q105" s="143" t="s">
        <v>410</v>
      </c>
      <c r="R105" s="143" t="s">
        <v>410</v>
      </c>
      <c r="S105" s="143" t="s">
        <v>1210</v>
      </c>
      <c r="T105" s="144">
        <v>0.72</v>
      </c>
      <c r="U105" s="170" t="s">
        <v>823</v>
      </c>
      <c r="V105" s="146">
        <v>7.0000000000000007E-2</v>
      </c>
      <c r="W105" s="145" t="s">
        <v>3930</v>
      </c>
      <c r="X105" s="145" t="s">
        <v>3930</v>
      </c>
      <c r="Y105" s="166">
        <v>0</v>
      </c>
      <c r="Z105" s="146">
        <v>6.7599999999999993E-2</v>
      </c>
      <c r="AA105" s="143" t="s">
        <v>3836</v>
      </c>
      <c r="AB105" s="143" t="s">
        <v>412</v>
      </c>
      <c r="AC105" s="145" t="s">
        <v>3930</v>
      </c>
      <c r="AD105" s="145" t="s">
        <v>3930</v>
      </c>
      <c r="AE105" s="171">
        <v>0.67</v>
      </c>
      <c r="AF105" s="143" t="s">
        <v>3853</v>
      </c>
      <c r="AG105" s="145" t="s">
        <v>3930</v>
      </c>
      <c r="AH105" s="145" t="s">
        <v>3930</v>
      </c>
      <c r="AI105" s="145" t="s">
        <v>3930</v>
      </c>
      <c r="AJ105" s="143" t="s">
        <v>338</v>
      </c>
      <c r="AK105" s="143" t="s">
        <v>886</v>
      </c>
      <c r="AL105" s="145" t="s">
        <v>3930</v>
      </c>
      <c r="AM105" s="143" t="s">
        <v>889</v>
      </c>
      <c r="AN105" s="163">
        <v>45565</v>
      </c>
      <c r="AO105" s="163">
        <v>45565</v>
      </c>
      <c r="AP105" s="145" t="s">
        <v>3930</v>
      </c>
      <c r="AQ105" s="144">
        <v>102012</v>
      </c>
      <c r="AR105" s="143" t="s">
        <v>3861</v>
      </c>
      <c r="AS105" s="145" t="s">
        <v>3930</v>
      </c>
      <c r="AT105" s="144">
        <v>104.5317</v>
      </c>
      <c r="AU105" s="144">
        <v>104.5316964</v>
      </c>
      <c r="AV105" s="145" t="s">
        <v>3930</v>
      </c>
      <c r="AW105" s="145" t="s">
        <v>3930</v>
      </c>
      <c r="AX105" s="145" t="s">
        <v>3930</v>
      </c>
      <c r="AY105" s="145" t="s">
        <v>3930</v>
      </c>
      <c r="AZ105" s="146">
        <v>5.3698479415732324E-4</v>
      </c>
      <c r="BA105" s="147">
        <v>1.3342679491980701E-5</v>
      </c>
      <c r="BB105" s="177"/>
    </row>
    <row r="106" spans="1:54" ht="15" x14ac:dyDescent="0.2">
      <c r="A106" s="142" t="s">
        <v>1220</v>
      </c>
      <c r="B106" s="143" t="s">
        <v>1220</v>
      </c>
      <c r="C106" s="145" t="s">
        <v>3930</v>
      </c>
      <c r="D106" s="145" t="s">
        <v>3930</v>
      </c>
      <c r="E106" s="145" t="s">
        <v>3930</v>
      </c>
      <c r="F106" s="143" t="s">
        <v>3862</v>
      </c>
      <c r="G106" s="143" t="s">
        <v>1012</v>
      </c>
      <c r="H106" s="143" t="s">
        <v>784</v>
      </c>
      <c r="I106" s="143" t="s">
        <v>204</v>
      </c>
      <c r="J106" s="145" t="s">
        <v>3930</v>
      </c>
      <c r="K106" s="143" t="s">
        <v>443</v>
      </c>
      <c r="L106" s="143" t="s">
        <v>339</v>
      </c>
      <c r="M106" s="143" t="s">
        <v>338</v>
      </c>
      <c r="N106" s="145" t="s">
        <v>3930</v>
      </c>
      <c r="O106" s="143" t="s">
        <v>3832</v>
      </c>
      <c r="P106" s="145" t="s">
        <v>3930</v>
      </c>
      <c r="Q106" s="143" t="s">
        <v>410</v>
      </c>
      <c r="R106" s="143" t="s">
        <v>410</v>
      </c>
      <c r="S106" s="143" t="s">
        <v>1210</v>
      </c>
      <c r="T106" s="144">
        <v>0.72</v>
      </c>
      <c r="U106" s="170" t="s">
        <v>823</v>
      </c>
      <c r="V106" s="146">
        <v>7.0000000000000007E-2</v>
      </c>
      <c r="W106" s="145" t="s">
        <v>3930</v>
      </c>
      <c r="X106" s="145" t="s">
        <v>3930</v>
      </c>
      <c r="Y106" s="166">
        <v>0</v>
      </c>
      <c r="Z106" s="146">
        <v>6.9199999999999998E-2</v>
      </c>
      <c r="AA106" s="143" t="s">
        <v>3863</v>
      </c>
      <c r="AB106" s="143" t="s">
        <v>412</v>
      </c>
      <c r="AC106" s="145" t="s">
        <v>3930</v>
      </c>
      <c r="AD106" s="145" t="s">
        <v>3930</v>
      </c>
      <c r="AE106" s="171">
        <v>0.67</v>
      </c>
      <c r="AF106" s="143" t="s">
        <v>3853</v>
      </c>
      <c r="AG106" s="145" t="s">
        <v>3930</v>
      </c>
      <c r="AH106" s="145" t="s">
        <v>3930</v>
      </c>
      <c r="AI106" s="145" t="s">
        <v>3930</v>
      </c>
      <c r="AJ106" s="143" t="s">
        <v>338</v>
      </c>
      <c r="AK106" s="143" t="s">
        <v>886</v>
      </c>
      <c r="AL106" s="145" t="s">
        <v>3930</v>
      </c>
      <c r="AM106" s="143" t="s">
        <v>889</v>
      </c>
      <c r="AN106" s="163">
        <v>45565</v>
      </c>
      <c r="AO106" s="163">
        <v>45565</v>
      </c>
      <c r="AP106" s="145" t="s">
        <v>3930</v>
      </c>
      <c r="AQ106" s="144">
        <v>98243</v>
      </c>
      <c r="AR106" s="143" t="s">
        <v>3864</v>
      </c>
      <c r="AS106" s="145" t="s">
        <v>3930</v>
      </c>
      <c r="AT106" s="144">
        <v>100.5517</v>
      </c>
      <c r="AU106" s="144">
        <v>100.5517105</v>
      </c>
      <c r="AV106" s="145" t="s">
        <v>3930</v>
      </c>
      <c r="AW106" s="145" t="s">
        <v>3930</v>
      </c>
      <c r="AX106" s="145" t="s">
        <v>3930</v>
      </c>
      <c r="AY106" s="145" t="s">
        <v>3930</v>
      </c>
      <c r="AZ106" s="146">
        <v>5.1653939833133005E-4</v>
      </c>
      <c r="BA106" s="147">
        <v>1.2834664429801893E-5</v>
      </c>
      <c r="BB106" s="177"/>
    </row>
    <row r="107" spans="1:54" ht="15" x14ac:dyDescent="0.2">
      <c r="A107" s="142" t="s">
        <v>1220</v>
      </c>
      <c r="B107" s="143" t="s">
        <v>1220</v>
      </c>
      <c r="C107" s="145" t="s">
        <v>3930</v>
      </c>
      <c r="D107" s="145" t="s">
        <v>3930</v>
      </c>
      <c r="E107" s="145" t="s">
        <v>3930</v>
      </c>
      <c r="F107" s="143" t="s">
        <v>3865</v>
      </c>
      <c r="G107" s="143" t="s">
        <v>1012</v>
      </c>
      <c r="H107" s="143" t="s">
        <v>784</v>
      </c>
      <c r="I107" s="143" t="s">
        <v>204</v>
      </c>
      <c r="J107" s="145" t="s">
        <v>3930</v>
      </c>
      <c r="K107" s="143" t="s">
        <v>443</v>
      </c>
      <c r="L107" s="143" t="s">
        <v>339</v>
      </c>
      <c r="M107" s="143" t="s">
        <v>338</v>
      </c>
      <c r="N107" s="145" t="s">
        <v>3930</v>
      </c>
      <c r="O107" s="143" t="s">
        <v>3866</v>
      </c>
      <c r="P107" s="145" t="s">
        <v>3930</v>
      </c>
      <c r="Q107" s="143" t="s">
        <v>410</v>
      </c>
      <c r="R107" s="143" t="s">
        <v>410</v>
      </c>
      <c r="S107" s="143" t="s">
        <v>1210</v>
      </c>
      <c r="T107" s="144">
        <v>0.72</v>
      </c>
      <c r="U107" s="170" t="s">
        <v>823</v>
      </c>
      <c r="V107" s="146">
        <v>7.0000000000000007E-2</v>
      </c>
      <c r="W107" s="145" t="s">
        <v>3930</v>
      </c>
      <c r="X107" s="145" t="s">
        <v>3930</v>
      </c>
      <c r="Y107" s="166">
        <v>0</v>
      </c>
      <c r="Z107" s="146">
        <v>6.8599999999999994E-2</v>
      </c>
      <c r="AA107" s="143" t="s">
        <v>3836</v>
      </c>
      <c r="AB107" s="143" t="s">
        <v>412</v>
      </c>
      <c r="AC107" s="145" t="s">
        <v>3930</v>
      </c>
      <c r="AD107" s="145" t="s">
        <v>3930</v>
      </c>
      <c r="AE107" s="171">
        <v>0.67</v>
      </c>
      <c r="AF107" s="143" t="s">
        <v>3853</v>
      </c>
      <c r="AG107" s="145" t="s">
        <v>3930</v>
      </c>
      <c r="AH107" s="145" t="s">
        <v>3930</v>
      </c>
      <c r="AI107" s="145" t="s">
        <v>3930</v>
      </c>
      <c r="AJ107" s="143" t="s">
        <v>338</v>
      </c>
      <c r="AK107" s="143" t="s">
        <v>886</v>
      </c>
      <c r="AL107" s="145" t="s">
        <v>3930</v>
      </c>
      <c r="AM107" s="143" t="s">
        <v>889</v>
      </c>
      <c r="AN107" s="163">
        <v>45565</v>
      </c>
      <c r="AO107" s="163">
        <v>45565</v>
      </c>
      <c r="AP107" s="145" t="s">
        <v>3930</v>
      </c>
      <c r="AQ107" s="144">
        <v>88408</v>
      </c>
      <c r="AR107" s="143" t="s">
        <v>3867</v>
      </c>
      <c r="AS107" s="145" t="s">
        <v>3930</v>
      </c>
      <c r="AT107" s="144">
        <v>90.529800000000009</v>
      </c>
      <c r="AU107" s="144">
        <v>90.529792</v>
      </c>
      <c r="AV107" s="145" t="s">
        <v>3930</v>
      </c>
      <c r="AW107" s="145" t="s">
        <v>3930</v>
      </c>
      <c r="AX107" s="145" t="s">
        <v>3930</v>
      </c>
      <c r="AY107" s="145" t="s">
        <v>3930</v>
      </c>
      <c r="AZ107" s="146">
        <v>4.6505627858752793E-4</v>
      </c>
      <c r="BA107" s="147">
        <v>1.1555442423028338E-5</v>
      </c>
      <c r="BB107" s="177"/>
    </row>
    <row r="108" spans="1:54" ht="15" x14ac:dyDescent="0.2">
      <c r="A108" s="142" t="s">
        <v>1220</v>
      </c>
      <c r="B108" s="143" t="s">
        <v>1220</v>
      </c>
      <c r="C108" s="145" t="s">
        <v>3930</v>
      </c>
      <c r="D108" s="145" t="s">
        <v>3930</v>
      </c>
      <c r="E108" s="145" t="s">
        <v>3930</v>
      </c>
      <c r="F108" s="143" t="s">
        <v>3868</v>
      </c>
      <c r="G108" s="143" t="s">
        <v>1012</v>
      </c>
      <c r="H108" s="145" t="s">
        <v>3930</v>
      </c>
      <c r="I108" s="143" t="s">
        <v>204</v>
      </c>
      <c r="J108" s="145" t="s">
        <v>3930</v>
      </c>
      <c r="K108" s="143" t="s">
        <v>454</v>
      </c>
      <c r="L108" s="143" t="s">
        <v>339</v>
      </c>
      <c r="M108" s="143" t="s">
        <v>338</v>
      </c>
      <c r="N108" s="145" t="s">
        <v>3930</v>
      </c>
      <c r="O108" s="143" t="s">
        <v>3869</v>
      </c>
      <c r="P108" s="143" t="s">
        <v>1721</v>
      </c>
      <c r="Q108" s="143" t="s">
        <v>413</v>
      </c>
      <c r="R108" s="143" t="s">
        <v>408</v>
      </c>
      <c r="S108" s="143" t="s">
        <v>1210</v>
      </c>
      <c r="T108" s="144">
        <v>5.74</v>
      </c>
      <c r="U108" s="170" t="s">
        <v>824</v>
      </c>
      <c r="V108" s="146">
        <v>3.3099999999999997E-2</v>
      </c>
      <c r="W108" s="145" t="s">
        <v>3930</v>
      </c>
      <c r="X108" s="145" t="s">
        <v>3930</v>
      </c>
      <c r="Y108" s="166">
        <v>0</v>
      </c>
      <c r="Z108" s="146">
        <v>3.3500000000000002E-2</v>
      </c>
      <c r="AA108" s="143" t="s">
        <v>3735</v>
      </c>
      <c r="AB108" s="143" t="s">
        <v>412</v>
      </c>
      <c r="AC108" s="145" t="s">
        <v>3930</v>
      </c>
      <c r="AD108" s="145" t="s">
        <v>3930</v>
      </c>
      <c r="AE108" s="145" t="s">
        <v>3930</v>
      </c>
      <c r="AF108" s="145" t="s">
        <v>3930</v>
      </c>
      <c r="AG108" s="145" t="s">
        <v>3930</v>
      </c>
      <c r="AH108" s="145" t="s">
        <v>3930</v>
      </c>
      <c r="AI108" s="145" t="s">
        <v>3930</v>
      </c>
      <c r="AJ108" s="145" t="s">
        <v>3930</v>
      </c>
      <c r="AK108" s="143" t="s">
        <v>886</v>
      </c>
      <c r="AL108" s="145" t="s">
        <v>3930</v>
      </c>
      <c r="AM108" s="143" t="s">
        <v>889</v>
      </c>
      <c r="AN108" s="163">
        <v>45565</v>
      </c>
      <c r="AO108" s="163">
        <v>45565</v>
      </c>
      <c r="AP108" s="145" t="s">
        <v>3930</v>
      </c>
      <c r="AQ108" s="144">
        <v>73984.429999999993</v>
      </c>
      <c r="AR108" s="143" t="s">
        <v>3870</v>
      </c>
      <c r="AS108" s="145" t="s">
        <v>3930</v>
      </c>
      <c r="AT108" s="144">
        <v>86.258399999999995</v>
      </c>
      <c r="AU108" s="144">
        <v>86.25844690000001</v>
      </c>
      <c r="AV108" s="145" t="s">
        <v>3930</v>
      </c>
      <c r="AW108" s="145" t="s">
        <v>3930</v>
      </c>
      <c r="AX108" s="145" t="s">
        <v>3930</v>
      </c>
      <c r="AY108" s="145" t="s">
        <v>3930</v>
      </c>
      <c r="AZ108" s="146">
        <v>4.431141554954745E-4</v>
      </c>
      <c r="BA108" s="147">
        <v>1.1010237569974187E-5</v>
      </c>
      <c r="BB108" s="177"/>
    </row>
    <row r="109" spans="1:54" ht="15" x14ac:dyDescent="0.2">
      <c r="A109" s="142" t="s">
        <v>1220</v>
      </c>
      <c r="B109" s="143" t="s">
        <v>1220</v>
      </c>
      <c r="C109" s="145" t="s">
        <v>3930</v>
      </c>
      <c r="D109" s="145" t="s">
        <v>3930</v>
      </c>
      <c r="E109" s="145" t="s">
        <v>3930</v>
      </c>
      <c r="F109" s="143" t="s">
        <v>3871</v>
      </c>
      <c r="G109" s="143" t="s">
        <v>1012</v>
      </c>
      <c r="H109" s="143" t="s">
        <v>784</v>
      </c>
      <c r="I109" s="143" t="s">
        <v>204</v>
      </c>
      <c r="J109" s="145" t="s">
        <v>3930</v>
      </c>
      <c r="K109" s="143" t="s">
        <v>443</v>
      </c>
      <c r="L109" s="143" t="s">
        <v>339</v>
      </c>
      <c r="M109" s="143" t="s">
        <v>338</v>
      </c>
      <c r="N109" s="145" t="s">
        <v>3930</v>
      </c>
      <c r="O109" s="143" t="s">
        <v>3872</v>
      </c>
      <c r="P109" s="145" t="s">
        <v>3930</v>
      </c>
      <c r="Q109" s="143" t="s">
        <v>410</v>
      </c>
      <c r="R109" s="143" t="s">
        <v>410</v>
      </c>
      <c r="S109" s="143" t="s">
        <v>1210</v>
      </c>
      <c r="T109" s="144">
        <v>0.72</v>
      </c>
      <c r="U109" s="170" t="s">
        <v>823</v>
      </c>
      <c r="V109" s="146">
        <v>7.0000000000000007E-2</v>
      </c>
      <c r="W109" s="145" t="s">
        <v>3930</v>
      </c>
      <c r="X109" s="145" t="s">
        <v>3930</v>
      </c>
      <c r="Y109" s="166">
        <v>0</v>
      </c>
      <c r="Z109" s="146">
        <v>6.9599999999999995E-2</v>
      </c>
      <c r="AA109" s="143" t="s">
        <v>3863</v>
      </c>
      <c r="AB109" s="143" t="s">
        <v>412</v>
      </c>
      <c r="AC109" s="145" t="s">
        <v>3930</v>
      </c>
      <c r="AD109" s="145" t="s">
        <v>3930</v>
      </c>
      <c r="AE109" s="171">
        <v>0.67</v>
      </c>
      <c r="AF109" s="143" t="s">
        <v>3853</v>
      </c>
      <c r="AG109" s="145" t="s">
        <v>3930</v>
      </c>
      <c r="AH109" s="145" t="s">
        <v>3930</v>
      </c>
      <c r="AI109" s="145" t="s">
        <v>3930</v>
      </c>
      <c r="AJ109" s="143" t="s">
        <v>338</v>
      </c>
      <c r="AK109" s="143" t="s">
        <v>886</v>
      </c>
      <c r="AL109" s="145" t="s">
        <v>3930</v>
      </c>
      <c r="AM109" s="143" t="s">
        <v>889</v>
      </c>
      <c r="AN109" s="163">
        <v>45565</v>
      </c>
      <c r="AO109" s="163">
        <v>45565</v>
      </c>
      <c r="AP109" s="145" t="s">
        <v>3930</v>
      </c>
      <c r="AQ109" s="144">
        <v>65473</v>
      </c>
      <c r="AR109" s="143" t="s">
        <v>3765</v>
      </c>
      <c r="AS109" s="145" t="s">
        <v>3930</v>
      </c>
      <c r="AT109" s="144">
        <v>66.998500000000007</v>
      </c>
      <c r="AU109" s="144">
        <v>66.998520900000003</v>
      </c>
      <c r="AV109" s="145" t="s">
        <v>3930</v>
      </c>
      <c r="AW109" s="145" t="s">
        <v>3930</v>
      </c>
      <c r="AX109" s="145" t="s">
        <v>3930</v>
      </c>
      <c r="AY109" s="145" t="s">
        <v>3930</v>
      </c>
      <c r="AZ109" s="146">
        <v>3.4417490764391363E-4</v>
      </c>
      <c r="BA109" s="147">
        <v>8.5518538547841881E-6</v>
      </c>
      <c r="BB109" s="177"/>
    </row>
    <row r="110" spans="1:54" ht="15" x14ac:dyDescent="0.2">
      <c r="A110" s="142" t="s">
        <v>1220</v>
      </c>
      <c r="B110" s="143" t="s">
        <v>1220</v>
      </c>
      <c r="C110" s="145" t="s">
        <v>3930</v>
      </c>
      <c r="D110" s="145" t="s">
        <v>3930</v>
      </c>
      <c r="E110" s="145" t="s">
        <v>3930</v>
      </c>
      <c r="F110" s="143" t="s">
        <v>3873</v>
      </c>
      <c r="G110" s="143" t="s">
        <v>1012</v>
      </c>
      <c r="H110" s="143" t="s">
        <v>784</v>
      </c>
      <c r="I110" s="143" t="s">
        <v>204</v>
      </c>
      <c r="J110" s="145" t="s">
        <v>3930</v>
      </c>
      <c r="K110" s="143" t="s">
        <v>443</v>
      </c>
      <c r="L110" s="143" t="s">
        <v>339</v>
      </c>
      <c r="M110" s="143" t="s">
        <v>338</v>
      </c>
      <c r="N110" s="145" t="s">
        <v>3930</v>
      </c>
      <c r="O110" s="143" t="s">
        <v>3874</v>
      </c>
      <c r="P110" s="145" t="s">
        <v>3930</v>
      </c>
      <c r="Q110" s="143" t="s">
        <v>410</v>
      </c>
      <c r="R110" s="143" t="s">
        <v>410</v>
      </c>
      <c r="S110" s="143" t="s">
        <v>1210</v>
      </c>
      <c r="T110" s="144">
        <v>0.72</v>
      </c>
      <c r="U110" s="170" t="s">
        <v>823</v>
      </c>
      <c r="V110" s="146">
        <v>7.0000000000000007E-2</v>
      </c>
      <c r="W110" s="145" t="s">
        <v>3930</v>
      </c>
      <c r="X110" s="145" t="s">
        <v>3930</v>
      </c>
      <c r="Y110" s="166">
        <v>0</v>
      </c>
      <c r="Z110" s="146">
        <v>7.0099999999999996E-2</v>
      </c>
      <c r="AA110" s="143" t="s">
        <v>3836</v>
      </c>
      <c r="AB110" s="143" t="s">
        <v>412</v>
      </c>
      <c r="AC110" s="145" t="s">
        <v>3930</v>
      </c>
      <c r="AD110" s="145" t="s">
        <v>3930</v>
      </c>
      <c r="AE110" s="171">
        <v>0.67</v>
      </c>
      <c r="AF110" s="143" t="s">
        <v>3853</v>
      </c>
      <c r="AG110" s="145" t="s">
        <v>3930</v>
      </c>
      <c r="AH110" s="145" t="s">
        <v>3930</v>
      </c>
      <c r="AI110" s="145" t="s">
        <v>3930</v>
      </c>
      <c r="AJ110" s="143" t="s">
        <v>338</v>
      </c>
      <c r="AK110" s="143" t="s">
        <v>886</v>
      </c>
      <c r="AL110" s="145" t="s">
        <v>3930</v>
      </c>
      <c r="AM110" s="143" t="s">
        <v>889</v>
      </c>
      <c r="AN110" s="163">
        <v>45565</v>
      </c>
      <c r="AO110" s="163">
        <v>45565</v>
      </c>
      <c r="AP110" s="145" t="s">
        <v>3930</v>
      </c>
      <c r="AQ110" s="144">
        <v>65325.62</v>
      </c>
      <c r="AR110" s="143" t="s">
        <v>3875</v>
      </c>
      <c r="AS110" s="145" t="s">
        <v>3930</v>
      </c>
      <c r="AT110" s="144">
        <v>66.828100000000006</v>
      </c>
      <c r="AU110" s="144">
        <v>66.828109299999994</v>
      </c>
      <c r="AV110" s="145" t="s">
        <v>3930</v>
      </c>
      <c r="AW110" s="145" t="s">
        <v>3930</v>
      </c>
      <c r="AX110" s="145" t="s">
        <v>3930</v>
      </c>
      <c r="AY110" s="145" t="s">
        <v>3930</v>
      </c>
      <c r="AZ110" s="146">
        <v>3.4329949413223343E-4</v>
      </c>
      <c r="BA110" s="147">
        <v>8.5301020993594774E-6</v>
      </c>
      <c r="BB110" s="177"/>
    </row>
    <row r="111" spans="1:54" ht="15" x14ac:dyDescent="0.2">
      <c r="A111" s="142" t="s">
        <v>1220</v>
      </c>
      <c r="B111" s="143" t="s">
        <v>1220</v>
      </c>
      <c r="C111" s="145" t="s">
        <v>3930</v>
      </c>
      <c r="D111" s="145" t="s">
        <v>3930</v>
      </c>
      <c r="E111" s="145" t="s">
        <v>3930</v>
      </c>
      <c r="F111" s="143" t="s">
        <v>3876</v>
      </c>
      <c r="G111" s="143" t="s">
        <v>1012</v>
      </c>
      <c r="H111" s="143" t="s">
        <v>784</v>
      </c>
      <c r="I111" s="143" t="s">
        <v>204</v>
      </c>
      <c r="J111" s="145" t="s">
        <v>3930</v>
      </c>
      <c r="K111" s="143" t="s">
        <v>443</v>
      </c>
      <c r="L111" s="143" t="s">
        <v>339</v>
      </c>
      <c r="M111" s="143" t="s">
        <v>338</v>
      </c>
      <c r="N111" s="145" t="s">
        <v>3930</v>
      </c>
      <c r="O111" s="143" t="s">
        <v>3877</v>
      </c>
      <c r="P111" s="145" t="s">
        <v>3930</v>
      </c>
      <c r="Q111" s="143" t="s">
        <v>410</v>
      </c>
      <c r="R111" s="143" t="s">
        <v>410</v>
      </c>
      <c r="S111" s="143" t="s">
        <v>1210</v>
      </c>
      <c r="T111" s="144">
        <v>0.72</v>
      </c>
      <c r="U111" s="170" t="s">
        <v>823</v>
      </c>
      <c r="V111" s="146">
        <v>7.0000000000000007E-2</v>
      </c>
      <c r="W111" s="145" t="s">
        <v>3930</v>
      </c>
      <c r="X111" s="145" t="s">
        <v>3930</v>
      </c>
      <c r="Y111" s="166">
        <v>0</v>
      </c>
      <c r="Z111" s="146">
        <v>7.0699999999999999E-2</v>
      </c>
      <c r="AA111" s="143" t="s">
        <v>3863</v>
      </c>
      <c r="AB111" s="143" t="s">
        <v>412</v>
      </c>
      <c r="AC111" s="145" t="s">
        <v>3930</v>
      </c>
      <c r="AD111" s="145" t="s">
        <v>3930</v>
      </c>
      <c r="AE111" s="171">
        <v>0.67</v>
      </c>
      <c r="AF111" s="143" t="s">
        <v>3878</v>
      </c>
      <c r="AG111" s="145" t="s">
        <v>3930</v>
      </c>
      <c r="AH111" s="145" t="s">
        <v>3930</v>
      </c>
      <c r="AI111" s="145" t="s">
        <v>3930</v>
      </c>
      <c r="AJ111" s="143" t="s">
        <v>338</v>
      </c>
      <c r="AK111" s="143" t="s">
        <v>886</v>
      </c>
      <c r="AL111" s="145" t="s">
        <v>3930</v>
      </c>
      <c r="AM111" s="143" t="s">
        <v>889</v>
      </c>
      <c r="AN111" s="163">
        <v>45565</v>
      </c>
      <c r="AO111" s="163">
        <v>45565</v>
      </c>
      <c r="AP111" s="145" t="s">
        <v>3930</v>
      </c>
      <c r="AQ111" s="144">
        <v>49116</v>
      </c>
      <c r="AR111" s="143" t="s">
        <v>3879</v>
      </c>
      <c r="AS111" s="145" t="s">
        <v>3930</v>
      </c>
      <c r="AT111" s="144">
        <v>50.230899999999998</v>
      </c>
      <c r="AU111" s="144">
        <v>50.230933200000003</v>
      </c>
      <c r="AV111" s="145" t="s">
        <v>3930</v>
      </c>
      <c r="AW111" s="145" t="s">
        <v>3930</v>
      </c>
      <c r="AX111" s="145" t="s">
        <v>3930</v>
      </c>
      <c r="AY111" s="145" t="s">
        <v>3930</v>
      </c>
      <c r="AZ111" s="146">
        <v>2.5803893224421307E-4</v>
      </c>
      <c r="BA111" s="147">
        <v>6.4115982553851728E-6</v>
      </c>
      <c r="BB111" s="177"/>
    </row>
    <row r="112" spans="1:54" ht="15" x14ac:dyDescent="0.2">
      <c r="A112" s="142" t="s">
        <v>1220</v>
      </c>
      <c r="B112" s="143" t="s">
        <v>1220</v>
      </c>
      <c r="C112" s="145" t="s">
        <v>3930</v>
      </c>
      <c r="D112" s="145" t="s">
        <v>3930</v>
      </c>
      <c r="E112" s="145" t="s">
        <v>3930</v>
      </c>
      <c r="F112" s="143" t="s">
        <v>3880</v>
      </c>
      <c r="G112" s="143" t="s">
        <v>1012</v>
      </c>
      <c r="H112" s="143" t="s">
        <v>784</v>
      </c>
      <c r="I112" s="143" t="s">
        <v>204</v>
      </c>
      <c r="J112" s="145" t="s">
        <v>3930</v>
      </c>
      <c r="K112" s="143" t="s">
        <v>443</v>
      </c>
      <c r="L112" s="143" t="s">
        <v>339</v>
      </c>
      <c r="M112" s="143" t="s">
        <v>338</v>
      </c>
      <c r="N112" s="145" t="s">
        <v>3930</v>
      </c>
      <c r="O112" s="143" t="s">
        <v>3881</v>
      </c>
      <c r="P112" s="145" t="s">
        <v>3930</v>
      </c>
      <c r="Q112" s="143" t="s">
        <v>410</v>
      </c>
      <c r="R112" s="143" t="s">
        <v>410</v>
      </c>
      <c r="S112" s="143" t="s">
        <v>1210</v>
      </c>
      <c r="T112" s="144">
        <v>0.72</v>
      </c>
      <c r="U112" s="170" t="s">
        <v>823</v>
      </c>
      <c r="V112" s="146">
        <v>7.0000000000000007E-2</v>
      </c>
      <c r="W112" s="145" t="s">
        <v>3930</v>
      </c>
      <c r="X112" s="145" t="s">
        <v>3930</v>
      </c>
      <c r="Y112" s="166">
        <v>0</v>
      </c>
      <c r="Z112" s="146">
        <v>7.1499999999999994E-2</v>
      </c>
      <c r="AA112" s="143" t="s">
        <v>3836</v>
      </c>
      <c r="AB112" s="143" t="s">
        <v>412</v>
      </c>
      <c r="AC112" s="145" t="s">
        <v>3930</v>
      </c>
      <c r="AD112" s="145" t="s">
        <v>3930</v>
      </c>
      <c r="AE112" s="171">
        <v>0.67</v>
      </c>
      <c r="AF112" s="143" t="s">
        <v>3853</v>
      </c>
      <c r="AG112" s="145" t="s">
        <v>3930</v>
      </c>
      <c r="AH112" s="145" t="s">
        <v>3930</v>
      </c>
      <c r="AI112" s="145" t="s">
        <v>3930</v>
      </c>
      <c r="AJ112" s="143" t="s">
        <v>338</v>
      </c>
      <c r="AK112" s="143" t="s">
        <v>886</v>
      </c>
      <c r="AL112" s="145" t="s">
        <v>3930</v>
      </c>
      <c r="AM112" s="143" t="s">
        <v>889</v>
      </c>
      <c r="AN112" s="163">
        <v>45565</v>
      </c>
      <c r="AO112" s="163">
        <v>45565</v>
      </c>
      <c r="AP112" s="145" t="s">
        <v>3930</v>
      </c>
      <c r="AQ112" s="144">
        <v>49112</v>
      </c>
      <c r="AR112" s="143" t="s">
        <v>3882</v>
      </c>
      <c r="AS112" s="145" t="s">
        <v>3930</v>
      </c>
      <c r="AT112" s="144">
        <v>50.202300000000001</v>
      </c>
      <c r="AU112" s="144">
        <v>50.202286399999998</v>
      </c>
      <c r="AV112" s="145" t="s">
        <v>3930</v>
      </c>
      <c r="AW112" s="145" t="s">
        <v>3930</v>
      </c>
      <c r="AX112" s="145" t="s">
        <v>3930</v>
      </c>
      <c r="AY112" s="145" t="s">
        <v>3930</v>
      </c>
      <c r="AZ112" s="146">
        <v>2.5789177213363378E-4</v>
      </c>
      <c r="BA112" s="147">
        <v>6.4079417082895601E-6</v>
      </c>
      <c r="BB112" s="177"/>
    </row>
    <row r="113" spans="1:54" ht="15" x14ac:dyDescent="0.2">
      <c r="A113" s="142" t="s">
        <v>1220</v>
      </c>
      <c r="B113" s="143" t="s">
        <v>1220</v>
      </c>
      <c r="C113" s="145" t="s">
        <v>3930</v>
      </c>
      <c r="D113" s="145" t="s">
        <v>3930</v>
      </c>
      <c r="E113" s="145" t="s">
        <v>3930</v>
      </c>
      <c r="F113" s="143" t="s">
        <v>3883</v>
      </c>
      <c r="G113" s="143" t="s">
        <v>1012</v>
      </c>
      <c r="H113" s="143" t="s">
        <v>784</v>
      </c>
      <c r="I113" s="143" t="s">
        <v>204</v>
      </c>
      <c r="J113" s="145" t="s">
        <v>3930</v>
      </c>
      <c r="K113" s="143" t="s">
        <v>443</v>
      </c>
      <c r="L113" s="143" t="s">
        <v>339</v>
      </c>
      <c r="M113" s="143" t="s">
        <v>338</v>
      </c>
      <c r="N113" s="145" t="s">
        <v>3930</v>
      </c>
      <c r="O113" s="143" t="s">
        <v>3884</v>
      </c>
      <c r="P113" s="145" t="s">
        <v>3930</v>
      </c>
      <c r="Q113" s="143" t="s">
        <v>410</v>
      </c>
      <c r="R113" s="143" t="s">
        <v>410</v>
      </c>
      <c r="S113" s="143" t="s">
        <v>1210</v>
      </c>
      <c r="T113" s="144">
        <v>0.72</v>
      </c>
      <c r="U113" s="170" t="s">
        <v>823</v>
      </c>
      <c r="V113" s="146">
        <v>7.0000000000000007E-2</v>
      </c>
      <c r="W113" s="145" t="s">
        <v>3930</v>
      </c>
      <c r="X113" s="145" t="s">
        <v>3930</v>
      </c>
      <c r="Y113" s="166">
        <v>0</v>
      </c>
      <c r="Z113" s="146">
        <v>7.8E-2</v>
      </c>
      <c r="AA113" s="143" t="s">
        <v>3836</v>
      </c>
      <c r="AB113" s="143" t="s">
        <v>412</v>
      </c>
      <c r="AC113" s="145" t="s">
        <v>3930</v>
      </c>
      <c r="AD113" s="145" t="s">
        <v>3930</v>
      </c>
      <c r="AE113" s="171">
        <v>0.67</v>
      </c>
      <c r="AF113" s="143" t="s">
        <v>3853</v>
      </c>
      <c r="AG113" s="145" t="s">
        <v>3930</v>
      </c>
      <c r="AH113" s="145" t="s">
        <v>3930</v>
      </c>
      <c r="AI113" s="145" t="s">
        <v>3930</v>
      </c>
      <c r="AJ113" s="143" t="s">
        <v>338</v>
      </c>
      <c r="AK113" s="143" t="s">
        <v>886</v>
      </c>
      <c r="AL113" s="145" t="s">
        <v>3930</v>
      </c>
      <c r="AM113" s="143" t="s">
        <v>889</v>
      </c>
      <c r="AN113" s="163">
        <v>45565</v>
      </c>
      <c r="AO113" s="163">
        <v>45565</v>
      </c>
      <c r="AP113" s="145" t="s">
        <v>3930</v>
      </c>
      <c r="AQ113" s="144">
        <v>49086</v>
      </c>
      <c r="AR113" s="143" t="s">
        <v>3885</v>
      </c>
      <c r="AS113" s="145" t="s">
        <v>3930</v>
      </c>
      <c r="AT113" s="144">
        <v>50.028500000000001</v>
      </c>
      <c r="AU113" s="144">
        <v>50.028451200000006</v>
      </c>
      <c r="AV113" s="145" t="s">
        <v>3930</v>
      </c>
      <c r="AW113" s="145" t="s">
        <v>3930</v>
      </c>
      <c r="AX113" s="145" t="s">
        <v>3930</v>
      </c>
      <c r="AY113" s="145" t="s">
        <v>3930</v>
      </c>
      <c r="AZ113" s="146">
        <v>2.5699877161509157E-4</v>
      </c>
      <c r="BA113" s="147">
        <v>6.3857529613553395E-6</v>
      </c>
      <c r="BB113" s="177"/>
    </row>
    <row r="114" spans="1:54" ht="15" x14ac:dyDescent="0.2">
      <c r="A114" s="142" t="s">
        <v>1220</v>
      </c>
      <c r="B114" s="143" t="s">
        <v>1220</v>
      </c>
      <c r="C114" s="145" t="s">
        <v>3930</v>
      </c>
      <c r="D114" s="145" t="s">
        <v>3930</v>
      </c>
      <c r="E114" s="145" t="s">
        <v>3930</v>
      </c>
      <c r="F114" s="143" t="s">
        <v>3886</v>
      </c>
      <c r="G114" s="143" t="s">
        <v>1012</v>
      </c>
      <c r="H114" s="143" t="s">
        <v>784</v>
      </c>
      <c r="I114" s="143" t="s">
        <v>204</v>
      </c>
      <c r="J114" s="145" t="s">
        <v>3930</v>
      </c>
      <c r="K114" s="143" t="s">
        <v>443</v>
      </c>
      <c r="L114" s="143" t="s">
        <v>339</v>
      </c>
      <c r="M114" s="143" t="s">
        <v>338</v>
      </c>
      <c r="N114" s="145" t="s">
        <v>3930</v>
      </c>
      <c r="O114" s="143" t="s">
        <v>3887</v>
      </c>
      <c r="P114" s="145" t="s">
        <v>3930</v>
      </c>
      <c r="Q114" s="143" t="s">
        <v>410</v>
      </c>
      <c r="R114" s="143" t="s">
        <v>410</v>
      </c>
      <c r="S114" s="143" t="s">
        <v>1210</v>
      </c>
      <c r="T114" s="144">
        <v>0.72</v>
      </c>
      <c r="U114" s="170" t="s">
        <v>823</v>
      </c>
      <c r="V114" s="146">
        <v>7.0000000000000007E-2</v>
      </c>
      <c r="W114" s="145" t="s">
        <v>3930</v>
      </c>
      <c r="X114" s="145" t="s">
        <v>3930</v>
      </c>
      <c r="Y114" s="166">
        <v>0</v>
      </c>
      <c r="Z114" s="146">
        <v>8.1600000000000006E-2</v>
      </c>
      <c r="AA114" s="143" t="s">
        <v>3836</v>
      </c>
      <c r="AB114" s="143" t="s">
        <v>412</v>
      </c>
      <c r="AC114" s="145" t="s">
        <v>3930</v>
      </c>
      <c r="AD114" s="145" t="s">
        <v>3930</v>
      </c>
      <c r="AE114" s="171">
        <v>0.67</v>
      </c>
      <c r="AF114" s="143" t="s">
        <v>3853</v>
      </c>
      <c r="AG114" s="145" t="s">
        <v>3930</v>
      </c>
      <c r="AH114" s="145" t="s">
        <v>3930</v>
      </c>
      <c r="AI114" s="145" t="s">
        <v>3930</v>
      </c>
      <c r="AJ114" s="143" t="s">
        <v>338</v>
      </c>
      <c r="AK114" s="143" t="s">
        <v>886</v>
      </c>
      <c r="AL114" s="145" t="s">
        <v>3930</v>
      </c>
      <c r="AM114" s="143" t="s">
        <v>889</v>
      </c>
      <c r="AN114" s="163">
        <v>45565</v>
      </c>
      <c r="AO114" s="163">
        <v>45565</v>
      </c>
      <c r="AP114" s="145" t="s">
        <v>3930</v>
      </c>
      <c r="AQ114" s="144">
        <v>49074</v>
      </c>
      <c r="AR114" s="143" t="s">
        <v>3888</v>
      </c>
      <c r="AS114" s="145" t="s">
        <v>3930</v>
      </c>
      <c r="AT114" s="144">
        <v>49.9377</v>
      </c>
      <c r="AU114" s="144">
        <v>49.937702399999999</v>
      </c>
      <c r="AV114" s="145" t="s">
        <v>3930</v>
      </c>
      <c r="AW114" s="145" t="s">
        <v>3930</v>
      </c>
      <c r="AX114" s="145" t="s">
        <v>3930</v>
      </c>
      <c r="AY114" s="145" t="s">
        <v>3930</v>
      </c>
      <c r="AZ114" s="146">
        <v>2.5653259028094816E-4</v>
      </c>
      <c r="BA114" s="147">
        <v>6.374169564219523E-6</v>
      </c>
      <c r="BB114" s="177"/>
    </row>
    <row r="115" spans="1:54" ht="15" x14ac:dyDescent="0.2">
      <c r="A115" s="142" t="s">
        <v>1220</v>
      </c>
      <c r="B115" s="143" t="s">
        <v>1220</v>
      </c>
      <c r="C115" s="145" t="s">
        <v>3930</v>
      </c>
      <c r="D115" s="145" t="s">
        <v>3930</v>
      </c>
      <c r="E115" s="145" t="s">
        <v>3930</v>
      </c>
      <c r="F115" s="143" t="s">
        <v>3889</v>
      </c>
      <c r="G115" s="143" t="s">
        <v>1012</v>
      </c>
      <c r="H115" s="143" t="s">
        <v>784</v>
      </c>
      <c r="I115" s="143" t="s">
        <v>204</v>
      </c>
      <c r="J115" s="145" t="s">
        <v>3930</v>
      </c>
      <c r="K115" s="143" t="s">
        <v>443</v>
      </c>
      <c r="L115" s="143" t="s">
        <v>339</v>
      </c>
      <c r="M115" s="143" t="s">
        <v>338</v>
      </c>
      <c r="N115" s="145" t="s">
        <v>3930</v>
      </c>
      <c r="O115" s="143" t="s">
        <v>3890</v>
      </c>
      <c r="P115" s="145" t="s">
        <v>3930</v>
      </c>
      <c r="Q115" s="143" t="s">
        <v>410</v>
      </c>
      <c r="R115" s="143" t="s">
        <v>410</v>
      </c>
      <c r="S115" s="143" t="s">
        <v>1210</v>
      </c>
      <c r="T115" s="144">
        <v>0.72</v>
      </c>
      <c r="U115" s="170" t="s">
        <v>823</v>
      </c>
      <c r="V115" s="146">
        <v>7.0000000000000007E-2</v>
      </c>
      <c r="W115" s="145" t="s">
        <v>3930</v>
      </c>
      <c r="X115" s="145" t="s">
        <v>3930</v>
      </c>
      <c r="Y115" s="166">
        <v>0</v>
      </c>
      <c r="Z115" s="146">
        <v>6.9900000000000004E-2</v>
      </c>
      <c r="AA115" s="143" t="s">
        <v>3863</v>
      </c>
      <c r="AB115" s="143" t="s">
        <v>412</v>
      </c>
      <c r="AC115" s="145" t="s">
        <v>3930</v>
      </c>
      <c r="AD115" s="145" t="s">
        <v>3930</v>
      </c>
      <c r="AE115" s="171">
        <v>0.67</v>
      </c>
      <c r="AF115" s="143" t="s">
        <v>3853</v>
      </c>
      <c r="AG115" s="145" t="s">
        <v>3930</v>
      </c>
      <c r="AH115" s="145" t="s">
        <v>3930</v>
      </c>
      <c r="AI115" s="145" t="s">
        <v>3930</v>
      </c>
      <c r="AJ115" s="143" t="s">
        <v>338</v>
      </c>
      <c r="AK115" s="143" t="s">
        <v>886</v>
      </c>
      <c r="AL115" s="145" t="s">
        <v>3930</v>
      </c>
      <c r="AM115" s="143" t="s">
        <v>889</v>
      </c>
      <c r="AN115" s="163">
        <v>45565</v>
      </c>
      <c r="AO115" s="163">
        <v>45565</v>
      </c>
      <c r="AP115" s="145" t="s">
        <v>3930</v>
      </c>
      <c r="AQ115" s="144">
        <v>42554</v>
      </c>
      <c r="AR115" s="143" t="s">
        <v>3891</v>
      </c>
      <c r="AS115" s="145" t="s">
        <v>3930</v>
      </c>
      <c r="AT115" s="144">
        <v>43.536999999999999</v>
      </c>
      <c r="AU115" s="144">
        <v>43.536997399999997</v>
      </c>
      <c r="AV115" s="145" t="s">
        <v>3930</v>
      </c>
      <c r="AW115" s="145" t="s">
        <v>3930</v>
      </c>
      <c r="AX115" s="145" t="s">
        <v>3930</v>
      </c>
      <c r="AY115" s="145" t="s">
        <v>3930</v>
      </c>
      <c r="AZ115" s="146">
        <v>2.2365183377112894E-4</v>
      </c>
      <c r="BA115" s="147">
        <v>5.5571680395248721E-6</v>
      </c>
      <c r="BB115" s="177"/>
    </row>
    <row r="116" spans="1:54" ht="15" x14ac:dyDescent="0.2">
      <c r="A116" s="142" t="s">
        <v>1220</v>
      </c>
      <c r="B116" s="143" t="s">
        <v>1220</v>
      </c>
      <c r="C116" s="145" t="s">
        <v>3930</v>
      </c>
      <c r="D116" s="145" t="s">
        <v>3930</v>
      </c>
      <c r="E116" s="145" t="s">
        <v>3930</v>
      </c>
      <c r="F116" s="143" t="s">
        <v>3892</v>
      </c>
      <c r="G116" s="143" t="s">
        <v>1012</v>
      </c>
      <c r="H116" s="143" t="s">
        <v>784</v>
      </c>
      <c r="I116" s="143" t="s">
        <v>204</v>
      </c>
      <c r="J116" s="145" t="s">
        <v>3930</v>
      </c>
      <c r="K116" s="143" t="s">
        <v>443</v>
      </c>
      <c r="L116" s="143" t="s">
        <v>339</v>
      </c>
      <c r="M116" s="143" t="s">
        <v>338</v>
      </c>
      <c r="N116" s="145" t="s">
        <v>3930</v>
      </c>
      <c r="O116" s="143" t="s">
        <v>3893</v>
      </c>
      <c r="P116" s="145" t="s">
        <v>3930</v>
      </c>
      <c r="Q116" s="143" t="s">
        <v>410</v>
      </c>
      <c r="R116" s="143" t="s">
        <v>410</v>
      </c>
      <c r="S116" s="143" t="s">
        <v>1210</v>
      </c>
      <c r="T116" s="144">
        <v>0.72</v>
      </c>
      <c r="U116" s="170" t="s">
        <v>823</v>
      </c>
      <c r="V116" s="146">
        <v>7.0000000000000007E-2</v>
      </c>
      <c r="W116" s="145" t="s">
        <v>3930</v>
      </c>
      <c r="X116" s="145" t="s">
        <v>3930</v>
      </c>
      <c r="Y116" s="166">
        <v>0</v>
      </c>
      <c r="Z116" s="146">
        <v>7.6100000000000001E-2</v>
      </c>
      <c r="AA116" s="143" t="s">
        <v>3836</v>
      </c>
      <c r="AB116" s="143" t="s">
        <v>412</v>
      </c>
      <c r="AC116" s="145" t="s">
        <v>3930</v>
      </c>
      <c r="AD116" s="145" t="s">
        <v>3930</v>
      </c>
      <c r="AE116" s="171">
        <v>0.67</v>
      </c>
      <c r="AF116" s="143" t="s">
        <v>3853</v>
      </c>
      <c r="AG116" s="145" t="s">
        <v>3930</v>
      </c>
      <c r="AH116" s="145" t="s">
        <v>3930</v>
      </c>
      <c r="AI116" s="145" t="s">
        <v>3930</v>
      </c>
      <c r="AJ116" s="143" t="s">
        <v>338</v>
      </c>
      <c r="AK116" s="143" t="s">
        <v>886</v>
      </c>
      <c r="AL116" s="145" t="s">
        <v>3930</v>
      </c>
      <c r="AM116" s="143" t="s">
        <v>889</v>
      </c>
      <c r="AN116" s="163">
        <v>45565</v>
      </c>
      <c r="AO116" s="163">
        <v>45565</v>
      </c>
      <c r="AP116" s="145" t="s">
        <v>3930</v>
      </c>
      <c r="AQ116" s="144">
        <v>35995</v>
      </c>
      <c r="AR116" s="143" t="s">
        <v>3854</v>
      </c>
      <c r="AS116" s="145" t="s">
        <v>3930</v>
      </c>
      <c r="AT116" s="144">
        <v>36.7149</v>
      </c>
      <c r="AU116" s="144">
        <v>36.7149</v>
      </c>
      <c r="AV116" s="145" t="s">
        <v>3930</v>
      </c>
      <c r="AW116" s="145" t="s">
        <v>3930</v>
      </c>
      <c r="AX116" s="145" t="s">
        <v>3930</v>
      </c>
      <c r="AY116" s="145" t="s">
        <v>3930</v>
      </c>
      <c r="AZ116" s="146">
        <v>1.8860636245263026E-4</v>
      </c>
      <c r="BA116" s="147">
        <v>4.6863789659126039E-6</v>
      </c>
      <c r="BB116" s="177"/>
    </row>
    <row r="117" spans="1:54" ht="15" x14ac:dyDescent="0.2">
      <c r="A117" s="142" t="s">
        <v>1220</v>
      </c>
      <c r="B117" s="143" t="s">
        <v>1220</v>
      </c>
      <c r="C117" s="145" t="s">
        <v>3930</v>
      </c>
      <c r="D117" s="145" t="s">
        <v>3930</v>
      </c>
      <c r="E117" s="145" t="s">
        <v>3930</v>
      </c>
      <c r="F117" s="143" t="s">
        <v>3894</v>
      </c>
      <c r="G117" s="143" t="s">
        <v>1012</v>
      </c>
      <c r="H117" s="143" t="s">
        <v>784</v>
      </c>
      <c r="I117" s="143" t="s">
        <v>204</v>
      </c>
      <c r="J117" s="145" t="s">
        <v>3930</v>
      </c>
      <c r="K117" s="143" t="s">
        <v>443</v>
      </c>
      <c r="L117" s="143" t="s">
        <v>339</v>
      </c>
      <c r="M117" s="143" t="s">
        <v>338</v>
      </c>
      <c r="N117" s="145" t="s">
        <v>3930</v>
      </c>
      <c r="O117" s="143" t="s">
        <v>3895</v>
      </c>
      <c r="P117" s="145" t="s">
        <v>3930</v>
      </c>
      <c r="Q117" s="143" t="s">
        <v>410</v>
      </c>
      <c r="R117" s="143" t="s">
        <v>410</v>
      </c>
      <c r="S117" s="143" t="s">
        <v>1210</v>
      </c>
      <c r="T117" s="144">
        <v>0.72</v>
      </c>
      <c r="U117" s="170" t="s">
        <v>823</v>
      </c>
      <c r="V117" s="146">
        <v>7.0000000000000007E-2</v>
      </c>
      <c r="W117" s="145" t="s">
        <v>3930</v>
      </c>
      <c r="X117" s="145" t="s">
        <v>3930</v>
      </c>
      <c r="Y117" s="166">
        <v>0</v>
      </c>
      <c r="Z117" s="146">
        <v>6.9099999999999995E-2</v>
      </c>
      <c r="AA117" s="143" t="s">
        <v>3863</v>
      </c>
      <c r="AB117" s="143" t="s">
        <v>412</v>
      </c>
      <c r="AC117" s="145" t="s">
        <v>3930</v>
      </c>
      <c r="AD117" s="145" t="s">
        <v>3930</v>
      </c>
      <c r="AE117" s="171">
        <v>0.67</v>
      </c>
      <c r="AF117" s="143" t="s">
        <v>3853</v>
      </c>
      <c r="AG117" s="145" t="s">
        <v>3930</v>
      </c>
      <c r="AH117" s="145" t="s">
        <v>3930</v>
      </c>
      <c r="AI117" s="145" t="s">
        <v>3930</v>
      </c>
      <c r="AJ117" s="143" t="s">
        <v>338</v>
      </c>
      <c r="AK117" s="143" t="s">
        <v>886</v>
      </c>
      <c r="AL117" s="145" t="s">
        <v>3930</v>
      </c>
      <c r="AM117" s="143" t="s">
        <v>889</v>
      </c>
      <c r="AN117" s="163">
        <v>45565</v>
      </c>
      <c r="AO117" s="163">
        <v>45565</v>
      </c>
      <c r="AP117" s="145" t="s">
        <v>3930</v>
      </c>
      <c r="AQ117" s="144">
        <v>32654.9</v>
      </c>
      <c r="AR117" s="143" t="s">
        <v>3896</v>
      </c>
      <c r="AS117" s="145" t="s">
        <v>3930</v>
      </c>
      <c r="AT117" s="144">
        <v>33.428800000000003</v>
      </c>
      <c r="AU117" s="144">
        <v>33.4288211</v>
      </c>
      <c r="AV117" s="145" t="s">
        <v>3930</v>
      </c>
      <c r="AW117" s="145" t="s">
        <v>3930</v>
      </c>
      <c r="AX117" s="145" t="s">
        <v>3930</v>
      </c>
      <c r="AY117" s="145" t="s">
        <v>3930</v>
      </c>
      <c r="AZ117" s="146">
        <v>1.7172560334929212E-4</v>
      </c>
      <c r="BA117" s="147">
        <v>4.2669358815872249E-6</v>
      </c>
      <c r="BB117" s="177"/>
    </row>
    <row r="118" spans="1:54" ht="15" x14ac:dyDescent="0.2">
      <c r="A118" s="142" t="s">
        <v>1220</v>
      </c>
      <c r="B118" s="143" t="s">
        <v>1220</v>
      </c>
      <c r="C118" s="145" t="s">
        <v>3930</v>
      </c>
      <c r="D118" s="145" t="s">
        <v>3930</v>
      </c>
      <c r="E118" s="145" t="s">
        <v>3930</v>
      </c>
      <c r="F118" s="143" t="s">
        <v>3897</v>
      </c>
      <c r="G118" s="143" t="s">
        <v>1012</v>
      </c>
      <c r="H118" s="143" t="s">
        <v>784</v>
      </c>
      <c r="I118" s="143" t="s">
        <v>204</v>
      </c>
      <c r="J118" s="145" t="s">
        <v>3930</v>
      </c>
      <c r="K118" s="143" t="s">
        <v>443</v>
      </c>
      <c r="L118" s="143" t="s">
        <v>339</v>
      </c>
      <c r="M118" s="143" t="s">
        <v>338</v>
      </c>
      <c r="N118" s="145" t="s">
        <v>3930</v>
      </c>
      <c r="O118" s="143" t="s">
        <v>3898</v>
      </c>
      <c r="P118" s="145" t="s">
        <v>3930</v>
      </c>
      <c r="Q118" s="143" t="s">
        <v>410</v>
      </c>
      <c r="R118" s="143" t="s">
        <v>410</v>
      </c>
      <c r="S118" s="143" t="s">
        <v>1210</v>
      </c>
      <c r="T118" s="144">
        <v>0.72</v>
      </c>
      <c r="U118" s="170" t="s">
        <v>823</v>
      </c>
      <c r="V118" s="146">
        <v>7.0000000000000007E-2</v>
      </c>
      <c r="W118" s="145" t="s">
        <v>3930</v>
      </c>
      <c r="X118" s="145" t="s">
        <v>3930</v>
      </c>
      <c r="Y118" s="166">
        <v>0</v>
      </c>
      <c r="Z118" s="146">
        <v>8.2199999999999995E-2</v>
      </c>
      <c r="AA118" s="143" t="s">
        <v>3836</v>
      </c>
      <c r="AB118" s="143" t="s">
        <v>412</v>
      </c>
      <c r="AC118" s="145" t="s">
        <v>3930</v>
      </c>
      <c r="AD118" s="145" t="s">
        <v>3930</v>
      </c>
      <c r="AE118" s="171">
        <v>0.67</v>
      </c>
      <c r="AF118" s="143" t="s">
        <v>3853</v>
      </c>
      <c r="AG118" s="145" t="s">
        <v>3930</v>
      </c>
      <c r="AH118" s="145" t="s">
        <v>3930</v>
      </c>
      <c r="AI118" s="145" t="s">
        <v>3930</v>
      </c>
      <c r="AJ118" s="143" t="s">
        <v>338</v>
      </c>
      <c r="AK118" s="143" t="s">
        <v>886</v>
      </c>
      <c r="AL118" s="145" t="s">
        <v>3930</v>
      </c>
      <c r="AM118" s="143" t="s">
        <v>889</v>
      </c>
      <c r="AN118" s="163">
        <v>45565</v>
      </c>
      <c r="AO118" s="163">
        <v>45565</v>
      </c>
      <c r="AP118" s="145" t="s">
        <v>3930</v>
      </c>
      <c r="AQ118" s="144">
        <v>32708</v>
      </c>
      <c r="AR118" s="143" t="s">
        <v>3899</v>
      </c>
      <c r="AS118" s="145" t="s">
        <v>3930</v>
      </c>
      <c r="AT118" s="144">
        <v>32.936999999999998</v>
      </c>
      <c r="AU118" s="144">
        <v>32.936956000000002</v>
      </c>
      <c r="AV118" s="145" t="s">
        <v>3930</v>
      </c>
      <c r="AW118" s="145" t="s">
        <v>3930</v>
      </c>
      <c r="AX118" s="145" t="s">
        <v>3930</v>
      </c>
      <c r="AY118" s="145" t="s">
        <v>3930</v>
      </c>
      <c r="AZ118" s="146">
        <v>1.691988664390298E-4</v>
      </c>
      <c r="BA118" s="147">
        <v>4.2041530223312318E-6</v>
      </c>
      <c r="BB118" s="177"/>
    </row>
    <row r="119" spans="1:54" ht="15" x14ac:dyDescent="0.2">
      <c r="A119" s="142" t="s">
        <v>1220</v>
      </c>
      <c r="B119" s="143" t="s">
        <v>1220</v>
      </c>
      <c r="C119" s="145" t="s">
        <v>3930</v>
      </c>
      <c r="D119" s="145" t="s">
        <v>3930</v>
      </c>
      <c r="E119" s="145" t="s">
        <v>3930</v>
      </c>
      <c r="F119" s="143" t="s">
        <v>3900</v>
      </c>
      <c r="G119" s="143" t="s">
        <v>1012</v>
      </c>
      <c r="H119" s="143" t="s">
        <v>793</v>
      </c>
      <c r="I119" s="143" t="s">
        <v>204</v>
      </c>
      <c r="J119" s="145" t="s">
        <v>3930</v>
      </c>
      <c r="K119" s="143" t="s">
        <v>447</v>
      </c>
      <c r="L119" s="143" t="s">
        <v>339</v>
      </c>
      <c r="M119" s="143" t="s">
        <v>338</v>
      </c>
      <c r="N119" s="145" t="s">
        <v>3930</v>
      </c>
      <c r="O119" s="143" t="s">
        <v>3901</v>
      </c>
      <c r="P119" s="145" t="s">
        <v>3930</v>
      </c>
      <c r="Q119" s="143" t="s">
        <v>410</v>
      </c>
      <c r="R119" s="143" t="s">
        <v>410</v>
      </c>
      <c r="S119" s="143" t="s">
        <v>1210</v>
      </c>
      <c r="T119" s="144">
        <v>0.01</v>
      </c>
      <c r="U119" s="170" t="s">
        <v>824</v>
      </c>
      <c r="V119" s="146">
        <v>0</v>
      </c>
      <c r="W119" s="145" t="s">
        <v>3930</v>
      </c>
      <c r="X119" s="145" t="s">
        <v>3930</v>
      </c>
      <c r="Y119" s="166">
        <v>0</v>
      </c>
      <c r="Z119" s="146">
        <v>1E-4</v>
      </c>
      <c r="AA119" s="143" t="s">
        <v>3902</v>
      </c>
      <c r="AB119" s="143" t="s">
        <v>412</v>
      </c>
      <c r="AC119" s="145" t="s">
        <v>3930</v>
      </c>
      <c r="AD119" s="145" t="s">
        <v>3930</v>
      </c>
      <c r="AE119" s="145" t="s">
        <v>3930</v>
      </c>
      <c r="AF119" s="143" t="s">
        <v>3768</v>
      </c>
      <c r="AG119" s="145" t="s">
        <v>3930</v>
      </c>
      <c r="AH119" s="145" t="s">
        <v>3930</v>
      </c>
      <c r="AI119" s="145" t="s">
        <v>3930</v>
      </c>
      <c r="AJ119" s="145" t="s">
        <v>3930</v>
      </c>
      <c r="AK119" s="143" t="s">
        <v>314</v>
      </c>
      <c r="AL119" s="145" t="s">
        <v>3930</v>
      </c>
      <c r="AM119" s="143" t="s">
        <v>888</v>
      </c>
      <c r="AN119" s="163">
        <v>45529</v>
      </c>
      <c r="AO119" s="163">
        <v>45529</v>
      </c>
      <c r="AP119" s="145" t="s">
        <v>3930</v>
      </c>
      <c r="AQ119" s="144">
        <v>884740.96</v>
      </c>
      <c r="AR119" s="143" t="s">
        <v>3101</v>
      </c>
      <c r="AS119" s="145" t="s">
        <v>3930</v>
      </c>
      <c r="AT119" s="144">
        <v>8.8499999999999995E-2</v>
      </c>
      <c r="AU119" s="144">
        <v>8.84741E-2</v>
      </c>
      <c r="AV119" s="145" t="s">
        <v>3930</v>
      </c>
      <c r="AW119" s="145" t="s">
        <v>3930</v>
      </c>
      <c r="AX119" s="145" t="s">
        <v>3930</v>
      </c>
      <c r="AY119" s="145" t="s">
        <v>3930</v>
      </c>
      <c r="AZ119" s="146">
        <v>4.5449606066868778E-7</v>
      </c>
      <c r="BA119" s="147">
        <v>1.129304839513474E-8</v>
      </c>
      <c r="BB119" s="177"/>
    </row>
    <row r="120" spans="1:54" ht="15" x14ac:dyDescent="0.2">
      <c r="A120" s="142" t="s">
        <v>1220</v>
      </c>
      <c r="B120" s="143" t="s">
        <v>1220</v>
      </c>
      <c r="C120" s="145" t="s">
        <v>3930</v>
      </c>
      <c r="D120" s="145" t="s">
        <v>3930</v>
      </c>
      <c r="E120" s="145" t="s">
        <v>3930</v>
      </c>
      <c r="F120" s="143" t="s">
        <v>3903</v>
      </c>
      <c r="G120" s="143" t="s">
        <v>1012</v>
      </c>
      <c r="H120" s="143" t="s">
        <v>793</v>
      </c>
      <c r="I120" s="143" t="s">
        <v>204</v>
      </c>
      <c r="J120" s="145" t="s">
        <v>3930</v>
      </c>
      <c r="K120" s="143" t="s">
        <v>447</v>
      </c>
      <c r="L120" s="143" t="s">
        <v>339</v>
      </c>
      <c r="M120" s="143" t="s">
        <v>338</v>
      </c>
      <c r="N120" s="145" t="s">
        <v>3930</v>
      </c>
      <c r="O120" s="143" t="s">
        <v>3901</v>
      </c>
      <c r="P120" s="145" t="s">
        <v>3930</v>
      </c>
      <c r="Q120" s="143" t="s">
        <v>410</v>
      </c>
      <c r="R120" s="143" t="s">
        <v>410</v>
      </c>
      <c r="S120" s="143" t="s">
        <v>1210</v>
      </c>
      <c r="T120" s="144">
        <v>0.01</v>
      </c>
      <c r="U120" s="170" t="s">
        <v>823</v>
      </c>
      <c r="V120" s="146">
        <v>0</v>
      </c>
      <c r="W120" s="145" t="s">
        <v>3930</v>
      </c>
      <c r="X120" s="145" t="s">
        <v>3930</v>
      </c>
      <c r="Y120" s="166">
        <v>0</v>
      </c>
      <c r="Z120" s="146">
        <v>1E-4</v>
      </c>
      <c r="AA120" s="143" t="s">
        <v>3904</v>
      </c>
      <c r="AB120" s="143" t="s">
        <v>412</v>
      </c>
      <c r="AC120" s="145" t="s">
        <v>3930</v>
      </c>
      <c r="AD120" s="145" t="s">
        <v>3930</v>
      </c>
      <c r="AE120" s="145" t="s">
        <v>3930</v>
      </c>
      <c r="AF120" s="143" t="s">
        <v>3768</v>
      </c>
      <c r="AG120" s="145" t="s">
        <v>3930</v>
      </c>
      <c r="AH120" s="145" t="s">
        <v>3930</v>
      </c>
      <c r="AI120" s="145" t="s">
        <v>3930</v>
      </c>
      <c r="AJ120" s="145" t="s">
        <v>3930</v>
      </c>
      <c r="AK120" s="143" t="s">
        <v>314</v>
      </c>
      <c r="AL120" s="145" t="s">
        <v>3930</v>
      </c>
      <c r="AM120" s="143" t="s">
        <v>888</v>
      </c>
      <c r="AN120" s="163">
        <v>45529</v>
      </c>
      <c r="AO120" s="163">
        <v>45529</v>
      </c>
      <c r="AP120" s="145" t="s">
        <v>3930</v>
      </c>
      <c r="AQ120" s="144">
        <v>68011.539999999994</v>
      </c>
      <c r="AR120" s="143" t="s">
        <v>3101</v>
      </c>
      <c r="AS120" s="145" t="s">
        <v>3930</v>
      </c>
      <c r="AT120" s="144">
        <v>6.7999999999999996E-3</v>
      </c>
      <c r="AU120" s="144">
        <v>6.8011999999999994E-3</v>
      </c>
      <c r="AV120" s="145" t="s">
        <v>3930</v>
      </c>
      <c r="AW120" s="145" t="s">
        <v>3930</v>
      </c>
      <c r="AX120" s="145" t="s">
        <v>3930</v>
      </c>
      <c r="AY120" s="145" t="s">
        <v>3930</v>
      </c>
      <c r="AZ120" s="146">
        <v>3.4937883976809311E-8</v>
      </c>
      <c r="BA120" s="147">
        <v>8.6811580719360174E-10</v>
      </c>
      <c r="BB120" s="177"/>
    </row>
    <row r="121" spans="1:54" ht="15" x14ac:dyDescent="0.2">
      <c r="A121" s="154" t="s">
        <v>1205</v>
      </c>
      <c r="B121" s="155" t="s">
        <v>1206</v>
      </c>
      <c r="C121" s="145" t="s">
        <v>3930</v>
      </c>
      <c r="D121" s="145" t="s">
        <v>3930</v>
      </c>
      <c r="E121" s="145" t="s">
        <v>3930</v>
      </c>
      <c r="F121" s="145" t="s">
        <v>3930</v>
      </c>
      <c r="G121" s="145" t="s">
        <v>3930</v>
      </c>
      <c r="H121" s="145" t="s">
        <v>3930</v>
      </c>
      <c r="I121" s="145" t="s">
        <v>3930</v>
      </c>
      <c r="J121" s="145" t="s">
        <v>3930</v>
      </c>
      <c r="K121" s="145" t="s">
        <v>3930</v>
      </c>
      <c r="L121" s="145" t="s">
        <v>3930</v>
      </c>
      <c r="M121" s="145" t="s">
        <v>3930</v>
      </c>
      <c r="N121" s="145" t="s">
        <v>3930</v>
      </c>
      <c r="O121" s="145" t="s">
        <v>3930</v>
      </c>
      <c r="P121" s="145" t="s">
        <v>3930</v>
      </c>
      <c r="Q121" s="145" t="s">
        <v>3930</v>
      </c>
      <c r="R121" s="145" t="s">
        <v>3930</v>
      </c>
      <c r="S121" s="145" t="s">
        <v>3930</v>
      </c>
      <c r="T121" s="145" t="s">
        <v>3930</v>
      </c>
      <c r="U121" s="145" t="s">
        <v>3930</v>
      </c>
      <c r="V121" s="145" t="s">
        <v>3930</v>
      </c>
      <c r="W121" s="145" t="s">
        <v>3930</v>
      </c>
      <c r="X121" s="145" t="s">
        <v>3930</v>
      </c>
      <c r="Y121" s="145" t="s">
        <v>3930</v>
      </c>
      <c r="Z121" s="145" t="s">
        <v>3930</v>
      </c>
      <c r="AA121" s="145" t="s">
        <v>3930</v>
      </c>
      <c r="AB121" s="145" t="s">
        <v>3930</v>
      </c>
      <c r="AC121" s="145" t="s">
        <v>3930</v>
      </c>
      <c r="AD121" s="145" t="s">
        <v>3930</v>
      </c>
      <c r="AE121" s="145" t="s">
        <v>3930</v>
      </c>
      <c r="AF121" s="145" t="s">
        <v>3930</v>
      </c>
      <c r="AG121" s="145" t="s">
        <v>3930</v>
      </c>
      <c r="AH121" s="145" t="s">
        <v>3930</v>
      </c>
      <c r="AI121" s="145" t="s">
        <v>3930</v>
      </c>
      <c r="AJ121" s="145" t="s">
        <v>3930</v>
      </c>
      <c r="AK121" s="145" t="s">
        <v>3930</v>
      </c>
      <c r="AL121" s="145" t="s">
        <v>3930</v>
      </c>
      <c r="AM121" s="145" t="s">
        <v>3930</v>
      </c>
      <c r="AN121" s="145" t="s">
        <v>3930</v>
      </c>
      <c r="AO121" s="145" t="s">
        <v>3930</v>
      </c>
      <c r="AP121" s="145" t="s">
        <v>3930</v>
      </c>
      <c r="AQ121" s="145" t="s">
        <v>3930</v>
      </c>
      <c r="AR121" s="145" t="s">
        <v>3930</v>
      </c>
      <c r="AS121" s="145" t="s">
        <v>3930</v>
      </c>
      <c r="AT121" s="145" t="s">
        <v>3930</v>
      </c>
      <c r="AU121" s="145" t="s">
        <v>3930</v>
      </c>
      <c r="AV121" s="145" t="s">
        <v>3930</v>
      </c>
      <c r="AW121" s="145" t="s">
        <v>3930</v>
      </c>
      <c r="AX121" s="145" t="s">
        <v>3930</v>
      </c>
      <c r="AY121" s="145" t="s">
        <v>3930</v>
      </c>
      <c r="AZ121" s="145" t="s">
        <v>3930</v>
      </c>
      <c r="BA121" s="156" t="s">
        <v>3930</v>
      </c>
      <c r="BB121" s="177"/>
    </row>
    <row r="122" spans="1:54" ht="15" x14ac:dyDescent="0.2">
      <c r="A122" s="154" t="s">
        <v>1205</v>
      </c>
      <c r="B122" s="155" t="s">
        <v>1215</v>
      </c>
      <c r="C122" s="145" t="s">
        <v>3930</v>
      </c>
      <c r="D122" s="145" t="s">
        <v>3930</v>
      </c>
      <c r="E122" s="145" t="s">
        <v>3930</v>
      </c>
      <c r="F122" s="145" t="s">
        <v>3930</v>
      </c>
      <c r="G122" s="145" t="s">
        <v>3930</v>
      </c>
      <c r="H122" s="145" t="s">
        <v>3930</v>
      </c>
      <c r="I122" s="145" t="s">
        <v>3930</v>
      </c>
      <c r="J122" s="145" t="s">
        <v>3930</v>
      </c>
      <c r="K122" s="145" t="s">
        <v>3930</v>
      </c>
      <c r="L122" s="145" t="s">
        <v>3930</v>
      </c>
      <c r="M122" s="145" t="s">
        <v>3930</v>
      </c>
      <c r="N122" s="145" t="s">
        <v>3930</v>
      </c>
      <c r="O122" s="145" t="s">
        <v>3930</v>
      </c>
      <c r="P122" s="145" t="s">
        <v>3930</v>
      </c>
      <c r="Q122" s="145" t="s">
        <v>3930</v>
      </c>
      <c r="R122" s="145" t="s">
        <v>3930</v>
      </c>
      <c r="S122" s="145" t="s">
        <v>3930</v>
      </c>
      <c r="T122" s="145" t="s">
        <v>3930</v>
      </c>
      <c r="U122" s="145" t="s">
        <v>3930</v>
      </c>
      <c r="V122" s="145" t="s">
        <v>3930</v>
      </c>
      <c r="W122" s="145" t="s">
        <v>3930</v>
      </c>
      <c r="X122" s="145" t="s">
        <v>3930</v>
      </c>
      <c r="Y122" s="145" t="s">
        <v>3930</v>
      </c>
      <c r="Z122" s="145" t="s">
        <v>3930</v>
      </c>
      <c r="AA122" s="145" t="s">
        <v>3930</v>
      </c>
      <c r="AB122" s="145" t="s">
        <v>3930</v>
      </c>
      <c r="AC122" s="145" t="s">
        <v>3930</v>
      </c>
      <c r="AD122" s="145" t="s">
        <v>3930</v>
      </c>
      <c r="AE122" s="145" t="s">
        <v>3930</v>
      </c>
      <c r="AF122" s="145" t="s">
        <v>3930</v>
      </c>
      <c r="AG122" s="145" t="s">
        <v>3930</v>
      </c>
      <c r="AH122" s="145" t="s">
        <v>3930</v>
      </c>
      <c r="AI122" s="145" t="s">
        <v>3930</v>
      </c>
      <c r="AJ122" s="145" t="s">
        <v>3930</v>
      </c>
      <c r="AK122" s="145" t="s">
        <v>3930</v>
      </c>
      <c r="AL122" s="145" t="s">
        <v>3930</v>
      </c>
      <c r="AM122" s="145" t="s">
        <v>3930</v>
      </c>
      <c r="AN122" s="145" t="s">
        <v>3930</v>
      </c>
      <c r="AO122" s="145" t="s">
        <v>3930</v>
      </c>
      <c r="AP122" s="145" t="s">
        <v>3930</v>
      </c>
      <c r="AQ122" s="145" t="s">
        <v>3930</v>
      </c>
      <c r="AR122" s="145" t="s">
        <v>3930</v>
      </c>
      <c r="AS122" s="145" t="s">
        <v>3930</v>
      </c>
      <c r="AT122" s="145" t="s">
        <v>3930</v>
      </c>
      <c r="AU122" s="145" t="s">
        <v>3930</v>
      </c>
      <c r="AV122" s="145" t="s">
        <v>3930</v>
      </c>
      <c r="AW122" s="145" t="s">
        <v>3930</v>
      </c>
      <c r="AX122" s="145" t="s">
        <v>3930</v>
      </c>
      <c r="AY122" s="145" t="s">
        <v>3930</v>
      </c>
      <c r="AZ122" s="145" t="s">
        <v>3930</v>
      </c>
      <c r="BA122" s="156" t="s">
        <v>3930</v>
      </c>
      <c r="BB122" s="177"/>
    </row>
    <row r="123" spans="1:54" ht="15" x14ac:dyDescent="0.2">
      <c r="A123" s="157" t="s">
        <v>1220</v>
      </c>
      <c r="B123" s="158" t="s">
        <v>1222</v>
      </c>
      <c r="C123" s="151" t="s">
        <v>3930</v>
      </c>
      <c r="D123" s="151" t="s">
        <v>3930</v>
      </c>
      <c r="E123" s="151" t="s">
        <v>3930</v>
      </c>
      <c r="F123" s="151" t="s">
        <v>3930</v>
      </c>
      <c r="G123" s="151" t="s">
        <v>3930</v>
      </c>
      <c r="H123" s="151" t="s">
        <v>3930</v>
      </c>
      <c r="I123" s="151" t="s">
        <v>3930</v>
      </c>
      <c r="J123" s="151" t="s">
        <v>3930</v>
      </c>
      <c r="K123" s="151" t="s">
        <v>3930</v>
      </c>
      <c r="L123" s="151" t="s">
        <v>3930</v>
      </c>
      <c r="M123" s="151" t="s">
        <v>3930</v>
      </c>
      <c r="N123" s="151" t="s">
        <v>3930</v>
      </c>
      <c r="O123" s="151" t="s">
        <v>3930</v>
      </c>
      <c r="P123" s="151" t="s">
        <v>3930</v>
      </c>
      <c r="Q123" s="151" t="s">
        <v>3930</v>
      </c>
      <c r="R123" s="151" t="s">
        <v>3930</v>
      </c>
      <c r="S123" s="151" t="s">
        <v>3930</v>
      </c>
      <c r="T123" s="151" t="s">
        <v>3930</v>
      </c>
      <c r="U123" s="151" t="s">
        <v>3930</v>
      </c>
      <c r="V123" s="151" t="s">
        <v>3930</v>
      </c>
      <c r="W123" s="151" t="s">
        <v>3930</v>
      </c>
      <c r="X123" s="151" t="s">
        <v>3930</v>
      </c>
      <c r="Y123" s="151" t="s">
        <v>3930</v>
      </c>
      <c r="Z123" s="151" t="s">
        <v>3930</v>
      </c>
      <c r="AA123" s="151" t="s">
        <v>3930</v>
      </c>
      <c r="AB123" s="151" t="s">
        <v>3930</v>
      </c>
      <c r="AC123" s="151" t="s">
        <v>3930</v>
      </c>
      <c r="AD123" s="151" t="s">
        <v>3930</v>
      </c>
      <c r="AE123" s="151" t="s">
        <v>3930</v>
      </c>
      <c r="AF123" s="151" t="s">
        <v>3930</v>
      </c>
      <c r="AG123" s="151" t="s">
        <v>3930</v>
      </c>
      <c r="AH123" s="151" t="s">
        <v>3930</v>
      </c>
      <c r="AI123" s="151" t="s">
        <v>3930</v>
      </c>
      <c r="AJ123" s="151" t="s">
        <v>3930</v>
      </c>
      <c r="AK123" s="151" t="s">
        <v>3930</v>
      </c>
      <c r="AL123" s="151" t="s">
        <v>3930</v>
      </c>
      <c r="AM123" s="151" t="s">
        <v>3930</v>
      </c>
      <c r="AN123" s="151" t="s">
        <v>3930</v>
      </c>
      <c r="AO123" s="151" t="s">
        <v>3930</v>
      </c>
      <c r="AP123" s="151" t="s">
        <v>3930</v>
      </c>
      <c r="AQ123" s="151" t="s">
        <v>3930</v>
      </c>
      <c r="AR123" s="151" t="s">
        <v>3930</v>
      </c>
      <c r="AS123" s="151" t="s">
        <v>3930</v>
      </c>
      <c r="AT123" s="151" t="s">
        <v>3930</v>
      </c>
      <c r="AU123" s="151" t="s">
        <v>3930</v>
      </c>
      <c r="AV123" s="151" t="s">
        <v>3930</v>
      </c>
      <c r="AW123" s="151" t="s">
        <v>3930</v>
      </c>
      <c r="AX123" s="151" t="s">
        <v>3930</v>
      </c>
      <c r="AY123" s="151" t="s">
        <v>3930</v>
      </c>
      <c r="AZ123" s="151" t="s">
        <v>3930</v>
      </c>
      <c r="BA123" s="159" t="s">
        <v>3930</v>
      </c>
      <c r="BB123" s="177"/>
    </row>
    <row r="124" spans="1:54" x14ac:dyDescent="0.2">
      <c r="A124" s="177" t="s">
        <v>3946</v>
      </c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</row>
    <row r="125" spans="1:54" x14ac:dyDescent="0.2">
      <c r="A125" s="2" t="s">
        <v>3945</v>
      </c>
    </row>
    <row r="126" spans="1:54" x14ac:dyDescent="0.2">
      <c r="A126" s="179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4:BA124"/>
    <mergeCell ref="BB2:BB123"/>
  </mergeCells>
  <dataValidations count="12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J4:AJ6 AJ8:AJ9 AJ11:AJ14 AJ17:AJ18 AJ20:AJ21">
      <formula1>Repayment_Rights</formula1>
    </dataValidation>
    <dataValidation type="list" allowBlank="1" showInputMessage="1" showErrorMessage="1" sqref="H4:H5 H12 H14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9.2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3972</v>
      </c>
    </row>
    <row r="2" spans="1:31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56</v>
      </c>
      <c r="M2" s="140" t="s">
        <v>96</v>
      </c>
      <c r="N2" s="140" t="s">
        <v>97</v>
      </c>
      <c r="O2" s="140" t="s">
        <v>71</v>
      </c>
      <c r="P2" s="140" t="s">
        <v>58</v>
      </c>
      <c r="Q2" s="140" t="s">
        <v>84</v>
      </c>
      <c r="R2" s="140" t="s">
        <v>59</v>
      </c>
      <c r="S2" s="140" t="s">
        <v>72</v>
      </c>
      <c r="T2" s="140" t="s">
        <v>62</v>
      </c>
      <c r="U2" s="140" t="s">
        <v>74</v>
      </c>
      <c r="V2" s="140" t="s">
        <v>103</v>
      </c>
      <c r="W2" s="140" t="s">
        <v>104</v>
      </c>
      <c r="X2" s="140" t="s">
        <v>106</v>
      </c>
      <c r="Y2" s="140" t="s">
        <v>76</v>
      </c>
      <c r="Z2" s="140" t="s">
        <v>61</v>
      </c>
      <c r="AA2" s="140" t="s">
        <v>77</v>
      </c>
      <c r="AB2" s="140" t="s">
        <v>63</v>
      </c>
      <c r="AC2" s="140" t="s">
        <v>64</v>
      </c>
      <c r="AD2" s="141" t="s">
        <v>65</v>
      </c>
      <c r="AE2" s="177" t="s">
        <v>3947</v>
      </c>
    </row>
    <row r="3" spans="1:31" ht="15" x14ac:dyDescent="0.2">
      <c r="A3" s="142" t="s">
        <v>1205</v>
      </c>
      <c r="B3" s="143" t="s">
        <v>1205</v>
      </c>
      <c r="C3" s="143" t="s">
        <v>1847</v>
      </c>
      <c r="D3" s="143" t="s">
        <v>1848</v>
      </c>
      <c r="E3" s="143" t="s">
        <v>309</v>
      </c>
      <c r="F3" s="143" t="s">
        <v>3919</v>
      </c>
      <c r="G3" s="143" t="s">
        <v>3920</v>
      </c>
      <c r="H3" s="143" t="s">
        <v>312</v>
      </c>
      <c r="I3" s="143" t="s">
        <v>976</v>
      </c>
      <c r="J3" s="143" t="s">
        <v>204</v>
      </c>
      <c r="K3" s="143" t="s">
        <v>204</v>
      </c>
      <c r="L3" s="143" t="s">
        <v>339</v>
      </c>
      <c r="M3" s="145" t="s">
        <v>3930</v>
      </c>
      <c r="N3" s="143" t="s">
        <v>3123</v>
      </c>
      <c r="O3" s="143" t="s">
        <v>3921</v>
      </c>
      <c r="P3" s="143" t="s">
        <v>413</v>
      </c>
      <c r="Q3" s="143" t="s">
        <v>409</v>
      </c>
      <c r="R3" s="143" t="s">
        <v>1211</v>
      </c>
      <c r="S3" s="144">
        <v>0.01</v>
      </c>
      <c r="T3" s="145" t="s">
        <v>3930</v>
      </c>
      <c r="U3" s="146">
        <v>1E-4</v>
      </c>
      <c r="V3" s="143" t="s">
        <v>887</v>
      </c>
      <c r="W3" s="143" t="s">
        <v>889</v>
      </c>
      <c r="X3" s="160">
        <v>45565</v>
      </c>
      <c r="Y3" s="144">
        <v>1292352</v>
      </c>
      <c r="Z3" s="143" t="s">
        <v>1212</v>
      </c>
      <c r="AA3" s="143" t="s">
        <v>3922</v>
      </c>
      <c r="AB3" s="144">
        <v>5442.3463000000002</v>
      </c>
      <c r="AC3" s="146">
        <v>0.99966068802820895</v>
      </c>
      <c r="AD3" s="147">
        <v>7.8951466560786485E-3</v>
      </c>
      <c r="AE3" s="177"/>
    </row>
    <row r="4" spans="1:31" ht="15" x14ac:dyDescent="0.2">
      <c r="A4" s="142" t="s">
        <v>1205</v>
      </c>
      <c r="B4" s="143" t="s">
        <v>1205</v>
      </c>
      <c r="C4" s="143" t="s">
        <v>3260</v>
      </c>
      <c r="D4" s="143" t="s">
        <v>3261</v>
      </c>
      <c r="E4" s="143" t="s">
        <v>314</v>
      </c>
      <c r="F4" s="143" t="s">
        <v>3923</v>
      </c>
      <c r="G4" s="143" t="s">
        <v>3924</v>
      </c>
      <c r="H4" s="143" t="s">
        <v>312</v>
      </c>
      <c r="I4" s="143" t="s">
        <v>976</v>
      </c>
      <c r="J4" s="143" t="s">
        <v>204</v>
      </c>
      <c r="K4" s="143" t="s">
        <v>204</v>
      </c>
      <c r="L4" s="143" t="s">
        <v>339</v>
      </c>
      <c r="M4" s="145" t="s">
        <v>3930</v>
      </c>
      <c r="N4" s="143" t="s">
        <v>3123</v>
      </c>
      <c r="O4" s="145" t="s">
        <v>3930</v>
      </c>
      <c r="P4" s="143" t="s">
        <v>410</v>
      </c>
      <c r="Q4" s="143" t="s">
        <v>410</v>
      </c>
      <c r="R4" s="143" t="s">
        <v>1211</v>
      </c>
      <c r="S4" s="144">
        <v>0</v>
      </c>
      <c r="T4" s="145" t="s">
        <v>3930</v>
      </c>
      <c r="U4" s="145" t="s">
        <v>3930</v>
      </c>
      <c r="V4" s="143" t="s">
        <v>884</v>
      </c>
      <c r="W4" s="143" t="s">
        <v>888</v>
      </c>
      <c r="X4" s="160">
        <v>45305</v>
      </c>
      <c r="Y4" s="144">
        <v>213.05</v>
      </c>
      <c r="Z4" s="143" t="s">
        <v>1212</v>
      </c>
      <c r="AA4" s="143" t="s">
        <v>3925</v>
      </c>
      <c r="AB4" s="144">
        <v>1.8472999999999999</v>
      </c>
      <c r="AC4" s="146">
        <v>3.39311971790998E-4</v>
      </c>
      <c r="AD4" s="147">
        <v>2.67982707686266E-6</v>
      </c>
      <c r="AE4" s="177"/>
    </row>
    <row r="5" spans="1:31" ht="15" x14ac:dyDescent="0.2">
      <c r="A5" s="142" t="s">
        <v>1220</v>
      </c>
      <c r="B5" s="143" t="s">
        <v>1220</v>
      </c>
      <c r="C5" s="143" t="s">
        <v>1847</v>
      </c>
      <c r="D5" s="143" t="s">
        <v>1848</v>
      </c>
      <c r="E5" s="143" t="s">
        <v>309</v>
      </c>
      <c r="F5" s="143" t="s">
        <v>3919</v>
      </c>
      <c r="G5" s="143" t="s">
        <v>3920</v>
      </c>
      <c r="H5" s="143" t="s">
        <v>312</v>
      </c>
      <c r="I5" s="143" t="s">
        <v>976</v>
      </c>
      <c r="J5" s="143" t="s">
        <v>204</v>
      </c>
      <c r="K5" s="143" t="s">
        <v>204</v>
      </c>
      <c r="L5" s="143" t="s">
        <v>339</v>
      </c>
      <c r="M5" s="145" t="s">
        <v>3930</v>
      </c>
      <c r="N5" s="143" t="s">
        <v>3123</v>
      </c>
      <c r="O5" s="143" t="s">
        <v>3921</v>
      </c>
      <c r="P5" s="143" t="s">
        <v>413</v>
      </c>
      <c r="Q5" s="143" t="s">
        <v>409</v>
      </c>
      <c r="R5" s="143" t="s">
        <v>1211</v>
      </c>
      <c r="S5" s="144">
        <v>0.01</v>
      </c>
      <c r="T5" s="145" t="s">
        <v>3930</v>
      </c>
      <c r="U5" s="146">
        <v>1E-4</v>
      </c>
      <c r="V5" s="143" t="s">
        <v>887</v>
      </c>
      <c r="W5" s="143" t="s">
        <v>889</v>
      </c>
      <c r="X5" s="160">
        <v>45565</v>
      </c>
      <c r="Y5" s="144">
        <v>13091812</v>
      </c>
      <c r="Z5" s="143" t="s">
        <v>1212</v>
      </c>
      <c r="AA5" s="143" t="s">
        <v>3922</v>
      </c>
      <c r="AB5" s="144">
        <v>55132.173600000002</v>
      </c>
      <c r="AC5" s="146">
        <v>0.99967004305881257</v>
      </c>
      <c r="AD5" s="147">
        <v>7.0372044819880528E-3</v>
      </c>
      <c r="AE5" s="177"/>
    </row>
    <row r="6" spans="1:31" ht="15" x14ac:dyDescent="0.2">
      <c r="A6" s="142" t="s">
        <v>1220</v>
      </c>
      <c r="B6" s="143" t="s">
        <v>1220</v>
      </c>
      <c r="C6" s="143" t="s">
        <v>3260</v>
      </c>
      <c r="D6" s="143" t="s">
        <v>3261</v>
      </c>
      <c r="E6" s="143" t="s">
        <v>314</v>
      </c>
      <c r="F6" s="143" t="s">
        <v>3923</v>
      </c>
      <c r="G6" s="143" t="s">
        <v>3924</v>
      </c>
      <c r="H6" s="143" t="s">
        <v>312</v>
      </c>
      <c r="I6" s="143" t="s">
        <v>976</v>
      </c>
      <c r="J6" s="143" t="s">
        <v>204</v>
      </c>
      <c r="K6" s="143" t="s">
        <v>204</v>
      </c>
      <c r="L6" s="143" t="s">
        <v>339</v>
      </c>
      <c r="M6" s="145" t="s">
        <v>3930</v>
      </c>
      <c r="N6" s="143" t="s">
        <v>3123</v>
      </c>
      <c r="O6" s="145" t="s">
        <v>3930</v>
      </c>
      <c r="P6" s="143" t="s">
        <v>410</v>
      </c>
      <c r="Q6" s="143" t="s">
        <v>410</v>
      </c>
      <c r="R6" s="143" t="s">
        <v>1211</v>
      </c>
      <c r="S6" s="144">
        <v>0</v>
      </c>
      <c r="T6" s="145" t="s">
        <v>3930</v>
      </c>
      <c r="U6" s="145" t="s">
        <v>3930</v>
      </c>
      <c r="V6" s="143" t="s">
        <v>884</v>
      </c>
      <c r="W6" s="143" t="s">
        <v>888</v>
      </c>
      <c r="X6" s="160">
        <v>45305</v>
      </c>
      <c r="Y6" s="144">
        <v>2098.7199999999998</v>
      </c>
      <c r="Z6" s="143" t="s">
        <v>1212</v>
      </c>
      <c r="AA6" s="143" t="s">
        <v>3925</v>
      </c>
      <c r="AB6" s="144">
        <v>18.197200000000002</v>
      </c>
      <c r="AC6" s="146">
        <v>3.2995694118738124E-4</v>
      </c>
      <c r="AD6" s="147">
        <v>2.3227408698594976E-6</v>
      </c>
      <c r="AE6" s="177"/>
    </row>
    <row r="7" spans="1:31" ht="15" x14ac:dyDescent="0.2">
      <c r="A7" s="154" t="s">
        <v>1205</v>
      </c>
      <c r="B7" s="155" t="s">
        <v>1206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45" t="s">
        <v>3930</v>
      </c>
      <c r="Y7" s="145" t="s">
        <v>3930</v>
      </c>
      <c r="Z7" s="145" t="s">
        <v>3930</v>
      </c>
      <c r="AA7" s="145" t="s">
        <v>3930</v>
      </c>
      <c r="AB7" s="145" t="s">
        <v>3930</v>
      </c>
      <c r="AC7" s="145" t="s">
        <v>3930</v>
      </c>
      <c r="AD7" s="156" t="s">
        <v>3930</v>
      </c>
      <c r="AE7" s="177"/>
    </row>
    <row r="8" spans="1:31" ht="15" x14ac:dyDescent="0.2">
      <c r="A8" s="154" t="s">
        <v>1205</v>
      </c>
      <c r="B8" s="155" t="s">
        <v>1215</v>
      </c>
      <c r="C8" s="145" t="s">
        <v>3930</v>
      </c>
      <c r="D8" s="145" t="s">
        <v>3930</v>
      </c>
      <c r="E8" s="145" t="s">
        <v>3930</v>
      </c>
      <c r="F8" s="145" t="s">
        <v>3930</v>
      </c>
      <c r="G8" s="145" t="s">
        <v>3930</v>
      </c>
      <c r="H8" s="145" t="s">
        <v>3930</v>
      </c>
      <c r="I8" s="145" t="s">
        <v>3930</v>
      </c>
      <c r="J8" s="145" t="s">
        <v>3930</v>
      </c>
      <c r="K8" s="145" t="s">
        <v>3930</v>
      </c>
      <c r="L8" s="145" t="s">
        <v>3930</v>
      </c>
      <c r="M8" s="145" t="s">
        <v>3930</v>
      </c>
      <c r="N8" s="145" t="s">
        <v>3930</v>
      </c>
      <c r="O8" s="145" t="s">
        <v>3930</v>
      </c>
      <c r="P8" s="145" t="s">
        <v>3930</v>
      </c>
      <c r="Q8" s="145" t="s">
        <v>3930</v>
      </c>
      <c r="R8" s="145" t="s">
        <v>3930</v>
      </c>
      <c r="S8" s="145" t="s">
        <v>3930</v>
      </c>
      <c r="T8" s="145" t="s">
        <v>3930</v>
      </c>
      <c r="U8" s="145" t="s">
        <v>3930</v>
      </c>
      <c r="V8" s="145" t="s">
        <v>3930</v>
      </c>
      <c r="W8" s="145" t="s">
        <v>3930</v>
      </c>
      <c r="X8" s="145" t="s">
        <v>3930</v>
      </c>
      <c r="Y8" s="145" t="s">
        <v>3930</v>
      </c>
      <c r="Z8" s="145" t="s">
        <v>3930</v>
      </c>
      <c r="AA8" s="145" t="s">
        <v>3930</v>
      </c>
      <c r="AB8" s="145" t="s">
        <v>3930</v>
      </c>
      <c r="AC8" s="145" t="s">
        <v>3930</v>
      </c>
      <c r="AD8" s="156" t="s">
        <v>3930</v>
      </c>
      <c r="AE8" s="177"/>
    </row>
    <row r="9" spans="1:31" ht="15" x14ac:dyDescent="0.2">
      <c r="A9" s="154" t="s">
        <v>1220</v>
      </c>
      <c r="B9" s="155" t="s">
        <v>1221</v>
      </c>
      <c r="C9" s="145" t="s">
        <v>3930</v>
      </c>
      <c r="D9" s="145" t="s">
        <v>3930</v>
      </c>
      <c r="E9" s="145" t="s">
        <v>3930</v>
      </c>
      <c r="F9" s="145" t="s">
        <v>3930</v>
      </c>
      <c r="G9" s="145" t="s">
        <v>3930</v>
      </c>
      <c r="H9" s="145" t="s">
        <v>3930</v>
      </c>
      <c r="I9" s="145" t="s">
        <v>3930</v>
      </c>
      <c r="J9" s="145" t="s">
        <v>3930</v>
      </c>
      <c r="K9" s="145" t="s">
        <v>3930</v>
      </c>
      <c r="L9" s="145" t="s">
        <v>3930</v>
      </c>
      <c r="M9" s="145" t="s">
        <v>3930</v>
      </c>
      <c r="N9" s="145" t="s">
        <v>3930</v>
      </c>
      <c r="O9" s="145" t="s">
        <v>3930</v>
      </c>
      <c r="P9" s="145" t="s">
        <v>3930</v>
      </c>
      <c r="Q9" s="145" t="s">
        <v>3930</v>
      </c>
      <c r="R9" s="145" t="s">
        <v>3930</v>
      </c>
      <c r="S9" s="145" t="s">
        <v>3930</v>
      </c>
      <c r="T9" s="145" t="s">
        <v>3930</v>
      </c>
      <c r="U9" s="145" t="s">
        <v>3930</v>
      </c>
      <c r="V9" s="145" t="s">
        <v>3930</v>
      </c>
      <c r="W9" s="145" t="s">
        <v>3930</v>
      </c>
      <c r="X9" s="145" t="s">
        <v>3930</v>
      </c>
      <c r="Y9" s="145" t="s">
        <v>3930</v>
      </c>
      <c r="Z9" s="145" t="s">
        <v>3930</v>
      </c>
      <c r="AA9" s="145" t="s">
        <v>3930</v>
      </c>
      <c r="AB9" s="145" t="s">
        <v>3930</v>
      </c>
      <c r="AC9" s="145" t="s">
        <v>3930</v>
      </c>
      <c r="AD9" s="156" t="s">
        <v>3930</v>
      </c>
      <c r="AE9" s="177"/>
    </row>
    <row r="10" spans="1:31" ht="15" x14ac:dyDescent="0.2">
      <c r="A10" s="157" t="s">
        <v>1220</v>
      </c>
      <c r="B10" s="158" t="s">
        <v>1222</v>
      </c>
      <c r="C10" s="151" t="s">
        <v>3930</v>
      </c>
      <c r="D10" s="151" t="s">
        <v>3930</v>
      </c>
      <c r="E10" s="151" t="s">
        <v>3930</v>
      </c>
      <c r="F10" s="151" t="s">
        <v>3930</v>
      </c>
      <c r="G10" s="151" t="s">
        <v>3930</v>
      </c>
      <c r="H10" s="151" t="s">
        <v>3930</v>
      </c>
      <c r="I10" s="151" t="s">
        <v>3930</v>
      </c>
      <c r="J10" s="151" t="s">
        <v>3930</v>
      </c>
      <c r="K10" s="151" t="s">
        <v>3930</v>
      </c>
      <c r="L10" s="151" t="s">
        <v>3930</v>
      </c>
      <c r="M10" s="151" t="s">
        <v>3930</v>
      </c>
      <c r="N10" s="151" t="s">
        <v>3930</v>
      </c>
      <c r="O10" s="151" t="s">
        <v>3930</v>
      </c>
      <c r="P10" s="151" t="s">
        <v>3930</v>
      </c>
      <c r="Q10" s="151" t="s">
        <v>3930</v>
      </c>
      <c r="R10" s="151" t="s">
        <v>3930</v>
      </c>
      <c r="S10" s="151" t="s">
        <v>3930</v>
      </c>
      <c r="T10" s="151" t="s">
        <v>3930</v>
      </c>
      <c r="U10" s="151" t="s">
        <v>3930</v>
      </c>
      <c r="V10" s="151" t="s">
        <v>3930</v>
      </c>
      <c r="W10" s="151" t="s">
        <v>3930</v>
      </c>
      <c r="X10" s="151" t="s">
        <v>3930</v>
      </c>
      <c r="Y10" s="151" t="s">
        <v>3930</v>
      </c>
      <c r="Z10" s="151" t="s">
        <v>3930</v>
      </c>
      <c r="AA10" s="151" t="s">
        <v>3930</v>
      </c>
      <c r="AB10" s="151" t="s">
        <v>3930</v>
      </c>
      <c r="AC10" s="151" t="s">
        <v>3930</v>
      </c>
      <c r="AD10" s="159" t="s">
        <v>3930</v>
      </c>
      <c r="AE10" s="177"/>
    </row>
    <row r="11" spans="1:31" x14ac:dyDescent="0.2">
      <c r="A11" s="184" t="s">
        <v>3946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</row>
    <row r="12" spans="1:31" x14ac:dyDescent="0.2">
      <c r="A12" s="99" t="s">
        <v>3945</v>
      </c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99"/>
      <c r="O12" s="99"/>
      <c r="P12" s="99"/>
      <c r="Q12" s="99"/>
      <c r="R12" s="16"/>
      <c r="S12" s="99"/>
      <c r="T12" s="99"/>
      <c r="U12" s="99"/>
      <c r="V12" s="99"/>
      <c r="W12" s="99"/>
      <c r="X12" s="98"/>
      <c r="Y12" s="99"/>
      <c r="Z12" s="99"/>
      <c r="AA12" s="99"/>
      <c r="AB12" s="99"/>
      <c r="AC12" s="99"/>
      <c r="AD12" s="99"/>
    </row>
    <row r="13" spans="1:31" x14ac:dyDescent="0.2">
      <c r="A13" s="185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99"/>
      <c r="O13" s="99"/>
      <c r="P13" s="99"/>
      <c r="Q13" s="99"/>
      <c r="R13" s="16"/>
      <c r="S13" s="99"/>
      <c r="T13" s="99"/>
      <c r="U13" s="99"/>
      <c r="V13" s="99"/>
      <c r="W13" s="99"/>
      <c r="X13" s="98"/>
      <c r="Y13" s="99"/>
      <c r="Z13" s="99"/>
      <c r="AA13" s="99"/>
      <c r="AB13" s="99"/>
      <c r="AC13" s="99"/>
      <c r="AD13" s="99"/>
    </row>
    <row r="14" spans="1:31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99"/>
      <c r="O14" s="99"/>
      <c r="P14" s="99"/>
      <c r="Q14" s="99"/>
      <c r="R14" s="16"/>
      <c r="S14" s="99"/>
      <c r="T14" s="99"/>
      <c r="U14" s="99"/>
      <c r="V14" s="99"/>
      <c r="W14" s="99"/>
      <c r="X14" s="98"/>
      <c r="Y14" s="99"/>
      <c r="Z14" s="99"/>
      <c r="AA14" s="99"/>
      <c r="AB14" s="99"/>
      <c r="AC14" s="99"/>
      <c r="AD14" s="99"/>
    </row>
    <row r="15" spans="1:31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99"/>
      <c r="O15" s="99"/>
      <c r="P15" s="99"/>
      <c r="Q15" s="99"/>
      <c r="R15" s="16"/>
      <c r="S15" s="99"/>
      <c r="T15" s="99"/>
      <c r="U15" s="99"/>
      <c r="V15" s="99"/>
      <c r="W15" s="99"/>
      <c r="X15" s="98"/>
      <c r="Y15" s="99"/>
      <c r="Z15" s="99"/>
      <c r="AA15" s="99"/>
      <c r="AB15" s="99"/>
      <c r="AC15" s="99"/>
      <c r="AD15" s="99"/>
    </row>
    <row r="16" spans="1:31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99"/>
      <c r="O16" s="99"/>
      <c r="P16" s="99"/>
      <c r="Q16" s="99"/>
      <c r="R16" s="16"/>
      <c r="S16" s="99"/>
      <c r="T16" s="99"/>
      <c r="U16" s="99"/>
      <c r="V16" s="99"/>
      <c r="W16" s="99"/>
      <c r="X16" s="98"/>
      <c r="Y16" s="99"/>
      <c r="Z16" s="99"/>
      <c r="AA16" s="99"/>
      <c r="AB16" s="99"/>
      <c r="AC16" s="99"/>
      <c r="AD16" s="99"/>
    </row>
    <row r="17" spans="1:30" x14ac:dyDescent="0.2">
      <c r="A17" s="99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99"/>
      <c r="O17" s="99"/>
      <c r="P17" s="99"/>
      <c r="Q17" s="99"/>
      <c r="R17" s="16"/>
      <c r="S17" s="99"/>
      <c r="T17" s="99"/>
      <c r="U17" s="99"/>
      <c r="V17" s="99"/>
      <c r="W17" s="99"/>
      <c r="X17" s="98"/>
      <c r="Y17" s="99"/>
      <c r="Z17" s="99"/>
      <c r="AA17" s="99"/>
      <c r="AB17" s="99"/>
      <c r="AC17" s="99"/>
      <c r="AD17" s="99"/>
    </row>
    <row r="18" spans="1:30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99"/>
      <c r="O18" s="99"/>
      <c r="P18" s="99"/>
      <c r="Q18" s="99"/>
      <c r="R18" s="16"/>
      <c r="S18" s="99"/>
      <c r="T18" s="99"/>
      <c r="U18" s="99"/>
      <c r="V18" s="99"/>
      <c r="W18" s="99"/>
      <c r="X18" s="98"/>
      <c r="Y18" s="99"/>
      <c r="Z18" s="99"/>
      <c r="AA18" s="99"/>
      <c r="AB18" s="99"/>
      <c r="AC18" s="99"/>
      <c r="AD18" s="99"/>
    </row>
    <row r="19" spans="1:30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99"/>
      <c r="O19" s="99"/>
      <c r="P19" s="99"/>
      <c r="Q19" s="99"/>
      <c r="R19" s="16"/>
      <c r="S19" s="99"/>
      <c r="T19" s="99"/>
      <c r="U19" s="99"/>
      <c r="V19" s="99"/>
      <c r="W19" s="99"/>
      <c r="X19" s="98"/>
      <c r="Y19" s="99"/>
      <c r="Z19" s="99"/>
      <c r="AA19" s="99"/>
      <c r="AB19" s="99"/>
      <c r="AC19" s="99"/>
      <c r="AD19" s="99"/>
    </row>
    <row r="20" spans="1:30" x14ac:dyDescent="0.2">
      <c r="A20" s="99"/>
      <c r="B20" s="99"/>
      <c r="C20" s="99"/>
      <c r="D20" s="99"/>
      <c r="E20" s="16"/>
      <c r="F20" s="99"/>
      <c r="G20" s="99"/>
      <c r="H20" s="99"/>
      <c r="I20" s="99"/>
      <c r="J20" s="16"/>
      <c r="K20" s="16"/>
      <c r="L20" s="99"/>
      <c r="M20" s="99"/>
      <c r="N20" s="99"/>
      <c r="O20" s="99"/>
      <c r="P20" s="99"/>
      <c r="Q20" s="99"/>
      <c r="R20" s="16"/>
      <c r="S20" s="99"/>
      <c r="T20" s="99"/>
      <c r="U20" s="99"/>
      <c r="V20" s="99"/>
      <c r="W20" s="99"/>
      <c r="X20" s="98"/>
      <c r="Y20" s="99"/>
      <c r="Z20" s="99"/>
      <c r="AA20" s="99"/>
      <c r="AB20" s="99"/>
      <c r="AC20" s="99"/>
      <c r="AD20" s="99"/>
    </row>
    <row r="21" spans="1:30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8"/>
      <c r="P21" s="99"/>
      <c r="Q21" s="99"/>
      <c r="R21" s="98"/>
      <c r="S21" s="98"/>
      <c r="T21" s="98"/>
      <c r="U21" s="98"/>
      <c r="V21" s="99"/>
      <c r="W21" s="99"/>
      <c r="X21" s="98"/>
      <c r="Y21" s="98"/>
      <c r="Z21" s="98"/>
      <c r="AA21" s="98"/>
      <c r="AB21" s="98"/>
      <c r="AC21" s="98"/>
      <c r="AD21" s="9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1">
    <dataValidation type="list" allowBlank="1" showInputMessage="1" showErrorMessage="1" sqref="J3:J6 J12:J21">
      <formula1>israel_abroad</formula1>
    </dataValidation>
    <dataValidation type="list" allowBlank="1" showInputMessage="1" showErrorMessage="1" sqref="L3:L6 L12:L21">
      <formula1>Holding_interest</formula1>
    </dataValidation>
    <dataValidation type="list" allowBlank="1" showInputMessage="1" showErrorMessage="1" sqref="P3:P6 P12:P21">
      <formula1>Rating_Agency</formula1>
    </dataValidation>
    <dataValidation type="list" allowBlank="1" showInputMessage="1" showErrorMessage="1" sqref="Q3:Q6 Q12:Q21">
      <formula1>What_is_rated</formula1>
    </dataValidation>
    <dataValidation type="list" allowBlank="1" showInputMessage="1" showErrorMessage="1" sqref="V3:V6 V12:V21">
      <formula1>Valuation</formula1>
    </dataValidation>
    <dataValidation type="list" allowBlank="1" showInputMessage="1" showErrorMessage="1" sqref="W3:W6 W12:W21">
      <formula1>Dependence_Independence</formula1>
    </dataValidation>
    <dataValidation type="list" allowBlank="1" showInputMessage="1" showErrorMessage="1" sqref="K3:K6 K12:K21">
      <formula1>Country_list</formula1>
    </dataValidation>
    <dataValidation type="list" allowBlank="1" showInputMessage="1" showErrorMessage="1" sqref="H3:H6 H12:H21">
      <formula1>Type_of_Security_ID_Fund</formula1>
    </dataValidation>
    <dataValidation type="list" allowBlank="1" showInputMessage="1" showErrorMessage="1" sqref="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6 E12:E21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I3:I6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" style="2" customWidth="1"/>
    <col min="4" max="4" width="13.75" style="2" customWidth="1"/>
    <col min="5" max="5" width="16.5" style="4" customWidth="1"/>
    <col min="6" max="6" width="11.5" style="2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" style="2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3973</v>
      </c>
    </row>
    <row r="2" spans="1:23" ht="66.75" customHeight="1" x14ac:dyDescent="0.2">
      <c r="A2" s="139" t="s">
        <v>49</v>
      </c>
      <c r="B2" s="140" t="s">
        <v>50</v>
      </c>
      <c r="C2" s="140" t="s">
        <v>51</v>
      </c>
      <c r="D2" s="140" t="s">
        <v>52</v>
      </c>
      <c r="E2" s="140" t="s">
        <v>53</v>
      </c>
      <c r="F2" s="140" t="s">
        <v>54</v>
      </c>
      <c r="G2" s="140" t="s">
        <v>173</v>
      </c>
      <c r="H2" s="140" t="s">
        <v>55</v>
      </c>
      <c r="I2" s="140" t="s">
        <v>69</v>
      </c>
      <c r="J2" s="140" t="s">
        <v>56</v>
      </c>
      <c r="K2" s="140" t="s">
        <v>57</v>
      </c>
      <c r="L2" s="140" t="s">
        <v>58</v>
      </c>
      <c r="M2" s="140" t="s">
        <v>59</v>
      </c>
      <c r="N2" s="140" t="s">
        <v>72</v>
      </c>
      <c r="O2" s="140" t="s">
        <v>62</v>
      </c>
      <c r="P2" s="140" t="s">
        <v>74</v>
      </c>
      <c r="Q2" s="140" t="s">
        <v>60</v>
      </c>
      <c r="R2" s="140" t="s">
        <v>61</v>
      </c>
      <c r="S2" s="140" t="s">
        <v>174</v>
      </c>
      <c r="T2" s="140" t="s">
        <v>63</v>
      </c>
      <c r="U2" s="140" t="s">
        <v>64</v>
      </c>
      <c r="V2" s="141" t="s">
        <v>65</v>
      </c>
      <c r="W2" s="177" t="s">
        <v>3947</v>
      </c>
    </row>
    <row r="3" spans="1:23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56" t="s">
        <v>3930</v>
      </c>
      <c r="W3" s="177"/>
    </row>
    <row r="4" spans="1:23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56" t="s">
        <v>3930</v>
      </c>
      <c r="W4" s="177"/>
    </row>
    <row r="5" spans="1:23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56" t="s">
        <v>3930</v>
      </c>
      <c r="W5" s="177"/>
    </row>
    <row r="6" spans="1:23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56" t="s">
        <v>3930</v>
      </c>
      <c r="W6" s="177"/>
    </row>
    <row r="7" spans="1:23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56" t="s">
        <v>3930</v>
      </c>
      <c r="W7" s="177"/>
    </row>
    <row r="8" spans="1:23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9" t="s">
        <v>3930</v>
      </c>
      <c r="W8" s="177"/>
    </row>
    <row r="9" spans="1:23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</row>
    <row r="10" spans="1:23" x14ac:dyDescent="0.2">
      <c r="A10" s="99" t="s">
        <v>3945</v>
      </c>
      <c r="B10" s="99"/>
      <c r="C10" s="99"/>
      <c r="D10" s="98"/>
      <c r="E10" s="16"/>
      <c r="F10" s="99"/>
      <c r="G10" s="99"/>
      <c r="H10" s="16"/>
      <c r="I10" s="16"/>
      <c r="J10" s="99"/>
      <c r="K10" s="99"/>
      <c r="L10" s="98"/>
      <c r="M10" s="16"/>
      <c r="N10" s="99"/>
      <c r="O10" s="99"/>
      <c r="P10" s="99"/>
      <c r="Q10" s="98"/>
      <c r="R10" s="99"/>
      <c r="S10" s="99"/>
      <c r="T10" s="99"/>
      <c r="U10" s="99"/>
      <c r="V10" s="99"/>
    </row>
    <row r="11" spans="1:23" x14ac:dyDescent="0.2">
      <c r="A11" s="185"/>
      <c r="B11" s="99"/>
      <c r="C11" s="99"/>
      <c r="D11" s="98"/>
      <c r="E11" s="16"/>
      <c r="F11" s="99"/>
      <c r="G11" s="99"/>
      <c r="H11" s="16"/>
      <c r="I11" s="16"/>
      <c r="J11" s="99"/>
      <c r="K11" s="99"/>
      <c r="L11" s="98"/>
      <c r="M11" s="16"/>
      <c r="N11" s="99"/>
      <c r="O11" s="99"/>
      <c r="P11" s="99"/>
      <c r="Q11" s="98"/>
      <c r="R11" s="99"/>
      <c r="S11" s="99"/>
      <c r="T11" s="99"/>
      <c r="U11" s="99"/>
      <c r="V11" s="99"/>
    </row>
    <row r="12" spans="1:23" x14ac:dyDescent="0.2">
      <c r="A12" s="99"/>
      <c r="B12" s="99"/>
      <c r="C12" s="99"/>
      <c r="D12" s="98"/>
      <c r="E12" s="16"/>
      <c r="F12" s="99"/>
      <c r="G12" s="99"/>
      <c r="H12" s="16"/>
      <c r="I12" s="16"/>
      <c r="J12" s="99"/>
      <c r="K12" s="99"/>
      <c r="L12" s="98"/>
      <c r="M12" s="16"/>
      <c r="N12" s="99"/>
      <c r="O12" s="99"/>
      <c r="P12" s="99"/>
      <c r="Q12" s="98"/>
      <c r="R12" s="99"/>
      <c r="S12" s="99"/>
      <c r="T12" s="99"/>
      <c r="U12" s="99"/>
      <c r="V12" s="99"/>
    </row>
    <row r="13" spans="1:23" x14ac:dyDescent="0.2">
      <c r="A13" s="99"/>
      <c r="B13" s="99"/>
      <c r="C13" s="99"/>
      <c r="D13" s="98"/>
      <c r="E13" s="16"/>
      <c r="F13" s="99"/>
      <c r="G13" s="99"/>
      <c r="H13" s="16"/>
      <c r="I13" s="16"/>
      <c r="J13" s="99"/>
      <c r="K13" s="99"/>
      <c r="L13" s="98"/>
      <c r="M13" s="16"/>
      <c r="N13" s="99"/>
      <c r="O13" s="99"/>
      <c r="P13" s="99"/>
      <c r="Q13" s="98"/>
      <c r="R13" s="99"/>
      <c r="S13" s="99"/>
      <c r="T13" s="99"/>
      <c r="U13" s="99"/>
      <c r="V13" s="99"/>
    </row>
    <row r="14" spans="1:23" x14ac:dyDescent="0.2">
      <c r="A14" s="99"/>
      <c r="B14" s="99"/>
      <c r="C14" s="99"/>
      <c r="D14" s="98"/>
      <c r="E14" s="16"/>
      <c r="F14" s="99"/>
      <c r="G14" s="99"/>
      <c r="H14" s="16"/>
      <c r="I14" s="16"/>
      <c r="J14" s="99"/>
      <c r="K14" s="99"/>
      <c r="L14" s="98"/>
      <c r="M14" s="16"/>
      <c r="N14" s="99"/>
      <c r="O14" s="99"/>
      <c r="P14" s="99"/>
      <c r="Q14" s="98"/>
      <c r="R14" s="99"/>
      <c r="S14" s="99"/>
      <c r="T14" s="99"/>
      <c r="U14" s="99"/>
      <c r="V14" s="99"/>
    </row>
    <row r="15" spans="1:23" x14ac:dyDescent="0.2">
      <c r="A15" s="99"/>
      <c r="B15" s="99"/>
      <c r="C15" s="99"/>
      <c r="D15" s="98"/>
      <c r="E15" s="16"/>
      <c r="F15" s="99"/>
      <c r="G15" s="99"/>
      <c r="H15" s="16"/>
      <c r="I15" s="16"/>
      <c r="J15" s="99"/>
      <c r="K15" s="99"/>
      <c r="L15" s="98"/>
      <c r="M15" s="16"/>
      <c r="N15" s="99"/>
      <c r="O15" s="99"/>
      <c r="P15" s="99"/>
      <c r="Q15" s="98"/>
      <c r="R15" s="99"/>
      <c r="S15" s="99"/>
      <c r="T15" s="99"/>
      <c r="U15" s="99"/>
      <c r="V15" s="99"/>
    </row>
    <row r="16" spans="1:23" x14ac:dyDescent="0.2">
      <c r="A16" s="99"/>
      <c r="B16" s="99"/>
      <c r="C16" s="99"/>
      <c r="D16" s="98"/>
      <c r="E16" s="16"/>
      <c r="F16" s="99"/>
      <c r="G16" s="99"/>
      <c r="H16" s="16"/>
      <c r="I16" s="16"/>
      <c r="J16" s="99"/>
      <c r="K16" s="99"/>
      <c r="L16" s="98"/>
      <c r="M16" s="16"/>
      <c r="N16" s="99"/>
      <c r="O16" s="99"/>
      <c r="P16" s="99"/>
      <c r="Q16" s="98"/>
      <c r="R16" s="99"/>
      <c r="S16" s="99"/>
      <c r="T16" s="99"/>
      <c r="U16" s="99"/>
      <c r="V16" s="99"/>
    </row>
    <row r="17" spans="1:22" x14ac:dyDescent="0.2">
      <c r="A17" s="99"/>
      <c r="B17" s="99"/>
      <c r="C17" s="99"/>
      <c r="D17" s="98"/>
      <c r="E17" s="16"/>
      <c r="F17" s="99"/>
      <c r="G17" s="99"/>
      <c r="H17" s="16"/>
      <c r="I17" s="16"/>
      <c r="J17" s="99"/>
      <c r="K17" s="99"/>
      <c r="L17" s="98"/>
      <c r="M17" s="16"/>
      <c r="N17" s="99"/>
      <c r="O17" s="99"/>
      <c r="P17" s="99"/>
      <c r="Q17" s="98"/>
      <c r="R17" s="99"/>
      <c r="S17" s="99"/>
      <c r="T17" s="99"/>
      <c r="U17" s="99"/>
      <c r="V17" s="99"/>
    </row>
    <row r="18" spans="1:22" x14ac:dyDescent="0.2">
      <c r="A18" s="99"/>
      <c r="B18" s="99"/>
      <c r="C18" s="99"/>
      <c r="D18" s="98"/>
      <c r="E18" s="16"/>
      <c r="F18" s="99"/>
      <c r="G18" s="99"/>
      <c r="H18" s="16"/>
      <c r="I18" s="16"/>
      <c r="J18" s="99"/>
      <c r="K18" s="99"/>
      <c r="L18" s="98"/>
      <c r="M18" s="16"/>
      <c r="N18" s="99"/>
      <c r="O18" s="99"/>
      <c r="P18" s="99"/>
      <c r="Q18" s="98"/>
      <c r="R18" s="99"/>
      <c r="S18" s="99"/>
      <c r="T18" s="99"/>
      <c r="U18" s="99"/>
      <c r="V18" s="99"/>
    </row>
    <row r="19" spans="1:22" x14ac:dyDescent="0.2">
      <c r="A19" s="99"/>
      <c r="B19" s="99"/>
      <c r="C19" s="99"/>
      <c r="D19" s="98"/>
      <c r="E19" s="16"/>
      <c r="F19" s="99"/>
      <c r="G19" s="99"/>
      <c r="H19" s="16"/>
      <c r="I19" s="16"/>
      <c r="J19" s="99"/>
      <c r="K19" s="99"/>
      <c r="L19" s="98"/>
      <c r="M19" s="16"/>
      <c r="N19" s="99"/>
      <c r="O19" s="99"/>
      <c r="P19" s="99"/>
      <c r="Q19" s="98"/>
      <c r="R19" s="99"/>
      <c r="S19" s="99"/>
      <c r="T19" s="99"/>
      <c r="U19" s="99"/>
      <c r="V19" s="99"/>
    </row>
    <row r="20" spans="1:22" x14ac:dyDescent="0.2">
      <c r="A20" s="99"/>
      <c r="B20" s="99"/>
      <c r="C20" s="99"/>
      <c r="D20" s="98"/>
      <c r="E20" s="16"/>
      <c r="F20" s="99"/>
      <c r="G20" s="99"/>
      <c r="H20" s="16"/>
      <c r="I20" s="16"/>
      <c r="J20" s="99"/>
      <c r="K20" s="99"/>
      <c r="L20" s="98"/>
      <c r="M20" s="16"/>
      <c r="N20" s="99"/>
      <c r="O20" s="99"/>
      <c r="P20" s="99"/>
      <c r="Q20" s="98"/>
      <c r="R20" s="99"/>
      <c r="S20" s="99"/>
      <c r="T20" s="99"/>
      <c r="U20" s="99"/>
      <c r="V20" s="99"/>
    </row>
    <row r="21" spans="1:22" x14ac:dyDescent="0.2">
      <c r="A21" s="98"/>
      <c r="B21" s="98"/>
      <c r="C21" s="98"/>
      <c r="D21" s="98"/>
      <c r="E21" s="16"/>
      <c r="F21" s="99"/>
      <c r="G21" s="98"/>
      <c r="H21" s="16"/>
      <c r="I21" s="16"/>
      <c r="J21" s="99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</row>
    <row r="22" spans="1:22" x14ac:dyDescent="0.2">
      <c r="A22" s="98"/>
      <c r="B22" s="98"/>
      <c r="C22" s="98"/>
      <c r="D22" s="98"/>
      <c r="F22" s="98"/>
      <c r="G22" s="98"/>
      <c r="H22" s="98"/>
      <c r="I22" s="98"/>
      <c r="J22" s="98"/>
      <c r="K22" s="98"/>
      <c r="L22"/>
      <c r="M22" s="98"/>
      <c r="N22" s="98"/>
      <c r="O22" s="98"/>
      <c r="P22" s="98"/>
      <c r="Q22" s="98"/>
      <c r="R22" s="98"/>
      <c r="S22" s="98"/>
      <c r="T22" s="98"/>
      <c r="U22" s="98"/>
      <c r="V22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10:H21">
      <formula1>israel_abroad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E10:E21">
      <formula1>Issuer_Number_Banks</formula1>
    </dataValidation>
    <dataValidation type="list" allowBlank="1" showInputMessage="1" showErrorMessage="1" sqref="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3974</v>
      </c>
    </row>
    <row r="2" spans="1:25" ht="66.75" customHeight="1" x14ac:dyDescent="0.2">
      <c r="A2" s="139" t="s">
        <v>49</v>
      </c>
      <c r="B2" s="140" t="s">
        <v>50</v>
      </c>
      <c r="C2" s="140" t="s">
        <v>175</v>
      </c>
      <c r="D2" s="140" t="s">
        <v>54</v>
      </c>
      <c r="E2" s="140" t="s">
        <v>176</v>
      </c>
      <c r="F2" s="140" t="s">
        <v>56</v>
      </c>
      <c r="G2" s="140" t="s">
        <v>97</v>
      </c>
      <c r="H2" s="140" t="s">
        <v>177</v>
      </c>
      <c r="I2" s="140" t="s">
        <v>178</v>
      </c>
      <c r="J2" s="140" t="s">
        <v>179</v>
      </c>
      <c r="K2" s="140" t="s">
        <v>180</v>
      </c>
      <c r="L2" s="140" t="s">
        <v>181</v>
      </c>
      <c r="M2" s="140" t="s">
        <v>103</v>
      </c>
      <c r="N2" s="140" t="s">
        <v>105</v>
      </c>
      <c r="O2" s="140" t="s">
        <v>104</v>
      </c>
      <c r="P2" s="140" t="s">
        <v>106</v>
      </c>
      <c r="Q2" s="140" t="s">
        <v>59</v>
      </c>
      <c r="R2" s="140" t="s">
        <v>172</v>
      </c>
      <c r="S2" s="140" t="s">
        <v>63</v>
      </c>
      <c r="T2" s="140" t="s">
        <v>78</v>
      </c>
      <c r="U2" s="140" t="s">
        <v>88</v>
      </c>
      <c r="V2" s="140" t="s">
        <v>17</v>
      </c>
      <c r="W2" s="140" t="s">
        <v>64</v>
      </c>
      <c r="X2" s="141" t="s">
        <v>65</v>
      </c>
      <c r="Y2" s="177" t="s">
        <v>3947</v>
      </c>
    </row>
    <row r="3" spans="1:25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45" t="s">
        <v>3930</v>
      </c>
      <c r="X3" s="156" t="s">
        <v>3930</v>
      </c>
      <c r="Y3" s="177"/>
    </row>
    <row r="4" spans="1:25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45" t="s">
        <v>3930</v>
      </c>
      <c r="X4" s="156" t="s">
        <v>3930</v>
      </c>
      <c r="Y4" s="177"/>
    </row>
    <row r="5" spans="1:25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45" t="s">
        <v>3930</v>
      </c>
      <c r="X5" s="156" t="s">
        <v>3930</v>
      </c>
      <c r="Y5" s="177"/>
    </row>
    <row r="6" spans="1:25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45" t="s">
        <v>3930</v>
      </c>
      <c r="X6" s="156" t="s">
        <v>3930</v>
      </c>
      <c r="Y6" s="177"/>
    </row>
    <row r="7" spans="1:25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45" t="s">
        <v>3930</v>
      </c>
      <c r="X7" s="156" t="s">
        <v>3930</v>
      </c>
      <c r="Y7" s="177"/>
    </row>
    <row r="8" spans="1:25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1" t="s">
        <v>3930</v>
      </c>
      <c r="X8" s="159" t="s">
        <v>3930</v>
      </c>
      <c r="Y8" s="177"/>
    </row>
    <row r="9" spans="1:25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</row>
    <row r="10" spans="1:25" x14ac:dyDescent="0.2">
      <c r="A10" s="99" t="s">
        <v>3945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16"/>
      <c r="R10" s="99"/>
      <c r="S10" s="99"/>
      <c r="T10" s="99"/>
      <c r="U10" s="99"/>
      <c r="V10" s="99"/>
      <c r="W10" s="99"/>
      <c r="X10" s="99"/>
    </row>
    <row r="11" spans="1:25" x14ac:dyDescent="0.2">
      <c r="A11" s="185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16"/>
      <c r="R11" s="99"/>
      <c r="S11" s="99"/>
      <c r="T11" s="99"/>
      <c r="U11" s="99"/>
      <c r="V11" s="99"/>
      <c r="W11" s="99"/>
      <c r="X11" s="99"/>
    </row>
    <row r="12" spans="1:25" x14ac:dyDescent="0.2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16"/>
      <c r="R12" s="99"/>
      <c r="S12" s="99"/>
      <c r="T12" s="99"/>
      <c r="U12" s="99"/>
      <c r="V12" s="99"/>
      <c r="W12" s="99"/>
      <c r="X12" s="99"/>
    </row>
    <row r="13" spans="1:25" x14ac:dyDescent="0.2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16"/>
      <c r="R13" s="99"/>
      <c r="S13" s="99"/>
      <c r="T13" s="99"/>
      <c r="U13" s="99"/>
      <c r="V13" s="99"/>
      <c r="W13" s="99"/>
      <c r="X13" s="99"/>
    </row>
    <row r="14" spans="1:25" x14ac:dyDescent="0.2">
      <c r="A14" s="99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16"/>
      <c r="R14" s="99"/>
      <c r="S14" s="99"/>
      <c r="T14" s="99"/>
      <c r="U14" s="99"/>
      <c r="V14" s="99"/>
      <c r="W14" s="99"/>
      <c r="X14" s="99"/>
    </row>
    <row r="15" spans="1:25" x14ac:dyDescent="0.2">
      <c r="A15" s="99"/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16"/>
      <c r="R15" s="99"/>
      <c r="S15" s="99"/>
      <c r="T15" s="99"/>
      <c r="U15" s="99"/>
      <c r="V15" s="99"/>
      <c r="W15" s="99"/>
      <c r="X15" s="99"/>
    </row>
    <row r="16" spans="1:25" x14ac:dyDescent="0.2">
      <c r="A16" s="99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16"/>
      <c r="R16" s="99"/>
      <c r="S16" s="99"/>
      <c r="T16" s="99"/>
      <c r="U16" s="99"/>
      <c r="V16" s="99"/>
      <c r="W16" s="99"/>
      <c r="X16" s="99"/>
    </row>
    <row r="17" spans="1:24" x14ac:dyDescent="0.2">
      <c r="A17" s="99"/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6"/>
      <c r="R17" s="99"/>
      <c r="S17" s="99"/>
      <c r="T17" s="99"/>
      <c r="U17" s="99"/>
      <c r="V17" s="99"/>
      <c r="W17" s="99"/>
      <c r="X17" s="99"/>
    </row>
    <row r="18" spans="1:24" x14ac:dyDescent="0.2">
      <c r="A18" s="99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16"/>
      <c r="R18" s="99"/>
      <c r="S18" s="99"/>
      <c r="T18" s="99"/>
      <c r="U18" s="99"/>
      <c r="V18" s="99"/>
      <c r="W18" s="99"/>
      <c r="X18" s="99"/>
    </row>
    <row r="19" spans="1:24" x14ac:dyDescent="0.2">
      <c r="A19" s="99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16"/>
      <c r="R19" s="99"/>
      <c r="S19" s="99"/>
      <c r="T19" s="99"/>
      <c r="U19" s="99"/>
      <c r="V19" s="99"/>
      <c r="W19" s="99"/>
      <c r="X19" s="99"/>
    </row>
    <row r="20" spans="1:24" x14ac:dyDescent="0.2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16"/>
      <c r="R20" s="99"/>
      <c r="S20" s="99"/>
      <c r="T20" s="99"/>
      <c r="U20" s="99"/>
      <c r="V20" s="99"/>
      <c r="W20" s="99"/>
      <c r="X20" s="99"/>
    </row>
    <row r="21" spans="1:24" x14ac:dyDescent="0.2">
      <c r="A21" s="98"/>
      <c r="B21" s="98"/>
      <c r="C21" s="98"/>
      <c r="D21" s="99"/>
      <c r="E21" s="99"/>
      <c r="F21" s="99"/>
      <c r="G21" s="98"/>
      <c r="H21" s="99"/>
      <c r="I21" s="99"/>
      <c r="J21" s="98"/>
      <c r="K21" s="98"/>
      <c r="L21" s="99"/>
      <c r="M21" s="99"/>
      <c r="N21" s="98"/>
      <c r="O21" s="99"/>
      <c r="P21" s="98"/>
      <c r="Q21" s="98"/>
      <c r="R21" s="98"/>
      <c r="S21" s="98"/>
      <c r="T21" s="98"/>
      <c r="U21" s="98"/>
      <c r="V21" s="99"/>
      <c r="W21" s="98"/>
      <c r="X21" s="98"/>
    </row>
    <row r="22" spans="1:24" x14ac:dyDescent="0.2">
      <c r="A22" s="98"/>
      <c r="B22" s="98"/>
      <c r="C22" s="98"/>
      <c r="D22" s="99"/>
      <c r="E22" s="99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x14ac:dyDescent="0.2">
      <c r="A23" s="98"/>
      <c r="B23" s="98"/>
      <c r="C23" s="98"/>
      <c r="D23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>
      <formula1>Holding_interest</formula1>
    </dataValidation>
    <dataValidation type="list" allowBlank="1" showInputMessage="1" showErrorMessage="1" sqref="V10:V21">
      <formula1>In_the_books</formula1>
    </dataValidation>
    <dataValidation type="list" allowBlank="1" showInputMessage="1" showErrorMessage="1" sqref="L10:L21">
      <formula1>Valuation_Method</formula1>
    </dataValidation>
    <dataValidation type="list" allowBlank="1" showInputMessage="1" showErrorMessage="1" sqref="O10:O21">
      <formula1>Dependence_Independence</formula1>
    </dataValidation>
    <dataValidation type="list" allowBlank="1" showInputMessage="1" showErrorMessage="1" sqref="E10:E22">
      <formula1>Country_list</formula1>
    </dataValidation>
    <dataValidation type="list" allowBlank="1" showInputMessage="1" showErrorMessage="1" sqref="I10:I21">
      <formula1>real_estate_lifestage</formula1>
    </dataValidation>
    <dataValidation type="list" allowBlank="1" showInputMessage="1" showErrorMessage="1" sqref="M10:M21">
      <formula1>Valuation_Realestate</formula1>
    </dataValidation>
    <dataValidation type="list" allowBlank="1" showInputMessage="1" showErrorMessage="1" sqref="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3975</v>
      </c>
    </row>
    <row r="2" spans="1:24" ht="66.75" customHeight="1" x14ac:dyDescent="0.2">
      <c r="A2" s="139" t="s">
        <v>49</v>
      </c>
      <c r="B2" s="140" t="s">
        <v>50</v>
      </c>
      <c r="C2" s="140" t="s">
        <v>66</v>
      </c>
      <c r="D2" s="140" t="s">
        <v>80</v>
      </c>
      <c r="E2" s="140" t="s">
        <v>81</v>
      </c>
      <c r="F2" s="140" t="s">
        <v>67</v>
      </c>
      <c r="G2" s="140" t="s">
        <v>68</v>
      </c>
      <c r="H2" s="140" t="s">
        <v>82</v>
      </c>
      <c r="I2" s="140" t="s">
        <v>54</v>
      </c>
      <c r="J2" s="140" t="s">
        <v>55</v>
      </c>
      <c r="K2" s="140" t="s">
        <v>69</v>
      </c>
      <c r="L2" s="140" t="s">
        <v>83</v>
      </c>
      <c r="M2" s="140" t="s">
        <v>56</v>
      </c>
      <c r="N2" s="140" t="s">
        <v>59</v>
      </c>
      <c r="O2" s="140" t="s">
        <v>103</v>
      </c>
      <c r="P2" s="140" t="s">
        <v>104</v>
      </c>
      <c r="Q2" s="140" t="s">
        <v>106</v>
      </c>
      <c r="R2" s="140" t="s">
        <v>107</v>
      </c>
      <c r="S2" s="140" t="s">
        <v>182</v>
      </c>
      <c r="T2" s="140" t="s">
        <v>183</v>
      </c>
      <c r="U2" s="140" t="s">
        <v>63</v>
      </c>
      <c r="V2" s="140" t="s">
        <v>64</v>
      </c>
      <c r="W2" s="141" t="s">
        <v>65</v>
      </c>
      <c r="X2" s="177" t="s">
        <v>3947</v>
      </c>
    </row>
    <row r="3" spans="1:24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45" t="s">
        <v>3930</v>
      </c>
      <c r="U3" s="145" t="s">
        <v>3930</v>
      </c>
      <c r="V3" s="145" t="s">
        <v>3930</v>
      </c>
      <c r="W3" s="156" t="s">
        <v>3930</v>
      </c>
      <c r="X3" s="177"/>
    </row>
    <row r="4" spans="1:24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45" t="s">
        <v>3930</v>
      </c>
      <c r="U4" s="145" t="s">
        <v>3930</v>
      </c>
      <c r="V4" s="145" t="s">
        <v>3930</v>
      </c>
      <c r="W4" s="156" t="s">
        <v>3930</v>
      </c>
      <c r="X4" s="177"/>
    </row>
    <row r="5" spans="1:24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45" t="s">
        <v>3930</v>
      </c>
      <c r="U5" s="145" t="s">
        <v>3930</v>
      </c>
      <c r="V5" s="145" t="s">
        <v>3930</v>
      </c>
      <c r="W5" s="156" t="s">
        <v>3930</v>
      </c>
      <c r="X5" s="177"/>
    </row>
    <row r="6" spans="1:24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45" t="s">
        <v>3930</v>
      </c>
      <c r="U6" s="145" t="s">
        <v>3930</v>
      </c>
      <c r="V6" s="145" t="s">
        <v>3930</v>
      </c>
      <c r="W6" s="156" t="s">
        <v>3930</v>
      </c>
      <c r="X6" s="177"/>
    </row>
    <row r="7" spans="1:24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45" t="s">
        <v>3930</v>
      </c>
      <c r="U7" s="145" t="s">
        <v>3930</v>
      </c>
      <c r="V7" s="145" t="s">
        <v>3930</v>
      </c>
      <c r="W7" s="156" t="s">
        <v>3930</v>
      </c>
      <c r="X7" s="177"/>
    </row>
    <row r="8" spans="1:24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1" t="s">
        <v>3930</v>
      </c>
      <c r="U8" s="151" t="s">
        <v>3930</v>
      </c>
      <c r="V8" s="151" t="s">
        <v>3930</v>
      </c>
      <c r="W8" s="159" t="s">
        <v>3930</v>
      </c>
      <c r="X8" s="177"/>
    </row>
    <row r="9" spans="1:24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</row>
    <row r="10" spans="1:24" x14ac:dyDescent="0.2">
      <c r="A10" s="99" t="s">
        <v>3945</v>
      </c>
      <c r="B10" s="99"/>
      <c r="C10" s="99"/>
      <c r="D10" s="99"/>
      <c r="E10" s="16"/>
      <c r="F10" s="99"/>
      <c r="G10" s="99"/>
      <c r="H10" s="99"/>
      <c r="I10" s="99"/>
      <c r="J10" s="16"/>
      <c r="K10" s="16"/>
      <c r="L10" s="99"/>
      <c r="M10" s="99"/>
      <c r="N10" s="16"/>
      <c r="O10" s="99"/>
      <c r="P10" s="99"/>
      <c r="Q10" s="99"/>
      <c r="R10" s="99"/>
      <c r="S10" s="99"/>
      <c r="T10" s="99"/>
      <c r="U10" s="99"/>
      <c r="V10" s="99"/>
      <c r="W10" s="99"/>
    </row>
    <row r="11" spans="1:24" x14ac:dyDescent="0.2">
      <c r="A11" s="185"/>
      <c r="B11" s="99"/>
      <c r="C11" s="99"/>
      <c r="D11" s="99"/>
      <c r="E11" s="16"/>
      <c r="F11" s="99"/>
      <c r="G11" s="99"/>
      <c r="H11" s="99"/>
      <c r="I11" s="99"/>
      <c r="J11" s="16"/>
      <c r="K11" s="16"/>
      <c r="L11" s="99"/>
      <c r="M11" s="99"/>
      <c r="N11" s="16"/>
      <c r="O11" s="99"/>
      <c r="P11" s="99"/>
      <c r="Q11" s="99"/>
      <c r="R11" s="99"/>
      <c r="S11" s="99"/>
      <c r="T11" s="99"/>
      <c r="U11" s="99"/>
      <c r="V11" s="99"/>
      <c r="W11" s="99"/>
    </row>
    <row r="12" spans="1:24" x14ac:dyDescent="0.2">
      <c r="A12" s="99"/>
      <c r="B12" s="99"/>
      <c r="C12" s="99"/>
      <c r="D12" s="99"/>
      <c r="E12" s="16"/>
      <c r="F12" s="99"/>
      <c r="G12" s="99"/>
      <c r="H12" s="99"/>
      <c r="I12" s="99"/>
      <c r="J12" s="16"/>
      <c r="K12" s="16"/>
      <c r="L12" s="99"/>
      <c r="M12" s="99"/>
      <c r="N12" s="16"/>
      <c r="O12" s="99"/>
      <c r="P12" s="99"/>
      <c r="Q12" s="99"/>
      <c r="R12" s="99"/>
      <c r="S12" s="99"/>
      <c r="T12" s="99"/>
      <c r="U12" s="99"/>
      <c r="V12" s="99"/>
      <c r="W12" s="99"/>
    </row>
    <row r="13" spans="1:24" x14ac:dyDescent="0.2">
      <c r="A13" s="99"/>
      <c r="B13" s="99"/>
      <c r="C13" s="99"/>
      <c r="D13" s="99"/>
      <c r="E13" s="16"/>
      <c r="F13" s="99"/>
      <c r="G13" s="99"/>
      <c r="H13" s="99"/>
      <c r="I13" s="99"/>
      <c r="J13" s="16"/>
      <c r="K13" s="16"/>
      <c r="L13" s="99"/>
      <c r="M13" s="99"/>
      <c r="N13" s="16"/>
      <c r="O13" s="99"/>
      <c r="P13" s="99"/>
      <c r="Q13" s="99"/>
      <c r="R13" s="99"/>
      <c r="S13" s="99"/>
      <c r="T13" s="99"/>
      <c r="U13" s="99"/>
      <c r="V13" s="99"/>
      <c r="W13" s="99"/>
    </row>
    <row r="14" spans="1:24" x14ac:dyDescent="0.2">
      <c r="A14" s="99"/>
      <c r="B14" s="99"/>
      <c r="C14" s="99"/>
      <c r="D14" s="99"/>
      <c r="E14" s="16"/>
      <c r="F14" s="99"/>
      <c r="G14" s="99"/>
      <c r="H14" s="99"/>
      <c r="I14" s="99"/>
      <c r="J14" s="16"/>
      <c r="K14" s="16"/>
      <c r="L14" s="99"/>
      <c r="M14" s="99"/>
      <c r="N14" s="16"/>
      <c r="O14" s="99"/>
      <c r="P14" s="99"/>
      <c r="Q14" s="99"/>
      <c r="R14" s="99"/>
      <c r="S14" s="99"/>
      <c r="T14" s="99"/>
      <c r="U14" s="99"/>
      <c r="V14" s="99"/>
      <c r="W14" s="99"/>
    </row>
    <row r="15" spans="1:24" x14ac:dyDescent="0.2">
      <c r="A15" s="99"/>
      <c r="B15" s="99"/>
      <c r="C15" s="99"/>
      <c r="D15" s="99"/>
      <c r="E15" s="16"/>
      <c r="F15" s="99"/>
      <c r="G15" s="99"/>
      <c r="H15" s="99"/>
      <c r="I15" s="99"/>
      <c r="J15" s="16"/>
      <c r="K15" s="16"/>
      <c r="L15" s="99"/>
      <c r="M15" s="99"/>
      <c r="N15" s="16"/>
      <c r="O15" s="99"/>
      <c r="P15" s="99"/>
      <c r="Q15" s="99"/>
      <c r="R15" s="99"/>
      <c r="S15" s="99"/>
      <c r="T15" s="99"/>
      <c r="U15" s="99"/>
      <c r="V15" s="99"/>
      <c r="W15" s="99"/>
    </row>
    <row r="16" spans="1:24" x14ac:dyDescent="0.2">
      <c r="A16" s="99"/>
      <c r="B16" s="99"/>
      <c r="C16" s="99"/>
      <c r="D16" s="99"/>
      <c r="E16" s="16"/>
      <c r="F16" s="99"/>
      <c r="G16" s="99"/>
      <c r="H16" s="99"/>
      <c r="I16" s="99"/>
      <c r="J16" s="16"/>
      <c r="K16" s="16"/>
      <c r="L16" s="99"/>
      <c r="M16" s="99"/>
      <c r="N16" s="16"/>
      <c r="O16" s="99"/>
      <c r="P16" s="99"/>
      <c r="Q16" s="99"/>
      <c r="R16" s="99"/>
      <c r="S16" s="99"/>
      <c r="T16" s="99"/>
      <c r="U16" s="99"/>
      <c r="V16" s="99"/>
      <c r="W16" s="99"/>
    </row>
    <row r="17" spans="1:23" ht="15" x14ac:dyDescent="0.25">
      <c r="A17" s="23"/>
      <c r="B17" s="99"/>
      <c r="C17" s="99"/>
      <c r="D17" s="99"/>
      <c r="E17" s="16"/>
      <c r="F17" s="99"/>
      <c r="G17" s="99"/>
      <c r="H17" s="99"/>
      <c r="I17" s="99"/>
      <c r="J17" s="16"/>
      <c r="K17" s="16"/>
      <c r="L17" s="99"/>
      <c r="M17" s="99"/>
      <c r="N17" s="16"/>
      <c r="O17" s="99"/>
      <c r="P17" s="99"/>
      <c r="Q17" s="99"/>
      <c r="R17" s="99"/>
      <c r="S17" s="99"/>
      <c r="T17" s="99"/>
      <c r="U17" s="99"/>
      <c r="V17" s="99"/>
      <c r="W17" s="99"/>
    </row>
    <row r="18" spans="1:23" x14ac:dyDescent="0.2">
      <c r="A18" s="99"/>
      <c r="B18" s="99"/>
      <c r="C18" s="99"/>
      <c r="D18" s="99"/>
      <c r="E18" s="16"/>
      <c r="F18" s="99"/>
      <c r="G18" s="99"/>
      <c r="H18" s="99"/>
      <c r="I18" s="99"/>
      <c r="J18" s="16"/>
      <c r="K18" s="16"/>
      <c r="L18" s="99"/>
      <c r="M18" s="99"/>
      <c r="N18" s="16"/>
      <c r="O18" s="99"/>
      <c r="P18" s="99"/>
      <c r="Q18" s="99"/>
      <c r="R18" s="99"/>
      <c r="S18" s="99"/>
      <c r="T18" s="99"/>
      <c r="U18" s="99"/>
      <c r="V18" s="99"/>
      <c r="W18" s="99"/>
    </row>
    <row r="19" spans="1:23" x14ac:dyDescent="0.2">
      <c r="A19" s="99"/>
      <c r="B19" s="99"/>
      <c r="C19" s="99"/>
      <c r="D19" s="99"/>
      <c r="E19" s="16"/>
      <c r="F19" s="99"/>
      <c r="G19" s="99"/>
      <c r="H19" s="99"/>
      <c r="I19" s="99"/>
      <c r="J19" s="16"/>
      <c r="K19" s="16"/>
      <c r="L19" s="99"/>
      <c r="M19" s="99"/>
      <c r="N19" s="16"/>
      <c r="O19" s="99"/>
      <c r="P19" s="99"/>
      <c r="Q19" s="99"/>
      <c r="R19" s="99"/>
      <c r="S19" s="99"/>
      <c r="T19" s="99"/>
      <c r="U19" s="99"/>
      <c r="V19" s="99"/>
      <c r="W19" s="99"/>
    </row>
    <row r="20" spans="1:23" x14ac:dyDescent="0.2">
      <c r="A20" s="99"/>
      <c r="B20" s="99"/>
      <c r="C20" s="99"/>
      <c r="D20" s="99"/>
      <c r="E20" s="16"/>
      <c r="F20" s="99"/>
      <c r="G20" s="99"/>
      <c r="H20" s="99"/>
      <c r="I20" s="98"/>
      <c r="J20" s="16"/>
      <c r="K20" s="16"/>
      <c r="L20" s="99"/>
      <c r="M20" s="99"/>
      <c r="N20" s="16"/>
      <c r="O20" s="99"/>
      <c r="P20" s="99"/>
      <c r="Q20" s="99"/>
      <c r="R20" s="99"/>
      <c r="S20" s="99"/>
      <c r="T20" s="99"/>
      <c r="U20" s="99"/>
      <c r="V20" s="99"/>
      <c r="W20" s="99"/>
    </row>
    <row r="21" spans="1:23" x14ac:dyDescent="0.2">
      <c r="A21" s="98"/>
      <c r="B21" s="98"/>
      <c r="C21" s="98"/>
      <c r="D21" s="98"/>
      <c r="E21" s="16"/>
      <c r="F21" s="98"/>
      <c r="G21" s="98"/>
      <c r="H21" s="99"/>
      <c r="I21" s="99"/>
      <c r="J21" s="16"/>
      <c r="K21" s="16"/>
      <c r="L21" s="99"/>
      <c r="M21" s="99"/>
      <c r="N21" s="98"/>
      <c r="O21" s="99"/>
      <c r="P21" s="99"/>
      <c r="Q21" s="98"/>
      <c r="R21" s="98"/>
      <c r="S21" s="98"/>
      <c r="T21" s="98"/>
      <c r="U21" s="98"/>
      <c r="V21" s="98"/>
      <c r="W21" s="98"/>
    </row>
    <row r="22" spans="1:23" customFormat="1" x14ac:dyDescent="0.2"/>
    <row r="23" spans="1:23" x14ac:dyDescent="0.2">
      <c r="A23" s="98"/>
      <c r="B23" s="98"/>
      <c r="C23" s="98"/>
      <c r="D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>
      <formula1>israel_abroad</formula1>
    </dataValidation>
    <dataValidation type="list" allowBlank="1" showInputMessage="1" showErrorMessage="1" sqref="M10:M21">
      <formula1>Holding_interest</formula1>
    </dataValidation>
    <dataValidation type="list" allowBlank="1" showInputMessage="1" showErrorMessage="1" sqref="O10:O21">
      <formula1>Valuation</formula1>
    </dataValidation>
    <dataValidation type="list" allowBlank="1" showInputMessage="1" showErrorMessage="1" sqref="P10:P21">
      <formula1>Dependence_Independence</formula1>
    </dataValidation>
    <dataValidation type="list" allowBlank="1" showInputMessage="1" showErrorMessage="1" sqref="K10:K21">
      <formula1>Country_list</formula1>
    </dataValidation>
    <dataValidation type="list" allowBlank="1" showInputMessage="1" showErrorMessage="1" sqref="E10:E21">
      <formula1>Issuer_Number_Type_2</formula1>
    </dataValidation>
    <dataValidation type="list" allowBlank="1" showInputMessage="1" showErrorMessage="1" sqref="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3976</v>
      </c>
    </row>
    <row r="2" spans="1:19" ht="66.75" customHeight="1" x14ac:dyDescent="0.2">
      <c r="A2" s="139" t="s">
        <v>49</v>
      </c>
      <c r="B2" s="140" t="s">
        <v>50</v>
      </c>
      <c r="C2" s="140" t="s">
        <v>184</v>
      </c>
      <c r="D2" s="140" t="s">
        <v>185</v>
      </c>
      <c r="E2" s="140" t="s">
        <v>54</v>
      </c>
      <c r="F2" s="140" t="s">
        <v>55</v>
      </c>
      <c r="G2" s="140" t="s">
        <v>69</v>
      </c>
      <c r="H2" s="140" t="s">
        <v>56</v>
      </c>
      <c r="I2" s="140" t="s">
        <v>186</v>
      </c>
      <c r="J2" s="140" t="s">
        <v>59</v>
      </c>
      <c r="K2" s="140" t="s">
        <v>106</v>
      </c>
      <c r="L2" s="140" t="s">
        <v>60</v>
      </c>
      <c r="M2" s="140" t="s">
        <v>61</v>
      </c>
      <c r="N2" s="140" t="s">
        <v>63</v>
      </c>
      <c r="O2" s="140" t="s">
        <v>78</v>
      </c>
      <c r="P2" s="140" t="s">
        <v>17</v>
      </c>
      <c r="Q2" s="140" t="s">
        <v>64</v>
      </c>
      <c r="R2" s="141" t="s">
        <v>65</v>
      </c>
      <c r="S2" s="177" t="s">
        <v>3947</v>
      </c>
    </row>
    <row r="3" spans="1:19" ht="15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56" t="s">
        <v>3930</v>
      </c>
      <c r="S3" s="177"/>
    </row>
    <row r="4" spans="1:19" ht="15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56" t="s">
        <v>3930</v>
      </c>
      <c r="S4" s="177"/>
    </row>
    <row r="5" spans="1:19" ht="15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56" t="s">
        <v>3930</v>
      </c>
      <c r="S5" s="177"/>
    </row>
    <row r="6" spans="1:19" ht="15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56" t="s">
        <v>3930</v>
      </c>
      <c r="S6" s="177"/>
    </row>
    <row r="7" spans="1:19" ht="15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56" t="s">
        <v>3930</v>
      </c>
      <c r="S7" s="177"/>
    </row>
    <row r="8" spans="1:19" ht="15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9" t="s">
        <v>3930</v>
      </c>
      <c r="S8" s="177"/>
    </row>
    <row r="9" spans="1:19" x14ac:dyDescent="0.2">
      <c r="A9" s="184" t="s">
        <v>3946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</row>
    <row r="10" spans="1:19" x14ac:dyDescent="0.2">
      <c r="A10" s="99" t="s">
        <v>3945</v>
      </c>
      <c r="B10" s="99"/>
      <c r="C10" s="99"/>
      <c r="D10" s="99"/>
      <c r="E10" s="99"/>
      <c r="F10" s="16"/>
      <c r="G10" s="16"/>
      <c r="H10" s="99"/>
      <c r="I10" s="99"/>
      <c r="J10" s="16"/>
      <c r="K10" s="99"/>
      <c r="L10" s="98"/>
      <c r="M10" s="99"/>
      <c r="N10" s="99"/>
      <c r="O10" s="99"/>
      <c r="P10" s="16"/>
      <c r="Q10" s="99"/>
      <c r="R10" s="99"/>
    </row>
    <row r="11" spans="1:19" x14ac:dyDescent="0.2">
      <c r="A11" s="185"/>
      <c r="B11" s="99"/>
      <c r="C11" s="99"/>
      <c r="D11" s="99"/>
      <c r="E11" s="99"/>
      <c r="F11" s="16"/>
      <c r="G11" s="16"/>
      <c r="H11" s="99"/>
      <c r="I11" s="99"/>
      <c r="J11" s="16"/>
      <c r="K11" s="99"/>
      <c r="L11" s="98"/>
      <c r="M11" s="99"/>
      <c r="N11" s="99"/>
      <c r="O11" s="99"/>
      <c r="P11" s="16"/>
      <c r="Q11" s="99"/>
      <c r="R11" s="99"/>
    </row>
    <row r="12" spans="1:19" x14ac:dyDescent="0.2">
      <c r="A12" s="99"/>
      <c r="B12" s="99"/>
      <c r="C12" s="99"/>
      <c r="D12" s="99"/>
      <c r="E12" s="99"/>
      <c r="F12" s="16"/>
      <c r="G12" s="16"/>
      <c r="H12" s="99"/>
      <c r="I12" s="99"/>
      <c r="J12" s="16"/>
      <c r="K12" s="99"/>
      <c r="L12" s="98"/>
      <c r="M12" s="99"/>
      <c r="N12" s="99"/>
      <c r="O12" s="99"/>
      <c r="P12" s="16"/>
      <c r="Q12" s="99"/>
      <c r="R12" s="99"/>
    </row>
    <row r="13" spans="1:19" x14ac:dyDescent="0.2">
      <c r="A13" s="99"/>
      <c r="B13" s="99"/>
      <c r="C13" s="99"/>
      <c r="D13" s="99"/>
      <c r="E13" s="99"/>
      <c r="F13" s="16"/>
      <c r="G13" s="16"/>
      <c r="H13" s="99"/>
      <c r="I13" s="99"/>
      <c r="J13" s="16"/>
      <c r="K13" s="99"/>
      <c r="L13" s="98"/>
      <c r="M13" s="99"/>
      <c r="N13" s="99"/>
      <c r="O13" s="99"/>
      <c r="P13" s="16"/>
      <c r="Q13" s="99"/>
      <c r="R13" s="99"/>
    </row>
    <row r="14" spans="1:19" x14ac:dyDescent="0.2">
      <c r="A14" s="99"/>
      <c r="B14" s="99"/>
      <c r="C14" s="99"/>
      <c r="D14" s="99"/>
      <c r="E14" s="99"/>
      <c r="F14" s="16"/>
      <c r="G14" s="16"/>
      <c r="H14" s="99"/>
      <c r="I14" s="99"/>
      <c r="J14" s="16"/>
      <c r="K14" s="99"/>
      <c r="L14" s="98"/>
      <c r="M14" s="99"/>
      <c r="N14" s="99"/>
      <c r="O14" s="99"/>
      <c r="P14" s="16"/>
      <c r="Q14" s="99"/>
      <c r="R14" s="99"/>
    </row>
    <row r="15" spans="1:19" x14ac:dyDescent="0.2">
      <c r="A15" s="99"/>
      <c r="B15" s="99"/>
      <c r="C15" s="99"/>
      <c r="D15" s="99"/>
      <c r="E15" s="99"/>
      <c r="F15" s="16"/>
      <c r="G15" s="16"/>
      <c r="H15" s="99"/>
      <c r="I15" s="99"/>
      <c r="J15" s="16"/>
      <c r="K15" s="99"/>
      <c r="L15" s="98"/>
      <c r="M15" s="99"/>
      <c r="N15" s="99"/>
      <c r="O15" s="99"/>
      <c r="P15" s="16"/>
      <c r="Q15" s="99"/>
      <c r="R15" s="99"/>
    </row>
    <row r="16" spans="1:19" x14ac:dyDescent="0.2">
      <c r="A16" s="99"/>
      <c r="B16" s="99"/>
      <c r="C16" s="99"/>
      <c r="D16" s="99"/>
      <c r="E16" s="99"/>
      <c r="F16" s="16"/>
      <c r="G16" s="16"/>
      <c r="H16" s="99"/>
      <c r="I16" s="99"/>
      <c r="J16" s="16"/>
      <c r="K16" s="99"/>
      <c r="L16" s="98"/>
      <c r="M16" s="99"/>
      <c r="N16" s="99"/>
      <c r="O16" s="99"/>
      <c r="P16" s="16"/>
      <c r="Q16" s="99"/>
      <c r="R16" s="99"/>
    </row>
    <row r="17" spans="1:18" x14ac:dyDescent="0.2">
      <c r="A17" s="99"/>
      <c r="B17" s="99"/>
      <c r="C17" s="99"/>
      <c r="D17" s="99"/>
      <c r="E17" s="99"/>
      <c r="F17" s="16"/>
      <c r="G17" s="16"/>
      <c r="H17" s="99"/>
      <c r="I17" s="99"/>
      <c r="J17" s="16"/>
      <c r="K17" s="99"/>
      <c r="L17" s="98"/>
      <c r="M17" s="99"/>
      <c r="N17" s="99"/>
      <c r="O17" s="99"/>
      <c r="P17" s="16"/>
      <c r="Q17" s="99"/>
      <c r="R17" s="99"/>
    </row>
    <row r="18" spans="1:18" x14ac:dyDescent="0.2">
      <c r="A18" s="99"/>
      <c r="B18" s="99"/>
      <c r="C18" s="99"/>
      <c r="D18" s="99"/>
      <c r="E18" s="99"/>
      <c r="F18" s="16"/>
      <c r="G18" s="16"/>
      <c r="H18" s="99"/>
      <c r="I18" s="99"/>
      <c r="J18" s="16"/>
      <c r="K18" s="99"/>
      <c r="L18" s="98"/>
      <c r="M18" s="99"/>
      <c r="N18" s="99"/>
      <c r="O18" s="99"/>
      <c r="P18" s="16"/>
      <c r="Q18" s="99"/>
      <c r="R18" s="99"/>
    </row>
    <row r="19" spans="1:18" x14ac:dyDescent="0.2">
      <c r="A19" s="99"/>
      <c r="B19" s="99"/>
      <c r="C19" s="99"/>
      <c r="D19" s="99"/>
      <c r="E19" s="99"/>
      <c r="F19" s="16"/>
      <c r="G19" s="16"/>
      <c r="H19" s="99"/>
      <c r="I19" s="99"/>
      <c r="J19" s="16"/>
      <c r="K19" s="99"/>
      <c r="L19" s="98"/>
      <c r="M19" s="99"/>
      <c r="N19" s="99"/>
      <c r="O19" s="99"/>
      <c r="P19" s="16"/>
      <c r="Q19" s="99"/>
      <c r="R19" s="99"/>
    </row>
    <row r="20" spans="1:18" x14ac:dyDescent="0.2">
      <c r="A20" s="99"/>
      <c r="B20" s="99"/>
      <c r="C20" s="99"/>
      <c r="D20" s="99"/>
      <c r="E20" s="99"/>
      <c r="F20" s="16"/>
      <c r="G20" s="16"/>
      <c r="H20" s="99"/>
      <c r="I20" s="99"/>
      <c r="J20" s="16"/>
      <c r="K20" s="99"/>
      <c r="L20" s="98"/>
      <c r="M20" s="99"/>
      <c r="N20" s="99"/>
      <c r="O20" s="99"/>
      <c r="P20" s="16"/>
      <c r="Q20" s="99"/>
      <c r="R20" s="99"/>
    </row>
    <row r="21" spans="1:18" x14ac:dyDescent="0.2">
      <c r="A21" s="98"/>
      <c r="B21" s="98"/>
      <c r="C21" s="98"/>
      <c r="D21" s="98"/>
      <c r="E21" s="99"/>
      <c r="F21" s="16"/>
      <c r="G21" s="16"/>
      <c r="H21" s="99"/>
      <c r="I21" s="98"/>
      <c r="J21" s="98"/>
      <c r="K21" s="98"/>
      <c r="L21" s="98"/>
      <c r="M21" s="98"/>
      <c r="N21" s="98"/>
      <c r="O21" s="98"/>
      <c r="P21" s="16"/>
      <c r="Q21" s="98"/>
      <c r="R21" s="98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>
      <formula1>israel_abroad</formula1>
    </dataValidation>
    <dataValidation type="list" allowBlank="1" showInputMessage="1" showErrorMessage="1" sqref="H10:H21">
      <formula1>Holding_interest</formula1>
    </dataValidation>
    <dataValidation type="list" allowBlank="1" showInputMessage="1" showErrorMessage="1" sqref="P10:P21">
      <formula1>In_the_books</formula1>
    </dataValidation>
    <dataValidation type="list" allowBlank="1" showInputMessage="1" showErrorMessage="1" sqref="G10:G21">
      <formula1>Country_list</formula1>
    </dataValidation>
    <dataValidation type="list" allowBlank="1" showInputMessage="1" showErrorMessage="1" sqref="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3977</v>
      </c>
    </row>
    <row r="2" spans="1:22" ht="66.75" customHeight="1" x14ac:dyDescent="0.2">
      <c r="A2" s="139" t="s">
        <v>49</v>
      </c>
      <c r="B2" s="140" t="s">
        <v>50</v>
      </c>
      <c r="C2" s="140" t="s">
        <v>150</v>
      </c>
      <c r="D2" s="140" t="s">
        <v>151</v>
      </c>
      <c r="E2" s="140" t="s">
        <v>152</v>
      </c>
      <c r="F2" s="140" t="s">
        <v>153</v>
      </c>
      <c r="G2" s="140" t="s">
        <v>187</v>
      </c>
      <c r="H2" s="140" t="s">
        <v>55</v>
      </c>
      <c r="I2" s="140" t="s">
        <v>69</v>
      </c>
      <c r="J2" s="140" t="s">
        <v>56</v>
      </c>
      <c r="K2" s="140" t="s">
        <v>71</v>
      </c>
      <c r="L2" s="140" t="s">
        <v>58</v>
      </c>
      <c r="M2" s="140" t="s">
        <v>158</v>
      </c>
      <c r="N2" s="140" t="s">
        <v>59</v>
      </c>
      <c r="O2" s="140" t="s">
        <v>61</v>
      </c>
      <c r="P2" s="140" t="s">
        <v>62</v>
      </c>
      <c r="Q2" s="140" t="s">
        <v>159</v>
      </c>
      <c r="R2" s="140" t="s">
        <v>188</v>
      </c>
      <c r="S2" s="140" t="s">
        <v>189</v>
      </c>
      <c r="T2" s="141" t="s">
        <v>190</v>
      </c>
      <c r="U2" s="177" t="s">
        <v>3947</v>
      </c>
      <c r="V2" s="98"/>
    </row>
    <row r="3" spans="1:22" ht="14.1" customHeight="1" x14ac:dyDescent="0.2">
      <c r="A3" s="154" t="s">
        <v>1205</v>
      </c>
      <c r="B3" s="155" t="s">
        <v>1206</v>
      </c>
      <c r="C3" s="145" t="s">
        <v>3930</v>
      </c>
      <c r="D3" s="145" t="s">
        <v>3930</v>
      </c>
      <c r="E3" s="145" t="s">
        <v>3930</v>
      </c>
      <c r="F3" s="145" t="s">
        <v>3930</v>
      </c>
      <c r="G3" s="145" t="s">
        <v>3930</v>
      </c>
      <c r="H3" s="145" t="s">
        <v>3930</v>
      </c>
      <c r="I3" s="145" t="s">
        <v>3930</v>
      </c>
      <c r="J3" s="145" t="s">
        <v>3930</v>
      </c>
      <c r="K3" s="145" t="s">
        <v>3930</v>
      </c>
      <c r="L3" s="145" t="s">
        <v>3930</v>
      </c>
      <c r="M3" s="145" t="s">
        <v>3930</v>
      </c>
      <c r="N3" s="145" t="s">
        <v>3930</v>
      </c>
      <c r="O3" s="145" t="s">
        <v>3930</v>
      </c>
      <c r="P3" s="145" t="s">
        <v>3930</v>
      </c>
      <c r="Q3" s="145" t="s">
        <v>3930</v>
      </c>
      <c r="R3" s="145" t="s">
        <v>3930</v>
      </c>
      <c r="S3" s="145" t="s">
        <v>3930</v>
      </c>
      <c r="T3" s="156" t="s">
        <v>3930</v>
      </c>
      <c r="U3" s="177"/>
      <c r="V3" s="98"/>
    </row>
    <row r="4" spans="1:22" ht="14.1" customHeight="1" x14ac:dyDescent="0.2">
      <c r="A4" s="154" t="s">
        <v>1205</v>
      </c>
      <c r="B4" s="155" t="s">
        <v>1215</v>
      </c>
      <c r="C4" s="145" t="s">
        <v>3930</v>
      </c>
      <c r="D4" s="145" t="s">
        <v>3930</v>
      </c>
      <c r="E4" s="145" t="s">
        <v>3930</v>
      </c>
      <c r="F4" s="145" t="s">
        <v>3930</v>
      </c>
      <c r="G4" s="145" t="s">
        <v>3930</v>
      </c>
      <c r="H4" s="145" t="s">
        <v>3930</v>
      </c>
      <c r="I4" s="145" t="s">
        <v>3930</v>
      </c>
      <c r="J4" s="145" t="s">
        <v>3930</v>
      </c>
      <c r="K4" s="145" t="s">
        <v>3930</v>
      </c>
      <c r="L4" s="145" t="s">
        <v>3930</v>
      </c>
      <c r="M4" s="145" t="s">
        <v>3930</v>
      </c>
      <c r="N4" s="145" t="s">
        <v>3930</v>
      </c>
      <c r="O4" s="145" t="s">
        <v>3930</v>
      </c>
      <c r="P4" s="145" t="s">
        <v>3930</v>
      </c>
      <c r="Q4" s="145" t="s">
        <v>3930</v>
      </c>
      <c r="R4" s="145" t="s">
        <v>3930</v>
      </c>
      <c r="S4" s="145" t="s">
        <v>3930</v>
      </c>
      <c r="T4" s="156" t="s">
        <v>3930</v>
      </c>
      <c r="U4" s="177"/>
      <c r="V4" s="98"/>
    </row>
    <row r="5" spans="1:22" ht="14.1" customHeight="1" x14ac:dyDescent="0.2">
      <c r="A5" s="154" t="s">
        <v>1205</v>
      </c>
      <c r="B5" s="155" t="s">
        <v>1205</v>
      </c>
      <c r="C5" s="145" t="s">
        <v>3930</v>
      </c>
      <c r="D5" s="145" t="s">
        <v>3930</v>
      </c>
      <c r="E5" s="145" t="s">
        <v>3930</v>
      </c>
      <c r="F5" s="145" t="s">
        <v>3930</v>
      </c>
      <c r="G5" s="145" t="s">
        <v>3930</v>
      </c>
      <c r="H5" s="145" t="s">
        <v>3930</v>
      </c>
      <c r="I5" s="145" t="s">
        <v>3930</v>
      </c>
      <c r="J5" s="145" t="s">
        <v>3930</v>
      </c>
      <c r="K5" s="145" t="s">
        <v>3930</v>
      </c>
      <c r="L5" s="145" t="s">
        <v>3930</v>
      </c>
      <c r="M5" s="145" t="s">
        <v>3930</v>
      </c>
      <c r="N5" s="145" t="s">
        <v>3930</v>
      </c>
      <c r="O5" s="145" t="s">
        <v>3930</v>
      </c>
      <c r="P5" s="145" t="s">
        <v>3930</v>
      </c>
      <c r="Q5" s="145" t="s">
        <v>3930</v>
      </c>
      <c r="R5" s="145" t="s">
        <v>3930</v>
      </c>
      <c r="S5" s="145" t="s">
        <v>3930</v>
      </c>
      <c r="T5" s="156" t="s">
        <v>3930</v>
      </c>
      <c r="U5" s="177"/>
      <c r="V5" s="98"/>
    </row>
    <row r="6" spans="1:22" ht="14.1" customHeight="1" x14ac:dyDescent="0.2">
      <c r="A6" s="154" t="s">
        <v>1220</v>
      </c>
      <c r="B6" s="155" t="s">
        <v>1221</v>
      </c>
      <c r="C6" s="145" t="s">
        <v>3930</v>
      </c>
      <c r="D6" s="145" t="s">
        <v>3930</v>
      </c>
      <c r="E6" s="145" t="s">
        <v>3930</v>
      </c>
      <c r="F6" s="145" t="s">
        <v>3930</v>
      </c>
      <c r="G6" s="145" t="s">
        <v>3930</v>
      </c>
      <c r="H6" s="145" t="s">
        <v>3930</v>
      </c>
      <c r="I6" s="145" t="s">
        <v>3930</v>
      </c>
      <c r="J6" s="145" t="s">
        <v>3930</v>
      </c>
      <c r="K6" s="145" t="s">
        <v>3930</v>
      </c>
      <c r="L6" s="145" t="s">
        <v>3930</v>
      </c>
      <c r="M6" s="145" t="s">
        <v>3930</v>
      </c>
      <c r="N6" s="145" t="s">
        <v>3930</v>
      </c>
      <c r="O6" s="145" t="s">
        <v>3930</v>
      </c>
      <c r="P6" s="145" t="s">
        <v>3930</v>
      </c>
      <c r="Q6" s="145" t="s">
        <v>3930</v>
      </c>
      <c r="R6" s="145" t="s">
        <v>3930</v>
      </c>
      <c r="S6" s="145" t="s">
        <v>3930</v>
      </c>
      <c r="T6" s="156" t="s">
        <v>3930</v>
      </c>
      <c r="U6" s="177"/>
      <c r="V6" s="98"/>
    </row>
    <row r="7" spans="1:22" ht="14.1" customHeight="1" x14ac:dyDescent="0.2">
      <c r="A7" s="154" t="s">
        <v>1220</v>
      </c>
      <c r="B7" s="155" t="s">
        <v>1222</v>
      </c>
      <c r="C7" s="145" t="s">
        <v>3930</v>
      </c>
      <c r="D7" s="145" t="s">
        <v>3930</v>
      </c>
      <c r="E7" s="145" t="s">
        <v>3930</v>
      </c>
      <c r="F7" s="145" t="s">
        <v>3930</v>
      </c>
      <c r="G7" s="145" t="s">
        <v>3930</v>
      </c>
      <c r="H7" s="145" t="s">
        <v>3930</v>
      </c>
      <c r="I7" s="145" t="s">
        <v>3930</v>
      </c>
      <c r="J7" s="145" t="s">
        <v>3930</v>
      </c>
      <c r="K7" s="145" t="s">
        <v>3930</v>
      </c>
      <c r="L7" s="145" t="s">
        <v>3930</v>
      </c>
      <c r="M7" s="145" t="s">
        <v>3930</v>
      </c>
      <c r="N7" s="145" t="s">
        <v>3930</v>
      </c>
      <c r="O7" s="145" t="s">
        <v>3930</v>
      </c>
      <c r="P7" s="145" t="s">
        <v>3930</v>
      </c>
      <c r="Q7" s="145" t="s">
        <v>3930</v>
      </c>
      <c r="R7" s="145" t="s">
        <v>3930</v>
      </c>
      <c r="S7" s="145" t="s">
        <v>3930</v>
      </c>
      <c r="T7" s="156" t="s">
        <v>3930</v>
      </c>
      <c r="U7" s="177"/>
      <c r="V7" s="98"/>
    </row>
    <row r="8" spans="1:22" ht="14.1" customHeight="1" x14ac:dyDescent="0.2">
      <c r="A8" s="157" t="s">
        <v>1220</v>
      </c>
      <c r="B8" s="158" t="s">
        <v>1220</v>
      </c>
      <c r="C8" s="151" t="s">
        <v>3930</v>
      </c>
      <c r="D8" s="151" t="s">
        <v>3930</v>
      </c>
      <c r="E8" s="151" t="s">
        <v>3930</v>
      </c>
      <c r="F8" s="151" t="s">
        <v>3930</v>
      </c>
      <c r="G8" s="151" t="s">
        <v>3930</v>
      </c>
      <c r="H8" s="151" t="s">
        <v>3930</v>
      </c>
      <c r="I8" s="151" t="s">
        <v>3930</v>
      </c>
      <c r="J8" s="151" t="s">
        <v>3930</v>
      </c>
      <c r="K8" s="151" t="s">
        <v>3930</v>
      </c>
      <c r="L8" s="151" t="s">
        <v>3930</v>
      </c>
      <c r="M8" s="151" t="s">
        <v>3930</v>
      </c>
      <c r="N8" s="151" t="s">
        <v>3930</v>
      </c>
      <c r="O8" s="151" t="s">
        <v>3930</v>
      </c>
      <c r="P8" s="151" t="s">
        <v>3930</v>
      </c>
      <c r="Q8" s="151" t="s">
        <v>3930</v>
      </c>
      <c r="R8" s="151" t="s">
        <v>3930</v>
      </c>
      <c r="S8" s="151" t="s">
        <v>3930</v>
      </c>
      <c r="T8" s="159" t="s">
        <v>3930</v>
      </c>
      <c r="U8" s="177"/>
      <c r="V8" s="98"/>
    </row>
    <row r="9" spans="1:22" ht="14.1" customHeight="1" x14ac:dyDescent="0.2">
      <c r="A9" s="177" t="s">
        <v>3946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98"/>
      <c r="V9" s="98"/>
    </row>
    <row r="10" spans="1:22" ht="14.1" customHeight="1" x14ac:dyDescent="0.2">
      <c r="A10" s="98" t="s">
        <v>3945</v>
      </c>
      <c r="B10" s="98"/>
      <c r="C10" s="98"/>
      <c r="D10" s="99"/>
      <c r="E10" s="98"/>
      <c r="F10" s="98"/>
      <c r="G10"/>
      <c r="H10" s="16"/>
      <c r="I10" s="16"/>
      <c r="J10" s="99"/>
      <c r="K10" s="99"/>
      <c r="L10" s="99"/>
      <c r="M10" s="99"/>
      <c r="N10" s="98"/>
      <c r="O10" s="98"/>
      <c r="P10" s="98"/>
      <c r="Q10" s="99"/>
      <c r="R10" s="98"/>
      <c r="S10" s="98"/>
      <c r="T10" s="98"/>
      <c r="U10" s="98"/>
      <c r="V10" s="98"/>
    </row>
    <row r="11" spans="1:22" ht="13.5" customHeight="1" x14ac:dyDescent="0.2">
      <c r="A11" s="101"/>
      <c r="B11" s="98"/>
      <c r="C11" s="98"/>
      <c r="D11" s="99"/>
      <c r="E11" s="98"/>
      <c r="F11" s="98"/>
      <c r="G11"/>
      <c r="H11" s="16"/>
      <c r="I11" s="16"/>
      <c r="J11" s="99"/>
      <c r="K11" s="99"/>
      <c r="L11" s="99"/>
      <c r="M11" s="99"/>
      <c r="N11" s="98"/>
      <c r="O11" s="98"/>
      <c r="P11" s="98"/>
      <c r="Q11" s="99"/>
      <c r="R11" s="98"/>
      <c r="S11" s="98"/>
      <c r="T11" s="98"/>
      <c r="U11" s="98"/>
      <c r="V11" s="98"/>
    </row>
    <row r="12" spans="1:22" ht="13.5" customHeight="1" x14ac:dyDescent="0.2">
      <c r="A12" s="98"/>
      <c r="B12" s="98"/>
      <c r="C12" s="98"/>
      <c r="D12" s="99"/>
      <c r="E12" s="98"/>
      <c r="F12" s="98"/>
      <c r="G12"/>
      <c r="H12" s="16"/>
      <c r="I12" s="16"/>
      <c r="J12" s="99"/>
      <c r="K12" s="99"/>
      <c r="L12" s="99"/>
      <c r="M12" s="99"/>
      <c r="N12" s="98"/>
      <c r="O12" s="98"/>
      <c r="P12" s="98"/>
      <c r="Q12" s="99"/>
      <c r="R12" s="98"/>
      <c r="S12" s="98"/>
      <c r="T12" s="98"/>
      <c r="U12" s="98"/>
      <c r="V12" s="98"/>
    </row>
    <row r="13" spans="1:22" ht="14.1" customHeight="1" x14ac:dyDescent="0.2">
      <c r="A13" s="98"/>
      <c r="B13" s="98"/>
      <c r="C13" s="98"/>
      <c r="D13" s="99"/>
      <c r="E13" s="98"/>
      <c r="F13" s="98"/>
      <c r="G13"/>
      <c r="H13" s="16"/>
      <c r="I13" s="16"/>
      <c r="J13" s="99"/>
      <c r="K13" s="99"/>
      <c r="L13" s="99"/>
      <c r="M13" s="99"/>
      <c r="N13" s="98"/>
      <c r="O13" s="98"/>
      <c r="P13" s="98"/>
      <c r="Q13" s="99"/>
      <c r="R13" s="98"/>
      <c r="S13" s="98"/>
      <c r="T13" s="98"/>
      <c r="U13" s="98"/>
      <c r="V13" s="98"/>
    </row>
    <row r="14" spans="1:22" ht="14.1" customHeight="1" x14ac:dyDescent="0.2">
      <c r="A14" s="98"/>
      <c r="B14" s="98"/>
      <c r="C14" s="98"/>
      <c r="D14" s="99"/>
      <c r="E14" s="98"/>
      <c r="F14" s="98"/>
      <c r="G14"/>
      <c r="H14" s="16"/>
      <c r="I14" s="16"/>
      <c r="J14" s="99"/>
      <c r="K14" s="99"/>
      <c r="L14" s="99"/>
      <c r="M14" s="99"/>
      <c r="N14" s="98"/>
      <c r="O14" s="98"/>
      <c r="P14" s="98"/>
      <c r="Q14" s="99"/>
      <c r="R14" s="98"/>
      <c r="S14" s="98"/>
      <c r="T14" s="98"/>
      <c r="U14" s="98"/>
      <c r="V14" s="98"/>
    </row>
    <row r="15" spans="1:22" ht="14.1" customHeight="1" x14ac:dyDescent="0.2">
      <c r="A15" s="98"/>
      <c r="B15" s="98"/>
      <c r="C15" s="98"/>
      <c r="D15" s="99"/>
      <c r="E15" s="98"/>
      <c r="F15" s="98"/>
      <c r="G15"/>
      <c r="H15" s="16"/>
      <c r="I15" s="16"/>
      <c r="J15" s="99"/>
      <c r="K15" s="99"/>
      <c r="L15" s="99"/>
      <c r="M15" s="99"/>
      <c r="N15" s="98"/>
      <c r="O15" s="98"/>
      <c r="P15" s="98"/>
      <c r="Q15" s="99"/>
      <c r="R15" s="98"/>
      <c r="S15" s="98"/>
      <c r="T15" s="98"/>
      <c r="U15" s="98"/>
      <c r="V15" s="98"/>
    </row>
    <row r="16" spans="1:22" ht="14.1" customHeight="1" x14ac:dyDescent="0.2">
      <c r="A16" s="98"/>
      <c r="B16" s="98"/>
      <c r="C16" s="98"/>
      <c r="D16" s="99"/>
      <c r="E16" s="98"/>
      <c r="F16" s="98"/>
      <c r="G16"/>
      <c r="H16" s="16"/>
      <c r="I16" s="16"/>
      <c r="J16" s="99"/>
      <c r="K16" s="99"/>
      <c r="L16" s="99"/>
      <c r="M16" s="99"/>
      <c r="N16" s="98"/>
      <c r="O16" s="98"/>
      <c r="P16" s="98"/>
      <c r="Q16" s="99"/>
      <c r="R16" s="98"/>
      <c r="S16" s="98"/>
      <c r="T16" s="98"/>
      <c r="U16" s="98"/>
      <c r="V16" s="98"/>
    </row>
    <row r="17" spans="1:22" ht="14.1" customHeight="1" x14ac:dyDescent="0.2">
      <c r="A17" s="98"/>
      <c r="B17" s="98"/>
      <c r="C17" s="98"/>
      <c r="D17" s="99"/>
      <c r="E17" s="98"/>
      <c r="F17" s="98"/>
      <c r="G17"/>
      <c r="H17" s="16"/>
      <c r="I17" s="16"/>
      <c r="J17" s="99"/>
      <c r="K17" s="99"/>
      <c r="L17" s="99"/>
      <c r="M17" s="99"/>
      <c r="N17" s="98"/>
      <c r="O17" s="98"/>
      <c r="P17" s="98"/>
      <c r="Q17" s="99"/>
      <c r="R17" s="98"/>
      <c r="S17" s="98"/>
      <c r="T17" s="98"/>
      <c r="U17" s="98"/>
      <c r="V17" s="98"/>
    </row>
    <row r="18" spans="1:22" ht="14.1" customHeight="1" x14ac:dyDescent="0.2">
      <c r="D18" s="99"/>
      <c r="E18" s="98"/>
      <c r="F18" s="98"/>
      <c r="G18"/>
      <c r="H18" s="16"/>
      <c r="I18" s="16"/>
      <c r="J18" s="99"/>
      <c r="K18" s="99"/>
      <c r="L18" s="99"/>
      <c r="M18" s="99"/>
      <c r="N18" s="98"/>
      <c r="O18" s="98"/>
      <c r="P18" s="98"/>
      <c r="Q18" s="99"/>
    </row>
    <row r="19" spans="1:22" ht="14.1" customHeight="1" x14ac:dyDescent="0.2">
      <c r="D19" s="99"/>
      <c r="E19" s="98"/>
      <c r="F19" s="98"/>
      <c r="G19"/>
      <c r="H19" s="16"/>
      <c r="I19" s="16"/>
      <c r="J19" s="99"/>
      <c r="K19" s="99"/>
      <c r="L19" s="99"/>
      <c r="M19" s="99"/>
      <c r="N19" s="98"/>
      <c r="O19" s="98"/>
      <c r="P19" s="98"/>
      <c r="Q19" s="99"/>
    </row>
    <row r="20" spans="1:22" ht="14.1" customHeight="1" x14ac:dyDescent="0.2">
      <c r="D20" s="99"/>
      <c r="E20" s="98"/>
      <c r="F20" s="98"/>
      <c r="G20"/>
      <c r="H20" s="16"/>
      <c r="I20" s="16"/>
      <c r="J20" s="99"/>
      <c r="K20" s="99"/>
      <c r="L20" s="99"/>
      <c r="M20" s="99"/>
      <c r="N20" s="98"/>
      <c r="O20" s="98"/>
      <c r="P20" s="98"/>
      <c r="Q20" s="99"/>
    </row>
    <row r="21" spans="1:22" ht="14.1" customHeight="1" x14ac:dyDescent="0.2">
      <c r="D21" s="99"/>
      <c r="E21" s="98"/>
      <c r="F21" s="98"/>
      <c r="G21"/>
      <c r="H21" s="16"/>
      <c r="I21" s="16"/>
      <c r="J21" s="99"/>
      <c r="K21" s="98"/>
      <c r="L21" s="99"/>
      <c r="M21" s="99"/>
      <c r="N21" s="98"/>
      <c r="O21" s="98"/>
      <c r="P21" s="98"/>
      <c r="Q21" s="99"/>
    </row>
    <row r="22" spans="1:22" ht="14.1" customHeight="1" x14ac:dyDescent="0.2">
      <c r="D22" s="4"/>
      <c r="E22" s="98"/>
      <c r="F22" s="98"/>
      <c r="G22" s="98"/>
      <c r="H22" s="98"/>
      <c r="I22" s="98"/>
      <c r="J22"/>
      <c r="K22" s="98"/>
      <c r="L22" s="98"/>
      <c r="M22" s="98"/>
      <c r="N22" s="98"/>
      <c r="O22" s="98"/>
      <c r="P22" s="98"/>
      <c r="Q22" s="98"/>
    </row>
    <row r="23" spans="1:22" ht="14.1" customHeight="1" x14ac:dyDescent="0.2">
      <c r="D23" s="4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>
      <formula1>israel_abroad</formula1>
    </dataValidation>
    <dataValidation type="list" allowBlank="1" showInputMessage="1" showErrorMessage="1" sqref="I10:I21">
      <formula1>Country_list</formula1>
    </dataValidation>
    <dataValidation type="list" allowBlank="1" showInputMessage="1" showErrorMessage="1" sqref="D10:D21">
      <formula1>issuer_number_loan</formula1>
    </dataValidation>
    <dataValidation type="list" allowBlank="1" showInputMessage="1" showErrorMessage="1" sqref="L10:L21">
      <formula1>Rating_Agency</formula1>
    </dataValidation>
    <dataValidation type="list" allowBlank="1" showInputMessage="1" showErrorMessage="1" sqref="Q10:Q21">
      <formula1>Type_of_Interest_Rate</formula1>
    </dataValidation>
    <dataValidation type="list" allowBlank="1" showInputMessage="1" showErrorMessage="1" sqref="J10:J21">
      <formula1>Holding_interest</formula1>
    </dataValidation>
    <dataValidation type="list" allowBlank="1" showInputMessage="1" showErrorMessage="1" sqref="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22"/>
  <sheetViews>
    <sheetView rightToLeft="1" tabSelected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48.12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3978</v>
      </c>
    </row>
    <row r="2" spans="1:22" ht="66.75" customHeight="1" x14ac:dyDescent="0.2">
      <c r="A2" s="139" t="s">
        <v>49</v>
      </c>
      <c r="B2" s="140" t="s">
        <v>50</v>
      </c>
      <c r="C2" s="140" t="s">
        <v>54</v>
      </c>
      <c r="D2" s="140" t="s">
        <v>108</v>
      </c>
      <c r="E2" s="140" t="s">
        <v>109</v>
      </c>
      <c r="F2" s="140" t="s">
        <v>110</v>
      </c>
      <c r="G2" s="140" t="s">
        <v>111</v>
      </c>
      <c r="H2" s="140" t="s">
        <v>112</v>
      </c>
      <c r="I2" s="140" t="s">
        <v>113</v>
      </c>
      <c r="J2" s="140" t="s">
        <v>59</v>
      </c>
      <c r="K2" s="140" t="s">
        <v>191</v>
      </c>
      <c r="L2" s="140" t="s">
        <v>192</v>
      </c>
      <c r="M2" s="140" t="s">
        <v>193</v>
      </c>
      <c r="N2" s="140" t="s">
        <v>194</v>
      </c>
      <c r="O2" s="140" t="s">
        <v>195</v>
      </c>
      <c r="P2" s="140" t="s">
        <v>196</v>
      </c>
      <c r="Q2" s="141" t="s">
        <v>197</v>
      </c>
      <c r="R2" s="177" t="s">
        <v>3947</v>
      </c>
      <c r="S2" s="98"/>
      <c r="T2" s="98"/>
      <c r="U2" s="98"/>
      <c r="V2" s="98"/>
    </row>
    <row r="3" spans="1:22" ht="14.1" customHeight="1" x14ac:dyDescent="0.2">
      <c r="A3" s="142" t="s">
        <v>1205</v>
      </c>
      <c r="B3" s="143" t="s">
        <v>1205</v>
      </c>
      <c r="C3" s="168" t="s">
        <v>1068</v>
      </c>
      <c r="D3" s="143" t="s">
        <v>314</v>
      </c>
      <c r="E3" s="145" t="s">
        <v>3930</v>
      </c>
      <c r="F3" s="145" t="s">
        <v>3930</v>
      </c>
      <c r="G3" s="143" t="s">
        <v>3632</v>
      </c>
      <c r="H3" s="143" t="s">
        <v>3633</v>
      </c>
      <c r="I3" s="143" t="s">
        <v>136</v>
      </c>
      <c r="J3" s="143" t="s">
        <v>1211</v>
      </c>
      <c r="K3" s="161">
        <v>45313</v>
      </c>
      <c r="L3" s="144">
        <v>353.5845774</v>
      </c>
      <c r="M3" s="144">
        <v>1311.798782154</v>
      </c>
      <c r="N3" s="144">
        <v>69.295097400000031</v>
      </c>
      <c r="O3" s="144">
        <v>257.08481135400007</v>
      </c>
      <c r="P3" s="165">
        <v>0.19597884588051045</v>
      </c>
      <c r="Q3" s="172">
        <v>48966</v>
      </c>
      <c r="R3" s="177"/>
      <c r="S3" s="98"/>
      <c r="T3" s="98"/>
      <c r="U3" s="98"/>
      <c r="V3" s="16"/>
    </row>
    <row r="4" spans="1:22" ht="13.5" customHeight="1" x14ac:dyDescent="0.2">
      <c r="A4" s="142" t="s">
        <v>1205</v>
      </c>
      <c r="B4" s="143" t="s">
        <v>1205</v>
      </c>
      <c r="C4" s="168" t="s">
        <v>1068</v>
      </c>
      <c r="D4" s="143" t="s">
        <v>3501</v>
      </c>
      <c r="E4" s="145" t="s">
        <v>3930</v>
      </c>
      <c r="F4" s="145" t="s">
        <v>3930</v>
      </c>
      <c r="G4" s="143" t="s">
        <v>3502</v>
      </c>
      <c r="H4" s="143" t="s">
        <v>3503</v>
      </c>
      <c r="I4" s="143" t="s">
        <v>312</v>
      </c>
      <c r="J4" s="143" t="s">
        <v>1210</v>
      </c>
      <c r="K4" s="161">
        <v>44136</v>
      </c>
      <c r="L4" s="144">
        <v>1048.069</v>
      </c>
      <c r="M4" s="144">
        <v>1048.069</v>
      </c>
      <c r="N4" s="144">
        <v>459.64</v>
      </c>
      <c r="O4" s="144">
        <v>459.64</v>
      </c>
      <c r="P4" s="165">
        <v>0.43855891167470845</v>
      </c>
      <c r="Q4" s="172">
        <v>46996</v>
      </c>
      <c r="R4" s="177"/>
      <c r="S4" s="98"/>
      <c r="T4" s="98"/>
      <c r="U4" s="98"/>
      <c r="V4" s="16"/>
    </row>
    <row r="5" spans="1:22" ht="13.5" customHeight="1" x14ac:dyDescent="0.2">
      <c r="A5" s="142" t="s">
        <v>1205</v>
      </c>
      <c r="B5" s="143" t="s">
        <v>1205</v>
      </c>
      <c r="C5" s="168" t="s">
        <v>1068</v>
      </c>
      <c r="D5" s="143" t="s">
        <v>3481</v>
      </c>
      <c r="E5" s="145" t="s">
        <v>3930</v>
      </c>
      <c r="F5" s="145" t="s">
        <v>3930</v>
      </c>
      <c r="G5" s="143" t="s">
        <v>3482</v>
      </c>
      <c r="H5" s="143" t="s">
        <v>3483</v>
      </c>
      <c r="I5" s="143" t="s">
        <v>312</v>
      </c>
      <c r="J5" s="143" t="s">
        <v>1210</v>
      </c>
      <c r="K5" s="161">
        <v>44136</v>
      </c>
      <c r="L5" s="144">
        <v>1734.6690000000001</v>
      </c>
      <c r="M5" s="144">
        <v>1734.6690000000001</v>
      </c>
      <c r="N5" s="144">
        <v>520.40099999999995</v>
      </c>
      <c r="O5" s="144">
        <v>520.40099999999995</v>
      </c>
      <c r="P5" s="165">
        <v>0.30000017294365666</v>
      </c>
      <c r="Q5" s="172">
        <v>46691</v>
      </c>
      <c r="R5" s="177"/>
      <c r="S5" s="98"/>
      <c r="T5" s="98"/>
      <c r="U5" s="98"/>
      <c r="V5" s="16"/>
    </row>
    <row r="6" spans="1:22" ht="14.1" customHeight="1" x14ac:dyDescent="0.2">
      <c r="A6" s="142" t="s">
        <v>1205</v>
      </c>
      <c r="B6" s="143" t="s">
        <v>1205</v>
      </c>
      <c r="C6" s="168" t="s">
        <v>1068</v>
      </c>
      <c r="D6" s="143" t="s">
        <v>3591</v>
      </c>
      <c r="E6" s="145" t="s">
        <v>3930</v>
      </c>
      <c r="F6" s="145" t="s">
        <v>3930</v>
      </c>
      <c r="G6" s="143" t="s">
        <v>3592</v>
      </c>
      <c r="H6" s="143" t="s">
        <v>3593</v>
      </c>
      <c r="I6" s="143" t="s">
        <v>312</v>
      </c>
      <c r="J6" s="143" t="s">
        <v>1211</v>
      </c>
      <c r="K6" s="161">
        <v>44136</v>
      </c>
      <c r="L6" s="144">
        <v>272.09008519999998</v>
      </c>
      <c r="M6" s="144">
        <v>1009.4542160919999</v>
      </c>
      <c r="N6" s="144">
        <v>8.4550851999999725</v>
      </c>
      <c r="O6" s="144">
        <v>31.368366091999899</v>
      </c>
      <c r="P6" s="165">
        <v>3.1074580294923489E-2</v>
      </c>
      <c r="Q6" s="172">
        <v>47789</v>
      </c>
      <c r="R6" s="177"/>
      <c r="S6" s="98"/>
      <c r="T6" s="98"/>
      <c r="U6" s="98"/>
      <c r="V6" s="16"/>
    </row>
    <row r="7" spans="1:22" ht="14.1" customHeight="1" x14ac:dyDescent="0.2">
      <c r="A7" s="142" t="s">
        <v>1205</v>
      </c>
      <c r="B7" s="143" t="s">
        <v>1205</v>
      </c>
      <c r="C7" s="168" t="s">
        <v>1068</v>
      </c>
      <c r="D7" s="143" t="s">
        <v>3364</v>
      </c>
      <c r="E7" s="145" t="s">
        <v>3930</v>
      </c>
      <c r="F7" s="145" t="s">
        <v>3930</v>
      </c>
      <c r="G7" s="143" t="s">
        <v>3365</v>
      </c>
      <c r="H7" s="143" t="s">
        <v>3366</v>
      </c>
      <c r="I7" s="143" t="s">
        <v>312</v>
      </c>
      <c r="J7" s="143" t="s">
        <v>1211</v>
      </c>
      <c r="K7" s="161">
        <v>44136</v>
      </c>
      <c r="L7" s="144">
        <v>366.35300000000001</v>
      </c>
      <c r="M7" s="144">
        <v>1359.1696299999999</v>
      </c>
      <c r="N7" s="144">
        <v>101.57599999999999</v>
      </c>
      <c r="O7" s="144">
        <v>376.84696000000002</v>
      </c>
      <c r="P7" s="165">
        <v>0.27726264013123958</v>
      </c>
      <c r="Q7" s="172">
        <v>47789</v>
      </c>
      <c r="R7" s="177"/>
      <c r="S7" s="98"/>
      <c r="T7" s="98"/>
      <c r="U7" s="98"/>
      <c r="V7" s="16"/>
    </row>
    <row r="8" spans="1:22" ht="14.1" customHeight="1" x14ac:dyDescent="0.2">
      <c r="A8" s="142" t="s">
        <v>1205</v>
      </c>
      <c r="B8" s="143" t="s">
        <v>1205</v>
      </c>
      <c r="C8" s="168" t="s">
        <v>1068</v>
      </c>
      <c r="D8" s="143" t="s">
        <v>3504</v>
      </c>
      <c r="E8" s="145" t="s">
        <v>3930</v>
      </c>
      <c r="F8" s="145" t="s">
        <v>3930</v>
      </c>
      <c r="G8" s="143" t="s">
        <v>3487</v>
      </c>
      <c r="H8" s="143" t="s">
        <v>3505</v>
      </c>
      <c r="I8" s="143" t="s">
        <v>312</v>
      </c>
      <c r="J8" s="143" t="s">
        <v>1210</v>
      </c>
      <c r="K8" s="161">
        <v>44136</v>
      </c>
      <c r="L8" s="144">
        <v>538.46699999999998</v>
      </c>
      <c r="M8" s="144">
        <v>538.46699999999998</v>
      </c>
      <c r="N8" s="144">
        <v>238.1</v>
      </c>
      <c r="O8" s="144">
        <v>238.1</v>
      </c>
      <c r="P8" s="165">
        <v>0.44218122930467418</v>
      </c>
      <c r="Q8" s="172">
        <v>47789</v>
      </c>
      <c r="R8" s="177"/>
      <c r="S8" s="98"/>
      <c r="T8" s="98"/>
      <c r="U8" s="98"/>
      <c r="V8" s="16"/>
    </row>
    <row r="9" spans="1:22" ht="14.1" customHeight="1" x14ac:dyDescent="0.2">
      <c r="A9" s="142" t="s">
        <v>1205</v>
      </c>
      <c r="B9" s="143" t="s">
        <v>1205</v>
      </c>
      <c r="C9" s="168" t="s">
        <v>1068</v>
      </c>
      <c r="D9" s="143" t="s">
        <v>314</v>
      </c>
      <c r="E9" s="145" t="s">
        <v>3930</v>
      </c>
      <c r="F9" s="145" t="s">
        <v>3930</v>
      </c>
      <c r="G9" s="143" t="s">
        <v>3643</v>
      </c>
      <c r="H9" s="143" t="s">
        <v>3644</v>
      </c>
      <c r="I9" s="143" t="s">
        <v>312</v>
      </c>
      <c r="J9" s="143" t="s">
        <v>1218</v>
      </c>
      <c r="K9" s="161">
        <v>44136</v>
      </c>
      <c r="L9" s="144">
        <v>306.88968070000004</v>
      </c>
      <c r="M9" s="144">
        <v>1274.3287101386802</v>
      </c>
      <c r="N9" s="144">
        <v>78.520950700000014</v>
      </c>
      <c r="O9" s="144">
        <v>326.05039568668008</v>
      </c>
      <c r="P9" s="168">
        <v>0.25586051157177281</v>
      </c>
      <c r="Q9" s="172">
        <v>46203</v>
      </c>
      <c r="R9" s="177"/>
      <c r="S9" s="98"/>
      <c r="T9" s="98"/>
      <c r="U9" s="98"/>
      <c r="V9" s="98"/>
    </row>
    <row r="10" spans="1:22" ht="14.1" customHeight="1" x14ac:dyDescent="0.2">
      <c r="A10" s="142" t="s">
        <v>1205</v>
      </c>
      <c r="B10" s="143" t="s">
        <v>1205</v>
      </c>
      <c r="C10" s="168" t="s">
        <v>1068</v>
      </c>
      <c r="D10" s="143" t="s">
        <v>3297</v>
      </c>
      <c r="E10" s="145" t="s">
        <v>3930</v>
      </c>
      <c r="F10" s="145" t="s">
        <v>3930</v>
      </c>
      <c r="G10" s="143" t="s">
        <v>3298</v>
      </c>
      <c r="H10" s="143" t="s">
        <v>3299</v>
      </c>
      <c r="I10" s="143" t="s">
        <v>312</v>
      </c>
      <c r="J10" s="143" t="s">
        <v>1211</v>
      </c>
      <c r="K10" s="161">
        <v>44238</v>
      </c>
      <c r="L10" s="144">
        <v>362.315</v>
      </c>
      <c r="M10" s="144">
        <v>1344.1886499999998</v>
      </c>
      <c r="N10" s="144">
        <v>224.92598999999998</v>
      </c>
      <c r="O10" s="144">
        <v>834.47542290000001</v>
      </c>
      <c r="P10" s="168">
        <v>0.62080231290451682</v>
      </c>
      <c r="Q10" s="172">
        <v>47848</v>
      </c>
      <c r="R10" s="177"/>
      <c r="S10" s="98"/>
      <c r="T10" s="98"/>
      <c r="U10" s="98"/>
      <c r="V10" s="98"/>
    </row>
    <row r="11" spans="1:22" ht="14.1" customHeight="1" x14ac:dyDescent="0.2">
      <c r="A11" s="142" t="s">
        <v>1205</v>
      </c>
      <c r="B11" s="143" t="s">
        <v>1205</v>
      </c>
      <c r="C11" s="168" t="s">
        <v>1068</v>
      </c>
      <c r="D11" s="143" t="s">
        <v>3636</v>
      </c>
      <c r="E11" s="145" t="s">
        <v>3930</v>
      </c>
      <c r="F11" s="145" t="s">
        <v>3930</v>
      </c>
      <c r="G11" s="143" t="s">
        <v>3637</v>
      </c>
      <c r="H11" s="143" t="s">
        <v>3638</v>
      </c>
      <c r="I11" s="143" t="s">
        <v>312</v>
      </c>
      <c r="J11" s="143" t="s">
        <v>1211</v>
      </c>
      <c r="K11" s="161">
        <v>44136</v>
      </c>
      <c r="L11" s="144">
        <v>380.11399999999998</v>
      </c>
      <c r="M11" s="144">
        <v>1410.2229399999999</v>
      </c>
      <c r="N11" s="144">
        <v>11.403</v>
      </c>
      <c r="O11" s="144">
        <v>42.305129999999998</v>
      </c>
      <c r="P11" s="168">
        <v>2.9998895068321606E-2</v>
      </c>
      <c r="Q11" s="172">
        <v>48060</v>
      </c>
      <c r="R11" s="177"/>
      <c r="S11" s="98"/>
      <c r="T11" s="98"/>
      <c r="U11" s="98"/>
      <c r="V11" s="98"/>
    </row>
    <row r="12" spans="1:22" ht="14.1" customHeight="1" x14ac:dyDescent="0.2">
      <c r="A12" s="142" t="s">
        <v>1205</v>
      </c>
      <c r="B12" s="143" t="s">
        <v>1205</v>
      </c>
      <c r="C12" s="170" t="s">
        <v>1068</v>
      </c>
      <c r="D12" s="143" t="s">
        <v>3516</v>
      </c>
      <c r="E12" s="145" t="s">
        <v>3930</v>
      </c>
      <c r="F12" s="145" t="s">
        <v>3930</v>
      </c>
      <c r="G12" s="143" t="s">
        <v>3517</v>
      </c>
      <c r="H12" s="143" t="s">
        <v>3518</v>
      </c>
      <c r="I12" s="143" t="s">
        <v>312</v>
      </c>
      <c r="J12" s="143" t="s">
        <v>1218</v>
      </c>
      <c r="K12" s="161">
        <v>44651</v>
      </c>
      <c r="L12" s="144">
        <v>342</v>
      </c>
      <c r="M12" s="144">
        <v>1420.1208000000001</v>
      </c>
      <c r="N12" s="144">
        <v>61.559989999999992</v>
      </c>
      <c r="O12" s="144">
        <v>255.62170247599997</v>
      </c>
      <c r="P12" s="168">
        <v>0.17999997076023388</v>
      </c>
      <c r="Q12" s="172">
        <v>48305</v>
      </c>
      <c r="R12" s="177"/>
    </row>
    <row r="13" spans="1:22" ht="14.1" customHeight="1" x14ac:dyDescent="0.2">
      <c r="A13" s="142" t="s">
        <v>1205</v>
      </c>
      <c r="B13" s="143" t="s">
        <v>1205</v>
      </c>
      <c r="C13" s="170" t="s">
        <v>1068</v>
      </c>
      <c r="D13" s="143" t="s">
        <v>3361</v>
      </c>
      <c r="E13" s="145" t="s">
        <v>3930</v>
      </c>
      <c r="F13" s="145" t="s">
        <v>3930</v>
      </c>
      <c r="G13" s="143" t="s">
        <v>3418</v>
      </c>
      <c r="H13" s="143" t="s">
        <v>3419</v>
      </c>
      <c r="I13" s="143" t="s">
        <v>312</v>
      </c>
      <c r="J13" s="143" t="s">
        <v>1211</v>
      </c>
      <c r="K13" s="160">
        <v>45475</v>
      </c>
      <c r="L13" s="144">
        <v>300.95999999999998</v>
      </c>
      <c r="M13" s="144">
        <v>1116.5616</v>
      </c>
      <c r="N13" s="144">
        <v>249.93379000000002</v>
      </c>
      <c r="O13" s="144">
        <v>927.25436089999994</v>
      </c>
      <c r="P13" s="168">
        <v>0.83045517676767666</v>
      </c>
      <c r="Q13" s="172">
        <v>49127</v>
      </c>
      <c r="R13" s="177"/>
    </row>
    <row r="14" spans="1:22" ht="14.1" customHeight="1" x14ac:dyDescent="0.2">
      <c r="A14" s="142" t="s">
        <v>1205</v>
      </c>
      <c r="B14" s="143" t="s">
        <v>1205</v>
      </c>
      <c r="C14" s="170" t="s">
        <v>1068</v>
      </c>
      <c r="D14" s="143" t="s">
        <v>314</v>
      </c>
      <c r="E14" s="145" t="s">
        <v>3930</v>
      </c>
      <c r="F14" s="145" t="s">
        <v>3930</v>
      </c>
      <c r="G14" s="143" t="s">
        <v>3628</v>
      </c>
      <c r="H14" s="143" t="s">
        <v>3629</v>
      </c>
      <c r="I14" s="143" t="s">
        <v>312</v>
      </c>
      <c r="J14" s="143" t="s">
        <v>1211</v>
      </c>
      <c r="K14" s="160">
        <v>44136</v>
      </c>
      <c r="L14" s="144">
        <v>25</v>
      </c>
      <c r="M14" s="144">
        <v>92.75</v>
      </c>
      <c r="N14" s="144">
        <v>0.48047999999999957</v>
      </c>
      <c r="O14" s="144">
        <v>1.7825807999999983</v>
      </c>
      <c r="P14" s="168">
        <v>1.9219199999999981E-2</v>
      </c>
      <c r="Q14" s="172">
        <v>47789</v>
      </c>
      <c r="R14" s="177"/>
    </row>
    <row r="15" spans="1:22" ht="14.1" customHeight="1" x14ac:dyDescent="0.2">
      <c r="A15" s="142" t="s">
        <v>1205</v>
      </c>
      <c r="B15" s="143" t="s">
        <v>1205</v>
      </c>
      <c r="C15" s="170" t="s">
        <v>1068</v>
      </c>
      <c r="D15" s="143" t="s">
        <v>3537</v>
      </c>
      <c r="E15" s="145" t="s">
        <v>3930</v>
      </c>
      <c r="F15" s="145" t="s">
        <v>3930</v>
      </c>
      <c r="G15" s="143" t="s">
        <v>3538</v>
      </c>
      <c r="H15" s="143" t="s">
        <v>3539</v>
      </c>
      <c r="I15" s="143" t="s">
        <v>312</v>
      </c>
      <c r="J15" s="143" t="s">
        <v>1211</v>
      </c>
      <c r="K15" s="160">
        <v>44651</v>
      </c>
      <c r="L15" s="144">
        <v>456</v>
      </c>
      <c r="M15" s="144">
        <v>1691.76</v>
      </c>
      <c r="N15" s="144">
        <v>328.42998999999998</v>
      </c>
      <c r="O15" s="144">
        <v>1218.4752629</v>
      </c>
      <c r="P15" s="168">
        <v>0.72024120614035081</v>
      </c>
      <c r="Q15" s="172">
        <v>48307</v>
      </c>
      <c r="R15" s="177"/>
    </row>
    <row r="16" spans="1:22" ht="14.1" customHeight="1" x14ac:dyDescent="0.2">
      <c r="A16" s="142" t="s">
        <v>1205</v>
      </c>
      <c r="B16" s="143" t="s">
        <v>1205</v>
      </c>
      <c r="C16" s="170" t="s">
        <v>1068</v>
      </c>
      <c r="D16" s="143" t="s">
        <v>3330</v>
      </c>
      <c r="E16" s="145" t="s">
        <v>3930</v>
      </c>
      <c r="F16" s="145" t="s">
        <v>3930</v>
      </c>
      <c r="G16" s="143" t="s">
        <v>3433</v>
      </c>
      <c r="H16" s="143" t="s">
        <v>3434</v>
      </c>
      <c r="I16" s="143" t="s">
        <v>312</v>
      </c>
      <c r="J16" s="143" t="s">
        <v>1211</v>
      </c>
      <c r="K16" s="160">
        <v>45475</v>
      </c>
      <c r="L16" s="144">
        <v>75</v>
      </c>
      <c r="M16" s="144">
        <v>278.25</v>
      </c>
      <c r="N16" s="144">
        <v>57.856000000000002</v>
      </c>
      <c r="O16" s="144">
        <v>214.64576</v>
      </c>
      <c r="P16" s="168">
        <v>0.7714133333333334</v>
      </c>
      <c r="Q16" s="172">
        <v>49127</v>
      </c>
      <c r="R16" s="177"/>
    </row>
    <row r="17" spans="1:18" ht="14.1" customHeight="1" x14ac:dyDescent="0.2">
      <c r="A17" s="142" t="s">
        <v>1205</v>
      </c>
      <c r="B17" s="143" t="s">
        <v>1205</v>
      </c>
      <c r="C17" s="170" t="s">
        <v>1068</v>
      </c>
      <c r="D17" s="143" t="s">
        <v>3388</v>
      </c>
      <c r="E17" s="145" t="s">
        <v>3930</v>
      </c>
      <c r="F17" s="145" t="s">
        <v>3930</v>
      </c>
      <c r="G17" s="143" t="s">
        <v>3389</v>
      </c>
      <c r="H17" s="143" t="s">
        <v>3390</v>
      </c>
      <c r="I17" s="143" t="s">
        <v>312</v>
      </c>
      <c r="J17" s="143" t="s">
        <v>1211</v>
      </c>
      <c r="K17" s="160">
        <v>45140</v>
      </c>
      <c r="L17" s="144">
        <v>341.99799999999999</v>
      </c>
      <c r="M17" s="144">
        <v>1268.81258</v>
      </c>
      <c r="N17" s="144">
        <v>204.47499999999999</v>
      </c>
      <c r="O17" s="144">
        <v>758.60225000000003</v>
      </c>
      <c r="P17" s="168">
        <v>0.59788361335446405</v>
      </c>
      <c r="Q17" s="172">
        <v>47848</v>
      </c>
      <c r="R17" s="177"/>
    </row>
    <row r="18" spans="1:18" ht="14.1" customHeight="1" x14ac:dyDescent="0.2">
      <c r="A18" s="142" t="s">
        <v>1205</v>
      </c>
      <c r="B18" s="143" t="s">
        <v>1205</v>
      </c>
      <c r="C18" s="170" t="s">
        <v>1068</v>
      </c>
      <c r="D18" s="143" t="s">
        <v>3537</v>
      </c>
      <c r="E18" s="145" t="s">
        <v>3930</v>
      </c>
      <c r="F18" s="145" t="s">
        <v>3930</v>
      </c>
      <c r="G18" s="143" t="s">
        <v>3550</v>
      </c>
      <c r="H18" s="143" t="s">
        <v>3551</v>
      </c>
      <c r="I18" s="143" t="s">
        <v>312</v>
      </c>
      <c r="J18" s="143" t="s">
        <v>1211</v>
      </c>
      <c r="K18" s="160">
        <v>44651</v>
      </c>
      <c r="L18" s="144">
        <v>45.6</v>
      </c>
      <c r="M18" s="144">
        <v>169.17599999999999</v>
      </c>
      <c r="N18" s="144">
        <v>45.599989999999998</v>
      </c>
      <c r="O18" s="144">
        <v>169.17596289999997</v>
      </c>
      <c r="P18" s="168">
        <v>0.99999978070175433</v>
      </c>
      <c r="Q18" s="172">
        <v>46478</v>
      </c>
      <c r="R18" s="177"/>
    </row>
    <row r="19" spans="1:18" ht="14.1" customHeight="1" x14ac:dyDescent="0.2">
      <c r="A19" s="142" t="s">
        <v>1205</v>
      </c>
      <c r="B19" s="143" t="s">
        <v>1205</v>
      </c>
      <c r="C19" s="170" t="s">
        <v>1068</v>
      </c>
      <c r="D19" s="143" t="s">
        <v>3478</v>
      </c>
      <c r="E19" s="145" t="s">
        <v>3930</v>
      </c>
      <c r="F19" s="145" t="s">
        <v>3930</v>
      </c>
      <c r="G19" s="143" t="s">
        <v>3479</v>
      </c>
      <c r="H19" s="143" t="s">
        <v>3480</v>
      </c>
      <c r="I19" s="143" t="s">
        <v>312</v>
      </c>
      <c r="J19" s="143" t="s">
        <v>1210</v>
      </c>
      <c r="K19" s="160">
        <v>44136</v>
      </c>
      <c r="L19" s="144">
        <v>1728.3779999999999</v>
      </c>
      <c r="M19" s="144">
        <v>1728.3779999999999</v>
      </c>
      <c r="N19" s="144">
        <v>512.57600000000002</v>
      </c>
      <c r="O19" s="144">
        <v>512.57600000000002</v>
      </c>
      <c r="P19" s="168">
        <v>0.2965647560892351</v>
      </c>
      <c r="Q19" s="172">
        <v>46721</v>
      </c>
      <c r="R19" s="177"/>
    </row>
    <row r="20" spans="1:18" ht="14.1" customHeight="1" x14ac:dyDescent="0.2">
      <c r="A20" s="142" t="s">
        <v>1205</v>
      </c>
      <c r="B20" s="143" t="s">
        <v>1205</v>
      </c>
      <c r="C20" s="170" t="s">
        <v>1068</v>
      </c>
      <c r="D20" s="143" t="s">
        <v>3645</v>
      </c>
      <c r="E20" s="145" t="s">
        <v>3930</v>
      </c>
      <c r="F20" s="145" t="s">
        <v>3930</v>
      </c>
      <c r="G20" s="143" t="s">
        <v>3646</v>
      </c>
      <c r="H20" s="143" t="s">
        <v>3647</v>
      </c>
      <c r="I20" s="143" t="s">
        <v>312</v>
      </c>
      <c r="J20" s="143" t="s">
        <v>1211</v>
      </c>
      <c r="K20" s="160">
        <v>44139</v>
      </c>
      <c r="L20" s="144">
        <v>150.965</v>
      </c>
      <c r="M20" s="144">
        <v>560.08015</v>
      </c>
      <c r="N20" s="144">
        <v>24.908000000000001</v>
      </c>
      <c r="O20" s="144">
        <v>92.40867999999999</v>
      </c>
      <c r="P20" s="168">
        <v>0.16499188553638258</v>
      </c>
      <c r="Q20" s="172">
        <v>48883</v>
      </c>
      <c r="R20" s="177"/>
    </row>
    <row r="21" spans="1:18" ht="14.1" customHeight="1" x14ac:dyDescent="0.2">
      <c r="A21" s="142" t="s">
        <v>1205</v>
      </c>
      <c r="B21" s="143" t="s">
        <v>1205</v>
      </c>
      <c r="C21" s="170" t="s">
        <v>1068</v>
      </c>
      <c r="D21" s="143" t="s">
        <v>3600</v>
      </c>
      <c r="E21" s="145" t="s">
        <v>3930</v>
      </c>
      <c r="F21" s="145" t="s">
        <v>3930</v>
      </c>
      <c r="G21" s="143" t="s">
        <v>3601</v>
      </c>
      <c r="H21" s="143" t="s">
        <v>3602</v>
      </c>
      <c r="I21" s="143" t="s">
        <v>312</v>
      </c>
      <c r="J21" s="143" t="s">
        <v>1211</v>
      </c>
      <c r="K21" s="160">
        <v>45449</v>
      </c>
      <c r="L21" s="144">
        <v>75</v>
      </c>
      <c r="M21" s="144">
        <v>278.25</v>
      </c>
      <c r="N21" s="144">
        <v>33.536999999999999</v>
      </c>
      <c r="O21" s="144">
        <v>124.42227</v>
      </c>
      <c r="P21" s="168">
        <v>0.44716</v>
      </c>
      <c r="Q21" s="172">
        <v>49101</v>
      </c>
      <c r="R21" s="177"/>
    </row>
    <row r="22" spans="1:18" ht="14.1" customHeight="1" x14ac:dyDescent="0.2">
      <c r="A22" s="142" t="s">
        <v>1205</v>
      </c>
      <c r="B22" s="143" t="s">
        <v>1205</v>
      </c>
      <c r="C22" s="170" t="s">
        <v>1068</v>
      </c>
      <c r="D22" s="143" t="s">
        <v>3391</v>
      </c>
      <c r="E22" s="145" t="s">
        <v>3930</v>
      </c>
      <c r="F22" s="145" t="s">
        <v>3930</v>
      </c>
      <c r="G22" s="143" t="s">
        <v>3392</v>
      </c>
      <c r="H22" s="143" t="s">
        <v>3393</v>
      </c>
      <c r="I22" s="143" t="s">
        <v>312</v>
      </c>
      <c r="J22" s="143" t="s">
        <v>1211</v>
      </c>
      <c r="K22" s="160">
        <v>44538</v>
      </c>
      <c r="L22" s="144">
        <v>312.45</v>
      </c>
      <c r="M22" s="144">
        <v>1159.1895</v>
      </c>
      <c r="N22" s="144">
        <v>77.765000000000001</v>
      </c>
      <c r="O22" s="144">
        <v>288.50815</v>
      </c>
      <c r="P22" s="168">
        <v>0.24888782205152826</v>
      </c>
      <c r="Q22" s="172">
        <v>47093</v>
      </c>
      <c r="R22" s="177"/>
    </row>
    <row r="23" spans="1:18" ht="14.1" customHeight="1" x14ac:dyDescent="0.2">
      <c r="A23" s="142" t="s">
        <v>1205</v>
      </c>
      <c r="B23" s="143" t="s">
        <v>1205</v>
      </c>
      <c r="C23" s="170" t="s">
        <v>1068</v>
      </c>
      <c r="D23" s="143" t="s">
        <v>3616</v>
      </c>
      <c r="E23" s="145" t="s">
        <v>3930</v>
      </c>
      <c r="F23" s="145" t="s">
        <v>3930</v>
      </c>
      <c r="G23" s="143" t="s">
        <v>3617</v>
      </c>
      <c r="H23" s="143" t="s">
        <v>3618</v>
      </c>
      <c r="I23" s="143" t="s">
        <v>312</v>
      </c>
      <c r="J23" s="143" t="s">
        <v>1211</v>
      </c>
      <c r="K23" s="160">
        <v>44136</v>
      </c>
      <c r="L23" s="144">
        <v>255.22800000000001</v>
      </c>
      <c r="M23" s="144">
        <v>946.89588000000003</v>
      </c>
      <c r="N23" s="144">
        <v>22.970549999999989</v>
      </c>
      <c r="O23" s="144">
        <v>85.220740499999962</v>
      </c>
      <c r="P23" s="168">
        <v>9.0000117541962438E-2</v>
      </c>
      <c r="Q23" s="173">
        <v>46842</v>
      </c>
      <c r="R23" s="177"/>
    </row>
    <row r="24" spans="1:18" ht="15" x14ac:dyDescent="0.2">
      <c r="A24" s="142" t="s">
        <v>1205</v>
      </c>
      <c r="B24" s="143" t="s">
        <v>1205</v>
      </c>
      <c r="C24" s="170" t="s">
        <v>1068</v>
      </c>
      <c r="D24" s="143" t="s">
        <v>3456</v>
      </c>
      <c r="E24" s="145" t="s">
        <v>3930</v>
      </c>
      <c r="F24" s="145" t="s">
        <v>3930</v>
      </c>
      <c r="G24" s="143" t="s">
        <v>3457</v>
      </c>
      <c r="H24" s="143" t="s">
        <v>3458</v>
      </c>
      <c r="I24" s="143" t="s">
        <v>312</v>
      </c>
      <c r="J24" s="143" t="s">
        <v>1211</v>
      </c>
      <c r="K24" s="163">
        <v>44136</v>
      </c>
      <c r="L24" s="144">
        <v>505.53841999999997</v>
      </c>
      <c r="M24" s="144">
        <v>1875.5475381999997</v>
      </c>
      <c r="N24" s="144">
        <v>85.689419999999984</v>
      </c>
      <c r="O24" s="144">
        <v>317.9077481999999</v>
      </c>
      <c r="P24" s="170">
        <v>0.16950130120674109</v>
      </c>
      <c r="Q24" s="174">
        <v>47938</v>
      </c>
      <c r="R24" s="177"/>
    </row>
    <row r="25" spans="1:18" ht="15" x14ac:dyDescent="0.2">
      <c r="A25" s="142" t="s">
        <v>1205</v>
      </c>
      <c r="B25" s="143" t="s">
        <v>1205</v>
      </c>
      <c r="C25" s="170" t="s">
        <v>1068</v>
      </c>
      <c r="D25" s="143" t="s">
        <v>3361</v>
      </c>
      <c r="E25" s="145" t="s">
        <v>3930</v>
      </c>
      <c r="F25" s="145" t="s">
        <v>3930</v>
      </c>
      <c r="G25" s="143" t="s">
        <v>3437</v>
      </c>
      <c r="H25" s="143" t="s">
        <v>3438</v>
      </c>
      <c r="I25" s="143" t="s">
        <v>312</v>
      </c>
      <c r="J25" s="143" t="s">
        <v>1211</v>
      </c>
      <c r="K25" s="163">
        <v>45512</v>
      </c>
      <c r="L25" s="144">
        <v>41.04</v>
      </c>
      <c r="M25" s="144">
        <v>152.25839999999999</v>
      </c>
      <c r="N25" s="144">
        <v>37.966860000000004</v>
      </c>
      <c r="O25" s="144">
        <v>140.85705059999998</v>
      </c>
      <c r="P25" s="170">
        <v>0.92511842105263153</v>
      </c>
      <c r="Q25" s="174">
        <v>49164</v>
      </c>
      <c r="R25" s="177"/>
    </row>
    <row r="26" spans="1:18" ht="15" x14ac:dyDescent="0.2">
      <c r="A26" s="142" t="s">
        <v>1205</v>
      </c>
      <c r="B26" s="143" t="s">
        <v>1205</v>
      </c>
      <c r="C26" s="170" t="s">
        <v>1068</v>
      </c>
      <c r="D26" s="143" t="s">
        <v>3625</v>
      </c>
      <c r="E26" s="145" t="s">
        <v>3930</v>
      </c>
      <c r="F26" s="145" t="s">
        <v>3930</v>
      </c>
      <c r="G26" s="143" t="s">
        <v>3626</v>
      </c>
      <c r="H26" s="143" t="s">
        <v>3627</v>
      </c>
      <c r="I26" s="143" t="s">
        <v>312</v>
      </c>
      <c r="J26" s="143" t="s">
        <v>1211</v>
      </c>
      <c r="K26" s="163">
        <v>44143</v>
      </c>
      <c r="L26" s="144">
        <v>217.38900000000001</v>
      </c>
      <c r="M26" s="144">
        <v>806.5131899999999</v>
      </c>
      <c r="N26" s="144">
        <v>91.303370000000001</v>
      </c>
      <c r="O26" s="144">
        <v>338.73550269999993</v>
      </c>
      <c r="P26" s="170">
        <v>0.41999995399951234</v>
      </c>
      <c r="Q26" s="174">
        <v>45688</v>
      </c>
      <c r="R26" s="177"/>
    </row>
    <row r="27" spans="1:18" ht="15" x14ac:dyDescent="0.2">
      <c r="A27" s="142" t="s">
        <v>1205</v>
      </c>
      <c r="B27" s="143" t="s">
        <v>1205</v>
      </c>
      <c r="C27" s="170" t="s">
        <v>1068</v>
      </c>
      <c r="D27" s="143" t="s">
        <v>314</v>
      </c>
      <c r="E27" s="145" t="s">
        <v>3930</v>
      </c>
      <c r="F27" s="145" t="s">
        <v>3930</v>
      </c>
      <c r="G27" s="143" t="s">
        <v>3658</v>
      </c>
      <c r="H27" s="143" t="s">
        <v>3659</v>
      </c>
      <c r="I27" s="143" t="s">
        <v>312</v>
      </c>
      <c r="J27" s="143" t="s">
        <v>1211</v>
      </c>
      <c r="K27" s="163">
        <v>45055</v>
      </c>
      <c r="L27" s="144">
        <v>159.6</v>
      </c>
      <c r="M27" s="144">
        <v>592.11599999999999</v>
      </c>
      <c r="N27" s="144">
        <v>93.739000000000004</v>
      </c>
      <c r="O27" s="144">
        <v>347.77168999999998</v>
      </c>
      <c r="P27" s="170">
        <v>0.58733709273182955</v>
      </c>
      <c r="Q27" s="174">
        <v>49309</v>
      </c>
      <c r="R27" s="177"/>
    </row>
    <row r="28" spans="1:18" ht="15" x14ac:dyDescent="0.2">
      <c r="A28" s="142" t="s">
        <v>1205</v>
      </c>
      <c r="B28" s="143" t="s">
        <v>1205</v>
      </c>
      <c r="C28" s="170" t="s">
        <v>1068</v>
      </c>
      <c r="D28" s="143" t="s">
        <v>3570</v>
      </c>
      <c r="E28" s="145" t="s">
        <v>3930</v>
      </c>
      <c r="F28" s="145" t="s">
        <v>3930</v>
      </c>
      <c r="G28" s="143" t="s">
        <v>3571</v>
      </c>
      <c r="H28" s="143" t="s">
        <v>3572</v>
      </c>
      <c r="I28" s="143" t="s">
        <v>312</v>
      </c>
      <c r="J28" s="143" t="s">
        <v>1211</v>
      </c>
      <c r="K28" s="163">
        <v>44136</v>
      </c>
      <c r="L28" s="144">
        <v>649.04866000000004</v>
      </c>
      <c r="M28" s="144">
        <v>2407.9705286000003</v>
      </c>
      <c r="N28" s="144">
        <v>107.86981000000004</v>
      </c>
      <c r="O28" s="144">
        <v>400.19699510000015</v>
      </c>
      <c r="P28" s="170">
        <v>0.16619679948187557</v>
      </c>
      <c r="Q28" s="174">
        <v>46748</v>
      </c>
      <c r="R28" s="177"/>
    </row>
    <row r="29" spans="1:18" ht="15" x14ac:dyDescent="0.2">
      <c r="A29" s="142" t="s">
        <v>1205</v>
      </c>
      <c r="B29" s="143" t="s">
        <v>1205</v>
      </c>
      <c r="C29" s="170" t="s">
        <v>1068</v>
      </c>
      <c r="D29" s="143" t="s">
        <v>3555</v>
      </c>
      <c r="E29" s="145" t="s">
        <v>3930</v>
      </c>
      <c r="F29" s="145" t="s">
        <v>3930</v>
      </c>
      <c r="G29" s="143" t="s">
        <v>3556</v>
      </c>
      <c r="H29" s="143" t="s">
        <v>3557</v>
      </c>
      <c r="I29" s="143" t="s">
        <v>312</v>
      </c>
      <c r="J29" s="143" t="s">
        <v>1210</v>
      </c>
      <c r="K29" s="163">
        <v>44722</v>
      </c>
      <c r="L29" s="144">
        <v>798</v>
      </c>
      <c r="M29" s="144">
        <v>798</v>
      </c>
      <c r="N29" s="144">
        <v>129.792</v>
      </c>
      <c r="O29" s="144">
        <v>129.792</v>
      </c>
      <c r="P29" s="170">
        <v>0.16264661654135337</v>
      </c>
      <c r="Q29" s="174">
        <v>48375</v>
      </c>
      <c r="R29" s="177"/>
    </row>
    <row r="30" spans="1:18" ht="15" x14ac:dyDescent="0.2">
      <c r="A30" s="142" t="s">
        <v>1205</v>
      </c>
      <c r="B30" s="143" t="s">
        <v>1205</v>
      </c>
      <c r="C30" s="170" t="s">
        <v>1068</v>
      </c>
      <c r="D30" s="143" t="s">
        <v>3492</v>
      </c>
      <c r="E30" s="145" t="s">
        <v>3930</v>
      </c>
      <c r="F30" s="145" t="s">
        <v>3930</v>
      </c>
      <c r="G30" s="143" t="s">
        <v>3493</v>
      </c>
      <c r="H30" s="143" t="s">
        <v>3494</v>
      </c>
      <c r="I30" s="143" t="s">
        <v>312</v>
      </c>
      <c r="J30" s="143" t="s">
        <v>1210</v>
      </c>
      <c r="K30" s="163">
        <v>45056</v>
      </c>
      <c r="L30" s="144">
        <v>1140</v>
      </c>
      <c r="M30" s="144">
        <v>1140</v>
      </c>
      <c r="N30" s="144">
        <v>548.62199999999996</v>
      </c>
      <c r="O30" s="144">
        <v>548.62199999999996</v>
      </c>
      <c r="P30" s="170">
        <v>0.48124736842105265</v>
      </c>
      <c r="Q30" s="174">
        <v>48944</v>
      </c>
      <c r="R30" s="177"/>
    </row>
    <row r="31" spans="1:18" ht="15" x14ac:dyDescent="0.2">
      <c r="A31" s="142" t="s">
        <v>1205</v>
      </c>
      <c r="B31" s="143" t="s">
        <v>1205</v>
      </c>
      <c r="C31" s="170" t="s">
        <v>1068</v>
      </c>
      <c r="D31" s="143" t="s">
        <v>3531</v>
      </c>
      <c r="E31" s="145" t="s">
        <v>3930</v>
      </c>
      <c r="F31" s="145" t="s">
        <v>3930</v>
      </c>
      <c r="G31" s="143" t="s">
        <v>3532</v>
      </c>
      <c r="H31" s="143" t="s">
        <v>3533</v>
      </c>
      <c r="I31" s="143" t="s">
        <v>312</v>
      </c>
      <c r="J31" s="143" t="s">
        <v>1218</v>
      </c>
      <c r="K31" s="163">
        <v>45271</v>
      </c>
      <c r="L31" s="144">
        <v>342</v>
      </c>
      <c r="M31" s="144">
        <v>1420.1208000000001</v>
      </c>
      <c r="N31" s="144">
        <v>188.46441000000002</v>
      </c>
      <c r="O31" s="144">
        <v>782.57961608400001</v>
      </c>
      <c r="P31" s="170">
        <v>0.55106552631578942</v>
      </c>
      <c r="Q31" s="174">
        <v>48884</v>
      </c>
      <c r="R31" s="177"/>
    </row>
    <row r="32" spans="1:18" ht="15" x14ac:dyDescent="0.2">
      <c r="A32" s="142" t="s">
        <v>1205</v>
      </c>
      <c r="B32" s="143" t="s">
        <v>1205</v>
      </c>
      <c r="C32" s="170" t="s">
        <v>1068</v>
      </c>
      <c r="D32" s="143" t="s">
        <v>3312</v>
      </c>
      <c r="E32" s="145" t="s">
        <v>3930</v>
      </c>
      <c r="F32" s="145" t="s">
        <v>3930</v>
      </c>
      <c r="G32" s="143" t="s">
        <v>3313</v>
      </c>
      <c r="H32" s="143" t="s">
        <v>3314</v>
      </c>
      <c r="I32" s="143" t="s">
        <v>312</v>
      </c>
      <c r="J32" s="143" t="s">
        <v>1211</v>
      </c>
      <c r="K32" s="163">
        <v>44938</v>
      </c>
      <c r="L32" s="144">
        <v>228</v>
      </c>
      <c r="M32" s="144">
        <v>845.88</v>
      </c>
      <c r="N32" s="144">
        <v>148.88399999999999</v>
      </c>
      <c r="O32" s="144">
        <v>552.35964000000001</v>
      </c>
      <c r="P32" s="170">
        <v>0.65300000000000002</v>
      </c>
      <c r="Q32" s="174">
        <v>47515</v>
      </c>
      <c r="R32" s="177"/>
    </row>
    <row r="33" spans="1:18" ht="15" x14ac:dyDescent="0.2">
      <c r="A33" s="142" t="s">
        <v>1205</v>
      </c>
      <c r="B33" s="143" t="s">
        <v>1205</v>
      </c>
      <c r="C33" s="170" t="s">
        <v>1068</v>
      </c>
      <c r="D33" s="143" t="s">
        <v>3415</v>
      </c>
      <c r="E33" s="145" t="s">
        <v>3930</v>
      </c>
      <c r="F33" s="145" t="s">
        <v>3930</v>
      </c>
      <c r="G33" s="143" t="s">
        <v>3416</v>
      </c>
      <c r="H33" s="143" t="s">
        <v>3417</v>
      </c>
      <c r="I33" s="143" t="s">
        <v>312</v>
      </c>
      <c r="J33" s="143" t="s">
        <v>1218</v>
      </c>
      <c r="K33" s="163">
        <v>45302</v>
      </c>
      <c r="L33" s="144">
        <v>342</v>
      </c>
      <c r="M33" s="144">
        <v>1420.1208000000001</v>
      </c>
      <c r="N33" s="144">
        <v>256.42937000000001</v>
      </c>
      <c r="O33" s="144">
        <v>1064.797315988</v>
      </c>
      <c r="P33" s="170">
        <v>0.74979347953216369</v>
      </c>
      <c r="Q33" s="174">
        <v>49021</v>
      </c>
      <c r="R33" s="177"/>
    </row>
    <row r="34" spans="1:18" ht="15" x14ac:dyDescent="0.2">
      <c r="A34" s="142" t="s">
        <v>1205</v>
      </c>
      <c r="B34" s="143" t="s">
        <v>1205</v>
      </c>
      <c r="C34" s="170" t="s">
        <v>1068</v>
      </c>
      <c r="D34" s="143" t="s">
        <v>3373</v>
      </c>
      <c r="E34" s="145" t="s">
        <v>3930</v>
      </c>
      <c r="F34" s="145" t="s">
        <v>3930</v>
      </c>
      <c r="G34" s="143" t="s">
        <v>3426</v>
      </c>
      <c r="H34" s="143" t="s">
        <v>3427</v>
      </c>
      <c r="I34" s="143" t="s">
        <v>312</v>
      </c>
      <c r="J34" s="143" t="s">
        <v>1218</v>
      </c>
      <c r="K34" s="163">
        <v>45089</v>
      </c>
      <c r="L34" s="144">
        <v>188.85196999999999</v>
      </c>
      <c r="M34" s="144">
        <v>784.18892022800003</v>
      </c>
      <c r="N34" s="144">
        <v>151.16643999999999</v>
      </c>
      <c r="O34" s="144">
        <v>627.70352545599997</v>
      </c>
      <c r="P34" s="170">
        <v>0.8004493678302641</v>
      </c>
      <c r="Q34" s="174">
        <v>50040</v>
      </c>
      <c r="R34" s="177"/>
    </row>
    <row r="35" spans="1:18" ht="15" x14ac:dyDescent="0.2">
      <c r="A35" s="142" t="s">
        <v>1205</v>
      </c>
      <c r="B35" s="143" t="s">
        <v>1205</v>
      </c>
      <c r="C35" s="170" t="s">
        <v>1068</v>
      </c>
      <c r="D35" s="143" t="s">
        <v>3542</v>
      </c>
      <c r="E35" s="145" t="s">
        <v>3930</v>
      </c>
      <c r="F35" s="145" t="s">
        <v>3930</v>
      </c>
      <c r="G35" s="143" t="s">
        <v>3543</v>
      </c>
      <c r="H35" s="143" t="s">
        <v>3544</v>
      </c>
      <c r="I35" s="143" t="s">
        <v>312</v>
      </c>
      <c r="J35" s="143" t="s">
        <v>1210</v>
      </c>
      <c r="K35" s="163">
        <v>45119</v>
      </c>
      <c r="L35" s="144">
        <v>1140</v>
      </c>
      <c r="M35" s="144">
        <v>1140</v>
      </c>
      <c r="N35" s="144">
        <v>925.779</v>
      </c>
      <c r="O35" s="144">
        <v>925.779</v>
      </c>
      <c r="P35" s="170">
        <v>0.81208684210526316</v>
      </c>
      <c r="Q35" s="174">
        <v>47848</v>
      </c>
      <c r="R35" s="177"/>
    </row>
    <row r="36" spans="1:18" ht="15" x14ac:dyDescent="0.2">
      <c r="A36" s="142" t="s">
        <v>1205</v>
      </c>
      <c r="B36" s="143" t="s">
        <v>1205</v>
      </c>
      <c r="C36" s="170" t="s">
        <v>1068</v>
      </c>
      <c r="D36" s="143" t="s">
        <v>3406</v>
      </c>
      <c r="E36" s="145" t="s">
        <v>3930</v>
      </c>
      <c r="F36" s="145" t="s">
        <v>3930</v>
      </c>
      <c r="G36" s="143" t="s">
        <v>3407</v>
      </c>
      <c r="H36" s="143" t="s">
        <v>3408</v>
      </c>
      <c r="I36" s="143" t="s">
        <v>312</v>
      </c>
      <c r="J36" s="143" t="s">
        <v>1211</v>
      </c>
      <c r="K36" s="163">
        <v>44420</v>
      </c>
      <c r="L36" s="144">
        <v>348</v>
      </c>
      <c r="M36" s="144">
        <v>1291.08</v>
      </c>
      <c r="N36" s="144">
        <v>235.52500000000001</v>
      </c>
      <c r="O36" s="144">
        <v>873.79774999999995</v>
      </c>
      <c r="P36" s="170">
        <v>0.6767959770114943</v>
      </c>
      <c r="Q36" s="174">
        <v>48822</v>
      </c>
      <c r="R36" s="177"/>
    </row>
    <row r="37" spans="1:18" ht="15" x14ac:dyDescent="0.2">
      <c r="A37" s="142" t="s">
        <v>1205</v>
      </c>
      <c r="B37" s="143" t="s">
        <v>1205</v>
      </c>
      <c r="C37" s="170" t="s">
        <v>1068</v>
      </c>
      <c r="D37" s="143" t="s">
        <v>3442</v>
      </c>
      <c r="E37" s="145" t="s">
        <v>3930</v>
      </c>
      <c r="F37" s="145" t="s">
        <v>3930</v>
      </c>
      <c r="G37" s="143" t="s">
        <v>3443</v>
      </c>
      <c r="H37" s="143" t="s">
        <v>3444</v>
      </c>
      <c r="I37" s="143" t="s">
        <v>312</v>
      </c>
      <c r="J37" s="143" t="s">
        <v>1211</v>
      </c>
      <c r="K37" s="163">
        <v>44136</v>
      </c>
      <c r="L37" s="144">
        <v>613.07100000000003</v>
      </c>
      <c r="M37" s="144">
        <v>2274.49341</v>
      </c>
      <c r="N37" s="144">
        <v>104.22499999999999</v>
      </c>
      <c r="O37" s="144">
        <v>386.67475000000002</v>
      </c>
      <c r="P37" s="170">
        <v>0.17000477921806773</v>
      </c>
      <c r="Q37" s="174">
        <v>47573</v>
      </c>
      <c r="R37" s="177"/>
    </row>
    <row r="38" spans="1:18" ht="15" x14ac:dyDescent="0.2">
      <c r="A38" s="142" t="s">
        <v>1205</v>
      </c>
      <c r="B38" s="143" t="s">
        <v>1205</v>
      </c>
      <c r="C38" s="170" t="s">
        <v>1068</v>
      </c>
      <c r="D38" s="143" t="s">
        <v>3324</v>
      </c>
      <c r="E38" s="145" t="s">
        <v>3930</v>
      </c>
      <c r="F38" s="145" t="s">
        <v>3930</v>
      </c>
      <c r="G38" s="143" t="s">
        <v>3325</v>
      </c>
      <c r="H38" s="143" t="s">
        <v>3326</v>
      </c>
      <c r="I38" s="143" t="s">
        <v>312</v>
      </c>
      <c r="J38" s="143" t="s">
        <v>1211</v>
      </c>
      <c r="K38" s="163">
        <v>44136</v>
      </c>
      <c r="L38" s="144">
        <v>619.274</v>
      </c>
      <c r="M38" s="144">
        <v>2297.5065399999999</v>
      </c>
      <c r="N38" s="144">
        <v>130.048</v>
      </c>
      <c r="O38" s="144">
        <v>482.47808000000003</v>
      </c>
      <c r="P38" s="170">
        <v>0.21000074280528491</v>
      </c>
      <c r="Q38" s="174">
        <v>47483</v>
      </c>
      <c r="R38" s="177"/>
    </row>
    <row r="39" spans="1:18" ht="15" x14ac:dyDescent="0.2">
      <c r="A39" s="142" t="s">
        <v>1205</v>
      </c>
      <c r="B39" s="143" t="s">
        <v>1205</v>
      </c>
      <c r="C39" s="170" t="s">
        <v>1068</v>
      </c>
      <c r="D39" s="143" t="s">
        <v>3622</v>
      </c>
      <c r="E39" s="145" t="s">
        <v>3930</v>
      </c>
      <c r="F39" s="145" t="s">
        <v>3930</v>
      </c>
      <c r="G39" s="143" t="s">
        <v>3623</v>
      </c>
      <c r="H39" s="143" t="s">
        <v>3624</v>
      </c>
      <c r="I39" s="143" t="s">
        <v>312</v>
      </c>
      <c r="J39" s="143" t="s">
        <v>1211</v>
      </c>
      <c r="K39" s="163">
        <v>44633</v>
      </c>
      <c r="L39" s="144">
        <v>228.77</v>
      </c>
      <c r="M39" s="144">
        <v>848.73669999999993</v>
      </c>
      <c r="N39" s="144">
        <v>113.001</v>
      </c>
      <c r="O39" s="144">
        <v>419.23371000000003</v>
      </c>
      <c r="P39" s="170">
        <v>0.49395025571534734</v>
      </c>
      <c r="Q39" s="174">
        <v>48286</v>
      </c>
      <c r="R39" s="177"/>
    </row>
    <row r="40" spans="1:18" ht="15" x14ac:dyDescent="0.2">
      <c r="A40" s="142" t="s">
        <v>1205</v>
      </c>
      <c r="B40" s="143" t="s">
        <v>1205</v>
      </c>
      <c r="C40" s="170" t="s">
        <v>1068</v>
      </c>
      <c r="D40" s="143" t="s">
        <v>314</v>
      </c>
      <c r="E40" s="145" t="s">
        <v>3930</v>
      </c>
      <c r="F40" s="145" t="s">
        <v>3930</v>
      </c>
      <c r="G40" s="143" t="s">
        <v>3611</v>
      </c>
      <c r="H40" s="143" t="s">
        <v>3612</v>
      </c>
      <c r="I40" s="143" t="s">
        <v>312</v>
      </c>
      <c r="J40" s="143" t="s">
        <v>1218</v>
      </c>
      <c r="K40" s="163">
        <v>44136</v>
      </c>
      <c r="L40" s="144">
        <v>368.86</v>
      </c>
      <c r="M40" s="144">
        <v>1531.654264</v>
      </c>
      <c r="N40" s="144">
        <v>224.51499999999999</v>
      </c>
      <c r="O40" s="144">
        <v>932.27608599999996</v>
      </c>
      <c r="P40" s="170">
        <v>0.60867266713658297</v>
      </c>
      <c r="Q40" s="174">
        <v>47664</v>
      </c>
      <c r="R40" s="177"/>
    </row>
    <row r="41" spans="1:18" ht="15" x14ac:dyDescent="0.2">
      <c r="A41" s="142" t="s">
        <v>1205</v>
      </c>
      <c r="B41" s="143" t="s">
        <v>1205</v>
      </c>
      <c r="C41" s="170" t="s">
        <v>1068</v>
      </c>
      <c r="D41" s="143" t="s">
        <v>3650</v>
      </c>
      <c r="E41" s="145" t="s">
        <v>3930</v>
      </c>
      <c r="F41" s="145" t="s">
        <v>3930</v>
      </c>
      <c r="G41" s="143" t="s">
        <v>3651</v>
      </c>
      <c r="H41" s="143" t="s">
        <v>3652</v>
      </c>
      <c r="I41" s="143" t="s">
        <v>312</v>
      </c>
      <c r="J41" s="143" t="s">
        <v>1211</v>
      </c>
      <c r="K41" s="163">
        <v>44742</v>
      </c>
      <c r="L41" s="144">
        <v>456</v>
      </c>
      <c r="M41" s="144">
        <v>1691.76</v>
      </c>
      <c r="N41" s="144">
        <v>364.79998999999998</v>
      </c>
      <c r="O41" s="144">
        <v>1353.4079629</v>
      </c>
      <c r="P41" s="170">
        <v>0.79999997807017542</v>
      </c>
      <c r="Q41" s="174">
        <v>49490</v>
      </c>
      <c r="R41" s="177"/>
    </row>
    <row r="42" spans="1:18" ht="15" x14ac:dyDescent="0.2">
      <c r="A42" s="142" t="s">
        <v>1205</v>
      </c>
      <c r="B42" s="143" t="s">
        <v>1205</v>
      </c>
      <c r="C42" s="170" t="s">
        <v>1068</v>
      </c>
      <c r="D42" s="143" t="s">
        <v>3324</v>
      </c>
      <c r="E42" s="145" t="s">
        <v>3930</v>
      </c>
      <c r="F42" s="145" t="s">
        <v>3930</v>
      </c>
      <c r="G42" s="143" t="s">
        <v>3511</v>
      </c>
      <c r="H42" s="143" t="s">
        <v>3512</v>
      </c>
      <c r="I42" s="143" t="s">
        <v>312</v>
      </c>
      <c r="J42" s="143" t="s">
        <v>1211</v>
      </c>
      <c r="K42" s="163">
        <v>44453</v>
      </c>
      <c r="L42" s="144">
        <v>580</v>
      </c>
      <c r="M42" s="144">
        <v>2151.8000000000002</v>
      </c>
      <c r="N42" s="144">
        <v>58</v>
      </c>
      <c r="O42" s="144">
        <v>215.18</v>
      </c>
      <c r="P42" s="170">
        <v>0.1</v>
      </c>
      <c r="Q42" s="174">
        <v>47745</v>
      </c>
      <c r="R42" s="177"/>
    </row>
    <row r="43" spans="1:18" ht="15" x14ac:dyDescent="0.2">
      <c r="A43" s="142" t="s">
        <v>1205</v>
      </c>
      <c r="B43" s="143" t="s">
        <v>1205</v>
      </c>
      <c r="C43" s="170" t="s">
        <v>1068</v>
      </c>
      <c r="D43" s="143" t="s">
        <v>3282</v>
      </c>
      <c r="E43" s="145" t="s">
        <v>3930</v>
      </c>
      <c r="F43" s="145" t="s">
        <v>3930</v>
      </c>
      <c r="G43" s="143" t="s">
        <v>3283</v>
      </c>
      <c r="H43" s="143" t="s">
        <v>3284</v>
      </c>
      <c r="I43" s="143" t="s">
        <v>312</v>
      </c>
      <c r="J43" s="143" t="s">
        <v>1211</v>
      </c>
      <c r="K43" s="163">
        <v>44136</v>
      </c>
      <c r="L43" s="144">
        <v>475.61399999999998</v>
      </c>
      <c r="M43" s="144">
        <v>1764.5279399999999</v>
      </c>
      <c r="N43" s="144">
        <v>90.674000000000007</v>
      </c>
      <c r="O43" s="144">
        <v>336.40053999999998</v>
      </c>
      <c r="P43" s="170">
        <v>0.19064619628522289</v>
      </c>
      <c r="Q43" s="174">
        <v>46265</v>
      </c>
      <c r="R43" s="177"/>
    </row>
    <row r="44" spans="1:18" ht="15" x14ac:dyDescent="0.2">
      <c r="A44" s="142" t="s">
        <v>1205</v>
      </c>
      <c r="B44" s="143" t="s">
        <v>1205</v>
      </c>
      <c r="C44" s="170" t="s">
        <v>1068</v>
      </c>
      <c r="D44" s="143" t="s">
        <v>3606</v>
      </c>
      <c r="E44" s="145" t="s">
        <v>3930</v>
      </c>
      <c r="F44" s="145" t="s">
        <v>3930</v>
      </c>
      <c r="G44" s="143" t="s">
        <v>3607</v>
      </c>
      <c r="H44" s="143" t="s">
        <v>3608</v>
      </c>
      <c r="I44" s="143" t="s">
        <v>312</v>
      </c>
      <c r="J44" s="143" t="s">
        <v>1211</v>
      </c>
      <c r="K44" s="163">
        <v>44136</v>
      </c>
      <c r="L44" s="144">
        <v>380.471</v>
      </c>
      <c r="M44" s="144">
        <v>1411.5474099999999</v>
      </c>
      <c r="N44" s="144">
        <v>26.24</v>
      </c>
      <c r="O44" s="144">
        <v>97.350399999999993</v>
      </c>
      <c r="P44" s="170">
        <v>6.8967148613166315E-2</v>
      </c>
      <c r="Q44" s="174">
        <v>46965</v>
      </c>
      <c r="R44" s="177"/>
    </row>
    <row r="45" spans="1:18" ht="15" x14ac:dyDescent="0.2">
      <c r="A45" s="142" t="s">
        <v>1205</v>
      </c>
      <c r="B45" s="143" t="s">
        <v>1205</v>
      </c>
      <c r="C45" s="170" t="s">
        <v>1068</v>
      </c>
      <c r="D45" s="143" t="s">
        <v>3412</v>
      </c>
      <c r="E45" s="145" t="s">
        <v>3930</v>
      </c>
      <c r="F45" s="145" t="s">
        <v>3930</v>
      </c>
      <c r="G45" s="143" t="s">
        <v>3413</v>
      </c>
      <c r="H45" s="143" t="s">
        <v>3414</v>
      </c>
      <c r="I45" s="143" t="s">
        <v>312</v>
      </c>
      <c r="J45" s="143" t="s">
        <v>1211</v>
      </c>
      <c r="K45" s="163">
        <v>44136</v>
      </c>
      <c r="L45" s="144">
        <v>206.04</v>
      </c>
      <c r="M45" s="144">
        <v>764.40840000000003</v>
      </c>
      <c r="N45" s="144">
        <v>34.658000000000001</v>
      </c>
      <c r="O45" s="144">
        <v>128.58117999999999</v>
      </c>
      <c r="P45" s="170">
        <v>0.16821005629974761</v>
      </c>
      <c r="Q45" s="174">
        <v>46752</v>
      </c>
      <c r="R45" s="177"/>
    </row>
    <row r="46" spans="1:18" ht="15" x14ac:dyDescent="0.2">
      <c r="A46" s="142" t="s">
        <v>1205</v>
      </c>
      <c r="B46" s="143" t="s">
        <v>1205</v>
      </c>
      <c r="C46" s="170" t="s">
        <v>1068</v>
      </c>
      <c r="D46" s="143" t="s">
        <v>3403</v>
      </c>
      <c r="E46" s="145" t="s">
        <v>3930</v>
      </c>
      <c r="F46" s="145" t="s">
        <v>3930</v>
      </c>
      <c r="G46" s="143" t="s">
        <v>3404</v>
      </c>
      <c r="H46" s="143" t="s">
        <v>3405</v>
      </c>
      <c r="I46" s="143" t="s">
        <v>312</v>
      </c>
      <c r="J46" s="143" t="s">
        <v>1211</v>
      </c>
      <c r="K46" s="163">
        <v>44525</v>
      </c>
      <c r="L46" s="144">
        <v>116</v>
      </c>
      <c r="M46" s="144">
        <v>430.36</v>
      </c>
      <c r="N46" s="144">
        <v>11.02</v>
      </c>
      <c r="O46" s="144">
        <v>40.8842</v>
      </c>
      <c r="P46" s="170">
        <v>9.4999999999999987E-2</v>
      </c>
      <c r="Q46" s="174">
        <v>47073</v>
      </c>
      <c r="R46" s="177"/>
    </row>
    <row r="47" spans="1:18" ht="15" x14ac:dyDescent="0.2">
      <c r="A47" s="142" t="s">
        <v>1205</v>
      </c>
      <c r="B47" s="143" t="s">
        <v>1205</v>
      </c>
      <c r="C47" s="170" t="s">
        <v>1068</v>
      </c>
      <c r="D47" s="143" t="s">
        <v>3306</v>
      </c>
      <c r="E47" s="145" t="s">
        <v>3930</v>
      </c>
      <c r="F47" s="145" t="s">
        <v>3930</v>
      </c>
      <c r="G47" s="143" t="s">
        <v>3307</v>
      </c>
      <c r="H47" s="143" t="s">
        <v>3308</v>
      </c>
      <c r="I47" s="143" t="s">
        <v>312</v>
      </c>
      <c r="J47" s="143" t="s">
        <v>1210</v>
      </c>
      <c r="K47" s="163">
        <v>44636</v>
      </c>
      <c r="L47" s="144">
        <v>1516.3520000000001</v>
      </c>
      <c r="M47" s="144">
        <v>1516.3520000000001</v>
      </c>
      <c r="N47" s="144">
        <v>1137.0519999999999</v>
      </c>
      <c r="O47" s="144">
        <v>1137.0519999999999</v>
      </c>
      <c r="P47" s="170">
        <v>0.74986019077364618</v>
      </c>
      <c r="Q47" s="174">
        <v>48290</v>
      </c>
      <c r="R47" s="177"/>
    </row>
    <row r="48" spans="1:18" ht="15" x14ac:dyDescent="0.2">
      <c r="A48" s="142" t="s">
        <v>1205</v>
      </c>
      <c r="B48" s="143" t="s">
        <v>1205</v>
      </c>
      <c r="C48" s="170" t="s">
        <v>1068</v>
      </c>
      <c r="D48" s="143" t="s">
        <v>3321</v>
      </c>
      <c r="E48" s="145" t="s">
        <v>3930</v>
      </c>
      <c r="F48" s="145" t="s">
        <v>3930</v>
      </c>
      <c r="G48" s="143" t="s">
        <v>3322</v>
      </c>
      <c r="H48" s="143" t="s">
        <v>3323</v>
      </c>
      <c r="I48" s="143" t="s">
        <v>312</v>
      </c>
      <c r="J48" s="143" t="s">
        <v>1211</v>
      </c>
      <c r="K48" s="163">
        <v>44136</v>
      </c>
      <c r="L48" s="144">
        <v>328.49979999999999</v>
      </c>
      <c r="M48" s="144">
        <v>1218.734258</v>
      </c>
      <c r="N48" s="144">
        <v>9.6170899999999673</v>
      </c>
      <c r="O48" s="144">
        <v>35.679403899999883</v>
      </c>
      <c r="P48" s="170">
        <v>2.9275786469276293E-2</v>
      </c>
      <c r="Q48" s="174">
        <v>46842</v>
      </c>
      <c r="R48" s="177"/>
    </row>
    <row r="49" spans="1:18" ht="15" x14ac:dyDescent="0.2">
      <c r="A49" s="142" t="s">
        <v>1205</v>
      </c>
      <c r="B49" s="143" t="s">
        <v>1205</v>
      </c>
      <c r="C49" s="170" t="s">
        <v>1068</v>
      </c>
      <c r="D49" s="143" t="s">
        <v>3288</v>
      </c>
      <c r="E49" s="145" t="s">
        <v>3930</v>
      </c>
      <c r="F49" s="145" t="s">
        <v>3930</v>
      </c>
      <c r="G49" s="143" t="s">
        <v>3289</v>
      </c>
      <c r="H49" s="143" t="s">
        <v>3290</v>
      </c>
      <c r="I49" s="143" t="s">
        <v>312</v>
      </c>
      <c r="J49" s="143" t="s">
        <v>1211</v>
      </c>
      <c r="K49" s="163">
        <v>44136</v>
      </c>
      <c r="L49" s="144">
        <v>370.88499999999999</v>
      </c>
      <c r="M49" s="144">
        <v>1375.9833500000002</v>
      </c>
      <c r="N49" s="144">
        <v>105.69000000000001</v>
      </c>
      <c r="O49" s="144">
        <v>392.10990000000004</v>
      </c>
      <c r="P49" s="170">
        <v>0.28496703830028175</v>
      </c>
      <c r="Q49" s="174">
        <v>46934</v>
      </c>
      <c r="R49" s="177"/>
    </row>
    <row r="50" spans="1:18" ht="15" x14ac:dyDescent="0.2">
      <c r="A50" s="142" t="s">
        <v>1205</v>
      </c>
      <c r="B50" s="143" t="s">
        <v>1205</v>
      </c>
      <c r="C50" s="170" t="s">
        <v>1068</v>
      </c>
      <c r="D50" s="143" t="s">
        <v>3519</v>
      </c>
      <c r="E50" s="145" t="s">
        <v>3930</v>
      </c>
      <c r="F50" s="145" t="s">
        <v>3930</v>
      </c>
      <c r="G50" s="143" t="s">
        <v>3520</v>
      </c>
      <c r="H50" s="143" t="s">
        <v>3521</v>
      </c>
      <c r="I50" s="143" t="s">
        <v>312</v>
      </c>
      <c r="J50" s="143" t="s">
        <v>1218</v>
      </c>
      <c r="K50" s="163">
        <v>44136</v>
      </c>
      <c r="L50" s="144">
        <v>493.44400000000002</v>
      </c>
      <c r="M50" s="144">
        <v>2048.9768656000001</v>
      </c>
      <c r="N50" s="144">
        <v>35.69309999999998</v>
      </c>
      <c r="O50" s="144">
        <v>148.2120284399999</v>
      </c>
      <c r="P50" s="170">
        <v>7.2334651956452958E-2</v>
      </c>
      <c r="Q50" s="174">
        <v>46568</v>
      </c>
      <c r="R50" s="177"/>
    </row>
    <row r="51" spans="1:18" ht="15" x14ac:dyDescent="0.2">
      <c r="A51" s="142" t="s">
        <v>1205</v>
      </c>
      <c r="B51" s="143" t="s">
        <v>1205</v>
      </c>
      <c r="C51" s="170" t="s">
        <v>1068</v>
      </c>
      <c r="D51" s="143" t="s">
        <v>3525</v>
      </c>
      <c r="E51" s="145" t="s">
        <v>3930</v>
      </c>
      <c r="F51" s="145" t="s">
        <v>3930</v>
      </c>
      <c r="G51" s="143" t="s">
        <v>3526</v>
      </c>
      <c r="H51" s="143" t="s">
        <v>3527</v>
      </c>
      <c r="I51" s="143" t="s">
        <v>312</v>
      </c>
      <c r="J51" s="143" t="s">
        <v>1211</v>
      </c>
      <c r="K51" s="163">
        <v>45124</v>
      </c>
      <c r="L51" s="144">
        <v>237.322</v>
      </c>
      <c r="M51" s="144">
        <v>880.46461999999997</v>
      </c>
      <c r="N51" s="144">
        <v>24.437999999999999</v>
      </c>
      <c r="O51" s="144">
        <v>90.66498</v>
      </c>
      <c r="P51" s="170">
        <v>0.10297401842222802</v>
      </c>
      <c r="Q51" s="174">
        <v>47848</v>
      </c>
      <c r="R51" s="177"/>
    </row>
    <row r="52" spans="1:18" ht="15" x14ac:dyDescent="0.2">
      <c r="A52" s="142" t="s">
        <v>1205</v>
      </c>
      <c r="B52" s="143" t="s">
        <v>1205</v>
      </c>
      <c r="C52" s="170" t="s">
        <v>1068</v>
      </c>
      <c r="D52" s="143" t="s">
        <v>3309</v>
      </c>
      <c r="E52" s="145" t="s">
        <v>3930</v>
      </c>
      <c r="F52" s="145" t="s">
        <v>3930</v>
      </c>
      <c r="G52" s="143" t="s">
        <v>3310</v>
      </c>
      <c r="H52" s="143" t="s">
        <v>3311</v>
      </c>
      <c r="I52" s="143" t="s">
        <v>312</v>
      </c>
      <c r="J52" s="143" t="s">
        <v>1211</v>
      </c>
      <c r="K52" s="163">
        <v>45215</v>
      </c>
      <c r="L52" s="144">
        <v>342</v>
      </c>
      <c r="M52" s="144">
        <v>1268.82</v>
      </c>
      <c r="N52" s="144">
        <v>254.79</v>
      </c>
      <c r="O52" s="144">
        <v>945.27089999999998</v>
      </c>
      <c r="P52" s="170">
        <v>0.745</v>
      </c>
      <c r="Q52" s="174">
        <v>48869</v>
      </c>
      <c r="R52" s="177"/>
    </row>
    <row r="53" spans="1:18" ht="15" x14ac:dyDescent="0.2">
      <c r="A53" s="142" t="s">
        <v>1205</v>
      </c>
      <c r="B53" s="143" t="s">
        <v>1205</v>
      </c>
      <c r="C53" s="170" t="s">
        <v>1068</v>
      </c>
      <c r="D53" s="143" t="s">
        <v>3498</v>
      </c>
      <c r="E53" s="145" t="s">
        <v>3930</v>
      </c>
      <c r="F53" s="145" t="s">
        <v>3930</v>
      </c>
      <c r="G53" s="143" t="s">
        <v>3499</v>
      </c>
      <c r="H53" s="143" t="s">
        <v>3500</v>
      </c>
      <c r="I53" s="143" t="s">
        <v>312</v>
      </c>
      <c r="J53" s="143" t="s">
        <v>1210</v>
      </c>
      <c r="K53" s="163">
        <v>44136</v>
      </c>
      <c r="L53" s="144">
        <v>1076.8491200000001</v>
      </c>
      <c r="M53" s="144">
        <v>1076.8491200000001</v>
      </c>
      <c r="N53" s="144">
        <v>80.785120000000106</v>
      </c>
      <c r="O53" s="144">
        <v>80.785120000000106</v>
      </c>
      <c r="P53" s="170">
        <v>7.5019906224188679E-2</v>
      </c>
      <c r="Q53" s="174">
        <v>45838</v>
      </c>
      <c r="R53" s="177"/>
    </row>
    <row r="54" spans="1:18" ht="15" x14ac:dyDescent="0.2">
      <c r="A54" s="142" t="s">
        <v>1205</v>
      </c>
      <c r="B54" s="143" t="s">
        <v>1205</v>
      </c>
      <c r="C54" s="170" t="s">
        <v>1068</v>
      </c>
      <c r="D54" s="143" t="s">
        <v>3495</v>
      </c>
      <c r="E54" s="145" t="s">
        <v>3930</v>
      </c>
      <c r="F54" s="145" t="s">
        <v>3930</v>
      </c>
      <c r="G54" s="143" t="s">
        <v>3496</v>
      </c>
      <c r="H54" s="143" t="s">
        <v>3497</v>
      </c>
      <c r="I54" s="143" t="s">
        <v>312</v>
      </c>
      <c r="J54" s="143" t="s">
        <v>1210</v>
      </c>
      <c r="K54" s="163">
        <v>45034</v>
      </c>
      <c r="L54" s="144">
        <v>1140</v>
      </c>
      <c r="M54" s="144">
        <v>1140</v>
      </c>
      <c r="N54" s="144">
        <v>798</v>
      </c>
      <c r="O54" s="144">
        <v>798</v>
      </c>
      <c r="P54" s="170">
        <v>0.7</v>
      </c>
      <c r="Q54" s="174">
        <v>48944</v>
      </c>
      <c r="R54" s="177"/>
    </row>
    <row r="55" spans="1:18" ht="15" x14ac:dyDescent="0.2">
      <c r="A55" s="142" t="s">
        <v>1205</v>
      </c>
      <c r="B55" s="143" t="s">
        <v>1205</v>
      </c>
      <c r="C55" s="170" t="s">
        <v>1068</v>
      </c>
      <c r="D55" s="143" t="s">
        <v>3528</v>
      </c>
      <c r="E55" s="145" t="s">
        <v>3930</v>
      </c>
      <c r="F55" s="145" t="s">
        <v>3930</v>
      </c>
      <c r="G55" s="143" t="s">
        <v>3529</v>
      </c>
      <c r="H55" s="143" t="s">
        <v>3530</v>
      </c>
      <c r="I55" s="143" t="s">
        <v>312</v>
      </c>
      <c r="J55" s="143" t="s">
        <v>1211</v>
      </c>
      <c r="K55" s="163">
        <v>44731</v>
      </c>
      <c r="L55" s="144">
        <v>464</v>
      </c>
      <c r="M55" s="144">
        <v>1721.44</v>
      </c>
      <c r="N55" s="144">
        <v>260.30020999999999</v>
      </c>
      <c r="O55" s="144">
        <v>965.7137790999999</v>
      </c>
      <c r="P55" s="170">
        <v>0.56099183189655166</v>
      </c>
      <c r="Q55" s="174">
        <v>47299</v>
      </c>
      <c r="R55" s="177"/>
    </row>
    <row r="56" spans="1:18" ht="15" x14ac:dyDescent="0.2">
      <c r="A56" s="142" t="s">
        <v>1205</v>
      </c>
      <c r="B56" s="143" t="s">
        <v>1205</v>
      </c>
      <c r="C56" s="170" t="s">
        <v>1068</v>
      </c>
      <c r="D56" s="143" t="s">
        <v>3513</v>
      </c>
      <c r="E56" s="145" t="s">
        <v>3930</v>
      </c>
      <c r="F56" s="145" t="s">
        <v>3930</v>
      </c>
      <c r="G56" s="143" t="s">
        <v>3514</v>
      </c>
      <c r="H56" s="143" t="s">
        <v>3515</v>
      </c>
      <c r="I56" s="143" t="s">
        <v>312</v>
      </c>
      <c r="J56" s="143" t="s">
        <v>1218</v>
      </c>
      <c r="K56" s="163">
        <v>44427</v>
      </c>
      <c r="L56" s="144">
        <v>350.63799999999998</v>
      </c>
      <c r="M56" s="144">
        <v>1455.9892311999999</v>
      </c>
      <c r="N56" s="144">
        <v>50.48673999999999</v>
      </c>
      <c r="O56" s="144">
        <v>209.64113917599997</v>
      </c>
      <c r="P56" s="170">
        <v>0.14398536382251778</v>
      </c>
      <c r="Q56" s="174">
        <v>46265</v>
      </c>
      <c r="R56" s="177"/>
    </row>
    <row r="57" spans="1:18" ht="15" x14ac:dyDescent="0.2">
      <c r="A57" s="142" t="s">
        <v>1205</v>
      </c>
      <c r="B57" s="143" t="s">
        <v>1205</v>
      </c>
      <c r="C57" s="170" t="s">
        <v>1068</v>
      </c>
      <c r="D57" s="143" t="s">
        <v>3567</v>
      </c>
      <c r="E57" s="145" t="s">
        <v>3930</v>
      </c>
      <c r="F57" s="145" t="s">
        <v>3930</v>
      </c>
      <c r="G57" s="143" t="s">
        <v>3568</v>
      </c>
      <c r="H57" s="143" t="s">
        <v>3569</v>
      </c>
      <c r="I57" s="143" t="s">
        <v>312</v>
      </c>
      <c r="J57" s="143" t="s">
        <v>1211</v>
      </c>
      <c r="K57" s="163">
        <v>44136</v>
      </c>
      <c r="L57" s="144">
        <v>628.80999999999995</v>
      </c>
      <c r="M57" s="144">
        <v>2332.8851</v>
      </c>
      <c r="N57" s="144">
        <v>76.230719999999977</v>
      </c>
      <c r="O57" s="144">
        <v>282.81597119999992</v>
      </c>
      <c r="P57" s="170">
        <v>0.12123013310857012</v>
      </c>
      <c r="Q57" s="174">
        <v>47360</v>
      </c>
      <c r="R57" s="177"/>
    </row>
    <row r="58" spans="1:18" ht="15" x14ac:dyDescent="0.2">
      <c r="A58" s="142" t="s">
        <v>1205</v>
      </c>
      <c r="B58" s="143" t="s">
        <v>1205</v>
      </c>
      <c r="C58" s="170" t="s">
        <v>1068</v>
      </c>
      <c r="D58" s="143" t="s">
        <v>3324</v>
      </c>
      <c r="E58" s="145" t="s">
        <v>3930</v>
      </c>
      <c r="F58" s="145" t="s">
        <v>3930</v>
      </c>
      <c r="G58" s="143" t="s">
        <v>3431</v>
      </c>
      <c r="H58" s="143" t="s">
        <v>3432</v>
      </c>
      <c r="I58" s="143" t="s">
        <v>312</v>
      </c>
      <c r="J58" s="143" t="s">
        <v>1211</v>
      </c>
      <c r="K58" s="163">
        <v>45371</v>
      </c>
      <c r="L58" s="144">
        <v>75</v>
      </c>
      <c r="M58" s="144">
        <v>278.25</v>
      </c>
      <c r="N58" s="144">
        <v>60.75</v>
      </c>
      <c r="O58" s="144">
        <v>225.38249999999999</v>
      </c>
      <c r="P58" s="170">
        <v>0.81</v>
      </c>
      <c r="Q58" s="174">
        <v>49023</v>
      </c>
      <c r="R58" s="177"/>
    </row>
    <row r="59" spans="1:18" ht="15" x14ac:dyDescent="0.2">
      <c r="A59" s="142" t="s">
        <v>1205</v>
      </c>
      <c r="B59" s="143" t="s">
        <v>1205</v>
      </c>
      <c r="C59" s="170" t="s">
        <v>1068</v>
      </c>
      <c r="D59" s="143" t="s">
        <v>3576</v>
      </c>
      <c r="E59" s="145" t="s">
        <v>3930</v>
      </c>
      <c r="F59" s="145" t="s">
        <v>3930</v>
      </c>
      <c r="G59" s="143" t="s">
        <v>3577</v>
      </c>
      <c r="H59" s="143" t="s">
        <v>3578</v>
      </c>
      <c r="I59" s="143" t="s">
        <v>312</v>
      </c>
      <c r="J59" s="143" t="s">
        <v>1211</v>
      </c>
      <c r="K59" s="163">
        <v>44136</v>
      </c>
      <c r="L59" s="144">
        <v>487.85599999999999</v>
      </c>
      <c r="M59" s="144">
        <v>1809.9457600000001</v>
      </c>
      <c r="N59" s="144">
        <v>112.10828999999998</v>
      </c>
      <c r="O59" s="144">
        <v>415.92175589999994</v>
      </c>
      <c r="P59" s="170">
        <v>0.22979791167885602</v>
      </c>
      <c r="Q59" s="174">
        <v>46142</v>
      </c>
      <c r="R59" s="177"/>
    </row>
    <row r="60" spans="1:18" ht="15" x14ac:dyDescent="0.2">
      <c r="A60" s="142" t="s">
        <v>1205</v>
      </c>
      <c r="B60" s="143" t="s">
        <v>1205</v>
      </c>
      <c r="C60" s="170" t="s">
        <v>1068</v>
      </c>
      <c r="D60" s="143" t="s">
        <v>3597</v>
      </c>
      <c r="E60" s="145" t="s">
        <v>3930</v>
      </c>
      <c r="F60" s="145" t="s">
        <v>3930</v>
      </c>
      <c r="G60" s="143" t="s">
        <v>3598</v>
      </c>
      <c r="H60" s="143" t="s">
        <v>3599</v>
      </c>
      <c r="I60" s="143" t="s">
        <v>312</v>
      </c>
      <c r="J60" s="143" t="s">
        <v>1211</v>
      </c>
      <c r="K60" s="163">
        <v>45218</v>
      </c>
      <c r="L60" s="144">
        <v>50</v>
      </c>
      <c r="M60" s="144">
        <v>185.5</v>
      </c>
      <c r="N60" s="144">
        <v>6.4798700000000027</v>
      </c>
      <c r="O60" s="144">
        <v>24.04031770000001</v>
      </c>
      <c r="P60" s="170">
        <v>0.12959740000000006</v>
      </c>
      <c r="Q60" s="174">
        <v>48884</v>
      </c>
      <c r="R60" s="177"/>
    </row>
    <row r="61" spans="1:18" ht="15" x14ac:dyDescent="0.2">
      <c r="A61" s="142" t="s">
        <v>1205</v>
      </c>
      <c r="B61" s="143" t="s">
        <v>1205</v>
      </c>
      <c r="C61" s="170" t="s">
        <v>1068</v>
      </c>
      <c r="D61" s="143" t="s">
        <v>3552</v>
      </c>
      <c r="E61" s="145" t="s">
        <v>3930</v>
      </c>
      <c r="F61" s="145" t="s">
        <v>3930</v>
      </c>
      <c r="G61" s="143" t="s">
        <v>3560</v>
      </c>
      <c r="H61" s="143" t="s">
        <v>3561</v>
      </c>
      <c r="I61" s="143" t="s">
        <v>312</v>
      </c>
      <c r="J61" s="143" t="s">
        <v>1210</v>
      </c>
      <c r="K61" s="163">
        <v>45250</v>
      </c>
      <c r="L61" s="144">
        <v>1596</v>
      </c>
      <c r="M61" s="144">
        <v>1596</v>
      </c>
      <c r="N61" s="144">
        <v>1586.114</v>
      </c>
      <c r="O61" s="144">
        <v>1586.114</v>
      </c>
      <c r="P61" s="170">
        <v>0.99380576441102753</v>
      </c>
      <c r="Q61" s="174">
        <v>48913</v>
      </c>
      <c r="R61" s="177"/>
    </row>
    <row r="62" spans="1:18" ht="15" x14ac:dyDescent="0.2">
      <c r="A62" s="142" t="s">
        <v>1205</v>
      </c>
      <c r="B62" s="143" t="s">
        <v>1205</v>
      </c>
      <c r="C62" s="170" t="s">
        <v>1068</v>
      </c>
      <c r="D62" s="143" t="s">
        <v>3330</v>
      </c>
      <c r="E62" s="145" t="s">
        <v>3930</v>
      </c>
      <c r="F62" s="145" t="s">
        <v>3930</v>
      </c>
      <c r="G62" s="143" t="s">
        <v>3356</v>
      </c>
      <c r="H62" s="143" t="s">
        <v>3357</v>
      </c>
      <c r="I62" s="143" t="s">
        <v>312</v>
      </c>
      <c r="J62" s="143" t="s">
        <v>1211</v>
      </c>
      <c r="K62" s="163">
        <v>44248</v>
      </c>
      <c r="L62" s="144">
        <v>576.31299999999999</v>
      </c>
      <c r="M62" s="144">
        <v>2138.1212300000002</v>
      </c>
      <c r="N62" s="144">
        <v>244.89198999999999</v>
      </c>
      <c r="O62" s="144">
        <v>908.54928289999998</v>
      </c>
      <c r="P62" s="170">
        <v>0.42492879737226125</v>
      </c>
      <c r="Q62" s="174">
        <v>47907</v>
      </c>
      <c r="R62" s="177"/>
    </row>
    <row r="63" spans="1:18" ht="15" x14ac:dyDescent="0.2">
      <c r="A63" s="142" t="s">
        <v>1205</v>
      </c>
      <c r="B63" s="143" t="s">
        <v>1205</v>
      </c>
      <c r="C63" s="170" t="s">
        <v>1068</v>
      </c>
      <c r="D63" s="143" t="s">
        <v>3370</v>
      </c>
      <c r="E63" s="145" t="s">
        <v>3930</v>
      </c>
      <c r="F63" s="145" t="s">
        <v>3930</v>
      </c>
      <c r="G63" s="143" t="s">
        <v>3371</v>
      </c>
      <c r="H63" s="143" t="s">
        <v>3372</v>
      </c>
      <c r="I63" s="143" t="s">
        <v>312</v>
      </c>
      <c r="J63" s="143" t="s">
        <v>1218</v>
      </c>
      <c r="K63" s="163">
        <v>44613</v>
      </c>
      <c r="L63" s="144">
        <v>276</v>
      </c>
      <c r="M63" s="144">
        <v>1146.0624000000003</v>
      </c>
      <c r="N63" s="144">
        <v>93.84</v>
      </c>
      <c r="O63" s="144">
        <v>389.66121600000002</v>
      </c>
      <c r="P63" s="170">
        <v>0.33999999999999997</v>
      </c>
      <c r="Q63" s="174">
        <v>48265</v>
      </c>
      <c r="R63" s="177"/>
    </row>
    <row r="64" spans="1:18" ht="15" x14ac:dyDescent="0.2">
      <c r="A64" s="142" t="s">
        <v>1205</v>
      </c>
      <c r="B64" s="143" t="s">
        <v>1205</v>
      </c>
      <c r="C64" s="170" t="s">
        <v>1068</v>
      </c>
      <c r="D64" s="143" t="s">
        <v>314</v>
      </c>
      <c r="E64" s="145" t="s">
        <v>3930</v>
      </c>
      <c r="F64" s="145" t="s">
        <v>3930</v>
      </c>
      <c r="G64" s="143" t="s">
        <v>3634</v>
      </c>
      <c r="H64" s="143" t="s">
        <v>3635</v>
      </c>
      <c r="I64" s="143" t="s">
        <v>312</v>
      </c>
      <c r="J64" s="143" t="s">
        <v>1211</v>
      </c>
      <c r="K64" s="163">
        <v>44136</v>
      </c>
      <c r="L64" s="144">
        <v>761.61242000000004</v>
      </c>
      <c r="M64" s="144">
        <v>2825.5820782000005</v>
      </c>
      <c r="N64" s="144">
        <v>161.03935999999999</v>
      </c>
      <c r="O64" s="144">
        <v>597.45602559999998</v>
      </c>
      <c r="P64" s="170">
        <v>0.21144529129396283</v>
      </c>
      <c r="Q64" s="174">
        <v>47422</v>
      </c>
      <c r="R64" s="177"/>
    </row>
    <row r="65" spans="1:18" ht="15" x14ac:dyDescent="0.2">
      <c r="A65" s="142" t="s">
        <v>1205</v>
      </c>
      <c r="B65" s="143" t="s">
        <v>1205</v>
      </c>
      <c r="C65" s="170" t="s">
        <v>1068</v>
      </c>
      <c r="D65" s="143" t="s">
        <v>3367</v>
      </c>
      <c r="E65" s="145" t="s">
        <v>3930</v>
      </c>
      <c r="F65" s="145" t="s">
        <v>3930</v>
      </c>
      <c r="G65" s="143" t="s">
        <v>3368</v>
      </c>
      <c r="H65" s="143" t="s">
        <v>3369</v>
      </c>
      <c r="I65" s="143" t="s">
        <v>312</v>
      </c>
      <c r="J65" s="143" t="s">
        <v>1218</v>
      </c>
      <c r="K65" s="163">
        <v>44136</v>
      </c>
      <c r="L65" s="144">
        <v>282.21577819999999</v>
      </c>
      <c r="M65" s="144">
        <v>1171.8727973976802</v>
      </c>
      <c r="N65" s="144">
        <v>21.821198200000012</v>
      </c>
      <c r="O65" s="144">
        <v>90.610343405680055</v>
      </c>
      <c r="P65" s="170">
        <v>7.7320971701787061E-2</v>
      </c>
      <c r="Q65" s="174">
        <v>46965</v>
      </c>
      <c r="R65" s="177"/>
    </row>
    <row r="66" spans="1:18" ht="15" x14ac:dyDescent="0.2">
      <c r="A66" s="142" t="s">
        <v>1205</v>
      </c>
      <c r="B66" s="143" t="s">
        <v>1205</v>
      </c>
      <c r="C66" s="170" t="s">
        <v>1068</v>
      </c>
      <c r="D66" s="143" t="s">
        <v>3333</v>
      </c>
      <c r="E66" s="145" t="s">
        <v>3930</v>
      </c>
      <c r="F66" s="145" t="s">
        <v>3930</v>
      </c>
      <c r="G66" s="143" t="s">
        <v>3334</v>
      </c>
      <c r="H66" s="143" t="s">
        <v>3335</v>
      </c>
      <c r="I66" s="143" t="s">
        <v>312</v>
      </c>
      <c r="J66" s="143" t="s">
        <v>1211</v>
      </c>
      <c r="K66" s="163">
        <v>44136</v>
      </c>
      <c r="L66" s="144">
        <v>306.72764339999998</v>
      </c>
      <c r="M66" s="144">
        <v>1137.959557014</v>
      </c>
      <c r="N66" s="144">
        <v>8.376653400000011</v>
      </c>
      <c r="O66" s="144">
        <v>31.077384114000036</v>
      </c>
      <c r="P66" s="170">
        <v>2.730974393812987E-2</v>
      </c>
      <c r="Q66" s="174">
        <v>47542</v>
      </c>
      <c r="R66" s="177"/>
    </row>
    <row r="67" spans="1:18" ht="15" x14ac:dyDescent="0.2">
      <c r="A67" s="142" t="s">
        <v>1205</v>
      </c>
      <c r="B67" s="143" t="s">
        <v>1205</v>
      </c>
      <c r="C67" s="170" t="s">
        <v>1068</v>
      </c>
      <c r="D67" s="143" t="s">
        <v>3330</v>
      </c>
      <c r="E67" s="145" t="s">
        <v>3930</v>
      </c>
      <c r="F67" s="145" t="s">
        <v>3930</v>
      </c>
      <c r="G67" s="143" t="s">
        <v>3342</v>
      </c>
      <c r="H67" s="143" t="s">
        <v>3343</v>
      </c>
      <c r="I67" s="143" t="s">
        <v>312</v>
      </c>
      <c r="J67" s="143" t="s">
        <v>1211</v>
      </c>
      <c r="K67" s="163">
        <v>44858</v>
      </c>
      <c r="L67" s="144">
        <v>426.50200000000001</v>
      </c>
      <c r="M67" s="144">
        <v>1582.32242</v>
      </c>
      <c r="N67" s="144">
        <v>77.432000000000002</v>
      </c>
      <c r="O67" s="144">
        <v>287.27271999999999</v>
      </c>
      <c r="P67" s="170">
        <v>0.18155131746158282</v>
      </c>
      <c r="Q67" s="174">
        <v>49096</v>
      </c>
      <c r="R67" s="177"/>
    </row>
    <row r="68" spans="1:18" ht="15" x14ac:dyDescent="0.2">
      <c r="A68" s="142" t="s">
        <v>1205</v>
      </c>
      <c r="B68" s="143" t="s">
        <v>1205</v>
      </c>
      <c r="C68" s="170" t="s">
        <v>1068</v>
      </c>
      <c r="D68" s="143" t="s">
        <v>3613</v>
      </c>
      <c r="E68" s="145" t="s">
        <v>3930</v>
      </c>
      <c r="F68" s="145" t="s">
        <v>3930</v>
      </c>
      <c r="G68" s="143" t="s">
        <v>3614</v>
      </c>
      <c r="H68" s="143" t="s">
        <v>3615</v>
      </c>
      <c r="I68" s="143" t="s">
        <v>312</v>
      </c>
      <c r="J68" s="143" t="s">
        <v>1211</v>
      </c>
      <c r="K68" s="163">
        <v>44524</v>
      </c>
      <c r="L68" s="144">
        <v>232</v>
      </c>
      <c r="M68" s="144">
        <v>860.72</v>
      </c>
      <c r="N68" s="144">
        <v>58</v>
      </c>
      <c r="O68" s="144">
        <v>215.18</v>
      </c>
      <c r="P68" s="170">
        <v>0.25</v>
      </c>
      <c r="Q68" s="174">
        <v>47081</v>
      </c>
      <c r="R68" s="177"/>
    </row>
    <row r="69" spans="1:18" ht="15" x14ac:dyDescent="0.2">
      <c r="A69" s="142" t="s">
        <v>1205</v>
      </c>
      <c r="B69" s="143" t="s">
        <v>1205</v>
      </c>
      <c r="C69" s="170" t="s">
        <v>1068</v>
      </c>
      <c r="D69" s="143" t="s">
        <v>314</v>
      </c>
      <c r="E69" s="145" t="s">
        <v>3930</v>
      </c>
      <c r="F69" s="145" t="s">
        <v>3930</v>
      </c>
      <c r="G69" s="143" t="s">
        <v>3648</v>
      </c>
      <c r="H69" s="143" t="s">
        <v>3649</v>
      </c>
      <c r="I69" s="143" t="s">
        <v>312</v>
      </c>
      <c r="J69" s="143" t="s">
        <v>1211</v>
      </c>
      <c r="K69" s="163">
        <v>44136</v>
      </c>
      <c r="L69" s="144">
        <v>301.7619277</v>
      </c>
      <c r="M69" s="144">
        <v>1119.5367517669999</v>
      </c>
      <c r="N69" s="144">
        <v>49.706987699999999</v>
      </c>
      <c r="O69" s="144">
        <v>184.41292436699999</v>
      </c>
      <c r="P69" s="170">
        <v>0.16472252838143572</v>
      </c>
      <c r="Q69" s="174">
        <v>47149</v>
      </c>
      <c r="R69" s="177"/>
    </row>
    <row r="70" spans="1:18" ht="15" x14ac:dyDescent="0.2">
      <c r="A70" s="142" t="s">
        <v>1205</v>
      </c>
      <c r="B70" s="143" t="s">
        <v>1205</v>
      </c>
      <c r="C70" s="170" t="s">
        <v>1068</v>
      </c>
      <c r="D70" s="143" t="s">
        <v>3358</v>
      </c>
      <c r="E70" s="145" t="s">
        <v>3930</v>
      </c>
      <c r="F70" s="145" t="s">
        <v>3930</v>
      </c>
      <c r="G70" s="143" t="s">
        <v>3359</v>
      </c>
      <c r="H70" s="143" t="s">
        <v>3360</v>
      </c>
      <c r="I70" s="143" t="s">
        <v>312</v>
      </c>
      <c r="J70" s="143" t="s">
        <v>1211</v>
      </c>
      <c r="K70" s="163">
        <v>44342</v>
      </c>
      <c r="L70" s="144">
        <v>470.75099</v>
      </c>
      <c r="M70" s="144">
        <v>1746.4861728999999</v>
      </c>
      <c r="N70" s="144">
        <v>70.410130000000009</v>
      </c>
      <c r="O70" s="144">
        <v>261.22158230000002</v>
      </c>
      <c r="P70" s="170">
        <v>0.14956979697482953</v>
      </c>
      <c r="Q70" s="174">
        <v>47995</v>
      </c>
      <c r="R70" s="177"/>
    </row>
    <row r="71" spans="1:18" ht="15" x14ac:dyDescent="0.2">
      <c r="A71" s="142" t="s">
        <v>1205</v>
      </c>
      <c r="B71" s="143" t="s">
        <v>1205</v>
      </c>
      <c r="C71" s="170" t="s">
        <v>1068</v>
      </c>
      <c r="D71" s="143" t="s">
        <v>3379</v>
      </c>
      <c r="E71" s="145" t="s">
        <v>3930</v>
      </c>
      <c r="F71" s="145" t="s">
        <v>3930</v>
      </c>
      <c r="G71" s="143" t="s">
        <v>3380</v>
      </c>
      <c r="H71" s="143" t="s">
        <v>3381</v>
      </c>
      <c r="I71" s="143" t="s">
        <v>312</v>
      </c>
      <c r="J71" s="143" t="s">
        <v>1211</v>
      </c>
      <c r="K71" s="163">
        <v>44769</v>
      </c>
      <c r="L71" s="144">
        <v>273.60000000000002</v>
      </c>
      <c r="M71" s="144">
        <v>1015.056</v>
      </c>
      <c r="N71" s="144">
        <v>13.680000000000001</v>
      </c>
      <c r="O71" s="144">
        <v>50.752800000000001</v>
      </c>
      <c r="P71" s="170">
        <v>0.05</v>
      </c>
      <c r="Q71" s="174">
        <v>48352</v>
      </c>
      <c r="R71" s="177"/>
    </row>
    <row r="72" spans="1:18" ht="15" x14ac:dyDescent="0.2">
      <c r="A72" s="142" t="s">
        <v>1205</v>
      </c>
      <c r="B72" s="143" t="s">
        <v>1205</v>
      </c>
      <c r="C72" s="170" t="s">
        <v>1068</v>
      </c>
      <c r="D72" s="143" t="s">
        <v>3545</v>
      </c>
      <c r="E72" s="145" t="s">
        <v>3930</v>
      </c>
      <c r="F72" s="145" t="s">
        <v>3930</v>
      </c>
      <c r="G72" s="143" t="s">
        <v>3546</v>
      </c>
      <c r="H72" s="143" t="s">
        <v>3547</v>
      </c>
      <c r="I72" s="143" t="s">
        <v>312</v>
      </c>
      <c r="J72" s="143" t="s">
        <v>1211</v>
      </c>
      <c r="K72" s="163">
        <v>45498</v>
      </c>
      <c r="L72" s="144">
        <v>285</v>
      </c>
      <c r="M72" s="144">
        <v>1057.3499999999999</v>
      </c>
      <c r="N72" s="144">
        <v>228</v>
      </c>
      <c r="O72" s="144">
        <v>845.88</v>
      </c>
      <c r="P72" s="170">
        <v>0.8</v>
      </c>
      <c r="Q72" s="174">
        <v>49150</v>
      </c>
      <c r="R72" s="177"/>
    </row>
    <row r="73" spans="1:18" ht="15" x14ac:dyDescent="0.2">
      <c r="A73" s="142" t="s">
        <v>1205</v>
      </c>
      <c r="B73" s="143" t="s">
        <v>1205</v>
      </c>
      <c r="C73" s="170" t="s">
        <v>1068</v>
      </c>
      <c r="D73" s="143" t="s">
        <v>3450</v>
      </c>
      <c r="E73" s="145" t="s">
        <v>3930</v>
      </c>
      <c r="F73" s="145" t="s">
        <v>3930</v>
      </c>
      <c r="G73" s="143" t="s">
        <v>3451</v>
      </c>
      <c r="H73" s="143" t="s">
        <v>3452</v>
      </c>
      <c r="I73" s="143" t="s">
        <v>312</v>
      </c>
      <c r="J73" s="143" t="s">
        <v>1210</v>
      </c>
      <c r="K73" s="163">
        <v>44136</v>
      </c>
      <c r="L73" s="144">
        <v>1015.18751</v>
      </c>
      <c r="M73" s="144">
        <v>1015.18751</v>
      </c>
      <c r="N73" s="144">
        <v>340.76751000000002</v>
      </c>
      <c r="O73" s="144">
        <v>340.76751000000002</v>
      </c>
      <c r="P73" s="170">
        <v>0.33566952572141084</v>
      </c>
      <c r="Q73" s="174">
        <v>47026</v>
      </c>
      <c r="R73" s="177"/>
    </row>
    <row r="74" spans="1:18" ht="15" x14ac:dyDescent="0.2">
      <c r="A74" s="142" t="s">
        <v>1205</v>
      </c>
      <c r="B74" s="143" t="s">
        <v>1205</v>
      </c>
      <c r="C74" s="170" t="s">
        <v>1068</v>
      </c>
      <c r="D74" s="143" t="s">
        <v>3397</v>
      </c>
      <c r="E74" s="145" t="s">
        <v>3930</v>
      </c>
      <c r="F74" s="145" t="s">
        <v>3930</v>
      </c>
      <c r="G74" s="143" t="s">
        <v>3398</v>
      </c>
      <c r="H74" s="143" t="s">
        <v>3399</v>
      </c>
      <c r="I74" s="143" t="s">
        <v>312</v>
      </c>
      <c r="J74" s="143" t="s">
        <v>1211</v>
      </c>
      <c r="K74" s="163">
        <v>44525</v>
      </c>
      <c r="L74" s="144">
        <v>162.4</v>
      </c>
      <c r="M74" s="144">
        <v>602.50400000000002</v>
      </c>
      <c r="N74" s="144">
        <v>21.274399999999993</v>
      </c>
      <c r="O74" s="144">
        <v>78.928023999999979</v>
      </c>
      <c r="P74" s="170">
        <v>0.13099999999999995</v>
      </c>
      <c r="Q74" s="174">
        <v>47082</v>
      </c>
      <c r="R74" s="177"/>
    </row>
    <row r="75" spans="1:18" ht="15" x14ac:dyDescent="0.2">
      <c r="A75" s="142" t="s">
        <v>1205</v>
      </c>
      <c r="B75" s="143" t="s">
        <v>1205</v>
      </c>
      <c r="C75" s="170" t="s">
        <v>1068</v>
      </c>
      <c r="D75" s="143" t="s">
        <v>3353</v>
      </c>
      <c r="E75" s="145" t="s">
        <v>3930</v>
      </c>
      <c r="F75" s="145" t="s">
        <v>3930</v>
      </c>
      <c r="G75" s="143" t="s">
        <v>3354</v>
      </c>
      <c r="H75" s="143" t="s">
        <v>3355</v>
      </c>
      <c r="I75" s="143" t="s">
        <v>312</v>
      </c>
      <c r="J75" s="143" t="s">
        <v>1211</v>
      </c>
      <c r="K75" s="163">
        <v>44312</v>
      </c>
      <c r="L75" s="144">
        <v>356.358</v>
      </c>
      <c r="M75" s="144">
        <v>1322.08818</v>
      </c>
      <c r="N75" s="144">
        <v>65.861989999999992</v>
      </c>
      <c r="O75" s="144">
        <v>244.34798289999998</v>
      </c>
      <c r="P75" s="170">
        <v>0.18481973184269751</v>
      </c>
      <c r="Q75" s="174">
        <v>47965</v>
      </c>
      <c r="R75" s="177"/>
    </row>
    <row r="76" spans="1:18" ht="15" x14ac:dyDescent="0.2">
      <c r="A76" s="142" t="s">
        <v>1205</v>
      </c>
      <c r="B76" s="143" t="s">
        <v>1205</v>
      </c>
      <c r="C76" s="170" t="s">
        <v>1068</v>
      </c>
      <c r="D76" s="143" t="s">
        <v>3445</v>
      </c>
      <c r="E76" s="145" t="s">
        <v>3930</v>
      </c>
      <c r="F76" s="145" t="s">
        <v>3930</v>
      </c>
      <c r="G76" s="143" t="s">
        <v>3446</v>
      </c>
      <c r="H76" s="143" t="s">
        <v>3447</v>
      </c>
      <c r="I76" s="143" t="s">
        <v>312</v>
      </c>
      <c r="J76" s="143" t="s">
        <v>1210</v>
      </c>
      <c r="K76" s="163">
        <v>44136</v>
      </c>
      <c r="L76" s="144">
        <v>1118.393</v>
      </c>
      <c r="M76" s="144">
        <v>1118.393</v>
      </c>
      <c r="N76" s="144">
        <v>47.47</v>
      </c>
      <c r="O76" s="144">
        <v>47.47</v>
      </c>
      <c r="P76" s="170">
        <v>4.2444829322071935E-2</v>
      </c>
      <c r="Q76" s="174">
        <v>47238</v>
      </c>
      <c r="R76" s="177"/>
    </row>
    <row r="77" spans="1:18" ht="15" x14ac:dyDescent="0.2">
      <c r="A77" s="142" t="s">
        <v>1205</v>
      </c>
      <c r="B77" s="143" t="s">
        <v>1205</v>
      </c>
      <c r="C77" s="170" t="s">
        <v>1068</v>
      </c>
      <c r="D77" s="143" t="s">
        <v>3409</v>
      </c>
      <c r="E77" s="145" t="s">
        <v>3930</v>
      </c>
      <c r="F77" s="145" t="s">
        <v>3930</v>
      </c>
      <c r="G77" s="143" t="s">
        <v>3410</v>
      </c>
      <c r="H77" s="143" t="s">
        <v>3411</v>
      </c>
      <c r="I77" s="143" t="s">
        <v>312</v>
      </c>
      <c r="J77" s="143" t="s">
        <v>1211</v>
      </c>
      <c r="K77" s="163">
        <v>44769</v>
      </c>
      <c r="L77" s="144">
        <v>193.8</v>
      </c>
      <c r="M77" s="144">
        <v>718.99800000000005</v>
      </c>
      <c r="N77" s="144">
        <v>92.561970000000017</v>
      </c>
      <c r="O77" s="144">
        <v>343.40490870000002</v>
      </c>
      <c r="P77" s="170">
        <v>0.47761594427244586</v>
      </c>
      <c r="Q77" s="174">
        <v>48055</v>
      </c>
      <c r="R77" s="177"/>
    </row>
    <row r="78" spans="1:18" ht="15" x14ac:dyDescent="0.2">
      <c r="A78" s="142" t="s">
        <v>1205</v>
      </c>
      <c r="B78" s="143" t="s">
        <v>1205</v>
      </c>
      <c r="C78" s="170" t="s">
        <v>1068</v>
      </c>
      <c r="D78" s="143" t="s">
        <v>3400</v>
      </c>
      <c r="E78" s="145" t="s">
        <v>3930</v>
      </c>
      <c r="F78" s="145" t="s">
        <v>3930</v>
      </c>
      <c r="G78" s="143" t="s">
        <v>3401</v>
      </c>
      <c r="H78" s="143" t="s">
        <v>3402</v>
      </c>
      <c r="I78" s="143" t="s">
        <v>312</v>
      </c>
      <c r="J78" s="143" t="s">
        <v>1211</v>
      </c>
      <c r="K78" s="163">
        <v>44525</v>
      </c>
      <c r="L78" s="144">
        <v>233.78800000000001</v>
      </c>
      <c r="M78" s="144">
        <v>867.35347999999999</v>
      </c>
      <c r="N78" s="144">
        <v>124.38200000000001</v>
      </c>
      <c r="O78" s="144">
        <v>461.45721999999995</v>
      </c>
      <c r="P78" s="170">
        <v>0.53202901774257016</v>
      </c>
      <c r="Q78" s="174">
        <v>47083</v>
      </c>
      <c r="R78" s="177"/>
    </row>
    <row r="79" spans="1:18" ht="15" x14ac:dyDescent="0.2">
      <c r="A79" s="142" t="s">
        <v>1205</v>
      </c>
      <c r="B79" s="143" t="s">
        <v>1205</v>
      </c>
      <c r="C79" s="170" t="s">
        <v>1068</v>
      </c>
      <c r="D79" s="143" t="s">
        <v>3603</v>
      </c>
      <c r="E79" s="145" t="s">
        <v>3930</v>
      </c>
      <c r="F79" s="145" t="s">
        <v>3930</v>
      </c>
      <c r="G79" s="143" t="s">
        <v>3604</v>
      </c>
      <c r="H79" s="143" t="s">
        <v>3605</v>
      </c>
      <c r="I79" s="143" t="s">
        <v>312</v>
      </c>
      <c r="J79" s="143" t="s">
        <v>1211</v>
      </c>
      <c r="K79" s="163">
        <v>45350</v>
      </c>
      <c r="L79" s="144">
        <v>50</v>
      </c>
      <c r="M79" s="144">
        <v>185.5</v>
      </c>
      <c r="N79" s="144">
        <v>41.25</v>
      </c>
      <c r="O79" s="144">
        <v>153.03749999999999</v>
      </c>
      <c r="P79" s="170">
        <v>0.82499999999999996</v>
      </c>
      <c r="Q79" s="174">
        <v>49003</v>
      </c>
      <c r="R79" s="177"/>
    </row>
    <row r="80" spans="1:18" ht="15" x14ac:dyDescent="0.2">
      <c r="A80" s="142" t="s">
        <v>1205</v>
      </c>
      <c r="B80" s="143" t="s">
        <v>1205</v>
      </c>
      <c r="C80" s="170" t="s">
        <v>1068</v>
      </c>
      <c r="D80" s="143" t="s">
        <v>3534</v>
      </c>
      <c r="E80" s="145" t="s">
        <v>3930</v>
      </c>
      <c r="F80" s="145" t="s">
        <v>3930</v>
      </c>
      <c r="G80" s="143" t="s">
        <v>3535</v>
      </c>
      <c r="H80" s="143" t="s">
        <v>3536</v>
      </c>
      <c r="I80" s="143" t="s">
        <v>312</v>
      </c>
      <c r="J80" s="143" t="s">
        <v>1211</v>
      </c>
      <c r="K80" s="163">
        <v>45012</v>
      </c>
      <c r="L80" s="144">
        <v>182.4</v>
      </c>
      <c r="M80" s="144">
        <v>676.70399999999995</v>
      </c>
      <c r="N80" s="144">
        <v>71.135999999999996</v>
      </c>
      <c r="O80" s="144">
        <v>263.91455999999999</v>
      </c>
      <c r="P80" s="170">
        <v>0.39</v>
      </c>
      <c r="Q80" s="174">
        <v>47543</v>
      </c>
      <c r="R80" s="177"/>
    </row>
    <row r="81" spans="1:18" ht="15" x14ac:dyDescent="0.2">
      <c r="A81" s="142" t="s">
        <v>1205</v>
      </c>
      <c r="B81" s="143" t="s">
        <v>1205</v>
      </c>
      <c r="C81" s="170" t="s">
        <v>1068</v>
      </c>
      <c r="D81" s="143" t="s">
        <v>314</v>
      </c>
      <c r="E81" s="145" t="s">
        <v>3930</v>
      </c>
      <c r="F81" s="145" t="s">
        <v>3930</v>
      </c>
      <c r="G81" s="143" t="s">
        <v>3639</v>
      </c>
      <c r="H81" s="143" t="s">
        <v>3640</v>
      </c>
      <c r="I81" s="143" t="s">
        <v>312</v>
      </c>
      <c r="J81" s="143" t="s">
        <v>1211</v>
      </c>
      <c r="K81" s="163">
        <v>44136</v>
      </c>
      <c r="L81" s="144">
        <v>370.88499999999999</v>
      </c>
      <c r="M81" s="144">
        <v>1375.9833500000002</v>
      </c>
      <c r="N81" s="144">
        <v>4.9640000000000004</v>
      </c>
      <c r="O81" s="144">
        <v>18.416439999999998</v>
      </c>
      <c r="P81" s="170">
        <v>1.3384202650417244E-2</v>
      </c>
      <c r="Q81" s="174">
        <v>47269</v>
      </c>
      <c r="R81" s="177"/>
    </row>
    <row r="82" spans="1:18" ht="15" x14ac:dyDescent="0.2">
      <c r="A82" s="142" t="s">
        <v>1205</v>
      </c>
      <c r="B82" s="143" t="s">
        <v>1205</v>
      </c>
      <c r="C82" s="170" t="s">
        <v>1068</v>
      </c>
      <c r="D82" s="143" t="s">
        <v>314</v>
      </c>
      <c r="E82" s="145" t="s">
        <v>3930</v>
      </c>
      <c r="F82" s="145" t="s">
        <v>3930</v>
      </c>
      <c r="G82" s="143" t="s">
        <v>3641</v>
      </c>
      <c r="H82" s="143" t="s">
        <v>3642</v>
      </c>
      <c r="I82" s="143" t="s">
        <v>312</v>
      </c>
      <c r="J82" s="143" t="s">
        <v>1211</v>
      </c>
      <c r="K82" s="163">
        <v>44769</v>
      </c>
      <c r="L82" s="144">
        <v>477.97399999999999</v>
      </c>
      <c r="M82" s="144">
        <v>1773.2835400000001</v>
      </c>
      <c r="N82" s="144">
        <v>18.928999999999998</v>
      </c>
      <c r="O82" s="144">
        <v>70.226590000000002</v>
      </c>
      <c r="P82" s="170">
        <v>3.9602572524865369E-2</v>
      </c>
      <c r="Q82" s="174">
        <v>47543</v>
      </c>
      <c r="R82" s="177"/>
    </row>
    <row r="83" spans="1:18" ht="15" x14ac:dyDescent="0.2">
      <c r="A83" s="142" t="s">
        <v>1205</v>
      </c>
      <c r="B83" s="143" t="s">
        <v>1205</v>
      </c>
      <c r="C83" s="170" t="s">
        <v>1068</v>
      </c>
      <c r="D83" s="143" t="s">
        <v>3558</v>
      </c>
      <c r="E83" s="145" t="s">
        <v>3930</v>
      </c>
      <c r="F83" s="145" t="s">
        <v>3930</v>
      </c>
      <c r="G83" s="143" t="s">
        <v>3558</v>
      </c>
      <c r="H83" s="143" t="s">
        <v>3559</v>
      </c>
      <c r="I83" s="143" t="s">
        <v>312</v>
      </c>
      <c r="J83" s="143" t="s">
        <v>1210</v>
      </c>
      <c r="K83" s="163">
        <v>44192</v>
      </c>
      <c r="L83" s="144">
        <v>604.16499999999996</v>
      </c>
      <c r="M83" s="144">
        <v>604.16499999999996</v>
      </c>
      <c r="N83" s="144">
        <v>215.28998999999999</v>
      </c>
      <c r="O83" s="144">
        <v>215.28998999999999</v>
      </c>
      <c r="P83" s="170">
        <v>0.35634303542906326</v>
      </c>
      <c r="Q83" s="174">
        <v>46905</v>
      </c>
      <c r="R83" s="177"/>
    </row>
    <row r="84" spans="1:18" ht="15" x14ac:dyDescent="0.2">
      <c r="A84" s="142" t="s">
        <v>1205</v>
      </c>
      <c r="B84" s="143" t="s">
        <v>1205</v>
      </c>
      <c r="C84" s="170" t="s">
        <v>1068</v>
      </c>
      <c r="D84" s="143" t="s">
        <v>3318</v>
      </c>
      <c r="E84" s="145" t="s">
        <v>3930</v>
      </c>
      <c r="F84" s="145" t="s">
        <v>3930</v>
      </c>
      <c r="G84" s="143" t="s">
        <v>3319</v>
      </c>
      <c r="H84" s="143" t="s">
        <v>3320</v>
      </c>
      <c r="I84" s="143" t="s">
        <v>312</v>
      </c>
      <c r="J84" s="143" t="s">
        <v>1211</v>
      </c>
      <c r="K84" s="163">
        <v>44679</v>
      </c>
      <c r="L84" s="144">
        <v>570</v>
      </c>
      <c r="M84" s="144">
        <v>2114.6999999999998</v>
      </c>
      <c r="N84" s="144">
        <v>20.65</v>
      </c>
      <c r="O84" s="144">
        <v>76.611500000000007</v>
      </c>
      <c r="P84" s="170">
        <v>3.6228070175438595E-2</v>
      </c>
      <c r="Q84" s="174">
        <v>47664</v>
      </c>
      <c r="R84" s="177"/>
    </row>
    <row r="85" spans="1:18" ht="15" x14ac:dyDescent="0.2">
      <c r="A85" s="142" t="s">
        <v>1205</v>
      </c>
      <c r="B85" s="143" t="s">
        <v>1205</v>
      </c>
      <c r="C85" s="170" t="s">
        <v>1068</v>
      </c>
      <c r="D85" s="143" t="s">
        <v>3361</v>
      </c>
      <c r="E85" s="145" t="s">
        <v>3930</v>
      </c>
      <c r="F85" s="145" t="s">
        <v>3930</v>
      </c>
      <c r="G85" s="143" t="s">
        <v>3362</v>
      </c>
      <c r="H85" s="143" t="s">
        <v>3363</v>
      </c>
      <c r="I85" s="143" t="s">
        <v>312</v>
      </c>
      <c r="J85" s="143" t="s">
        <v>1211</v>
      </c>
      <c r="K85" s="163">
        <v>44193</v>
      </c>
      <c r="L85" s="144">
        <v>390.57774999999998</v>
      </c>
      <c r="M85" s="144">
        <v>1449.0434524999998</v>
      </c>
      <c r="N85" s="144">
        <v>150.95626999999999</v>
      </c>
      <c r="O85" s="144">
        <v>560.04776169999991</v>
      </c>
      <c r="P85" s="170">
        <v>0.38649480161120287</v>
      </c>
      <c r="Q85" s="174">
        <v>47817</v>
      </c>
      <c r="R85" s="177"/>
    </row>
    <row r="86" spans="1:18" ht="15" x14ac:dyDescent="0.2">
      <c r="A86" s="142" t="s">
        <v>1205</v>
      </c>
      <c r="B86" s="143" t="s">
        <v>1205</v>
      </c>
      <c r="C86" s="170" t="s">
        <v>1068</v>
      </c>
      <c r="D86" s="143" t="s">
        <v>3330</v>
      </c>
      <c r="E86" s="145" t="s">
        <v>3930</v>
      </c>
      <c r="F86" s="145" t="s">
        <v>3930</v>
      </c>
      <c r="G86" s="143" t="s">
        <v>3331</v>
      </c>
      <c r="H86" s="143" t="s">
        <v>3332</v>
      </c>
      <c r="I86" s="143" t="s">
        <v>312</v>
      </c>
      <c r="J86" s="143" t="s">
        <v>1211</v>
      </c>
      <c r="K86" s="163">
        <v>44136</v>
      </c>
      <c r="L86" s="144">
        <v>584.51800000000003</v>
      </c>
      <c r="M86" s="144">
        <v>2168.56178</v>
      </c>
      <c r="N86" s="144">
        <v>106.78100000000001</v>
      </c>
      <c r="O86" s="144">
        <v>396.15751</v>
      </c>
      <c r="P86" s="170">
        <v>0.18268214152515408</v>
      </c>
      <c r="Q86" s="174">
        <v>47046</v>
      </c>
      <c r="R86" s="177"/>
    </row>
    <row r="87" spans="1:18" ht="15" x14ac:dyDescent="0.2">
      <c r="A87" s="142" t="s">
        <v>1205</v>
      </c>
      <c r="B87" s="143" t="s">
        <v>1205</v>
      </c>
      <c r="C87" s="170" t="s">
        <v>1068</v>
      </c>
      <c r="D87" s="143" t="s">
        <v>3420</v>
      </c>
      <c r="E87" s="145" t="s">
        <v>3930</v>
      </c>
      <c r="F87" s="145" t="s">
        <v>3930</v>
      </c>
      <c r="G87" s="143" t="s">
        <v>3421</v>
      </c>
      <c r="H87" s="143" t="s">
        <v>3422</v>
      </c>
      <c r="I87" s="143" t="s">
        <v>312</v>
      </c>
      <c r="J87" s="143" t="s">
        <v>1211</v>
      </c>
      <c r="K87" s="163">
        <v>44376</v>
      </c>
      <c r="L87" s="144">
        <v>233.78800000000001</v>
      </c>
      <c r="M87" s="144">
        <v>867.35347999999999</v>
      </c>
      <c r="N87" s="144">
        <v>179.23996</v>
      </c>
      <c r="O87" s="144">
        <v>664.98025159999997</v>
      </c>
      <c r="P87" s="170">
        <v>0.76667733159956886</v>
      </c>
      <c r="Q87" s="174">
        <v>48029</v>
      </c>
      <c r="R87" s="177"/>
    </row>
    <row r="88" spans="1:18" ht="15" x14ac:dyDescent="0.2">
      <c r="A88" s="142" t="s">
        <v>1205</v>
      </c>
      <c r="B88" s="143" t="s">
        <v>1205</v>
      </c>
      <c r="C88" s="170" t="s">
        <v>1068</v>
      </c>
      <c r="D88" s="143" t="s">
        <v>3653</v>
      </c>
      <c r="E88" s="145" t="s">
        <v>3930</v>
      </c>
      <c r="F88" s="145" t="s">
        <v>3930</v>
      </c>
      <c r="G88" s="143" t="s">
        <v>3646</v>
      </c>
      <c r="H88" s="143" t="s">
        <v>3654</v>
      </c>
      <c r="I88" s="143" t="s">
        <v>312</v>
      </c>
      <c r="J88" s="143" t="s">
        <v>1211</v>
      </c>
      <c r="K88" s="163">
        <v>44136</v>
      </c>
      <c r="L88" s="144">
        <v>90.578999999999994</v>
      </c>
      <c r="M88" s="144">
        <v>336.04809</v>
      </c>
      <c r="N88" s="144">
        <v>22.646999999999998</v>
      </c>
      <c r="O88" s="144">
        <v>84.02037</v>
      </c>
      <c r="P88" s="170">
        <v>0.25002484019474708</v>
      </c>
      <c r="Q88" s="174">
        <v>48883</v>
      </c>
      <c r="R88" s="177"/>
    </row>
    <row r="89" spans="1:18" ht="15" x14ac:dyDescent="0.2">
      <c r="A89" s="142" t="s">
        <v>1205</v>
      </c>
      <c r="B89" s="143" t="s">
        <v>1205</v>
      </c>
      <c r="C89" s="170" t="s">
        <v>1068</v>
      </c>
      <c r="D89" s="143" t="s">
        <v>3478</v>
      </c>
      <c r="E89" s="145" t="s">
        <v>3930</v>
      </c>
      <c r="F89" s="145" t="s">
        <v>3930</v>
      </c>
      <c r="G89" s="143" t="s">
        <v>3484</v>
      </c>
      <c r="H89" s="143" t="s">
        <v>3485</v>
      </c>
      <c r="I89" s="143" t="s">
        <v>312</v>
      </c>
      <c r="J89" s="143" t="s">
        <v>1210</v>
      </c>
      <c r="K89" s="163">
        <v>44136</v>
      </c>
      <c r="L89" s="144">
        <v>1280</v>
      </c>
      <c r="M89" s="144">
        <v>1280</v>
      </c>
      <c r="N89" s="144">
        <v>103.208</v>
      </c>
      <c r="O89" s="144">
        <v>103.208</v>
      </c>
      <c r="P89" s="170">
        <v>8.0631250000000002E-2</v>
      </c>
      <c r="Q89" s="174">
        <v>47789</v>
      </c>
      <c r="R89" s="177"/>
    </row>
    <row r="90" spans="1:18" ht="15" x14ac:dyDescent="0.2">
      <c r="A90" s="142" t="s">
        <v>1205</v>
      </c>
      <c r="B90" s="143" t="s">
        <v>1205</v>
      </c>
      <c r="C90" s="170" t="s">
        <v>1068</v>
      </c>
      <c r="D90" s="143" t="s">
        <v>3508</v>
      </c>
      <c r="E90" s="145" t="s">
        <v>3930</v>
      </c>
      <c r="F90" s="145" t="s">
        <v>3930</v>
      </c>
      <c r="G90" s="143" t="s">
        <v>3509</v>
      </c>
      <c r="H90" s="143" t="s">
        <v>3510</v>
      </c>
      <c r="I90" s="143" t="s">
        <v>312</v>
      </c>
      <c r="J90" s="143" t="s">
        <v>1218</v>
      </c>
      <c r="K90" s="163">
        <v>44136</v>
      </c>
      <c r="L90" s="144">
        <v>746.33312799999987</v>
      </c>
      <c r="M90" s="144">
        <v>3099.0736807071994</v>
      </c>
      <c r="N90" s="144">
        <v>91.947797999999949</v>
      </c>
      <c r="O90" s="144">
        <v>381.80403641519979</v>
      </c>
      <c r="P90" s="170">
        <v>0.12319940593605805</v>
      </c>
      <c r="Q90" s="174">
        <v>45961</v>
      </c>
      <c r="R90" s="177"/>
    </row>
    <row r="91" spans="1:18" ht="15" x14ac:dyDescent="0.2">
      <c r="A91" s="142" t="s">
        <v>1205</v>
      </c>
      <c r="B91" s="143" t="s">
        <v>1205</v>
      </c>
      <c r="C91" s="170" t="s">
        <v>1068</v>
      </c>
      <c r="D91" s="143" t="s">
        <v>3388</v>
      </c>
      <c r="E91" s="145" t="s">
        <v>3930</v>
      </c>
      <c r="F91" s="145" t="s">
        <v>3930</v>
      </c>
      <c r="G91" s="143" t="s">
        <v>3459</v>
      </c>
      <c r="H91" s="143" t="s">
        <v>3460</v>
      </c>
      <c r="I91" s="143" t="s">
        <v>312</v>
      </c>
      <c r="J91" s="143" t="s">
        <v>1211</v>
      </c>
      <c r="K91" s="163">
        <v>44651</v>
      </c>
      <c r="L91" s="144">
        <v>414</v>
      </c>
      <c r="M91" s="144">
        <v>1535.94</v>
      </c>
      <c r="N91" s="144">
        <v>188.37698999999998</v>
      </c>
      <c r="O91" s="144">
        <v>698.87863289999996</v>
      </c>
      <c r="P91" s="170">
        <v>0.45501688405797097</v>
      </c>
      <c r="Q91" s="174">
        <v>48303</v>
      </c>
      <c r="R91" s="177"/>
    </row>
    <row r="92" spans="1:18" ht="15" x14ac:dyDescent="0.2">
      <c r="A92" s="142" t="s">
        <v>1205</v>
      </c>
      <c r="B92" s="143" t="s">
        <v>1205</v>
      </c>
      <c r="C92" s="170" t="s">
        <v>1068</v>
      </c>
      <c r="D92" s="143" t="s">
        <v>3552</v>
      </c>
      <c r="E92" s="145" t="s">
        <v>3930</v>
      </c>
      <c r="F92" s="145" t="s">
        <v>3930</v>
      </c>
      <c r="G92" s="143" t="s">
        <v>3553</v>
      </c>
      <c r="H92" s="143" t="s">
        <v>3554</v>
      </c>
      <c r="I92" s="143" t="s">
        <v>312</v>
      </c>
      <c r="J92" s="143" t="s">
        <v>1210</v>
      </c>
      <c r="K92" s="163">
        <v>44136</v>
      </c>
      <c r="L92" s="144">
        <v>2505.9119999999998</v>
      </c>
      <c r="M92" s="144">
        <v>2505.9119999999998</v>
      </c>
      <c r="N92" s="144">
        <v>300.39620000000019</v>
      </c>
      <c r="O92" s="144">
        <v>300.39620000000019</v>
      </c>
      <c r="P92" s="170">
        <v>0.11987499960094376</v>
      </c>
      <c r="Q92" s="174">
        <v>46507</v>
      </c>
      <c r="R92" s="177"/>
    </row>
    <row r="93" spans="1:18" ht="15" x14ac:dyDescent="0.2">
      <c r="A93" s="142" t="s">
        <v>1205</v>
      </c>
      <c r="B93" s="143" t="s">
        <v>1205</v>
      </c>
      <c r="C93" s="170" t="s">
        <v>1068</v>
      </c>
      <c r="D93" s="143" t="s">
        <v>3428</v>
      </c>
      <c r="E93" s="145" t="s">
        <v>3930</v>
      </c>
      <c r="F93" s="145" t="s">
        <v>3930</v>
      </c>
      <c r="G93" s="143" t="s">
        <v>3429</v>
      </c>
      <c r="H93" s="143" t="s">
        <v>3430</v>
      </c>
      <c r="I93" s="143" t="s">
        <v>312</v>
      </c>
      <c r="J93" s="143" t="s">
        <v>1211</v>
      </c>
      <c r="K93" s="163">
        <v>44742</v>
      </c>
      <c r="L93" s="144">
        <v>364.8</v>
      </c>
      <c r="M93" s="144">
        <v>1353.4079999999999</v>
      </c>
      <c r="N93" s="144">
        <v>323.25085000000001</v>
      </c>
      <c r="O93" s="144">
        <v>1199.2606535</v>
      </c>
      <c r="P93" s="170">
        <v>0.88610430372807014</v>
      </c>
      <c r="Q93" s="174">
        <v>48395</v>
      </c>
      <c r="R93" s="177"/>
    </row>
    <row r="94" spans="1:18" ht="15" x14ac:dyDescent="0.2">
      <c r="A94" s="142" t="s">
        <v>1205</v>
      </c>
      <c r="B94" s="143" t="s">
        <v>1205</v>
      </c>
      <c r="C94" s="170" t="s">
        <v>1068</v>
      </c>
      <c r="D94" s="143" t="s">
        <v>3548</v>
      </c>
      <c r="E94" s="145" t="s">
        <v>3930</v>
      </c>
      <c r="F94" s="145" t="s">
        <v>3930</v>
      </c>
      <c r="G94" s="143" t="s">
        <v>3548</v>
      </c>
      <c r="H94" s="143" t="s">
        <v>3549</v>
      </c>
      <c r="I94" s="143" t="s">
        <v>312</v>
      </c>
      <c r="J94" s="143" t="s">
        <v>1211</v>
      </c>
      <c r="K94" s="163">
        <v>45503</v>
      </c>
      <c r="L94" s="144">
        <v>50</v>
      </c>
      <c r="M94" s="144">
        <v>185.5</v>
      </c>
      <c r="N94" s="144">
        <v>37.5</v>
      </c>
      <c r="O94" s="144">
        <v>139.125</v>
      </c>
      <c r="P94" s="170">
        <v>0.75</v>
      </c>
      <c r="Q94" s="174">
        <v>49155</v>
      </c>
      <c r="R94" s="177"/>
    </row>
    <row r="95" spans="1:18" ht="15" x14ac:dyDescent="0.2">
      <c r="A95" s="142" t="s">
        <v>1205</v>
      </c>
      <c r="B95" s="143" t="s">
        <v>1205</v>
      </c>
      <c r="C95" s="170" t="s">
        <v>1068</v>
      </c>
      <c r="D95" s="143" t="s">
        <v>3445</v>
      </c>
      <c r="E95" s="145" t="s">
        <v>3930</v>
      </c>
      <c r="F95" s="145" t="s">
        <v>3930</v>
      </c>
      <c r="G95" s="143" t="s">
        <v>3448</v>
      </c>
      <c r="H95" s="143" t="s">
        <v>3449</v>
      </c>
      <c r="I95" s="143" t="s">
        <v>312</v>
      </c>
      <c r="J95" s="143" t="s">
        <v>1210</v>
      </c>
      <c r="K95" s="163">
        <v>44286</v>
      </c>
      <c r="L95" s="144">
        <v>1554.4349999999999</v>
      </c>
      <c r="M95" s="144">
        <v>1554.4349999999999</v>
      </c>
      <c r="N95" s="144">
        <v>509.35998999999998</v>
      </c>
      <c r="O95" s="144">
        <v>509.35998999999998</v>
      </c>
      <c r="P95" s="170">
        <v>0.3276817557504817</v>
      </c>
      <c r="Q95" s="174">
        <v>48669</v>
      </c>
      <c r="R95" s="177"/>
    </row>
    <row r="96" spans="1:18" ht="15" x14ac:dyDescent="0.2">
      <c r="A96" s="142" t="s">
        <v>1205</v>
      </c>
      <c r="B96" s="143" t="s">
        <v>1205</v>
      </c>
      <c r="C96" s="170" t="s">
        <v>1068</v>
      </c>
      <c r="D96" s="143" t="s">
        <v>3489</v>
      </c>
      <c r="E96" s="145" t="s">
        <v>3930</v>
      </c>
      <c r="F96" s="145" t="s">
        <v>3930</v>
      </c>
      <c r="G96" s="143" t="s">
        <v>3490</v>
      </c>
      <c r="H96" s="143" t="s">
        <v>3491</v>
      </c>
      <c r="I96" s="143" t="s">
        <v>312</v>
      </c>
      <c r="J96" s="143" t="s">
        <v>1210</v>
      </c>
      <c r="K96" s="163">
        <v>44651</v>
      </c>
      <c r="L96" s="144">
        <v>928</v>
      </c>
      <c r="M96" s="144">
        <v>928</v>
      </c>
      <c r="N96" s="144">
        <v>242.58899</v>
      </c>
      <c r="O96" s="144">
        <v>242.58899</v>
      </c>
      <c r="P96" s="170">
        <v>0.26141054956896553</v>
      </c>
      <c r="Q96" s="174">
        <v>48304</v>
      </c>
      <c r="R96" s="177"/>
    </row>
    <row r="97" spans="1:18" ht="15" x14ac:dyDescent="0.2">
      <c r="A97" s="142" t="s">
        <v>1205</v>
      </c>
      <c r="B97" s="143" t="s">
        <v>1205</v>
      </c>
      <c r="C97" s="170" t="s">
        <v>1068</v>
      </c>
      <c r="D97" s="143" t="s">
        <v>3660</v>
      </c>
      <c r="E97" s="145" t="s">
        <v>3930</v>
      </c>
      <c r="F97" s="145" t="s">
        <v>3930</v>
      </c>
      <c r="G97" s="143" t="s">
        <v>3661</v>
      </c>
      <c r="H97" s="143" t="s">
        <v>3662</v>
      </c>
      <c r="I97" s="143" t="s">
        <v>312</v>
      </c>
      <c r="J97" s="143" t="s">
        <v>1211</v>
      </c>
      <c r="K97" s="163">
        <v>45503</v>
      </c>
      <c r="L97" s="144">
        <v>60</v>
      </c>
      <c r="M97" s="144">
        <v>222.6</v>
      </c>
      <c r="N97" s="144">
        <v>59.01</v>
      </c>
      <c r="O97" s="144">
        <v>218.9271</v>
      </c>
      <c r="P97" s="170">
        <v>0.98350000000000004</v>
      </c>
      <c r="Q97" s="174">
        <v>49155</v>
      </c>
      <c r="R97" s="177"/>
    </row>
    <row r="98" spans="1:18" ht="15" x14ac:dyDescent="0.2">
      <c r="A98" s="142" t="s">
        <v>1205</v>
      </c>
      <c r="B98" s="143" t="s">
        <v>1205</v>
      </c>
      <c r="C98" s="170" t="s">
        <v>1068</v>
      </c>
      <c r="D98" s="143" t="s">
        <v>3339</v>
      </c>
      <c r="E98" s="145" t="s">
        <v>3930</v>
      </c>
      <c r="F98" s="145" t="s">
        <v>3930</v>
      </c>
      <c r="G98" s="143" t="s">
        <v>3340</v>
      </c>
      <c r="H98" s="143" t="s">
        <v>3341</v>
      </c>
      <c r="I98" s="143" t="s">
        <v>312</v>
      </c>
      <c r="J98" s="143" t="s">
        <v>1218</v>
      </c>
      <c r="K98" s="163">
        <v>44143</v>
      </c>
      <c r="L98" s="144">
        <v>395.185</v>
      </c>
      <c r="M98" s="144">
        <v>1640.9661940000001</v>
      </c>
      <c r="N98" s="144">
        <v>52.415059999999997</v>
      </c>
      <c r="O98" s="144">
        <v>217.648295144</v>
      </c>
      <c r="P98" s="170">
        <v>0.13263423459898527</v>
      </c>
      <c r="Q98" s="174">
        <v>48518</v>
      </c>
      <c r="R98" s="177"/>
    </row>
    <row r="99" spans="1:18" ht="15" x14ac:dyDescent="0.2">
      <c r="A99" s="142" t="s">
        <v>1205</v>
      </c>
      <c r="B99" s="143" t="s">
        <v>1205</v>
      </c>
      <c r="C99" s="170" t="s">
        <v>1068</v>
      </c>
      <c r="D99" s="143" t="s">
        <v>3373</v>
      </c>
      <c r="E99" s="145" t="s">
        <v>3930</v>
      </c>
      <c r="F99" s="145" t="s">
        <v>3930</v>
      </c>
      <c r="G99" s="143" t="s">
        <v>3374</v>
      </c>
      <c r="H99" s="143" t="s">
        <v>3375</v>
      </c>
      <c r="I99" s="143" t="s">
        <v>312</v>
      </c>
      <c r="J99" s="143" t="s">
        <v>1218</v>
      </c>
      <c r="K99" s="163">
        <v>44143</v>
      </c>
      <c r="L99" s="144">
        <v>216.798</v>
      </c>
      <c r="M99" s="144">
        <v>900.23201519999998</v>
      </c>
      <c r="N99" s="144">
        <v>6.3389400000000027</v>
      </c>
      <c r="O99" s="144">
        <v>26.321814456000013</v>
      </c>
      <c r="P99" s="170">
        <v>2.9238922868292154E-2</v>
      </c>
      <c r="Q99" s="174">
        <v>48052</v>
      </c>
      <c r="R99" s="177"/>
    </row>
    <row r="100" spans="1:18" ht="15" x14ac:dyDescent="0.2">
      <c r="A100" s="142" t="s">
        <v>1205</v>
      </c>
      <c r="B100" s="143" t="s">
        <v>1205</v>
      </c>
      <c r="C100" s="170" t="s">
        <v>1068</v>
      </c>
      <c r="D100" s="143" t="s">
        <v>3350</v>
      </c>
      <c r="E100" s="145" t="s">
        <v>3930</v>
      </c>
      <c r="F100" s="145" t="s">
        <v>3930</v>
      </c>
      <c r="G100" s="143" t="s">
        <v>3351</v>
      </c>
      <c r="H100" s="143" t="s">
        <v>3352</v>
      </c>
      <c r="I100" s="143" t="s">
        <v>312</v>
      </c>
      <c r="J100" s="143" t="s">
        <v>1218</v>
      </c>
      <c r="K100" s="163">
        <v>44143</v>
      </c>
      <c r="L100" s="144">
        <v>343.49056999999999</v>
      </c>
      <c r="M100" s="144">
        <v>1426.3102428680002</v>
      </c>
      <c r="N100" s="144">
        <v>59.328320000000005</v>
      </c>
      <c r="O100" s="144">
        <v>246.35491596800006</v>
      </c>
      <c r="P100" s="170">
        <v>0.17272183047121206</v>
      </c>
      <c r="Q100" s="174">
        <v>47664</v>
      </c>
      <c r="R100" s="177"/>
    </row>
    <row r="101" spans="1:18" ht="15" x14ac:dyDescent="0.2">
      <c r="A101" s="142" t="s">
        <v>1205</v>
      </c>
      <c r="B101" s="143" t="s">
        <v>1205</v>
      </c>
      <c r="C101" s="170" t="s">
        <v>1068</v>
      </c>
      <c r="D101" s="143" t="s">
        <v>3376</v>
      </c>
      <c r="E101" s="145" t="s">
        <v>3930</v>
      </c>
      <c r="F101" s="145" t="s">
        <v>3930</v>
      </c>
      <c r="G101" s="143" t="s">
        <v>3377</v>
      </c>
      <c r="H101" s="143" t="s">
        <v>3378</v>
      </c>
      <c r="I101" s="143" t="s">
        <v>312</v>
      </c>
      <c r="J101" s="143" t="s">
        <v>1211</v>
      </c>
      <c r="K101" s="163">
        <v>44136</v>
      </c>
      <c r="L101" s="144">
        <v>246.465</v>
      </c>
      <c r="M101" s="144">
        <v>914.38515000000007</v>
      </c>
      <c r="N101" s="144">
        <v>3.2010000000000001</v>
      </c>
      <c r="O101" s="144">
        <v>11.87571</v>
      </c>
      <c r="P101" s="170">
        <v>1.2987645304607144E-2</v>
      </c>
      <c r="Q101" s="174">
        <v>47573</v>
      </c>
      <c r="R101" s="177"/>
    </row>
    <row r="102" spans="1:18" ht="15" x14ac:dyDescent="0.2">
      <c r="A102" s="142" t="s">
        <v>1205</v>
      </c>
      <c r="B102" s="143" t="s">
        <v>1205</v>
      </c>
      <c r="C102" s="170" t="s">
        <v>1068</v>
      </c>
      <c r="D102" s="143" t="s">
        <v>3394</v>
      </c>
      <c r="E102" s="145" t="s">
        <v>3930</v>
      </c>
      <c r="F102" s="145" t="s">
        <v>3930</v>
      </c>
      <c r="G102" s="143" t="s">
        <v>3395</v>
      </c>
      <c r="H102" s="143" t="s">
        <v>3396</v>
      </c>
      <c r="I102" s="143" t="s">
        <v>312</v>
      </c>
      <c r="J102" s="143" t="s">
        <v>1211</v>
      </c>
      <c r="K102" s="163">
        <v>44136</v>
      </c>
      <c r="L102" s="144">
        <v>338.76259999999996</v>
      </c>
      <c r="M102" s="144">
        <v>1256.8092459999998</v>
      </c>
      <c r="N102" s="144">
        <v>58.21296999999997</v>
      </c>
      <c r="O102" s="144">
        <v>215.97011869999992</v>
      </c>
      <c r="P102" s="170">
        <v>0.17184001421644532</v>
      </c>
      <c r="Q102" s="174">
        <v>47789</v>
      </c>
      <c r="R102" s="177"/>
    </row>
    <row r="103" spans="1:18" ht="15" x14ac:dyDescent="0.2">
      <c r="A103" s="142" t="s">
        <v>1205</v>
      </c>
      <c r="B103" s="143" t="s">
        <v>1205</v>
      </c>
      <c r="C103" s="170" t="s">
        <v>1068</v>
      </c>
      <c r="D103" s="143" t="s">
        <v>3285</v>
      </c>
      <c r="E103" s="145" t="s">
        <v>3930</v>
      </c>
      <c r="F103" s="145" t="s">
        <v>3930</v>
      </c>
      <c r="G103" s="143" t="s">
        <v>3286</v>
      </c>
      <c r="H103" s="143" t="s">
        <v>3287</v>
      </c>
      <c r="I103" s="143" t="s">
        <v>312</v>
      </c>
      <c r="J103" s="143" t="s">
        <v>1211</v>
      </c>
      <c r="K103" s="163">
        <v>44136</v>
      </c>
      <c r="L103" s="144">
        <v>275</v>
      </c>
      <c r="M103" s="144">
        <v>1020.25</v>
      </c>
      <c r="N103" s="144">
        <v>29.5</v>
      </c>
      <c r="O103" s="144">
        <v>109.44499999999999</v>
      </c>
      <c r="P103" s="170">
        <v>0.10727272727272727</v>
      </c>
      <c r="Q103" s="174">
        <v>47789</v>
      </c>
      <c r="R103" s="177"/>
    </row>
    <row r="104" spans="1:18" ht="15" x14ac:dyDescent="0.2">
      <c r="A104" s="142" t="s">
        <v>1205</v>
      </c>
      <c r="B104" s="143" t="s">
        <v>1205</v>
      </c>
      <c r="C104" s="170" t="s">
        <v>1068</v>
      </c>
      <c r="D104" s="143" t="s">
        <v>3315</v>
      </c>
      <c r="E104" s="145" t="s">
        <v>3930</v>
      </c>
      <c r="F104" s="145" t="s">
        <v>3930</v>
      </c>
      <c r="G104" s="143" t="s">
        <v>3316</v>
      </c>
      <c r="H104" s="143" t="s">
        <v>3317</v>
      </c>
      <c r="I104" s="143" t="s">
        <v>312</v>
      </c>
      <c r="J104" s="143" t="s">
        <v>1211</v>
      </c>
      <c r="K104" s="163">
        <v>43038</v>
      </c>
      <c r="L104" s="144">
        <v>200</v>
      </c>
      <c r="M104" s="144">
        <v>742</v>
      </c>
      <c r="N104" s="144">
        <v>18.053000000000001</v>
      </c>
      <c r="O104" s="144">
        <v>66.97663</v>
      </c>
      <c r="P104" s="170">
        <v>9.0265000000000012E-2</v>
      </c>
      <c r="Q104" s="174">
        <v>46691</v>
      </c>
      <c r="R104" s="177"/>
    </row>
    <row r="105" spans="1:18" ht="15" x14ac:dyDescent="0.2">
      <c r="A105" s="142" t="s">
        <v>1205</v>
      </c>
      <c r="B105" s="143" t="s">
        <v>1205</v>
      </c>
      <c r="C105" s="170" t="s">
        <v>1068</v>
      </c>
      <c r="D105" s="143" t="s">
        <v>3486</v>
      </c>
      <c r="E105" s="145" t="s">
        <v>3930</v>
      </c>
      <c r="F105" s="145" t="s">
        <v>3930</v>
      </c>
      <c r="G105" s="143" t="s">
        <v>3487</v>
      </c>
      <c r="H105" s="143" t="s">
        <v>3488</v>
      </c>
      <c r="I105" s="143" t="s">
        <v>312</v>
      </c>
      <c r="J105" s="143" t="s">
        <v>1210</v>
      </c>
      <c r="K105" s="163">
        <v>44560</v>
      </c>
      <c r="L105" s="144">
        <v>1381.0160000000001</v>
      </c>
      <c r="M105" s="144">
        <v>1381.0160000000001</v>
      </c>
      <c r="N105" s="144">
        <v>433.86900000000003</v>
      </c>
      <c r="O105" s="144">
        <v>433.86900000000003</v>
      </c>
      <c r="P105" s="170">
        <v>0.31416652667311601</v>
      </c>
      <c r="Q105" s="174">
        <v>47118</v>
      </c>
      <c r="R105" s="177"/>
    </row>
    <row r="106" spans="1:18" ht="15" x14ac:dyDescent="0.2">
      <c r="A106" s="142" t="s">
        <v>1205</v>
      </c>
      <c r="B106" s="143" t="s">
        <v>1205</v>
      </c>
      <c r="C106" s="170" t="s">
        <v>1068</v>
      </c>
      <c r="D106" s="143" t="s">
        <v>3423</v>
      </c>
      <c r="E106" s="145" t="s">
        <v>3930</v>
      </c>
      <c r="F106" s="145" t="s">
        <v>3930</v>
      </c>
      <c r="G106" s="143" t="s">
        <v>3424</v>
      </c>
      <c r="H106" s="143" t="s">
        <v>3425</v>
      </c>
      <c r="I106" s="143" t="s">
        <v>312</v>
      </c>
      <c r="J106" s="143" t="s">
        <v>1211</v>
      </c>
      <c r="K106" s="163">
        <v>44560</v>
      </c>
      <c r="L106" s="144">
        <v>139.19999999999999</v>
      </c>
      <c r="M106" s="144">
        <v>516.43200000000002</v>
      </c>
      <c r="N106" s="144">
        <v>90.015989999999988</v>
      </c>
      <c r="O106" s="144">
        <v>333.95932289999996</v>
      </c>
      <c r="P106" s="170">
        <v>0.64666659482758615</v>
      </c>
      <c r="Q106" s="174">
        <v>47118</v>
      </c>
      <c r="R106" s="177"/>
    </row>
    <row r="107" spans="1:18" ht="15" x14ac:dyDescent="0.2">
      <c r="A107" s="142" t="s">
        <v>1205</v>
      </c>
      <c r="B107" s="143" t="s">
        <v>1205</v>
      </c>
      <c r="C107" s="170" t="s">
        <v>1068</v>
      </c>
      <c r="D107" s="143" t="s">
        <v>3423</v>
      </c>
      <c r="E107" s="145" t="s">
        <v>3930</v>
      </c>
      <c r="F107" s="145" t="s">
        <v>3930</v>
      </c>
      <c r="G107" s="143" t="s">
        <v>3435</v>
      </c>
      <c r="H107" s="143" t="s">
        <v>3436</v>
      </c>
      <c r="I107" s="143" t="s">
        <v>312</v>
      </c>
      <c r="J107" s="143" t="s">
        <v>1211</v>
      </c>
      <c r="K107" s="163">
        <v>44560</v>
      </c>
      <c r="L107" s="144">
        <v>92.8</v>
      </c>
      <c r="M107" s="144">
        <v>344.28800000000001</v>
      </c>
      <c r="N107" s="144">
        <v>88.130990000000011</v>
      </c>
      <c r="O107" s="144">
        <v>326.9659729</v>
      </c>
      <c r="P107" s="170">
        <v>0.94968739224137932</v>
      </c>
      <c r="Q107" s="174">
        <v>47118</v>
      </c>
      <c r="R107" s="177"/>
    </row>
    <row r="108" spans="1:18" ht="15" x14ac:dyDescent="0.2">
      <c r="A108" s="142" t="s">
        <v>1205</v>
      </c>
      <c r="B108" s="143" t="s">
        <v>1205</v>
      </c>
      <c r="C108" s="170" t="s">
        <v>1068</v>
      </c>
      <c r="D108" s="143" t="s">
        <v>3303</v>
      </c>
      <c r="E108" s="145" t="s">
        <v>3930</v>
      </c>
      <c r="F108" s="145" t="s">
        <v>3930</v>
      </c>
      <c r="G108" s="143" t="s">
        <v>3304</v>
      </c>
      <c r="H108" s="143" t="s">
        <v>3305</v>
      </c>
      <c r="I108" s="143" t="s">
        <v>312</v>
      </c>
      <c r="J108" s="143" t="s">
        <v>1211</v>
      </c>
      <c r="K108" s="163">
        <v>44560</v>
      </c>
      <c r="L108" s="144">
        <v>348</v>
      </c>
      <c r="M108" s="144">
        <v>1291.08</v>
      </c>
      <c r="N108" s="144">
        <v>255.83199000000002</v>
      </c>
      <c r="O108" s="144">
        <v>949.13668289999998</v>
      </c>
      <c r="P108" s="170">
        <v>0.73514939655172418</v>
      </c>
      <c r="Q108" s="174">
        <v>47118</v>
      </c>
      <c r="R108" s="177"/>
    </row>
    <row r="109" spans="1:18" ht="15" x14ac:dyDescent="0.2">
      <c r="A109" s="142" t="s">
        <v>1220</v>
      </c>
      <c r="B109" s="143" t="s">
        <v>1220</v>
      </c>
      <c r="C109" s="170" t="s">
        <v>1068</v>
      </c>
      <c r="D109" s="143" t="s">
        <v>314</v>
      </c>
      <c r="E109" s="145" t="s">
        <v>3930</v>
      </c>
      <c r="F109" s="145" t="s">
        <v>3930</v>
      </c>
      <c r="G109" s="143" t="s">
        <v>3632</v>
      </c>
      <c r="H109" s="143" t="s">
        <v>3633</v>
      </c>
      <c r="I109" s="143" t="s">
        <v>136</v>
      </c>
      <c r="J109" s="143" t="s">
        <v>1211</v>
      </c>
      <c r="K109" s="163">
        <v>45313</v>
      </c>
      <c r="L109" s="144">
        <v>2983.7575742000004</v>
      </c>
      <c r="M109" s="144">
        <v>11069.740600282001</v>
      </c>
      <c r="N109" s="144">
        <v>584.75333419999993</v>
      </c>
      <c r="O109" s="144">
        <v>2169.4348698819995</v>
      </c>
      <c r="P109" s="170">
        <v>0.19597883529689336</v>
      </c>
      <c r="Q109" s="174">
        <v>48966</v>
      </c>
      <c r="R109" s="177"/>
    </row>
    <row r="110" spans="1:18" ht="15" x14ac:dyDescent="0.2">
      <c r="A110" s="142" t="s">
        <v>1220</v>
      </c>
      <c r="B110" s="143" t="s">
        <v>1220</v>
      </c>
      <c r="C110" s="170" t="s">
        <v>1068</v>
      </c>
      <c r="D110" s="143" t="s">
        <v>3501</v>
      </c>
      <c r="E110" s="145" t="s">
        <v>3930</v>
      </c>
      <c r="F110" s="145" t="s">
        <v>3930</v>
      </c>
      <c r="G110" s="143" t="s">
        <v>3502</v>
      </c>
      <c r="H110" s="143" t="s">
        <v>3503</v>
      </c>
      <c r="I110" s="143" t="s">
        <v>312</v>
      </c>
      <c r="J110" s="143" t="s">
        <v>1210</v>
      </c>
      <c r="K110" s="163">
        <v>44136</v>
      </c>
      <c r="L110" s="144">
        <v>10240.609</v>
      </c>
      <c r="M110" s="144">
        <v>10240.609</v>
      </c>
      <c r="N110" s="144">
        <v>4491.1109999999999</v>
      </c>
      <c r="O110" s="144">
        <v>4491.1109999999999</v>
      </c>
      <c r="P110" s="170">
        <v>0.43855897632650559</v>
      </c>
      <c r="Q110" s="174">
        <v>46996</v>
      </c>
      <c r="R110" s="177"/>
    </row>
    <row r="111" spans="1:18" ht="15" x14ac:dyDescent="0.2">
      <c r="A111" s="142" t="s">
        <v>1220</v>
      </c>
      <c r="B111" s="143" t="s">
        <v>1220</v>
      </c>
      <c r="C111" s="170" t="s">
        <v>1068</v>
      </c>
      <c r="D111" s="143" t="s">
        <v>3481</v>
      </c>
      <c r="E111" s="145" t="s">
        <v>3930</v>
      </c>
      <c r="F111" s="145" t="s">
        <v>3930</v>
      </c>
      <c r="G111" s="143" t="s">
        <v>3482</v>
      </c>
      <c r="H111" s="143" t="s">
        <v>3483</v>
      </c>
      <c r="I111" s="143" t="s">
        <v>312</v>
      </c>
      <c r="J111" s="143" t="s">
        <v>1210</v>
      </c>
      <c r="K111" s="163">
        <v>44136</v>
      </c>
      <c r="L111" s="144">
        <v>17555.528999999999</v>
      </c>
      <c r="M111" s="144">
        <v>17555.528999999999</v>
      </c>
      <c r="N111" s="144">
        <v>5266.6589999999997</v>
      </c>
      <c r="O111" s="144">
        <v>5266.6589999999997</v>
      </c>
      <c r="P111" s="170">
        <v>0.30000001708863344</v>
      </c>
      <c r="Q111" s="174">
        <v>46691</v>
      </c>
      <c r="R111" s="177"/>
    </row>
    <row r="112" spans="1:18" ht="15" x14ac:dyDescent="0.2">
      <c r="A112" s="142" t="s">
        <v>1220</v>
      </c>
      <c r="B112" s="143" t="s">
        <v>1220</v>
      </c>
      <c r="C112" s="170" t="s">
        <v>1068</v>
      </c>
      <c r="D112" s="143" t="s">
        <v>3591</v>
      </c>
      <c r="E112" s="145" t="s">
        <v>3930</v>
      </c>
      <c r="F112" s="145" t="s">
        <v>3930</v>
      </c>
      <c r="G112" s="143" t="s">
        <v>3592</v>
      </c>
      <c r="H112" s="143" t="s">
        <v>3593</v>
      </c>
      <c r="I112" s="143" t="s">
        <v>312</v>
      </c>
      <c r="J112" s="143" t="s">
        <v>1211</v>
      </c>
      <c r="K112" s="163">
        <v>44136</v>
      </c>
      <c r="L112" s="144">
        <v>2686.6908301750004</v>
      </c>
      <c r="M112" s="144">
        <v>9967.6229799492503</v>
      </c>
      <c r="N112" s="144">
        <v>83.483830175000236</v>
      </c>
      <c r="O112" s="144">
        <v>309.72500994925088</v>
      </c>
      <c r="P112" s="170">
        <v>3.1073106453995098E-2</v>
      </c>
      <c r="Q112" s="174">
        <v>47789</v>
      </c>
      <c r="R112" s="177"/>
    </row>
    <row r="113" spans="1:18" ht="15" x14ac:dyDescent="0.2">
      <c r="A113" s="142" t="s">
        <v>1220</v>
      </c>
      <c r="B113" s="143" t="s">
        <v>1220</v>
      </c>
      <c r="C113" s="170" t="s">
        <v>1068</v>
      </c>
      <c r="D113" s="143" t="s">
        <v>3364</v>
      </c>
      <c r="E113" s="145" t="s">
        <v>3930</v>
      </c>
      <c r="F113" s="145" t="s">
        <v>3930</v>
      </c>
      <c r="G113" s="143" t="s">
        <v>3365</v>
      </c>
      <c r="H113" s="143" t="s">
        <v>3366</v>
      </c>
      <c r="I113" s="143" t="s">
        <v>312</v>
      </c>
      <c r="J113" s="143" t="s">
        <v>1211</v>
      </c>
      <c r="K113" s="163">
        <v>44136</v>
      </c>
      <c r="L113" s="144">
        <v>3730.7449999999999</v>
      </c>
      <c r="M113" s="144">
        <v>13841.06395</v>
      </c>
      <c r="N113" s="144">
        <v>1034.393</v>
      </c>
      <c r="O113" s="144">
        <v>3837.5980299999997</v>
      </c>
      <c r="P113" s="170">
        <v>0.27726178015382985</v>
      </c>
      <c r="Q113" s="174">
        <v>47789</v>
      </c>
      <c r="R113" s="177"/>
    </row>
    <row r="114" spans="1:18" ht="15" x14ac:dyDescent="0.2">
      <c r="A114" s="142" t="s">
        <v>1220</v>
      </c>
      <c r="B114" s="143" t="s">
        <v>1220</v>
      </c>
      <c r="C114" s="170" t="s">
        <v>1068</v>
      </c>
      <c r="D114" s="143" t="s">
        <v>3504</v>
      </c>
      <c r="E114" s="145" t="s">
        <v>3930</v>
      </c>
      <c r="F114" s="145" t="s">
        <v>3930</v>
      </c>
      <c r="G114" s="143" t="s">
        <v>3487</v>
      </c>
      <c r="H114" s="143" t="s">
        <v>3505</v>
      </c>
      <c r="I114" s="143" t="s">
        <v>312</v>
      </c>
      <c r="J114" s="143" t="s">
        <v>1210</v>
      </c>
      <c r="K114" s="163">
        <v>44136</v>
      </c>
      <c r="L114" s="144">
        <v>5195.0860000000002</v>
      </c>
      <c r="M114" s="144">
        <v>5195.0860000000002</v>
      </c>
      <c r="N114" s="144">
        <v>2297.1680000000001</v>
      </c>
      <c r="O114" s="144">
        <v>2297.1680000000001</v>
      </c>
      <c r="P114" s="170">
        <v>0.44218093790940133</v>
      </c>
      <c r="Q114" s="174">
        <v>47789</v>
      </c>
      <c r="R114" s="177"/>
    </row>
    <row r="115" spans="1:18" ht="15" x14ac:dyDescent="0.2">
      <c r="A115" s="142" t="s">
        <v>1220</v>
      </c>
      <c r="B115" s="143" t="s">
        <v>1220</v>
      </c>
      <c r="C115" s="170" t="s">
        <v>1068</v>
      </c>
      <c r="D115" s="143" t="s">
        <v>314</v>
      </c>
      <c r="E115" s="145" t="s">
        <v>3930</v>
      </c>
      <c r="F115" s="145" t="s">
        <v>3930</v>
      </c>
      <c r="G115" s="143" t="s">
        <v>3643</v>
      </c>
      <c r="H115" s="143" t="s">
        <v>3644</v>
      </c>
      <c r="I115" s="143" t="s">
        <v>312</v>
      </c>
      <c r="J115" s="143" t="s">
        <v>1218</v>
      </c>
      <c r="K115" s="163">
        <v>44136</v>
      </c>
      <c r="L115" s="144">
        <v>3070.7811312651002</v>
      </c>
      <c r="M115" s="144">
        <v>12751.111569465202</v>
      </c>
      <c r="N115" s="144">
        <v>785.69193126509992</v>
      </c>
      <c r="O115" s="144">
        <v>3262.5071753852008</v>
      </c>
      <c r="P115" s="170">
        <v>0.2558606092976124</v>
      </c>
      <c r="Q115" s="174">
        <v>46203</v>
      </c>
      <c r="R115" s="177"/>
    </row>
    <row r="116" spans="1:18" ht="15" x14ac:dyDescent="0.2">
      <c r="A116" s="142" t="s">
        <v>1220</v>
      </c>
      <c r="B116" s="143" t="s">
        <v>1220</v>
      </c>
      <c r="C116" s="170" t="s">
        <v>1068</v>
      </c>
      <c r="D116" s="143" t="s">
        <v>3297</v>
      </c>
      <c r="E116" s="145" t="s">
        <v>3930</v>
      </c>
      <c r="F116" s="145" t="s">
        <v>3930</v>
      </c>
      <c r="G116" s="143" t="s">
        <v>3298</v>
      </c>
      <c r="H116" s="143" t="s">
        <v>3299</v>
      </c>
      <c r="I116" s="143" t="s">
        <v>312</v>
      </c>
      <c r="J116" s="143" t="s">
        <v>1211</v>
      </c>
      <c r="K116" s="163">
        <v>44238</v>
      </c>
      <c r="L116" s="144">
        <v>3699.5680000000002</v>
      </c>
      <c r="M116" s="144">
        <v>13725.397279999999</v>
      </c>
      <c r="N116" s="144">
        <v>2296.6919900000003</v>
      </c>
      <c r="O116" s="144">
        <v>8520.7272828999994</v>
      </c>
      <c r="P116" s="170">
        <v>0.62080004746500139</v>
      </c>
      <c r="Q116" s="174">
        <v>47848</v>
      </c>
      <c r="R116" s="177"/>
    </row>
    <row r="117" spans="1:18" ht="15" x14ac:dyDescent="0.2">
      <c r="A117" s="142" t="s">
        <v>1220</v>
      </c>
      <c r="B117" s="143" t="s">
        <v>1220</v>
      </c>
      <c r="C117" s="170" t="s">
        <v>1068</v>
      </c>
      <c r="D117" s="143" t="s">
        <v>3636</v>
      </c>
      <c r="E117" s="145" t="s">
        <v>3930</v>
      </c>
      <c r="F117" s="145" t="s">
        <v>3930</v>
      </c>
      <c r="G117" s="143" t="s">
        <v>3637</v>
      </c>
      <c r="H117" s="143" t="s">
        <v>3638</v>
      </c>
      <c r="I117" s="143" t="s">
        <v>312</v>
      </c>
      <c r="J117" s="143" t="s">
        <v>1211</v>
      </c>
      <c r="K117" s="163">
        <v>44136</v>
      </c>
      <c r="L117" s="144">
        <v>3787.14</v>
      </c>
      <c r="M117" s="144">
        <v>14050.2894</v>
      </c>
      <c r="N117" s="144">
        <v>113.614</v>
      </c>
      <c r="O117" s="144">
        <v>421.50794000000002</v>
      </c>
      <c r="P117" s="170">
        <v>2.999994718969988E-2</v>
      </c>
      <c r="Q117" s="174">
        <v>48060</v>
      </c>
      <c r="R117" s="177"/>
    </row>
    <row r="118" spans="1:18" ht="15" x14ac:dyDescent="0.2">
      <c r="A118" s="142" t="s">
        <v>1220</v>
      </c>
      <c r="B118" s="143" t="s">
        <v>1220</v>
      </c>
      <c r="C118" s="170" t="s">
        <v>1068</v>
      </c>
      <c r="D118" s="143" t="s">
        <v>3516</v>
      </c>
      <c r="E118" s="145" t="s">
        <v>3930</v>
      </c>
      <c r="F118" s="145" t="s">
        <v>3930</v>
      </c>
      <c r="G118" s="143" t="s">
        <v>3517</v>
      </c>
      <c r="H118" s="143" t="s">
        <v>3518</v>
      </c>
      <c r="I118" s="143" t="s">
        <v>312</v>
      </c>
      <c r="J118" s="143" t="s">
        <v>1218</v>
      </c>
      <c r="K118" s="163">
        <v>44651</v>
      </c>
      <c r="L118" s="144">
        <v>2886</v>
      </c>
      <c r="M118" s="144">
        <v>11983.8264</v>
      </c>
      <c r="N118" s="144">
        <v>519.47999000000016</v>
      </c>
      <c r="O118" s="144">
        <v>2157.0887104760009</v>
      </c>
      <c r="P118" s="170">
        <v>0.1799999965349966</v>
      </c>
      <c r="Q118" s="174">
        <v>48305</v>
      </c>
      <c r="R118" s="177"/>
    </row>
    <row r="119" spans="1:18" ht="15" x14ac:dyDescent="0.2">
      <c r="A119" s="142" t="s">
        <v>1220</v>
      </c>
      <c r="B119" s="143" t="s">
        <v>1220</v>
      </c>
      <c r="C119" s="170" t="s">
        <v>1068</v>
      </c>
      <c r="D119" s="143" t="s">
        <v>3361</v>
      </c>
      <c r="E119" s="145" t="s">
        <v>3930</v>
      </c>
      <c r="F119" s="145" t="s">
        <v>3930</v>
      </c>
      <c r="G119" s="143" t="s">
        <v>3418</v>
      </c>
      <c r="H119" s="143" t="s">
        <v>3419</v>
      </c>
      <c r="I119" s="143" t="s">
        <v>312</v>
      </c>
      <c r="J119" s="143" t="s">
        <v>1211</v>
      </c>
      <c r="K119" s="163">
        <v>45475</v>
      </c>
      <c r="L119" s="144">
        <v>2539.6799999999998</v>
      </c>
      <c r="M119" s="144">
        <v>9422.2128000000012</v>
      </c>
      <c r="N119" s="144">
        <v>2109.0904</v>
      </c>
      <c r="O119" s="144">
        <v>7824.7253839999994</v>
      </c>
      <c r="P119" s="170">
        <v>0.83045517545517533</v>
      </c>
      <c r="Q119" s="174">
        <v>49127</v>
      </c>
      <c r="R119" s="177"/>
    </row>
    <row r="120" spans="1:18" ht="15" x14ac:dyDescent="0.2">
      <c r="A120" s="142" t="s">
        <v>1220</v>
      </c>
      <c r="B120" s="143" t="s">
        <v>1220</v>
      </c>
      <c r="C120" s="170" t="s">
        <v>1068</v>
      </c>
      <c r="D120" s="143" t="s">
        <v>314</v>
      </c>
      <c r="E120" s="145" t="s">
        <v>3930</v>
      </c>
      <c r="F120" s="145" t="s">
        <v>3930</v>
      </c>
      <c r="G120" s="143" t="s">
        <v>3628</v>
      </c>
      <c r="H120" s="143" t="s">
        <v>3629</v>
      </c>
      <c r="I120" s="143" t="s">
        <v>312</v>
      </c>
      <c r="J120" s="143" t="s">
        <v>1211</v>
      </c>
      <c r="K120" s="163">
        <v>44136</v>
      </c>
      <c r="L120" s="144">
        <v>316</v>
      </c>
      <c r="M120" s="144">
        <v>1172.3599999999999</v>
      </c>
      <c r="N120" s="144">
        <v>6.0732700000000186</v>
      </c>
      <c r="O120" s="144">
        <v>22.531831700000069</v>
      </c>
      <c r="P120" s="170">
        <v>1.9219208860759552E-2</v>
      </c>
      <c r="Q120" s="174">
        <v>47789</v>
      </c>
      <c r="R120" s="177"/>
    </row>
    <row r="121" spans="1:18" ht="15" x14ac:dyDescent="0.2">
      <c r="A121" s="142" t="s">
        <v>1220</v>
      </c>
      <c r="B121" s="143" t="s">
        <v>1220</v>
      </c>
      <c r="C121" s="170" t="s">
        <v>1068</v>
      </c>
      <c r="D121" s="143" t="s">
        <v>3537</v>
      </c>
      <c r="E121" s="145" t="s">
        <v>3930</v>
      </c>
      <c r="F121" s="145" t="s">
        <v>3930</v>
      </c>
      <c r="G121" s="143" t="s">
        <v>3538</v>
      </c>
      <c r="H121" s="143" t="s">
        <v>3539</v>
      </c>
      <c r="I121" s="143" t="s">
        <v>312</v>
      </c>
      <c r="J121" s="143" t="s">
        <v>1211</v>
      </c>
      <c r="K121" s="163">
        <v>44651</v>
      </c>
      <c r="L121" s="144">
        <v>3848</v>
      </c>
      <c r="M121" s="144">
        <v>14276.08</v>
      </c>
      <c r="N121" s="144">
        <v>2771.4829900000004</v>
      </c>
      <c r="O121" s="144">
        <v>10282.201892900001</v>
      </c>
      <c r="P121" s="170">
        <v>0.72023986226611236</v>
      </c>
      <c r="Q121" s="174">
        <v>48307</v>
      </c>
      <c r="R121" s="177"/>
    </row>
    <row r="122" spans="1:18" ht="15" x14ac:dyDescent="0.2">
      <c r="A122" s="142" t="s">
        <v>1220</v>
      </c>
      <c r="B122" s="143" t="s">
        <v>1220</v>
      </c>
      <c r="C122" s="170" t="s">
        <v>1068</v>
      </c>
      <c r="D122" s="143" t="s">
        <v>3330</v>
      </c>
      <c r="E122" s="145" t="s">
        <v>3930</v>
      </c>
      <c r="F122" s="145" t="s">
        <v>3930</v>
      </c>
      <c r="G122" s="143" t="s">
        <v>3433</v>
      </c>
      <c r="H122" s="143" t="s">
        <v>3434</v>
      </c>
      <c r="I122" s="143" t="s">
        <v>312</v>
      </c>
      <c r="J122" s="143" t="s">
        <v>1211</v>
      </c>
      <c r="K122" s="163">
        <v>45475</v>
      </c>
      <c r="L122" s="144">
        <v>2700</v>
      </c>
      <c r="M122" s="144">
        <v>10017</v>
      </c>
      <c r="N122" s="144">
        <v>2089.4050000000002</v>
      </c>
      <c r="O122" s="144">
        <v>7751.6925499999998</v>
      </c>
      <c r="P122" s="170">
        <v>0.77385370370370365</v>
      </c>
      <c r="Q122" s="174">
        <v>49127</v>
      </c>
      <c r="R122" s="177"/>
    </row>
    <row r="123" spans="1:18" ht="15" x14ac:dyDescent="0.2">
      <c r="A123" s="142" t="s">
        <v>1220</v>
      </c>
      <c r="B123" s="143" t="s">
        <v>1220</v>
      </c>
      <c r="C123" s="170" t="s">
        <v>1068</v>
      </c>
      <c r="D123" s="143" t="s">
        <v>3388</v>
      </c>
      <c r="E123" s="145" t="s">
        <v>3930</v>
      </c>
      <c r="F123" s="145" t="s">
        <v>3930</v>
      </c>
      <c r="G123" s="143" t="s">
        <v>3389</v>
      </c>
      <c r="H123" s="143" t="s">
        <v>3390</v>
      </c>
      <c r="I123" s="143" t="s">
        <v>312</v>
      </c>
      <c r="J123" s="143" t="s">
        <v>1211</v>
      </c>
      <c r="K123" s="163">
        <v>45140</v>
      </c>
      <c r="L123" s="144">
        <v>2886</v>
      </c>
      <c r="M123" s="144">
        <v>10707.06</v>
      </c>
      <c r="N123" s="144">
        <v>1725.521</v>
      </c>
      <c r="O123" s="144">
        <v>6401.6829100000004</v>
      </c>
      <c r="P123" s="170">
        <v>0.59789362439362437</v>
      </c>
      <c r="Q123" s="174">
        <v>47848</v>
      </c>
      <c r="R123" s="177"/>
    </row>
    <row r="124" spans="1:18" ht="15" x14ac:dyDescent="0.2">
      <c r="A124" s="142" t="s">
        <v>1220</v>
      </c>
      <c r="B124" s="143" t="s">
        <v>1220</v>
      </c>
      <c r="C124" s="170" t="s">
        <v>1068</v>
      </c>
      <c r="D124" s="143" t="s">
        <v>3537</v>
      </c>
      <c r="E124" s="145" t="s">
        <v>3930</v>
      </c>
      <c r="F124" s="145" t="s">
        <v>3930</v>
      </c>
      <c r="G124" s="143" t="s">
        <v>3550</v>
      </c>
      <c r="H124" s="143" t="s">
        <v>3551</v>
      </c>
      <c r="I124" s="143" t="s">
        <v>312</v>
      </c>
      <c r="J124" s="143" t="s">
        <v>1211</v>
      </c>
      <c r="K124" s="163">
        <v>44651</v>
      </c>
      <c r="L124" s="144">
        <v>384.8</v>
      </c>
      <c r="M124" s="144">
        <v>1427.6079999999999</v>
      </c>
      <c r="N124" s="144">
        <v>384.79998999999998</v>
      </c>
      <c r="O124" s="144">
        <v>1427.6079628999998</v>
      </c>
      <c r="P124" s="170">
        <v>0.99999997401247398</v>
      </c>
      <c r="Q124" s="174">
        <v>46478</v>
      </c>
      <c r="R124" s="177"/>
    </row>
    <row r="125" spans="1:18" ht="15" x14ac:dyDescent="0.2">
      <c r="A125" s="142" t="s">
        <v>1220</v>
      </c>
      <c r="B125" s="143" t="s">
        <v>1220</v>
      </c>
      <c r="C125" s="170" t="s">
        <v>1068</v>
      </c>
      <c r="D125" s="143" t="s">
        <v>3478</v>
      </c>
      <c r="E125" s="145" t="s">
        <v>3930</v>
      </c>
      <c r="F125" s="145" t="s">
        <v>3930</v>
      </c>
      <c r="G125" s="143" t="s">
        <v>3479</v>
      </c>
      <c r="H125" s="143" t="s">
        <v>3480</v>
      </c>
      <c r="I125" s="143" t="s">
        <v>312</v>
      </c>
      <c r="J125" s="143" t="s">
        <v>1210</v>
      </c>
      <c r="K125" s="163">
        <v>44136</v>
      </c>
      <c r="L125" s="144">
        <v>17468.848999999998</v>
      </c>
      <c r="M125" s="144">
        <v>17468.848999999998</v>
      </c>
      <c r="N125" s="144">
        <v>5180.6459999999997</v>
      </c>
      <c r="O125" s="144">
        <v>5180.6459999999997</v>
      </c>
      <c r="P125" s="170">
        <v>0.29656481660583361</v>
      </c>
      <c r="Q125" s="174">
        <v>46721</v>
      </c>
      <c r="R125" s="177"/>
    </row>
    <row r="126" spans="1:18" ht="15" x14ac:dyDescent="0.2">
      <c r="A126" s="142" t="s">
        <v>1220</v>
      </c>
      <c r="B126" s="143" t="s">
        <v>1220</v>
      </c>
      <c r="C126" s="170" t="s">
        <v>1068</v>
      </c>
      <c r="D126" s="143" t="s">
        <v>3645</v>
      </c>
      <c r="E126" s="145" t="s">
        <v>3930</v>
      </c>
      <c r="F126" s="145" t="s">
        <v>3930</v>
      </c>
      <c r="G126" s="143" t="s">
        <v>3646</v>
      </c>
      <c r="H126" s="143" t="s">
        <v>3647</v>
      </c>
      <c r="I126" s="143" t="s">
        <v>312</v>
      </c>
      <c r="J126" s="143" t="s">
        <v>1211</v>
      </c>
      <c r="K126" s="163">
        <v>44139</v>
      </c>
      <c r="L126" s="144">
        <v>1541.4860000000001</v>
      </c>
      <c r="M126" s="144">
        <v>5718.9130599999999</v>
      </c>
      <c r="N126" s="144">
        <v>254.34100000000001</v>
      </c>
      <c r="O126" s="144">
        <v>943.60510999999997</v>
      </c>
      <c r="P126" s="170">
        <v>0.16499728184362364</v>
      </c>
      <c r="Q126" s="174">
        <v>48883</v>
      </c>
      <c r="R126" s="177"/>
    </row>
    <row r="127" spans="1:18" ht="15" x14ac:dyDescent="0.2">
      <c r="A127" s="142" t="s">
        <v>1220</v>
      </c>
      <c r="B127" s="143" t="s">
        <v>1220</v>
      </c>
      <c r="C127" s="170" t="s">
        <v>1068</v>
      </c>
      <c r="D127" s="143" t="s">
        <v>3600</v>
      </c>
      <c r="E127" s="145" t="s">
        <v>3930</v>
      </c>
      <c r="F127" s="145" t="s">
        <v>3930</v>
      </c>
      <c r="G127" s="143" t="s">
        <v>3601</v>
      </c>
      <c r="H127" s="143" t="s">
        <v>3602</v>
      </c>
      <c r="I127" s="143" t="s">
        <v>312</v>
      </c>
      <c r="J127" s="143" t="s">
        <v>1211</v>
      </c>
      <c r="K127" s="163">
        <v>45449</v>
      </c>
      <c r="L127" s="144">
        <v>2700</v>
      </c>
      <c r="M127" s="144">
        <v>10017</v>
      </c>
      <c r="N127" s="144">
        <v>1207.3610000000001</v>
      </c>
      <c r="O127" s="144">
        <v>4479.3093099999996</v>
      </c>
      <c r="P127" s="170">
        <v>0.4471707407407407</v>
      </c>
      <c r="Q127" s="174">
        <v>49101</v>
      </c>
      <c r="R127" s="177"/>
    </row>
    <row r="128" spans="1:18" ht="15" x14ac:dyDescent="0.2">
      <c r="A128" s="142" t="s">
        <v>1220</v>
      </c>
      <c r="B128" s="143" t="s">
        <v>1220</v>
      </c>
      <c r="C128" s="170" t="s">
        <v>1068</v>
      </c>
      <c r="D128" s="143" t="s">
        <v>3391</v>
      </c>
      <c r="E128" s="145" t="s">
        <v>3930</v>
      </c>
      <c r="F128" s="145" t="s">
        <v>3930</v>
      </c>
      <c r="G128" s="143" t="s">
        <v>3392</v>
      </c>
      <c r="H128" s="143" t="s">
        <v>3393</v>
      </c>
      <c r="I128" s="143" t="s">
        <v>312</v>
      </c>
      <c r="J128" s="143" t="s">
        <v>1211</v>
      </c>
      <c r="K128" s="163">
        <v>44538</v>
      </c>
      <c r="L128" s="144">
        <v>3280.7370000000001</v>
      </c>
      <c r="M128" s="144">
        <v>12171.53427</v>
      </c>
      <c r="N128" s="144">
        <v>816.51400000000001</v>
      </c>
      <c r="O128" s="144">
        <v>3029.26694</v>
      </c>
      <c r="P128" s="170">
        <v>0.24888127271402738</v>
      </c>
      <c r="Q128" s="174">
        <v>47093</v>
      </c>
      <c r="R128" s="177"/>
    </row>
    <row r="129" spans="1:18" ht="15" x14ac:dyDescent="0.2">
      <c r="A129" s="142" t="s">
        <v>1220</v>
      </c>
      <c r="B129" s="143" t="s">
        <v>1220</v>
      </c>
      <c r="C129" s="170" t="s">
        <v>1068</v>
      </c>
      <c r="D129" s="143" t="s">
        <v>3616</v>
      </c>
      <c r="E129" s="145" t="s">
        <v>3930</v>
      </c>
      <c r="F129" s="145" t="s">
        <v>3930</v>
      </c>
      <c r="G129" s="143" t="s">
        <v>3617</v>
      </c>
      <c r="H129" s="143" t="s">
        <v>3618</v>
      </c>
      <c r="I129" s="143" t="s">
        <v>312</v>
      </c>
      <c r="J129" s="143" t="s">
        <v>1211</v>
      </c>
      <c r="K129" s="163">
        <v>44136</v>
      </c>
      <c r="L129" s="144">
        <v>2559.5479999999998</v>
      </c>
      <c r="M129" s="144">
        <v>9495.9230800000005</v>
      </c>
      <c r="N129" s="144">
        <v>230.3599500000002</v>
      </c>
      <c r="O129" s="144">
        <v>854.63541450000071</v>
      </c>
      <c r="P129" s="170">
        <v>9.0000246137208667E-2</v>
      </c>
      <c r="Q129" s="174">
        <v>46842</v>
      </c>
      <c r="R129" s="177"/>
    </row>
    <row r="130" spans="1:18" ht="15" x14ac:dyDescent="0.2">
      <c r="A130" s="142" t="s">
        <v>1220</v>
      </c>
      <c r="B130" s="143" t="s">
        <v>1220</v>
      </c>
      <c r="C130" s="170" t="s">
        <v>1068</v>
      </c>
      <c r="D130" s="143" t="s">
        <v>3456</v>
      </c>
      <c r="E130" s="145" t="s">
        <v>3930</v>
      </c>
      <c r="F130" s="145" t="s">
        <v>3930</v>
      </c>
      <c r="G130" s="143" t="s">
        <v>3457</v>
      </c>
      <c r="H130" s="143" t="s">
        <v>3458</v>
      </c>
      <c r="I130" s="143" t="s">
        <v>312</v>
      </c>
      <c r="J130" s="143" t="s">
        <v>1211</v>
      </c>
      <c r="K130" s="163">
        <v>44136</v>
      </c>
      <c r="L130" s="144">
        <v>5064.3395199999995</v>
      </c>
      <c r="M130" s="144">
        <v>18788.699619199997</v>
      </c>
      <c r="N130" s="144">
        <v>858.40451999999959</v>
      </c>
      <c r="O130" s="144">
        <v>3184.6807691999979</v>
      </c>
      <c r="P130" s="170">
        <v>0.16949979688565578</v>
      </c>
      <c r="Q130" s="174">
        <v>47938</v>
      </c>
      <c r="R130" s="177"/>
    </row>
    <row r="131" spans="1:18" ht="15" x14ac:dyDescent="0.2">
      <c r="A131" s="142" t="s">
        <v>1220</v>
      </c>
      <c r="B131" s="143" t="s">
        <v>1220</v>
      </c>
      <c r="C131" s="170" t="s">
        <v>1068</v>
      </c>
      <c r="D131" s="143" t="s">
        <v>3361</v>
      </c>
      <c r="E131" s="145" t="s">
        <v>3930</v>
      </c>
      <c r="F131" s="145" t="s">
        <v>3930</v>
      </c>
      <c r="G131" s="143" t="s">
        <v>3437</v>
      </c>
      <c r="H131" s="143" t="s">
        <v>3438</v>
      </c>
      <c r="I131" s="143" t="s">
        <v>312</v>
      </c>
      <c r="J131" s="143" t="s">
        <v>1211</v>
      </c>
      <c r="K131" s="163">
        <v>45512</v>
      </c>
      <c r="L131" s="144">
        <v>346.32</v>
      </c>
      <c r="M131" s="144">
        <v>1284.8471999999999</v>
      </c>
      <c r="N131" s="144">
        <v>320.38703999999996</v>
      </c>
      <c r="O131" s="144">
        <v>1188.6359183999998</v>
      </c>
      <c r="P131" s="170">
        <v>0.92511850311850308</v>
      </c>
      <c r="Q131" s="174">
        <v>49164</v>
      </c>
      <c r="R131" s="177"/>
    </row>
    <row r="132" spans="1:18" ht="15" x14ac:dyDescent="0.2">
      <c r="A132" s="142" t="s">
        <v>1220</v>
      </c>
      <c r="B132" s="143" t="s">
        <v>1220</v>
      </c>
      <c r="C132" s="170" t="s">
        <v>1068</v>
      </c>
      <c r="D132" s="143" t="s">
        <v>3625</v>
      </c>
      <c r="E132" s="145" t="s">
        <v>3930</v>
      </c>
      <c r="F132" s="145" t="s">
        <v>3930</v>
      </c>
      <c r="G132" s="143" t="s">
        <v>3626</v>
      </c>
      <c r="H132" s="143" t="s">
        <v>3627</v>
      </c>
      <c r="I132" s="143" t="s">
        <v>312</v>
      </c>
      <c r="J132" s="143" t="s">
        <v>1211</v>
      </c>
      <c r="K132" s="163">
        <v>44143</v>
      </c>
      <c r="L132" s="144">
        <v>2219.7399999999998</v>
      </c>
      <c r="M132" s="144">
        <v>8235.2353999999996</v>
      </c>
      <c r="N132" s="144">
        <v>932.25420999999994</v>
      </c>
      <c r="O132" s="144">
        <v>3458.6631190999997</v>
      </c>
      <c r="P132" s="170">
        <v>0.41998351608746964</v>
      </c>
      <c r="Q132" s="174">
        <v>45688</v>
      </c>
      <c r="R132" s="177"/>
    </row>
    <row r="133" spans="1:18" ht="15" x14ac:dyDescent="0.2">
      <c r="A133" s="142" t="s">
        <v>1220</v>
      </c>
      <c r="B133" s="143" t="s">
        <v>1220</v>
      </c>
      <c r="C133" s="170" t="s">
        <v>1068</v>
      </c>
      <c r="D133" s="143" t="s">
        <v>314</v>
      </c>
      <c r="E133" s="145" t="s">
        <v>3930</v>
      </c>
      <c r="F133" s="145" t="s">
        <v>3930</v>
      </c>
      <c r="G133" s="143" t="s">
        <v>3658</v>
      </c>
      <c r="H133" s="143" t="s">
        <v>3659</v>
      </c>
      <c r="I133" s="143" t="s">
        <v>312</v>
      </c>
      <c r="J133" s="143" t="s">
        <v>1211</v>
      </c>
      <c r="K133" s="163">
        <v>45055</v>
      </c>
      <c r="L133" s="144">
        <v>1346.8</v>
      </c>
      <c r="M133" s="144">
        <v>4996.6279999999997</v>
      </c>
      <c r="N133" s="144">
        <v>791.02300000000002</v>
      </c>
      <c r="O133" s="144">
        <v>2934.69533</v>
      </c>
      <c r="P133" s="170">
        <v>0.5873351648351649</v>
      </c>
      <c r="Q133" s="174">
        <v>49309</v>
      </c>
      <c r="R133" s="177"/>
    </row>
    <row r="134" spans="1:18" ht="15" x14ac:dyDescent="0.2">
      <c r="A134" s="142" t="s">
        <v>1220</v>
      </c>
      <c r="B134" s="143" t="s">
        <v>1220</v>
      </c>
      <c r="C134" s="170" t="s">
        <v>1068</v>
      </c>
      <c r="D134" s="143" t="s">
        <v>3570</v>
      </c>
      <c r="E134" s="145" t="s">
        <v>3930</v>
      </c>
      <c r="F134" s="145" t="s">
        <v>3930</v>
      </c>
      <c r="G134" s="143" t="s">
        <v>3571</v>
      </c>
      <c r="H134" s="143" t="s">
        <v>3572</v>
      </c>
      <c r="I134" s="143" t="s">
        <v>312</v>
      </c>
      <c r="J134" s="143" t="s">
        <v>1211</v>
      </c>
      <c r="K134" s="163">
        <v>44136</v>
      </c>
      <c r="L134" s="144">
        <v>6518.4514100000006</v>
      </c>
      <c r="M134" s="144">
        <v>24183.454731099999</v>
      </c>
      <c r="N134" s="144">
        <v>1083.2696000000005</v>
      </c>
      <c r="O134" s="144">
        <v>4018.930216000002</v>
      </c>
      <c r="P134" s="170">
        <v>0.16618511543066031</v>
      </c>
      <c r="Q134" s="174">
        <v>46748</v>
      </c>
      <c r="R134" s="177"/>
    </row>
    <row r="135" spans="1:18" ht="15" x14ac:dyDescent="0.2">
      <c r="A135" s="142" t="s">
        <v>1220</v>
      </c>
      <c r="B135" s="143" t="s">
        <v>1220</v>
      </c>
      <c r="C135" s="170" t="s">
        <v>1068</v>
      </c>
      <c r="D135" s="143" t="s">
        <v>3555</v>
      </c>
      <c r="E135" s="145" t="s">
        <v>3930</v>
      </c>
      <c r="F135" s="145" t="s">
        <v>3930</v>
      </c>
      <c r="G135" s="143" t="s">
        <v>3556</v>
      </c>
      <c r="H135" s="143" t="s">
        <v>3557</v>
      </c>
      <c r="I135" s="143" t="s">
        <v>312</v>
      </c>
      <c r="J135" s="143" t="s">
        <v>1210</v>
      </c>
      <c r="K135" s="163">
        <v>44722</v>
      </c>
      <c r="L135" s="144">
        <v>6734</v>
      </c>
      <c r="M135" s="144">
        <v>6734</v>
      </c>
      <c r="N135" s="144">
        <v>1097.2360000000001</v>
      </c>
      <c r="O135" s="144">
        <v>1097.2360000000001</v>
      </c>
      <c r="P135" s="170">
        <v>0.16293970893970894</v>
      </c>
      <c r="Q135" s="174">
        <v>48375</v>
      </c>
      <c r="R135" s="177"/>
    </row>
    <row r="136" spans="1:18" ht="15" x14ac:dyDescent="0.2">
      <c r="A136" s="142" t="s">
        <v>1220</v>
      </c>
      <c r="B136" s="143" t="s">
        <v>1220</v>
      </c>
      <c r="C136" s="170" t="s">
        <v>1068</v>
      </c>
      <c r="D136" s="143" t="s">
        <v>3492</v>
      </c>
      <c r="E136" s="145" t="s">
        <v>3930</v>
      </c>
      <c r="F136" s="145" t="s">
        <v>3930</v>
      </c>
      <c r="G136" s="143" t="s">
        <v>3493</v>
      </c>
      <c r="H136" s="143" t="s">
        <v>3494</v>
      </c>
      <c r="I136" s="143" t="s">
        <v>312</v>
      </c>
      <c r="J136" s="143" t="s">
        <v>1210</v>
      </c>
      <c r="K136" s="163">
        <v>45056</v>
      </c>
      <c r="L136" s="144">
        <v>9620</v>
      </c>
      <c r="M136" s="144">
        <v>9620</v>
      </c>
      <c r="N136" s="144">
        <v>4629.5810000000001</v>
      </c>
      <c r="O136" s="144">
        <v>4629.5810000000001</v>
      </c>
      <c r="P136" s="170">
        <v>0.48124542619542621</v>
      </c>
      <c r="Q136" s="174">
        <v>48944</v>
      </c>
      <c r="R136" s="177"/>
    </row>
    <row r="137" spans="1:18" ht="15" x14ac:dyDescent="0.2">
      <c r="A137" s="142" t="s">
        <v>1220</v>
      </c>
      <c r="B137" s="143" t="s">
        <v>1220</v>
      </c>
      <c r="C137" s="170" t="s">
        <v>1068</v>
      </c>
      <c r="D137" s="143" t="s">
        <v>3531</v>
      </c>
      <c r="E137" s="145" t="s">
        <v>3930</v>
      </c>
      <c r="F137" s="145" t="s">
        <v>3930</v>
      </c>
      <c r="G137" s="143" t="s">
        <v>3532</v>
      </c>
      <c r="H137" s="143" t="s">
        <v>3533</v>
      </c>
      <c r="I137" s="143" t="s">
        <v>312</v>
      </c>
      <c r="J137" s="143" t="s">
        <v>1218</v>
      </c>
      <c r="K137" s="163">
        <v>45271</v>
      </c>
      <c r="L137" s="144">
        <v>2886</v>
      </c>
      <c r="M137" s="144">
        <v>11983.8264</v>
      </c>
      <c r="N137" s="144">
        <v>1590.3750600000001</v>
      </c>
      <c r="O137" s="144">
        <v>6603.8733991440004</v>
      </c>
      <c r="P137" s="170">
        <v>0.55106550935550935</v>
      </c>
      <c r="Q137" s="174">
        <v>48884</v>
      </c>
      <c r="R137" s="177"/>
    </row>
    <row r="138" spans="1:18" ht="15" x14ac:dyDescent="0.2">
      <c r="A138" s="142" t="s">
        <v>1220</v>
      </c>
      <c r="B138" s="143" t="s">
        <v>1220</v>
      </c>
      <c r="C138" s="170" t="s">
        <v>1068</v>
      </c>
      <c r="D138" s="143" t="s">
        <v>3312</v>
      </c>
      <c r="E138" s="145" t="s">
        <v>3930</v>
      </c>
      <c r="F138" s="145" t="s">
        <v>3930</v>
      </c>
      <c r="G138" s="143" t="s">
        <v>3313</v>
      </c>
      <c r="H138" s="143" t="s">
        <v>3314</v>
      </c>
      <c r="I138" s="143" t="s">
        <v>312</v>
      </c>
      <c r="J138" s="143" t="s">
        <v>1211</v>
      </c>
      <c r="K138" s="163">
        <v>44938</v>
      </c>
      <c r="L138" s="144">
        <v>1924</v>
      </c>
      <c r="M138" s="144">
        <v>7138.04</v>
      </c>
      <c r="N138" s="144">
        <v>1256.3720000000001</v>
      </c>
      <c r="O138" s="144">
        <v>4661.14012</v>
      </c>
      <c r="P138" s="170">
        <v>0.65300000000000002</v>
      </c>
      <c r="Q138" s="174">
        <v>47515</v>
      </c>
      <c r="R138" s="177"/>
    </row>
    <row r="139" spans="1:18" ht="15" x14ac:dyDescent="0.2">
      <c r="A139" s="142" t="s">
        <v>1220</v>
      </c>
      <c r="B139" s="143" t="s">
        <v>1220</v>
      </c>
      <c r="C139" s="170" t="s">
        <v>1068</v>
      </c>
      <c r="D139" s="143" t="s">
        <v>3415</v>
      </c>
      <c r="E139" s="145" t="s">
        <v>3930</v>
      </c>
      <c r="F139" s="145" t="s">
        <v>3930</v>
      </c>
      <c r="G139" s="143" t="s">
        <v>3416</v>
      </c>
      <c r="H139" s="143" t="s">
        <v>3417</v>
      </c>
      <c r="I139" s="143" t="s">
        <v>312</v>
      </c>
      <c r="J139" s="143" t="s">
        <v>1218</v>
      </c>
      <c r="K139" s="163">
        <v>45302</v>
      </c>
      <c r="L139" s="144">
        <v>2886</v>
      </c>
      <c r="M139" s="144">
        <v>11983.8264</v>
      </c>
      <c r="N139" s="144">
        <v>2163.9040199999999</v>
      </c>
      <c r="O139" s="144">
        <v>8985.3950526480003</v>
      </c>
      <c r="P139" s="170">
        <v>0.74979349272349272</v>
      </c>
      <c r="Q139" s="174">
        <v>49021</v>
      </c>
      <c r="R139" s="177"/>
    </row>
    <row r="140" spans="1:18" ht="15" x14ac:dyDescent="0.2">
      <c r="A140" s="142" t="s">
        <v>1220</v>
      </c>
      <c r="B140" s="143" t="s">
        <v>1220</v>
      </c>
      <c r="C140" s="170" t="s">
        <v>1068</v>
      </c>
      <c r="D140" s="143" t="s">
        <v>3373</v>
      </c>
      <c r="E140" s="145" t="s">
        <v>3930</v>
      </c>
      <c r="F140" s="145" t="s">
        <v>3930</v>
      </c>
      <c r="G140" s="143" t="s">
        <v>3426</v>
      </c>
      <c r="H140" s="143" t="s">
        <v>3427</v>
      </c>
      <c r="I140" s="143" t="s">
        <v>312</v>
      </c>
      <c r="J140" s="143" t="s">
        <v>1218</v>
      </c>
      <c r="K140" s="163">
        <v>45089</v>
      </c>
      <c r="L140" s="144">
        <v>1593.64572</v>
      </c>
      <c r="M140" s="144">
        <v>6617.4544877279995</v>
      </c>
      <c r="N140" s="144">
        <v>1275.6328399999998</v>
      </c>
      <c r="O140" s="144">
        <v>5296.9378048159988</v>
      </c>
      <c r="P140" s="170">
        <v>0.80044944995679457</v>
      </c>
      <c r="Q140" s="174">
        <v>50040</v>
      </c>
      <c r="R140" s="177"/>
    </row>
    <row r="141" spans="1:18" ht="15" x14ac:dyDescent="0.2">
      <c r="A141" s="142" t="s">
        <v>1220</v>
      </c>
      <c r="B141" s="143" t="s">
        <v>1220</v>
      </c>
      <c r="C141" s="170" t="s">
        <v>1068</v>
      </c>
      <c r="D141" s="143" t="s">
        <v>3542</v>
      </c>
      <c r="E141" s="145" t="s">
        <v>3930</v>
      </c>
      <c r="F141" s="145" t="s">
        <v>3930</v>
      </c>
      <c r="G141" s="143" t="s">
        <v>3543</v>
      </c>
      <c r="H141" s="143" t="s">
        <v>3544</v>
      </c>
      <c r="I141" s="143" t="s">
        <v>312</v>
      </c>
      <c r="J141" s="143" t="s">
        <v>1210</v>
      </c>
      <c r="K141" s="163">
        <v>45119</v>
      </c>
      <c r="L141" s="144">
        <v>9620</v>
      </c>
      <c r="M141" s="144">
        <v>9620</v>
      </c>
      <c r="N141" s="144">
        <v>7812.2759999999998</v>
      </c>
      <c r="O141" s="144">
        <v>7812.2759999999998</v>
      </c>
      <c r="P141" s="170">
        <v>0.81208690228690228</v>
      </c>
      <c r="Q141" s="174">
        <v>47848</v>
      </c>
      <c r="R141" s="177"/>
    </row>
    <row r="142" spans="1:18" ht="15" x14ac:dyDescent="0.2">
      <c r="A142" s="142" t="s">
        <v>1220</v>
      </c>
      <c r="B142" s="143" t="s">
        <v>1220</v>
      </c>
      <c r="C142" s="170" t="s">
        <v>1068</v>
      </c>
      <c r="D142" s="143" t="s">
        <v>3406</v>
      </c>
      <c r="E142" s="145" t="s">
        <v>3930</v>
      </c>
      <c r="F142" s="145" t="s">
        <v>3930</v>
      </c>
      <c r="G142" s="143" t="s">
        <v>3407</v>
      </c>
      <c r="H142" s="143" t="s">
        <v>3408</v>
      </c>
      <c r="I142" s="143" t="s">
        <v>312</v>
      </c>
      <c r="J142" s="143" t="s">
        <v>1211</v>
      </c>
      <c r="K142" s="163">
        <v>44420</v>
      </c>
      <c r="L142" s="144">
        <v>3654</v>
      </c>
      <c r="M142" s="144">
        <v>13556.34</v>
      </c>
      <c r="N142" s="144">
        <v>2472.9720000000002</v>
      </c>
      <c r="O142" s="144">
        <v>9174.7261199999994</v>
      </c>
      <c r="P142" s="170">
        <v>0.67678489326765179</v>
      </c>
      <c r="Q142" s="174">
        <v>48822</v>
      </c>
      <c r="R142" s="177"/>
    </row>
    <row r="143" spans="1:18" ht="15" x14ac:dyDescent="0.2">
      <c r="A143" s="142" t="s">
        <v>1220</v>
      </c>
      <c r="B143" s="143" t="s">
        <v>1220</v>
      </c>
      <c r="C143" s="170" t="s">
        <v>1068</v>
      </c>
      <c r="D143" s="143" t="s">
        <v>3442</v>
      </c>
      <c r="E143" s="145" t="s">
        <v>3930</v>
      </c>
      <c r="F143" s="145" t="s">
        <v>3930</v>
      </c>
      <c r="G143" s="143" t="s">
        <v>3443</v>
      </c>
      <c r="H143" s="143" t="s">
        <v>3444</v>
      </c>
      <c r="I143" s="143" t="s">
        <v>312</v>
      </c>
      <c r="J143" s="143" t="s">
        <v>1211</v>
      </c>
      <c r="K143" s="163">
        <v>44136</v>
      </c>
      <c r="L143" s="144">
        <v>6248.4579999999996</v>
      </c>
      <c r="M143" s="144">
        <v>23181.779180000001</v>
      </c>
      <c r="N143" s="144">
        <v>1062.239</v>
      </c>
      <c r="O143" s="144">
        <v>3940.9066899999998</v>
      </c>
      <c r="P143" s="170">
        <v>0.17000018244501283</v>
      </c>
      <c r="Q143" s="174">
        <v>47573</v>
      </c>
      <c r="R143" s="177"/>
    </row>
    <row r="144" spans="1:18" ht="15" x14ac:dyDescent="0.2">
      <c r="A144" s="142" t="s">
        <v>1220</v>
      </c>
      <c r="B144" s="143" t="s">
        <v>1220</v>
      </c>
      <c r="C144" s="170" t="s">
        <v>1068</v>
      </c>
      <c r="D144" s="143" t="s">
        <v>3324</v>
      </c>
      <c r="E144" s="145" t="s">
        <v>3930</v>
      </c>
      <c r="F144" s="145" t="s">
        <v>3930</v>
      </c>
      <c r="G144" s="143" t="s">
        <v>3325</v>
      </c>
      <c r="H144" s="143" t="s">
        <v>3326</v>
      </c>
      <c r="I144" s="143" t="s">
        <v>312</v>
      </c>
      <c r="J144" s="143" t="s">
        <v>1211</v>
      </c>
      <c r="K144" s="163">
        <v>44136</v>
      </c>
      <c r="L144" s="144">
        <v>6270.902</v>
      </c>
      <c r="M144" s="144">
        <v>23265.046419999999</v>
      </c>
      <c r="N144" s="144">
        <v>1316.8879999999997</v>
      </c>
      <c r="O144" s="144">
        <v>4885.6544799999992</v>
      </c>
      <c r="P144" s="170">
        <v>0.20999977355729685</v>
      </c>
      <c r="Q144" s="174">
        <v>47483</v>
      </c>
      <c r="R144" s="177"/>
    </row>
    <row r="145" spans="1:18" ht="15" x14ac:dyDescent="0.2">
      <c r="A145" s="142" t="s">
        <v>1220</v>
      </c>
      <c r="B145" s="143" t="s">
        <v>1220</v>
      </c>
      <c r="C145" s="170" t="s">
        <v>1068</v>
      </c>
      <c r="D145" s="143" t="s">
        <v>3622</v>
      </c>
      <c r="E145" s="145" t="s">
        <v>3930</v>
      </c>
      <c r="F145" s="145" t="s">
        <v>3930</v>
      </c>
      <c r="G145" s="143" t="s">
        <v>3623</v>
      </c>
      <c r="H145" s="143" t="s">
        <v>3624</v>
      </c>
      <c r="I145" s="143" t="s">
        <v>312</v>
      </c>
      <c r="J145" s="143" t="s">
        <v>1211</v>
      </c>
      <c r="K145" s="163">
        <v>44633</v>
      </c>
      <c r="L145" s="144">
        <v>2425.88</v>
      </c>
      <c r="M145" s="144">
        <v>9000.0148000000008</v>
      </c>
      <c r="N145" s="144">
        <v>1198.2570000000001</v>
      </c>
      <c r="O145" s="144">
        <v>4445.5334699999994</v>
      </c>
      <c r="P145" s="170">
        <v>0.49394735106435594</v>
      </c>
      <c r="Q145" s="174">
        <v>48286</v>
      </c>
      <c r="R145" s="177"/>
    </row>
    <row r="146" spans="1:18" ht="15" x14ac:dyDescent="0.2">
      <c r="A146" s="142" t="s">
        <v>1220</v>
      </c>
      <c r="B146" s="143" t="s">
        <v>1220</v>
      </c>
      <c r="C146" s="170" t="s">
        <v>1068</v>
      </c>
      <c r="D146" s="143" t="s">
        <v>314</v>
      </c>
      <c r="E146" s="145" t="s">
        <v>3930</v>
      </c>
      <c r="F146" s="145" t="s">
        <v>3930</v>
      </c>
      <c r="G146" s="143" t="s">
        <v>3611</v>
      </c>
      <c r="H146" s="143" t="s">
        <v>3612</v>
      </c>
      <c r="I146" s="143" t="s">
        <v>312</v>
      </c>
      <c r="J146" s="143" t="s">
        <v>1218</v>
      </c>
      <c r="K146" s="163">
        <v>44136</v>
      </c>
      <c r="L146" s="144">
        <v>3739.0239999999999</v>
      </c>
      <c r="M146" s="144">
        <v>15525.923257599999</v>
      </c>
      <c r="N146" s="144">
        <v>2275.8449999999998</v>
      </c>
      <c r="O146" s="144">
        <v>9450.2187780000004</v>
      </c>
      <c r="P146" s="170">
        <v>0.60867354689352093</v>
      </c>
      <c r="Q146" s="174">
        <v>47664</v>
      </c>
      <c r="R146" s="177"/>
    </row>
    <row r="147" spans="1:18" ht="15" x14ac:dyDescent="0.2">
      <c r="A147" s="142" t="s">
        <v>1220</v>
      </c>
      <c r="B147" s="143" t="s">
        <v>1220</v>
      </c>
      <c r="C147" s="170" t="s">
        <v>1068</v>
      </c>
      <c r="D147" s="143" t="s">
        <v>3650</v>
      </c>
      <c r="E147" s="145" t="s">
        <v>3930</v>
      </c>
      <c r="F147" s="145" t="s">
        <v>3930</v>
      </c>
      <c r="G147" s="143" t="s">
        <v>3651</v>
      </c>
      <c r="H147" s="143" t="s">
        <v>3652</v>
      </c>
      <c r="I147" s="143" t="s">
        <v>312</v>
      </c>
      <c r="J147" s="143" t="s">
        <v>1211</v>
      </c>
      <c r="K147" s="163">
        <v>44742</v>
      </c>
      <c r="L147" s="144">
        <v>3848</v>
      </c>
      <c r="M147" s="144">
        <v>14276.08</v>
      </c>
      <c r="N147" s="144">
        <v>3078.3999900000003</v>
      </c>
      <c r="O147" s="144">
        <v>11420.863962900001</v>
      </c>
      <c r="P147" s="170">
        <v>0.7999999974012475</v>
      </c>
      <c r="Q147" s="174">
        <v>49490</v>
      </c>
      <c r="R147" s="177"/>
    </row>
    <row r="148" spans="1:18" ht="15" x14ac:dyDescent="0.2">
      <c r="A148" s="142" t="s">
        <v>1220</v>
      </c>
      <c r="B148" s="143" t="s">
        <v>1220</v>
      </c>
      <c r="C148" s="170" t="s">
        <v>1068</v>
      </c>
      <c r="D148" s="143" t="s">
        <v>3324</v>
      </c>
      <c r="E148" s="145" t="s">
        <v>3930</v>
      </c>
      <c r="F148" s="145" t="s">
        <v>3930</v>
      </c>
      <c r="G148" s="143" t="s">
        <v>3511</v>
      </c>
      <c r="H148" s="143" t="s">
        <v>3512</v>
      </c>
      <c r="I148" s="143" t="s">
        <v>312</v>
      </c>
      <c r="J148" s="143" t="s">
        <v>1211</v>
      </c>
      <c r="K148" s="163">
        <v>44453</v>
      </c>
      <c r="L148" s="144">
        <v>6090</v>
      </c>
      <c r="M148" s="144">
        <v>22593.9</v>
      </c>
      <c r="N148" s="144">
        <v>609</v>
      </c>
      <c r="O148" s="144">
        <v>2259.39</v>
      </c>
      <c r="P148" s="170">
        <v>0.1</v>
      </c>
      <c r="Q148" s="174">
        <v>47745</v>
      </c>
      <c r="R148" s="177"/>
    </row>
    <row r="149" spans="1:18" ht="15" x14ac:dyDescent="0.2">
      <c r="A149" s="142" t="s">
        <v>1220</v>
      </c>
      <c r="B149" s="143" t="s">
        <v>1220</v>
      </c>
      <c r="C149" s="170" t="s">
        <v>1068</v>
      </c>
      <c r="D149" s="143" t="s">
        <v>3282</v>
      </c>
      <c r="E149" s="145" t="s">
        <v>3930</v>
      </c>
      <c r="F149" s="145" t="s">
        <v>3930</v>
      </c>
      <c r="G149" s="143" t="s">
        <v>3283</v>
      </c>
      <c r="H149" s="143" t="s">
        <v>3284</v>
      </c>
      <c r="I149" s="143" t="s">
        <v>312</v>
      </c>
      <c r="J149" s="143" t="s">
        <v>1211</v>
      </c>
      <c r="K149" s="163">
        <v>44136</v>
      </c>
      <c r="L149" s="144">
        <v>4709.0600000000004</v>
      </c>
      <c r="M149" s="144">
        <v>17470.6126</v>
      </c>
      <c r="N149" s="144">
        <v>897.755</v>
      </c>
      <c r="O149" s="144">
        <v>3330.6710499999999</v>
      </c>
      <c r="P149" s="170">
        <v>0.19064420500057333</v>
      </c>
      <c r="Q149" s="174">
        <v>46265</v>
      </c>
      <c r="R149" s="177"/>
    </row>
    <row r="150" spans="1:18" ht="15" x14ac:dyDescent="0.2">
      <c r="A150" s="142" t="s">
        <v>1220</v>
      </c>
      <c r="B150" s="143" t="s">
        <v>1220</v>
      </c>
      <c r="C150" s="170" t="s">
        <v>1068</v>
      </c>
      <c r="D150" s="143" t="s">
        <v>3606</v>
      </c>
      <c r="E150" s="145" t="s">
        <v>3930</v>
      </c>
      <c r="F150" s="145" t="s">
        <v>3930</v>
      </c>
      <c r="G150" s="143" t="s">
        <v>3607</v>
      </c>
      <c r="H150" s="143" t="s">
        <v>3608</v>
      </c>
      <c r="I150" s="143" t="s">
        <v>312</v>
      </c>
      <c r="J150" s="143" t="s">
        <v>1211</v>
      </c>
      <c r="K150" s="163">
        <v>44136</v>
      </c>
      <c r="L150" s="144">
        <v>3808.7939999999999</v>
      </c>
      <c r="M150" s="144">
        <v>14130.625739999999</v>
      </c>
      <c r="N150" s="144">
        <v>262.70499999999998</v>
      </c>
      <c r="O150" s="144">
        <v>974.63555000000008</v>
      </c>
      <c r="P150" s="170">
        <v>6.8973276055360314E-2</v>
      </c>
      <c r="Q150" s="174">
        <v>46965</v>
      </c>
      <c r="R150" s="177"/>
    </row>
    <row r="151" spans="1:18" ht="15" x14ac:dyDescent="0.2">
      <c r="A151" s="142" t="s">
        <v>1220</v>
      </c>
      <c r="B151" s="143" t="s">
        <v>1220</v>
      </c>
      <c r="C151" s="170" t="s">
        <v>1068</v>
      </c>
      <c r="D151" s="143" t="s">
        <v>3412</v>
      </c>
      <c r="E151" s="145" t="s">
        <v>3930</v>
      </c>
      <c r="F151" s="145" t="s">
        <v>3930</v>
      </c>
      <c r="G151" s="143" t="s">
        <v>3413</v>
      </c>
      <c r="H151" s="143" t="s">
        <v>3414</v>
      </c>
      <c r="I151" s="143" t="s">
        <v>312</v>
      </c>
      <c r="J151" s="143" t="s">
        <v>1211</v>
      </c>
      <c r="K151" s="163">
        <v>44136</v>
      </c>
      <c r="L151" s="144">
        <v>2048.9789999999998</v>
      </c>
      <c r="M151" s="144">
        <v>7601.71209</v>
      </c>
      <c r="N151" s="144">
        <v>344.61700000000002</v>
      </c>
      <c r="O151" s="144">
        <v>1278.52907</v>
      </c>
      <c r="P151" s="170">
        <v>0.16818962029381465</v>
      </c>
      <c r="Q151" s="174">
        <v>46752</v>
      </c>
      <c r="R151" s="177"/>
    </row>
    <row r="152" spans="1:18" ht="15" x14ac:dyDescent="0.2">
      <c r="A152" s="142" t="s">
        <v>1220</v>
      </c>
      <c r="B152" s="143" t="s">
        <v>1220</v>
      </c>
      <c r="C152" s="170" t="s">
        <v>1068</v>
      </c>
      <c r="D152" s="143" t="s">
        <v>3403</v>
      </c>
      <c r="E152" s="145" t="s">
        <v>3930</v>
      </c>
      <c r="F152" s="145" t="s">
        <v>3930</v>
      </c>
      <c r="G152" s="143" t="s">
        <v>3404</v>
      </c>
      <c r="H152" s="143" t="s">
        <v>3405</v>
      </c>
      <c r="I152" s="143" t="s">
        <v>312</v>
      </c>
      <c r="J152" s="143" t="s">
        <v>1211</v>
      </c>
      <c r="K152" s="163">
        <v>44525</v>
      </c>
      <c r="L152" s="144">
        <v>1218</v>
      </c>
      <c r="M152" s="144">
        <v>4518.78</v>
      </c>
      <c r="N152" s="144">
        <v>115.71</v>
      </c>
      <c r="O152" s="144">
        <v>429.28409999999997</v>
      </c>
      <c r="P152" s="170">
        <v>9.5000000000000001E-2</v>
      </c>
      <c r="Q152" s="174">
        <v>47073</v>
      </c>
      <c r="R152" s="177"/>
    </row>
    <row r="153" spans="1:18" ht="15" x14ac:dyDescent="0.2">
      <c r="A153" s="142" t="s">
        <v>1220</v>
      </c>
      <c r="B153" s="143" t="s">
        <v>1220</v>
      </c>
      <c r="C153" s="170" t="s">
        <v>1068</v>
      </c>
      <c r="D153" s="143" t="s">
        <v>3306</v>
      </c>
      <c r="E153" s="145" t="s">
        <v>3930</v>
      </c>
      <c r="F153" s="145" t="s">
        <v>3930</v>
      </c>
      <c r="G153" s="143" t="s">
        <v>3307</v>
      </c>
      <c r="H153" s="143" t="s">
        <v>3308</v>
      </c>
      <c r="I153" s="143" t="s">
        <v>312</v>
      </c>
      <c r="J153" s="143" t="s">
        <v>1210</v>
      </c>
      <c r="K153" s="163">
        <v>44636</v>
      </c>
      <c r="L153" s="144">
        <v>15921.696</v>
      </c>
      <c r="M153" s="144">
        <v>15921.696</v>
      </c>
      <c r="N153" s="144">
        <v>11939.043</v>
      </c>
      <c r="O153" s="144">
        <v>11939.043</v>
      </c>
      <c r="P153" s="170">
        <v>0.74986000235150829</v>
      </c>
      <c r="Q153" s="174">
        <v>48290</v>
      </c>
      <c r="R153" s="177"/>
    </row>
    <row r="154" spans="1:18" ht="15" x14ac:dyDescent="0.2">
      <c r="A154" s="142" t="s">
        <v>1220</v>
      </c>
      <c r="B154" s="143" t="s">
        <v>1220</v>
      </c>
      <c r="C154" s="170" t="s">
        <v>1068</v>
      </c>
      <c r="D154" s="143" t="s">
        <v>3321</v>
      </c>
      <c r="E154" s="145" t="s">
        <v>3930</v>
      </c>
      <c r="F154" s="145" t="s">
        <v>3930</v>
      </c>
      <c r="G154" s="143" t="s">
        <v>3322</v>
      </c>
      <c r="H154" s="143" t="s">
        <v>3323</v>
      </c>
      <c r="I154" s="143" t="s">
        <v>312</v>
      </c>
      <c r="J154" s="143" t="s">
        <v>1211</v>
      </c>
      <c r="K154" s="163">
        <v>44136</v>
      </c>
      <c r="L154" s="144">
        <v>3283.0783799999999</v>
      </c>
      <c r="M154" s="144">
        <v>12180.2207898</v>
      </c>
      <c r="N154" s="144">
        <v>96.114659999999688</v>
      </c>
      <c r="O154" s="144">
        <v>356.58538859999885</v>
      </c>
      <c r="P154" s="170">
        <v>2.9275773793740401E-2</v>
      </c>
      <c r="Q154" s="174">
        <v>46842</v>
      </c>
      <c r="R154" s="177"/>
    </row>
    <row r="155" spans="1:18" ht="15" x14ac:dyDescent="0.2">
      <c r="A155" s="142" t="s">
        <v>1220</v>
      </c>
      <c r="B155" s="143" t="s">
        <v>1220</v>
      </c>
      <c r="C155" s="170" t="s">
        <v>1068</v>
      </c>
      <c r="D155" s="143" t="s">
        <v>3288</v>
      </c>
      <c r="E155" s="145" t="s">
        <v>3930</v>
      </c>
      <c r="F155" s="145" t="s">
        <v>3930</v>
      </c>
      <c r="G155" s="143" t="s">
        <v>3289</v>
      </c>
      <c r="H155" s="143" t="s">
        <v>3290</v>
      </c>
      <c r="I155" s="143" t="s">
        <v>312</v>
      </c>
      <c r="J155" s="143" t="s">
        <v>1211</v>
      </c>
      <c r="K155" s="163">
        <v>44136</v>
      </c>
      <c r="L155" s="144">
        <v>3757.55</v>
      </c>
      <c r="M155" s="144">
        <v>13940.5105</v>
      </c>
      <c r="N155" s="144">
        <v>1070.7819999999999</v>
      </c>
      <c r="O155" s="144">
        <v>3972.6012199999996</v>
      </c>
      <c r="P155" s="170">
        <v>0.28496813082992906</v>
      </c>
      <c r="Q155" s="174">
        <v>46934</v>
      </c>
      <c r="R155" s="177"/>
    </row>
    <row r="156" spans="1:18" ht="15" x14ac:dyDescent="0.2">
      <c r="A156" s="142" t="s">
        <v>1220</v>
      </c>
      <c r="B156" s="143" t="s">
        <v>1220</v>
      </c>
      <c r="C156" s="170" t="s">
        <v>1068</v>
      </c>
      <c r="D156" s="143" t="s">
        <v>3519</v>
      </c>
      <c r="E156" s="145" t="s">
        <v>3930</v>
      </c>
      <c r="F156" s="145" t="s">
        <v>3930</v>
      </c>
      <c r="G156" s="143" t="s">
        <v>3520</v>
      </c>
      <c r="H156" s="143" t="s">
        <v>3521</v>
      </c>
      <c r="I156" s="143" t="s">
        <v>312</v>
      </c>
      <c r="J156" s="143" t="s">
        <v>1218</v>
      </c>
      <c r="K156" s="163">
        <v>44136</v>
      </c>
      <c r="L156" s="144">
        <v>4997.7659999999996</v>
      </c>
      <c r="M156" s="144">
        <v>20752.723538400001</v>
      </c>
      <c r="N156" s="144">
        <v>361.51324000000022</v>
      </c>
      <c r="O156" s="144">
        <v>1501.1475777760011</v>
      </c>
      <c r="P156" s="170">
        <v>7.2334967263373323E-2</v>
      </c>
      <c r="Q156" s="174">
        <v>46568</v>
      </c>
      <c r="R156" s="177"/>
    </row>
    <row r="157" spans="1:18" ht="15" x14ac:dyDescent="0.2">
      <c r="A157" s="142" t="s">
        <v>1220</v>
      </c>
      <c r="B157" s="143" t="s">
        <v>1220</v>
      </c>
      <c r="C157" s="170" t="s">
        <v>1068</v>
      </c>
      <c r="D157" s="143" t="s">
        <v>3525</v>
      </c>
      <c r="E157" s="145" t="s">
        <v>3930</v>
      </c>
      <c r="F157" s="145" t="s">
        <v>3930</v>
      </c>
      <c r="G157" s="143" t="s">
        <v>3526</v>
      </c>
      <c r="H157" s="143" t="s">
        <v>3527</v>
      </c>
      <c r="I157" s="143" t="s">
        <v>312</v>
      </c>
      <c r="J157" s="143" t="s">
        <v>1211</v>
      </c>
      <c r="K157" s="163">
        <v>45124</v>
      </c>
      <c r="L157" s="144">
        <v>2002.664</v>
      </c>
      <c r="M157" s="144">
        <v>7429.8834399999996</v>
      </c>
      <c r="N157" s="144">
        <v>206.22200000000001</v>
      </c>
      <c r="O157" s="144">
        <v>765.08362</v>
      </c>
      <c r="P157" s="170">
        <v>0.10297383884665626</v>
      </c>
      <c r="Q157" s="174">
        <v>47848</v>
      </c>
      <c r="R157" s="177"/>
    </row>
    <row r="158" spans="1:18" ht="15" x14ac:dyDescent="0.2">
      <c r="A158" s="142" t="s">
        <v>1220</v>
      </c>
      <c r="B158" s="143" t="s">
        <v>1220</v>
      </c>
      <c r="C158" s="170" t="s">
        <v>1068</v>
      </c>
      <c r="D158" s="143" t="s">
        <v>3309</v>
      </c>
      <c r="E158" s="145" t="s">
        <v>3930</v>
      </c>
      <c r="F158" s="145" t="s">
        <v>3930</v>
      </c>
      <c r="G158" s="143" t="s">
        <v>3310</v>
      </c>
      <c r="H158" s="143" t="s">
        <v>3311</v>
      </c>
      <c r="I158" s="143" t="s">
        <v>312</v>
      </c>
      <c r="J158" s="143" t="s">
        <v>1211</v>
      </c>
      <c r="K158" s="163">
        <v>45215</v>
      </c>
      <c r="L158" s="144">
        <v>2886</v>
      </c>
      <c r="M158" s="144">
        <v>10707.06</v>
      </c>
      <c r="N158" s="144">
        <v>2150.0700000000002</v>
      </c>
      <c r="O158" s="144">
        <v>7976.7597000000005</v>
      </c>
      <c r="P158" s="170">
        <v>0.745</v>
      </c>
      <c r="Q158" s="174">
        <v>48869</v>
      </c>
      <c r="R158" s="177"/>
    </row>
    <row r="159" spans="1:18" ht="15" x14ac:dyDescent="0.2">
      <c r="A159" s="142" t="s">
        <v>1220</v>
      </c>
      <c r="B159" s="143" t="s">
        <v>1220</v>
      </c>
      <c r="C159" s="170" t="s">
        <v>1068</v>
      </c>
      <c r="D159" s="143" t="s">
        <v>3498</v>
      </c>
      <c r="E159" s="145" t="s">
        <v>3930</v>
      </c>
      <c r="F159" s="145" t="s">
        <v>3930</v>
      </c>
      <c r="G159" s="143" t="s">
        <v>3499</v>
      </c>
      <c r="H159" s="143" t="s">
        <v>3500</v>
      </c>
      <c r="I159" s="143" t="s">
        <v>312</v>
      </c>
      <c r="J159" s="143" t="s">
        <v>1210</v>
      </c>
      <c r="K159" s="163">
        <v>44136</v>
      </c>
      <c r="L159" s="144">
        <v>10398.926460000001</v>
      </c>
      <c r="M159" s="144">
        <v>10398.926460000001</v>
      </c>
      <c r="N159" s="144">
        <v>780.11846000000094</v>
      </c>
      <c r="O159" s="144">
        <v>780.11846000000094</v>
      </c>
      <c r="P159" s="170">
        <v>7.5019134234746848E-2</v>
      </c>
      <c r="Q159" s="174">
        <v>45838</v>
      </c>
      <c r="R159" s="177"/>
    </row>
    <row r="160" spans="1:18" ht="15" x14ac:dyDescent="0.2">
      <c r="A160" s="142" t="s">
        <v>1220</v>
      </c>
      <c r="B160" s="143" t="s">
        <v>1220</v>
      </c>
      <c r="C160" s="170" t="s">
        <v>1068</v>
      </c>
      <c r="D160" s="143" t="s">
        <v>3495</v>
      </c>
      <c r="E160" s="145" t="s">
        <v>3930</v>
      </c>
      <c r="F160" s="145" t="s">
        <v>3930</v>
      </c>
      <c r="G160" s="143" t="s">
        <v>3496</v>
      </c>
      <c r="H160" s="143" t="s">
        <v>3497</v>
      </c>
      <c r="I160" s="143" t="s">
        <v>312</v>
      </c>
      <c r="J160" s="143" t="s">
        <v>1210</v>
      </c>
      <c r="K160" s="163">
        <v>45034</v>
      </c>
      <c r="L160" s="144">
        <v>9620</v>
      </c>
      <c r="M160" s="144">
        <v>9620</v>
      </c>
      <c r="N160" s="144">
        <v>6734</v>
      </c>
      <c r="O160" s="144">
        <v>6734</v>
      </c>
      <c r="P160" s="170">
        <v>0.7</v>
      </c>
      <c r="Q160" s="174">
        <v>48944</v>
      </c>
      <c r="R160" s="177"/>
    </row>
    <row r="161" spans="1:18" ht="15" x14ac:dyDescent="0.2">
      <c r="A161" s="142" t="s">
        <v>1220</v>
      </c>
      <c r="B161" s="143" t="s">
        <v>1220</v>
      </c>
      <c r="C161" s="170" t="s">
        <v>1068</v>
      </c>
      <c r="D161" s="143" t="s">
        <v>3528</v>
      </c>
      <c r="E161" s="145" t="s">
        <v>3930</v>
      </c>
      <c r="F161" s="145" t="s">
        <v>3930</v>
      </c>
      <c r="G161" s="143" t="s">
        <v>3529</v>
      </c>
      <c r="H161" s="143" t="s">
        <v>3530</v>
      </c>
      <c r="I161" s="143" t="s">
        <v>312</v>
      </c>
      <c r="J161" s="143" t="s">
        <v>1211</v>
      </c>
      <c r="K161" s="163">
        <v>44731</v>
      </c>
      <c r="L161" s="144">
        <v>4872</v>
      </c>
      <c r="M161" s="144">
        <v>18075.12</v>
      </c>
      <c r="N161" s="144">
        <v>2733.1525200000001</v>
      </c>
      <c r="O161" s="144">
        <v>10139.995849199999</v>
      </c>
      <c r="P161" s="170">
        <v>0.5609918965517241</v>
      </c>
      <c r="Q161" s="174">
        <v>47299</v>
      </c>
      <c r="R161" s="177"/>
    </row>
    <row r="162" spans="1:18" ht="15" x14ac:dyDescent="0.2">
      <c r="A162" s="142" t="s">
        <v>1220</v>
      </c>
      <c r="B162" s="143" t="s">
        <v>1220</v>
      </c>
      <c r="C162" s="170" t="s">
        <v>1068</v>
      </c>
      <c r="D162" s="143" t="s">
        <v>3513</v>
      </c>
      <c r="E162" s="145" t="s">
        <v>3930</v>
      </c>
      <c r="F162" s="145" t="s">
        <v>3930</v>
      </c>
      <c r="G162" s="143" t="s">
        <v>3514</v>
      </c>
      <c r="H162" s="143" t="s">
        <v>3515</v>
      </c>
      <c r="I162" s="143" t="s">
        <v>312</v>
      </c>
      <c r="J162" s="143" t="s">
        <v>1218</v>
      </c>
      <c r="K162" s="163">
        <v>44427</v>
      </c>
      <c r="L162" s="144">
        <v>3661.3760000000002</v>
      </c>
      <c r="M162" s="144">
        <v>15203.4977024</v>
      </c>
      <c r="N162" s="144">
        <v>527.1841800000002</v>
      </c>
      <c r="O162" s="144">
        <v>2189.079589032001</v>
      </c>
      <c r="P162" s="170">
        <v>0.1439852612788198</v>
      </c>
      <c r="Q162" s="174">
        <v>46265</v>
      </c>
      <c r="R162" s="177"/>
    </row>
    <row r="163" spans="1:18" ht="15" x14ac:dyDescent="0.2">
      <c r="A163" s="142" t="s">
        <v>1220</v>
      </c>
      <c r="B163" s="143" t="s">
        <v>1220</v>
      </c>
      <c r="C163" s="170" t="s">
        <v>1068</v>
      </c>
      <c r="D163" s="143" t="s">
        <v>3567</v>
      </c>
      <c r="E163" s="145" t="s">
        <v>3930</v>
      </c>
      <c r="F163" s="145" t="s">
        <v>3930</v>
      </c>
      <c r="G163" s="143" t="s">
        <v>3568</v>
      </c>
      <c r="H163" s="143" t="s">
        <v>3569</v>
      </c>
      <c r="I163" s="143" t="s">
        <v>312</v>
      </c>
      <c r="J163" s="143" t="s">
        <v>1211</v>
      </c>
      <c r="K163" s="163">
        <v>44136</v>
      </c>
      <c r="L163" s="144">
        <v>6291.3029999999999</v>
      </c>
      <c r="M163" s="144">
        <v>23340.734130000001</v>
      </c>
      <c r="N163" s="144">
        <v>762.69788999999969</v>
      </c>
      <c r="O163" s="144">
        <v>2829.6091718999987</v>
      </c>
      <c r="P163" s="170">
        <v>0.12123051297958462</v>
      </c>
      <c r="Q163" s="174">
        <v>47360</v>
      </c>
      <c r="R163" s="177"/>
    </row>
    <row r="164" spans="1:18" ht="15" x14ac:dyDescent="0.2">
      <c r="A164" s="142" t="s">
        <v>1220</v>
      </c>
      <c r="B164" s="143" t="s">
        <v>1220</v>
      </c>
      <c r="C164" s="170" t="s">
        <v>1068</v>
      </c>
      <c r="D164" s="143" t="s">
        <v>3324</v>
      </c>
      <c r="E164" s="145" t="s">
        <v>3930</v>
      </c>
      <c r="F164" s="145" t="s">
        <v>3930</v>
      </c>
      <c r="G164" s="143" t="s">
        <v>3431</v>
      </c>
      <c r="H164" s="143" t="s">
        <v>3432</v>
      </c>
      <c r="I164" s="143" t="s">
        <v>312</v>
      </c>
      <c r="J164" s="143" t="s">
        <v>1211</v>
      </c>
      <c r="K164" s="163">
        <v>45371</v>
      </c>
      <c r="L164" s="144">
        <v>2700</v>
      </c>
      <c r="M164" s="144">
        <v>10017</v>
      </c>
      <c r="N164" s="144">
        <v>2187</v>
      </c>
      <c r="O164" s="144">
        <v>8113.77</v>
      </c>
      <c r="P164" s="170">
        <v>0.81</v>
      </c>
      <c r="Q164" s="174">
        <v>49023</v>
      </c>
      <c r="R164" s="177"/>
    </row>
    <row r="165" spans="1:18" ht="15" x14ac:dyDescent="0.2">
      <c r="A165" s="142" t="s">
        <v>1220</v>
      </c>
      <c r="B165" s="143" t="s">
        <v>1220</v>
      </c>
      <c r="C165" s="170" t="s">
        <v>1068</v>
      </c>
      <c r="D165" s="143" t="s">
        <v>3576</v>
      </c>
      <c r="E165" s="145" t="s">
        <v>3930</v>
      </c>
      <c r="F165" s="145" t="s">
        <v>3930</v>
      </c>
      <c r="G165" s="143" t="s">
        <v>3577</v>
      </c>
      <c r="H165" s="143" t="s">
        <v>3578</v>
      </c>
      <c r="I165" s="143" t="s">
        <v>312</v>
      </c>
      <c r="J165" s="143" t="s">
        <v>1211</v>
      </c>
      <c r="K165" s="163">
        <v>44136</v>
      </c>
      <c r="L165" s="144">
        <v>4968.625</v>
      </c>
      <c r="M165" s="144">
        <v>18433.598750000001</v>
      </c>
      <c r="N165" s="144">
        <v>1141.7799100000002</v>
      </c>
      <c r="O165" s="144">
        <v>4236.0034661000009</v>
      </c>
      <c r="P165" s="170">
        <v>0.22979796422551516</v>
      </c>
      <c r="Q165" s="174">
        <v>46142</v>
      </c>
      <c r="R165" s="177"/>
    </row>
    <row r="166" spans="1:18" ht="15" x14ac:dyDescent="0.2">
      <c r="A166" s="142" t="s">
        <v>1220</v>
      </c>
      <c r="B166" s="143" t="s">
        <v>1220</v>
      </c>
      <c r="C166" s="170" t="s">
        <v>1068</v>
      </c>
      <c r="D166" s="143" t="s">
        <v>3597</v>
      </c>
      <c r="E166" s="145" t="s">
        <v>3930</v>
      </c>
      <c r="F166" s="145" t="s">
        <v>3930</v>
      </c>
      <c r="G166" s="143" t="s">
        <v>3598</v>
      </c>
      <c r="H166" s="143" t="s">
        <v>3599</v>
      </c>
      <c r="I166" s="143" t="s">
        <v>312</v>
      </c>
      <c r="J166" s="143" t="s">
        <v>1211</v>
      </c>
      <c r="K166" s="163">
        <v>45218</v>
      </c>
      <c r="L166" s="144">
        <v>1800</v>
      </c>
      <c r="M166" s="144">
        <v>6678</v>
      </c>
      <c r="N166" s="144">
        <v>233.2803999999999</v>
      </c>
      <c r="O166" s="144">
        <v>865.47028399999965</v>
      </c>
      <c r="P166" s="170">
        <v>0.12960022222222217</v>
      </c>
      <c r="Q166" s="174">
        <v>48884</v>
      </c>
      <c r="R166" s="177"/>
    </row>
    <row r="167" spans="1:18" ht="15" x14ac:dyDescent="0.2">
      <c r="A167" s="142" t="s">
        <v>1220</v>
      </c>
      <c r="B167" s="143" t="s">
        <v>1220</v>
      </c>
      <c r="C167" s="170" t="s">
        <v>1068</v>
      </c>
      <c r="D167" s="143" t="s">
        <v>3552</v>
      </c>
      <c r="E167" s="145" t="s">
        <v>3930</v>
      </c>
      <c r="F167" s="145" t="s">
        <v>3930</v>
      </c>
      <c r="G167" s="143" t="s">
        <v>3560</v>
      </c>
      <c r="H167" s="143" t="s">
        <v>3561</v>
      </c>
      <c r="I167" s="143" t="s">
        <v>312</v>
      </c>
      <c r="J167" s="143" t="s">
        <v>1210</v>
      </c>
      <c r="K167" s="163">
        <v>45250</v>
      </c>
      <c r="L167" s="144">
        <v>13468</v>
      </c>
      <c r="M167" s="144">
        <v>13468</v>
      </c>
      <c r="N167" s="144">
        <v>13384.58</v>
      </c>
      <c r="O167" s="144">
        <v>13384.58</v>
      </c>
      <c r="P167" s="170">
        <v>0.99380605880605877</v>
      </c>
      <c r="Q167" s="174">
        <v>48913</v>
      </c>
      <c r="R167" s="177"/>
    </row>
    <row r="168" spans="1:18" ht="15" x14ac:dyDescent="0.2">
      <c r="A168" s="142" t="s">
        <v>1220</v>
      </c>
      <c r="B168" s="143" t="s">
        <v>1220</v>
      </c>
      <c r="C168" s="170" t="s">
        <v>1068</v>
      </c>
      <c r="D168" s="143" t="s">
        <v>3330</v>
      </c>
      <c r="E168" s="145" t="s">
        <v>3930</v>
      </c>
      <c r="F168" s="145" t="s">
        <v>3930</v>
      </c>
      <c r="G168" s="143" t="s">
        <v>3356</v>
      </c>
      <c r="H168" s="143" t="s">
        <v>3357</v>
      </c>
      <c r="I168" s="143" t="s">
        <v>312</v>
      </c>
      <c r="J168" s="143" t="s">
        <v>1211</v>
      </c>
      <c r="K168" s="163">
        <v>44248</v>
      </c>
      <c r="L168" s="144">
        <v>5918.6469999999999</v>
      </c>
      <c r="M168" s="144">
        <v>21958.180370000002</v>
      </c>
      <c r="N168" s="144">
        <v>2515.0539900000003</v>
      </c>
      <c r="O168" s="144">
        <v>9330.8503029000021</v>
      </c>
      <c r="P168" s="170">
        <v>0.42493731928935791</v>
      </c>
      <c r="Q168" s="174">
        <v>47907</v>
      </c>
      <c r="R168" s="177"/>
    </row>
    <row r="169" spans="1:18" ht="15" x14ac:dyDescent="0.2">
      <c r="A169" s="142" t="s">
        <v>1220</v>
      </c>
      <c r="B169" s="143" t="s">
        <v>1220</v>
      </c>
      <c r="C169" s="170" t="s">
        <v>1068</v>
      </c>
      <c r="D169" s="143" t="s">
        <v>3370</v>
      </c>
      <c r="E169" s="145" t="s">
        <v>3930</v>
      </c>
      <c r="F169" s="145" t="s">
        <v>3930</v>
      </c>
      <c r="G169" s="143" t="s">
        <v>3371</v>
      </c>
      <c r="H169" s="143" t="s">
        <v>3372</v>
      </c>
      <c r="I169" s="143" t="s">
        <v>312</v>
      </c>
      <c r="J169" s="143" t="s">
        <v>1218</v>
      </c>
      <c r="K169" s="163">
        <v>44613</v>
      </c>
      <c r="L169" s="144">
        <v>2916</v>
      </c>
      <c r="M169" s="144">
        <v>12108.3984</v>
      </c>
      <c r="N169" s="144">
        <v>991.44</v>
      </c>
      <c r="O169" s="144">
        <v>4116.8554560000002</v>
      </c>
      <c r="P169" s="170">
        <v>0.34</v>
      </c>
      <c r="Q169" s="174">
        <v>48265</v>
      </c>
      <c r="R169" s="177"/>
    </row>
    <row r="170" spans="1:18" ht="15" x14ac:dyDescent="0.2">
      <c r="A170" s="142" t="s">
        <v>1220</v>
      </c>
      <c r="B170" s="143" t="s">
        <v>1220</v>
      </c>
      <c r="C170" s="170" t="s">
        <v>1068</v>
      </c>
      <c r="D170" s="143" t="s">
        <v>314</v>
      </c>
      <c r="E170" s="145" t="s">
        <v>3930</v>
      </c>
      <c r="F170" s="145" t="s">
        <v>3930</v>
      </c>
      <c r="G170" s="143" t="s">
        <v>3634</v>
      </c>
      <c r="H170" s="143" t="s">
        <v>3635</v>
      </c>
      <c r="I170" s="143" t="s">
        <v>312</v>
      </c>
      <c r="J170" s="143" t="s">
        <v>1211</v>
      </c>
      <c r="K170" s="163">
        <v>44136</v>
      </c>
      <c r="L170" s="144">
        <v>7713.8658700000005</v>
      </c>
      <c r="M170" s="144">
        <v>28618.442377700001</v>
      </c>
      <c r="N170" s="144">
        <v>1631.0605399999999</v>
      </c>
      <c r="O170" s="144">
        <v>6051.2346034000002</v>
      </c>
      <c r="P170" s="170">
        <v>0.21144528145652083</v>
      </c>
      <c r="Q170" s="174">
        <v>47422</v>
      </c>
      <c r="R170" s="177"/>
    </row>
    <row r="171" spans="1:18" ht="15" x14ac:dyDescent="0.2">
      <c r="A171" s="142" t="s">
        <v>1220</v>
      </c>
      <c r="B171" s="143" t="s">
        <v>1220</v>
      </c>
      <c r="C171" s="170" t="s">
        <v>1068</v>
      </c>
      <c r="D171" s="143" t="s">
        <v>3367</v>
      </c>
      <c r="E171" s="145" t="s">
        <v>3930</v>
      </c>
      <c r="F171" s="145" t="s">
        <v>3930</v>
      </c>
      <c r="G171" s="143" t="s">
        <v>3368</v>
      </c>
      <c r="H171" s="143" t="s">
        <v>3369</v>
      </c>
      <c r="I171" s="143" t="s">
        <v>312</v>
      </c>
      <c r="J171" s="143" t="s">
        <v>1218</v>
      </c>
      <c r="K171" s="163">
        <v>44136</v>
      </c>
      <c r="L171" s="144">
        <v>2823.3607364358745</v>
      </c>
      <c r="M171" s="144">
        <v>11723.723121976325</v>
      </c>
      <c r="N171" s="144">
        <v>218.30620643587457</v>
      </c>
      <c r="O171" s="144">
        <v>906.49469160432557</v>
      </c>
      <c r="P171" s="170">
        <v>7.7321400563024667E-2</v>
      </c>
      <c r="Q171" s="174">
        <v>46965</v>
      </c>
      <c r="R171" s="177"/>
    </row>
    <row r="172" spans="1:18" ht="15" x14ac:dyDescent="0.2">
      <c r="A172" s="142" t="s">
        <v>1220</v>
      </c>
      <c r="B172" s="143" t="s">
        <v>1220</v>
      </c>
      <c r="C172" s="170" t="s">
        <v>1068</v>
      </c>
      <c r="D172" s="143" t="s">
        <v>3333</v>
      </c>
      <c r="E172" s="145" t="s">
        <v>3930</v>
      </c>
      <c r="F172" s="145" t="s">
        <v>3930</v>
      </c>
      <c r="G172" s="143" t="s">
        <v>3334</v>
      </c>
      <c r="H172" s="143" t="s">
        <v>3335</v>
      </c>
      <c r="I172" s="143" t="s">
        <v>312</v>
      </c>
      <c r="J172" s="143" t="s">
        <v>1211</v>
      </c>
      <c r="K172" s="163">
        <v>44136</v>
      </c>
      <c r="L172" s="144">
        <v>3108.115434298024</v>
      </c>
      <c r="M172" s="144">
        <v>11531.10826124567</v>
      </c>
      <c r="N172" s="144">
        <v>84.881834298023961</v>
      </c>
      <c r="O172" s="144">
        <v>314.91160524566885</v>
      </c>
      <c r="P172" s="170">
        <v>2.7309743184359796E-2</v>
      </c>
      <c r="Q172" s="174">
        <v>47542</v>
      </c>
      <c r="R172" s="177"/>
    </row>
    <row r="173" spans="1:18" ht="15" x14ac:dyDescent="0.2">
      <c r="A173" s="142" t="s">
        <v>1220</v>
      </c>
      <c r="B173" s="143" t="s">
        <v>1220</v>
      </c>
      <c r="C173" s="170" t="s">
        <v>1068</v>
      </c>
      <c r="D173" s="143" t="s">
        <v>3330</v>
      </c>
      <c r="E173" s="145" t="s">
        <v>3930</v>
      </c>
      <c r="F173" s="145" t="s">
        <v>3930</v>
      </c>
      <c r="G173" s="143" t="s">
        <v>3342</v>
      </c>
      <c r="H173" s="143" t="s">
        <v>3343</v>
      </c>
      <c r="I173" s="143" t="s">
        <v>312</v>
      </c>
      <c r="J173" s="143" t="s">
        <v>1211</v>
      </c>
      <c r="K173" s="163">
        <v>44858</v>
      </c>
      <c r="L173" s="144">
        <v>3599.0949999999998</v>
      </c>
      <c r="M173" s="144">
        <v>13352.642449999999</v>
      </c>
      <c r="N173" s="144">
        <v>653.44600000000003</v>
      </c>
      <c r="O173" s="144">
        <v>2424.2846600000003</v>
      </c>
      <c r="P173" s="170">
        <v>0.18155841954713617</v>
      </c>
      <c r="Q173" s="174">
        <v>49096</v>
      </c>
      <c r="R173" s="177"/>
    </row>
    <row r="174" spans="1:18" ht="15" x14ac:dyDescent="0.2">
      <c r="A174" s="142" t="s">
        <v>1220</v>
      </c>
      <c r="B174" s="143" t="s">
        <v>1220</v>
      </c>
      <c r="C174" s="170" t="s">
        <v>1068</v>
      </c>
      <c r="D174" s="143" t="s">
        <v>3613</v>
      </c>
      <c r="E174" s="145" t="s">
        <v>3930</v>
      </c>
      <c r="F174" s="145" t="s">
        <v>3930</v>
      </c>
      <c r="G174" s="143" t="s">
        <v>3614</v>
      </c>
      <c r="H174" s="143" t="s">
        <v>3615</v>
      </c>
      <c r="I174" s="143" t="s">
        <v>312</v>
      </c>
      <c r="J174" s="143" t="s">
        <v>1211</v>
      </c>
      <c r="K174" s="163">
        <v>44524</v>
      </c>
      <c r="L174" s="144">
        <v>2436</v>
      </c>
      <c r="M174" s="144">
        <v>9037.56</v>
      </c>
      <c r="N174" s="144">
        <v>609</v>
      </c>
      <c r="O174" s="144">
        <v>2259.39</v>
      </c>
      <c r="P174" s="170">
        <v>0.25</v>
      </c>
      <c r="Q174" s="174">
        <v>47081</v>
      </c>
      <c r="R174" s="177"/>
    </row>
    <row r="175" spans="1:18" ht="15" x14ac:dyDescent="0.2">
      <c r="A175" s="142" t="s">
        <v>1220</v>
      </c>
      <c r="B175" s="143" t="s">
        <v>1220</v>
      </c>
      <c r="C175" s="170" t="s">
        <v>1068</v>
      </c>
      <c r="D175" s="143" t="s">
        <v>314</v>
      </c>
      <c r="E175" s="145" t="s">
        <v>3930</v>
      </c>
      <c r="F175" s="145" t="s">
        <v>3930</v>
      </c>
      <c r="G175" s="143" t="s">
        <v>3648</v>
      </c>
      <c r="H175" s="143" t="s">
        <v>3649</v>
      </c>
      <c r="I175" s="143" t="s">
        <v>312</v>
      </c>
      <c r="J175" s="143" t="s">
        <v>1211</v>
      </c>
      <c r="K175" s="163">
        <v>44136</v>
      </c>
      <c r="L175" s="144">
        <v>3018.9129691569069</v>
      </c>
      <c r="M175" s="144">
        <v>11200.167115572125</v>
      </c>
      <c r="N175" s="144">
        <v>497.28149915690676</v>
      </c>
      <c r="O175" s="144">
        <v>1844.9143618721241</v>
      </c>
      <c r="P175" s="170">
        <v>0.16472203877271188</v>
      </c>
      <c r="Q175" s="174">
        <v>47149</v>
      </c>
      <c r="R175" s="177"/>
    </row>
    <row r="176" spans="1:18" ht="15" x14ac:dyDescent="0.2">
      <c r="A176" s="142" t="s">
        <v>1220</v>
      </c>
      <c r="B176" s="143" t="s">
        <v>1220</v>
      </c>
      <c r="C176" s="170" t="s">
        <v>1068</v>
      </c>
      <c r="D176" s="143" t="s">
        <v>3358</v>
      </c>
      <c r="E176" s="145" t="s">
        <v>3930</v>
      </c>
      <c r="F176" s="145" t="s">
        <v>3930</v>
      </c>
      <c r="G176" s="143" t="s">
        <v>3359</v>
      </c>
      <c r="H176" s="143" t="s">
        <v>3360</v>
      </c>
      <c r="I176" s="143" t="s">
        <v>312</v>
      </c>
      <c r="J176" s="143" t="s">
        <v>1211</v>
      </c>
      <c r="K176" s="163">
        <v>44342</v>
      </c>
      <c r="L176" s="144">
        <v>4908.8028299999996</v>
      </c>
      <c r="M176" s="144">
        <v>18211.6584993</v>
      </c>
      <c r="N176" s="144">
        <v>734.20891999999992</v>
      </c>
      <c r="O176" s="144">
        <v>2723.9150931999993</v>
      </c>
      <c r="P176" s="170">
        <v>0.14956985347076976</v>
      </c>
      <c r="Q176" s="174">
        <v>47995</v>
      </c>
      <c r="R176" s="177"/>
    </row>
    <row r="177" spans="1:18" ht="15" x14ac:dyDescent="0.2">
      <c r="A177" s="142" t="s">
        <v>1220</v>
      </c>
      <c r="B177" s="143" t="s">
        <v>1220</v>
      </c>
      <c r="C177" s="170" t="s">
        <v>1068</v>
      </c>
      <c r="D177" s="143" t="s">
        <v>3379</v>
      </c>
      <c r="E177" s="145" t="s">
        <v>3930</v>
      </c>
      <c r="F177" s="145" t="s">
        <v>3930</v>
      </c>
      <c r="G177" s="143" t="s">
        <v>3380</v>
      </c>
      <c r="H177" s="143" t="s">
        <v>3381</v>
      </c>
      <c r="I177" s="143" t="s">
        <v>312</v>
      </c>
      <c r="J177" s="143" t="s">
        <v>1211</v>
      </c>
      <c r="K177" s="163">
        <v>44769</v>
      </c>
      <c r="L177" s="144">
        <v>2308.8000000000002</v>
      </c>
      <c r="M177" s="144">
        <v>8565.6479999999992</v>
      </c>
      <c r="N177" s="144">
        <v>115.44000000000001</v>
      </c>
      <c r="O177" s="144">
        <v>428.2824</v>
      </c>
      <c r="P177" s="170">
        <v>0.05</v>
      </c>
      <c r="Q177" s="174">
        <v>48352</v>
      </c>
      <c r="R177" s="177"/>
    </row>
    <row r="178" spans="1:18" ht="15" x14ac:dyDescent="0.2">
      <c r="A178" s="142" t="s">
        <v>1220</v>
      </c>
      <c r="B178" s="143" t="s">
        <v>1220</v>
      </c>
      <c r="C178" s="170" t="s">
        <v>1068</v>
      </c>
      <c r="D178" s="143" t="s">
        <v>3545</v>
      </c>
      <c r="E178" s="145" t="s">
        <v>3930</v>
      </c>
      <c r="F178" s="145" t="s">
        <v>3930</v>
      </c>
      <c r="G178" s="143" t="s">
        <v>3546</v>
      </c>
      <c r="H178" s="143" t="s">
        <v>3547</v>
      </c>
      <c r="I178" s="143" t="s">
        <v>312</v>
      </c>
      <c r="J178" s="143" t="s">
        <v>1211</v>
      </c>
      <c r="K178" s="163">
        <v>45498</v>
      </c>
      <c r="L178" s="144">
        <v>2405</v>
      </c>
      <c r="M178" s="144">
        <v>8922.5499999999993</v>
      </c>
      <c r="N178" s="144">
        <v>1924</v>
      </c>
      <c r="O178" s="144">
        <v>7138.04</v>
      </c>
      <c r="P178" s="170">
        <v>0.8</v>
      </c>
      <c r="Q178" s="174">
        <v>49150</v>
      </c>
      <c r="R178" s="177"/>
    </row>
    <row r="179" spans="1:18" ht="15" x14ac:dyDescent="0.2">
      <c r="A179" s="142" t="s">
        <v>1220</v>
      </c>
      <c r="B179" s="143" t="s">
        <v>1220</v>
      </c>
      <c r="C179" s="170" t="s">
        <v>1068</v>
      </c>
      <c r="D179" s="143" t="s">
        <v>3450</v>
      </c>
      <c r="E179" s="145" t="s">
        <v>3930</v>
      </c>
      <c r="F179" s="145" t="s">
        <v>3930</v>
      </c>
      <c r="G179" s="143" t="s">
        <v>3451</v>
      </c>
      <c r="H179" s="143" t="s">
        <v>3452</v>
      </c>
      <c r="I179" s="143" t="s">
        <v>312</v>
      </c>
      <c r="J179" s="143" t="s">
        <v>1210</v>
      </c>
      <c r="K179" s="163">
        <v>44136</v>
      </c>
      <c r="L179" s="144">
        <v>10101.6059</v>
      </c>
      <c r="M179" s="144">
        <v>10101.6059</v>
      </c>
      <c r="N179" s="144">
        <v>3390.7939000000006</v>
      </c>
      <c r="O179" s="144">
        <v>3390.7939000000006</v>
      </c>
      <c r="P179" s="170">
        <v>0.33566879697811219</v>
      </c>
      <c r="Q179" s="174">
        <v>47026</v>
      </c>
      <c r="R179" s="177"/>
    </row>
    <row r="180" spans="1:18" ht="15" x14ac:dyDescent="0.2">
      <c r="A180" s="142" t="s">
        <v>1220</v>
      </c>
      <c r="B180" s="143" t="s">
        <v>1220</v>
      </c>
      <c r="C180" s="170" t="s">
        <v>1068</v>
      </c>
      <c r="D180" s="143" t="s">
        <v>3397</v>
      </c>
      <c r="E180" s="145" t="s">
        <v>3930</v>
      </c>
      <c r="F180" s="145" t="s">
        <v>3930</v>
      </c>
      <c r="G180" s="143" t="s">
        <v>3398</v>
      </c>
      <c r="H180" s="143" t="s">
        <v>3399</v>
      </c>
      <c r="I180" s="143" t="s">
        <v>312</v>
      </c>
      <c r="J180" s="143" t="s">
        <v>1211</v>
      </c>
      <c r="K180" s="163">
        <v>44525</v>
      </c>
      <c r="L180" s="144">
        <v>1705.2</v>
      </c>
      <c r="M180" s="144">
        <v>6326.2920000000004</v>
      </c>
      <c r="N180" s="144">
        <v>223.38119999999995</v>
      </c>
      <c r="O180" s="144">
        <v>828.74425199999985</v>
      </c>
      <c r="P180" s="170">
        <v>0.13099999999999998</v>
      </c>
      <c r="Q180" s="174">
        <v>47082</v>
      </c>
      <c r="R180" s="177"/>
    </row>
    <row r="181" spans="1:18" ht="15" x14ac:dyDescent="0.2">
      <c r="A181" s="142" t="s">
        <v>1220</v>
      </c>
      <c r="B181" s="143" t="s">
        <v>1220</v>
      </c>
      <c r="C181" s="170" t="s">
        <v>1068</v>
      </c>
      <c r="D181" s="143" t="s">
        <v>3562</v>
      </c>
      <c r="E181" s="145" t="s">
        <v>3930</v>
      </c>
      <c r="F181" s="145" t="s">
        <v>3930</v>
      </c>
      <c r="G181" s="143" t="s">
        <v>3565</v>
      </c>
      <c r="H181" s="143" t="s">
        <v>3566</v>
      </c>
      <c r="I181" s="143" t="s">
        <v>312</v>
      </c>
      <c r="J181" s="143" t="s">
        <v>1210</v>
      </c>
      <c r="K181" s="163">
        <v>42528</v>
      </c>
      <c r="L181" s="144">
        <v>5871.0236330000007</v>
      </c>
      <c r="M181" s="144">
        <v>5871.0236330000007</v>
      </c>
      <c r="N181" s="144">
        <v>3.0000004917383195E-6</v>
      </c>
      <c r="O181" s="144">
        <v>3.0000004917383195E-6</v>
      </c>
      <c r="P181" s="170">
        <v>5.1098423022449439E-10</v>
      </c>
      <c r="Q181" s="174">
        <v>46181</v>
      </c>
      <c r="R181" s="177"/>
    </row>
    <row r="182" spans="1:18" ht="15" x14ac:dyDescent="0.2">
      <c r="A182" s="142" t="s">
        <v>1220</v>
      </c>
      <c r="B182" s="143" t="s">
        <v>1220</v>
      </c>
      <c r="C182" s="170" t="s">
        <v>1068</v>
      </c>
      <c r="D182" s="143" t="s">
        <v>3353</v>
      </c>
      <c r="E182" s="145" t="s">
        <v>3930</v>
      </c>
      <c r="F182" s="145" t="s">
        <v>3930</v>
      </c>
      <c r="G182" s="143" t="s">
        <v>3354</v>
      </c>
      <c r="H182" s="143" t="s">
        <v>3355</v>
      </c>
      <c r="I182" s="143" t="s">
        <v>312</v>
      </c>
      <c r="J182" s="143" t="s">
        <v>1211</v>
      </c>
      <c r="K182" s="163">
        <v>44312</v>
      </c>
      <c r="L182" s="144">
        <v>3680.0720000000001</v>
      </c>
      <c r="M182" s="144">
        <v>13653.06712</v>
      </c>
      <c r="N182" s="144">
        <v>680.15999000000022</v>
      </c>
      <c r="O182" s="144">
        <v>2523.3935629000007</v>
      </c>
      <c r="P182" s="170">
        <v>0.18482246814736239</v>
      </c>
      <c r="Q182" s="174">
        <v>47965</v>
      </c>
      <c r="R182" s="177"/>
    </row>
    <row r="183" spans="1:18" ht="15" x14ac:dyDescent="0.2">
      <c r="A183" s="142" t="s">
        <v>1220</v>
      </c>
      <c r="B183" s="143" t="s">
        <v>1220</v>
      </c>
      <c r="C183" s="170" t="s">
        <v>1068</v>
      </c>
      <c r="D183" s="143" t="s">
        <v>3445</v>
      </c>
      <c r="E183" s="145" t="s">
        <v>3930</v>
      </c>
      <c r="F183" s="145" t="s">
        <v>3930</v>
      </c>
      <c r="G183" s="143" t="s">
        <v>3446</v>
      </c>
      <c r="H183" s="143" t="s">
        <v>3447</v>
      </c>
      <c r="I183" s="143" t="s">
        <v>312</v>
      </c>
      <c r="J183" s="143" t="s">
        <v>1210</v>
      </c>
      <c r="K183" s="163">
        <v>44136</v>
      </c>
      <c r="L183" s="144">
        <v>11192.04</v>
      </c>
      <c r="M183" s="144">
        <v>11192.04</v>
      </c>
      <c r="N183" s="144">
        <v>475.04899999999998</v>
      </c>
      <c r="O183" s="144">
        <v>475.04899999999998</v>
      </c>
      <c r="P183" s="170">
        <v>4.2445255735326176E-2</v>
      </c>
      <c r="Q183" s="174">
        <v>47238</v>
      </c>
      <c r="R183" s="177"/>
    </row>
    <row r="184" spans="1:18" ht="15" x14ac:dyDescent="0.2">
      <c r="A184" s="142" t="s">
        <v>1220</v>
      </c>
      <c r="B184" s="143" t="s">
        <v>1220</v>
      </c>
      <c r="C184" s="170" t="s">
        <v>1068</v>
      </c>
      <c r="D184" s="143" t="s">
        <v>3409</v>
      </c>
      <c r="E184" s="145" t="s">
        <v>3930</v>
      </c>
      <c r="F184" s="145" t="s">
        <v>3930</v>
      </c>
      <c r="G184" s="143" t="s">
        <v>3410</v>
      </c>
      <c r="H184" s="143" t="s">
        <v>3411</v>
      </c>
      <c r="I184" s="143" t="s">
        <v>312</v>
      </c>
      <c r="J184" s="143" t="s">
        <v>1211</v>
      </c>
      <c r="K184" s="163">
        <v>44769</v>
      </c>
      <c r="L184" s="144">
        <v>1635.4</v>
      </c>
      <c r="M184" s="144">
        <v>6067.3339999999998</v>
      </c>
      <c r="N184" s="144">
        <v>781.09193999999991</v>
      </c>
      <c r="O184" s="144">
        <v>2897.8510974000001</v>
      </c>
      <c r="P184" s="170">
        <v>0.47761522563287268</v>
      </c>
      <c r="Q184" s="174">
        <v>48055</v>
      </c>
      <c r="R184" s="177"/>
    </row>
    <row r="185" spans="1:18" ht="15" x14ac:dyDescent="0.2">
      <c r="A185" s="142" t="s">
        <v>1220</v>
      </c>
      <c r="B185" s="143" t="s">
        <v>1220</v>
      </c>
      <c r="C185" s="170" t="s">
        <v>1068</v>
      </c>
      <c r="D185" s="143" t="s">
        <v>3400</v>
      </c>
      <c r="E185" s="145" t="s">
        <v>3930</v>
      </c>
      <c r="F185" s="145" t="s">
        <v>3930</v>
      </c>
      <c r="G185" s="143" t="s">
        <v>3401</v>
      </c>
      <c r="H185" s="143" t="s">
        <v>3402</v>
      </c>
      <c r="I185" s="143" t="s">
        <v>312</v>
      </c>
      <c r="J185" s="143" t="s">
        <v>1211</v>
      </c>
      <c r="K185" s="163">
        <v>44525</v>
      </c>
      <c r="L185" s="144">
        <v>2439.9090000000001</v>
      </c>
      <c r="M185" s="144">
        <v>9052.062390000001</v>
      </c>
      <c r="N185" s="144">
        <v>1298.0050000000001</v>
      </c>
      <c r="O185" s="144">
        <v>4815.5985499999997</v>
      </c>
      <c r="P185" s="170">
        <v>0.53198910287227918</v>
      </c>
      <c r="Q185" s="174">
        <v>47083</v>
      </c>
      <c r="R185" s="177"/>
    </row>
    <row r="186" spans="1:18" ht="15" x14ac:dyDescent="0.2">
      <c r="A186" s="142" t="s">
        <v>1220</v>
      </c>
      <c r="B186" s="143" t="s">
        <v>1220</v>
      </c>
      <c r="C186" s="170" t="s">
        <v>1068</v>
      </c>
      <c r="D186" s="143" t="s">
        <v>3603</v>
      </c>
      <c r="E186" s="145" t="s">
        <v>3930</v>
      </c>
      <c r="F186" s="145" t="s">
        <v>3930</v>
      </c>
      <c r="G186" s="143" t="s">
        <v>3604</v>
      </c>
      <c r="H186" s="143" t="s">
        <v>3605</v>
      </c>
      <c r="I186" s="143" t="s">
        <v>312</v>
      </c>
      <c r="J186" s="143" t="s">
        <v>1211</v>
      </c>
      <c r="K186" s="163">
        <v>45350</v>
      </c>
      <c r="L186" s="144">
        <v>1800</v>
      </c>
      <c r="M186" s="144">
        <v>6678</v>
      </c>
      <c r="N186" s="144">
        <v>1485</v>
      </c>
      <c r="O186" s="144">
        <v>5509.35</v>
      </c>
      <c r="P186" s="170">
        <v>0.82499999999999996</v>
      </c>
      <c r="Q186" s="174">
        <v>49003</v>
      </c>
      <c r="R186" s="177"/>
    </row>
    <row r="187" spans="1:18" ht="15" x14ac:dyDescent="0.2">
      <c r="A187" s="142" t="s">
        <v>1220</v>
      </c>
      <c r="B187" s="143" t="s">
        <v>1220</v>
      </c>
      <c r="C187" s="170" t="s">
        <v>1068</v>
      </c>
      <c r="D187" s="143" t="s">
        <v>3534</v>
      </c>
      <c r="E187" s="145" t="s">
        <v>3930</v>
      </c>
      <c r="F187" s="145" t="s">
        <v>3930</v>
      </c>
      <c r="G187" s="143" t="s">
        <v>3535</v>
      </c>
      <c r="H187" s="143" t="s">
        <v>3536</v>
      </c>
      <c r="I187" s="143" t="s">
        <v>312</v>
      </c>
      <c r="J187" s="143" t="s">
        <v>1211</v>
      </c>
      <c r="K187" s="163">
        <v>45012</v>
      </c>
      <c r="L187" s="144">
        <v>1539.2</v>
      </c>
      <c r="M187" s="144">
        <v>5710.4319999999998</v>
      </c>
      <c r="N187" s="144">
        <v>600.28800000000001</v>
      </c>
      <c r="O187" s="144">
        <v>2227.0684799999999</v>
      </c>
      <c r="P187" s="170">
        <v>0.39</v>
      </c>
      <c r="Q187" s="174">
        <v>47543</v>
      </c>
      <c r="R187" s="177"/>
    </row>
    <row r="188" spans="1:18" ht="15" x14ac:dyDescent="0.2">
      <c r="A188" s="142" t="s">
        <v>1220</v>
      </c>
      <c r="B188" s="143" t="s">
        <v>1220</v>
      </c>
      <c r="C188" s="170" t="s">
        <v>1068</v>
      </c>
      <c r="D188" s="143" t="s">
        <v>314</v>
      </c>
      <c r="E188" s="145" t="s">
        <v>3930</v>
      </c>
      <c r="F188" s="145" t="s">
        <v>3930</v>
      </c>
      <c r="G188" s="143" t="s">
        <v>3639</v>
      </c>
      <c r="H188" s="143" t="s">
        <v>3640</v>
      </c>
      <c r="I188" s="143" t="s">
        <v>312</v>
      </c>
      <c r="J188" s="143" t="s">
        <v>1211</v>
      </c>
      <c r="K188" s="163">
        <v>44136</v>
      </c>
      <c r="L188" s="144">
        <v>3757.55</v>
      </c>
      <c r="M188" s="144">
        <v>13940.5105</v>
      </c>
      <c r="N188" s="144">
        <v>50.338700000000188</v>
      </c>
      <c r="O188" s="144">
        <v>186.75657700000068</v>
      </c>
      <c r="P188" s="170">
        <v>1.3396681348218968E-2</v>
      </c>
      <c r="Q188" s="174">
        <v>47269</v>
      </c>
      <c r="R188" s="177"/>
    </row>
    <row r="189" spans="1:18" ht="15" x14ac:dyDescent="0.2">
      <c r="A189" s="142" t="s">
        <v>1220</v>
      </c>
      <c r="B189" s="143" t="s">
        <v>1220</v>
      </c>
      <c r="C189" s="170" t="s">
        <v>1068</v>
      </c>
      <c r="D189" s="143" t="s">
        <v>314</v>
      </c>
      <c r="E189" s="145" t="s">
        <v>3930</v>
      </c>
      <c r="F189" s="145" t="s">
        <v>3930</v>
      </c>
      <c r="G189" s="143" t="s">
        <v>3641</v>
      </c>
      <c r="H189" s="143" t="s">
        <v>3642</v>
      </c>
      <c r="I189" s="143" t="s">
        <v>312</v>
      </c>
      <c r="J189" s="143" t="s">
        <v>1211</v>
      </c>
      <c r="K189" s="163">
        <v>44769</v>
      </c>
      <c r="L189" s="144">
        <v>4033.4389999999999</v>
      </c>
      <c r="M189" s="144">
        <v>14964.05869</v>
      </c>
      <c r="N189" s="144">
        <v>159.72499999999999</v>
      </c>
      <c r="O189" s="144">
        <v>592.57974999999999</v>
      </c>
      <c r="P189" s="170">
        <v>3.9600202209578481E-2</v>
      </c>
      <c r="Q189" s="174">
        <v>47543</v>
      </c>
      <c r="R189" s="177"/>
    </row>
    <row r="190" spans="1:18" ht="15" x14ac:dyDescent="0.2">
      <c r="A190" s="142" t="s">
        <v>1220</v>
      </c>
      <c r="B190" s="143" t="s">
        <v>1220</v>
      </c>
      <c r="C190" s="170" t="s">
        <v>1068</v>
      </c>
      <c r="D190" s="143" t="s">
        <v>3558</v>
      </c>
      <c r="E190" s="145" t="s">
        <v>3930</v>
      </c>
      <c r="F190" s="145" t="s">
        <v>3930</v>
      </c>
      <c r="G190" s="143" t="s">
        <v>3558</v>
      </c>
      <c r="H190" s="143" t="s">
        <v>3559</v>
      </c>
      <c r="I190" s="143" t="s">
        <v>312</v>
      </c>
      <c r="J190" s="143" t="s">
        <v>1210</v>
      </c>
      <c r="K190" s="163">
        <v>44192</v>
      </c>
      <c r="L190" s="144">
        <v>6167.5029999999997</v>
      </c>
      <c r="M190" s="144">
        <v>6167.5029999999997</v>
      </c>
      <c r="N190" s="144">
        <v>2197.7549900000004</v>
      </c>
      <c r="O190" s="144">
        <v>2197.7549900000004</v>
      </c>
      <c r="P190" s="170">
        <v>0.35634437307934835</v>
      </c>
      <c r="Q190" s="174">
        <v>46905</v>
      </c>
      <c r="R190" s="177"/>
    </row>
    <row r="191" spans="1:18" ht="15" x14ac:dyDescent="0.2">
      <c r="A191" s="142" t="s">
        <v>1220</v>
      </c>
      <c r="B191" s="143" t="s">
        <v>1220</v>
      </c>
      <c r="C191" s="170" t="s">
        <v>1068</v>
      </c>
      <c r="D191" s="143" t="s">
        <v>3318</v>
      </c>
      <c r="E191" s="145" t="s">
        <v>3930</v>
      </c>
      <c r="F191" s="145" t="s">
        <v>3930</v>
      </c>
      <c r="G191" s="143" t="s">
        <v>3319</v>
      </c>
      <c r="H191" s="143" t="s">
        <v>3320</v>
      </c>
      <c r="I191" s="143" t="s">
        <v>312</v>
      </c>
      <c r="J191" s="143" t="s">
        <v>1211</v>
      </c>
      <c r="K191" s="163">
        <v>44679</v>
      </c>
      <c r="L191" s="144">
        <v>4810</v>
      </c>
      <c r="M191" s="144">
        <v>17845.099999999999</v>
      </c>
      <c r="N191" s="144">
        <v>174.21799999999999</v>
      </c>
      <c r="O191" s="144">
        <v>646.34878000000003</v>
      </c>
      <c r="P191" s="170">
        <v>3.6219958419958419E-2</v>
      </c>
      <c r="Q191" s="174">
        <v>47664</v>
      </c>
      <c r="R191" s="177"/>
    </row>
    <row r="192" spans="1:18" ht="15" x14ac:dyDescent="0.2">
      <c r="A192" s="142" t="s">
        <v>1220</v>
      </c>
      <c r="B192" s="143" t="s">
        <v>1220</v>
      </c>
      <c r="C192" s="170" t="s">
        <v>1068</v>
      </c>
      <c r="D192" s="143" t="s">
        <v>3361</v>
      </c>
      <c r="E192" s="145" t="s">
        <v>3930</v>
      </c>
      <c r="F192" s="145" t="s">
        <v>3930</v>
      </c>
      <c r="G192" s="143" t="s">
        <v>3362</v>
      </c>
      <c r="H192" s="143" t="s">
        <v>3363</v>
      </c>
      <c r="I192" s="143" t="s">
        <v>312</v>
      </c>
      <c r="J192" s="143" t="s">
        <v>1211</v>
      </c>
      <c r="K192" s="163">
        <v>44193</v>
      </c>
      <c r="L192" s="144">
        <v>3990.8908099999999</v>
      </c>
      <c r="M192" s="144">
        <v>14806.204905099999</v>
      </c>
      <c r="N192" s="144">
        <v>1542.46408</v>
      </c>
      <c r="O192" s="144">
        <v>5722.5417367999999</v>
      </c>
      <c r="P192" s="170">
        <v>0.38649618679995912</v>
      </c>
      <c r="Q192" s="174">
        <v>47817</v>
      </c>
      <c r="R192" s="177"/>
    </row>
    <row r="193" spans="1:18" ht="15" x14ac:dyDescent="0.2">
      <c r="A193" s="142" t="s">
        <v>1220</v>
      </c>
      <c r="B193" s="143" t="s">
        <v>1220</v>
      </c>
      <c r="C193" s="170" t="s">
        <v>1068</v>
      </c>
      <c r="D193" s="143" t="s">
        <v>3330</v>
      </c>
      <c r="E193" s="145" t="s">
        <v>3930</v>
      </c>
      <c r="F193" s="145" t="s">
        <v>3930</v>
      </c>
      <c r="G193" s="143" t="s">
        <v>3331</v>
      </c>
      <c r="H193" s="143" t="s">
        <v>3332</v>
      </c>
      <c r="I193" s="143" t="s">
        <v>312</v>
      </c>
      <c r="J193" s="143" t="s">
        <v>1211</v>
      </c>
      <c r="K193" s="163">
        <v>44136</v>
      </c>
      <c r="L193" s="144">
        <v>5912.0889999999999</v>
      </c>
      <c r="M193" s="144">
        <v>21933.850190000001</v>
      </c>
      <c r="N193" s="144">
        <v>1079.9359999999999</v>
      </c>
      <c r="O193" s="144">
        <v>4006.5625599999998</v>
      </c>
      <c r="P193" s="170">
        <v>0.18266572103363124</v>
      </c>
      <c r="Q193" s="174">
        <v>47046</v>
      </c>
      <c r="R193" s="177"/>
    </row>
    <row r="194" spans="1:18" ht="15" x14ac:dyDescent="0.2">
      <c r="A194" s="142" t="s">
        <v>1220</v>
      </c>
      <c r="B194" s="143" t="s">
        <v>1220</v>
      </c>
      <c r="C194" s="170" t="s">
        <v>1068</v>
      </c>
      <c r="D194" s="143" t="s">
        <v>3420</v>
      </c>
      <c r="E194" s="145" t="s">
        <v>3930</v>
      </c>
      <c r="F194" s="145" t="s">
        <v>3930</v>
      </c>
      <c r="G194" s="143" t="s">
        <v>3421</v>
      </c>
      <c r="H194" s="143" t="s">
        <v>3422</v>
      </c>
      <c r="I194" s="143" t="s">
        <v>312</v>
      </c>
      <c r="J194" s="143" t="s">
        <v>1211</v>
      </c>
      <c r="K194" s="163">
        <v>44376</v>
      </c>
      <c r="L194" s="144">
        <v>2439.9090000000001</v>
      </c>
      <c r="M194" s="144">
        <v>9052.062390000001</v>
      </c>
      <c r="N194" s="144">
        <v>1870.6227900000001</v>
      </c>
      <c r="O194" s="144">
        <v>6940.0105509000005</v>
      </c>
      <c r="P194" s="170">
        <v>0.76667727771814442</v>
      </c>
      <c r="Q194" s="174">
        <v>48029</v>
      </c>
      <c r="R194" s="177"/>
    </row>
    <row r="195" spans="1:18" ht="15" x14ac:dyDescent="0.2">
      <c r="A195" s="142" t="s">
        <v>1220</v>
      </c>
      <c r="B195" s="143" t="s">
        <v>1220</v>
      </c>
      <c r="C195" s="170" t="s">
        <v>1068</v>
      </c>
      <c r="D195" s="143" t="s">
        <v>3653</v>
      </c>
      <c r="E195" s="145" t="s">
        <v>3930</v>
      </c>
      <c r="F195" s="145" t="s">
        <v>3930</v>
      </c>
      <c r="G195" s="143" t="s">
        <v>3646</v>
      </c>
      <c r="H195" s="143" t="s">
        <v>3654</v>
      </c>
      <c r="I195" s="143" t="s">
        <v>312</v>
      </c>
      <c r="J195" s="143" t="s">
        <v>1211</v>
      </c>
      <c r="K195" s="163">
        <v>44136</v>
      </c>
      <c r="L195" s="144">
        <v>924.89200000000005</v>
      </c>
      <c r="M195" s="144">
        <v>3431.3493199999998</v>
      </c>
      <c r="N195" s="144">
        <v>231.22200000000001</v>
      </c>
      <c r="O195" s="144">
        <v>857.83362</v>
      </c>
      <c r="P195" s="170">
        <v>0.24999891879268066</v>
      </c>
      <c r="Q195" s="174">
        <v>48883</v>
      </c>
      <c r="R195" s="177"/>
    </row>
    <row r="196" spans="1:18" ht="15" x14ac:dyDescent="0.2">
      <c r="A196" s="142" t="s">
        <v>1220</v>
      </c>
      <c r="B196" s="143" t="s">
        <v>1220</v>
      </c>
      <c r="C196" s="170" t="s">
        <v>1068</v>
      </c>
      <c r="D196" s="143" t="s">
        <v>3478</v>
      </c>
      <c r="E196" s="145" t="s">
        <v>3930</v>
      </c>
      <c r="F196" s="145" t="s">
        <v>3930</v>
      </c>
      <c r="G196" s="143" t="s">
        <v>3484</v>
      </c>
      <c r="H196" s="143" t="s">
        <v>3485</v>
      </c>
      <c r="I196" s="143" t="s">
        <v>312</v>
      </c>
      <c r="J196" s="143" t="s">
        <v>1210</v>
      </c>
      <c r="K196" s="163">
        <v>44136</v>
      </c>
      <c r="L196" s="144">
        <v>12760</v>
      </c>
      <c r="M196" s="144">
        <v>12760</v>
      </c>
      <c r="N196" s="144">
        <v>1028.8320000000001</v>
      </c>
      <c r="O196" s="144">
        <v>1028.8320000000001</v>
      </c>
      <c r="P196" s="170">
        <v>8.06294670846395E-2</v>
      </c>
      <c r="Q196" s="174">
        <v>47789</v>
      </c>
      <c r="R196" s="177"/>
    </row>
    <row r="197" spans="1:18" ht="15" x14ac:dyDescent="0.2">
      <c r="A197" s="142" t="s">
        <v>1220</v>
      </c>
      <c r="B197" s="143" t="s">
        <v>1220</v>
      </c>
      <c r="C197" s="170" t="s">
        <v>1068</v>
      </c>
      <c r="D197" s="143" t="s">
        <v>3508</v>
      </c>
      <c r="E197" s="145" t="s">
        <v>3930</v>
      </c>
      <c r="F197" s="145" t="s">
        <v>3930</v>
      </c>
      <c r="G197" s="143" t="s">
        <v>3509</v>
      </c>
      <c r="H197" s="143" t="s">
        <v>3510</v>
      </c>
      <c r="I197" s="143" t="s">
        <v>312</v>
      </c>
      <c r="J197" s="143" t="s">
        <v>1218</v>
      </c>
      <c r="K197" s="163">
        <v>44136</v>
      </c>
      <c r="L197" s="144">
        <v>7428.1902369621303</v>
      </c>
      <c r="M197" s="144">
        <v>30844.817139961553</v>
      </c>
      <c r="N197" s="144">
        <v>915.1453669621302</v>
      </c>
      <c r="O197" s="144">
        <v>3800.0496217735495</v>
      </c>
      <c r="P197" s="170">
        <v>0.12319896741583621</v>
      </c>
      <c r="Q197" s="174">
        <v>45961</v>
      </c>
      <c r="R197" s="177"/>
    </row>
    <row r="198" spans="1:18" ht="15" x14ac:dyDescent="0.2">
      <c r="A198" s="142" t="s">
        <v>1220</v>
      </c>
      <c r="B198" s="143" t="s">
        <v>1220</v>
      </c>
      <c r="C198" s="170" t="s">
        <v>1068</v>
      </c>
      <c r="D198" s="143" t="s">
        <v>3388</v>
      </c>
      <c r="E198" s="145" t="s">
        <v>3930</v>
      </c>
      <c r="F198" s="145" t="s">
        <v>3930</v>
      </c>
      <c r="G198" s="143" t="s">
        <v>3459</v>
      </c>
      <c r="H198" s="143" t="s">
        <v>3460</v>
      </c>
      <c r="I198" s="143" t="s">
        <v>312</v>
      </c>
      <c r="J198" s="143" t="s">
        <v>1211</v>
      </c>
      <c r="K198" s="163">
        <v>44651</v>
      </c>
      <c r="L198" s="144">
        <v>4374</v>
      </c>
      <c r="M198" s="144">
        <v>16227.54</v>
      </c>
      <c r="N198" s="144">
        <v>1990.2239900000002</v>
      </c>
      <c r="O198" s="144">
        <v>7383.7310029000009</v>
      </c>
      <c r="P198" s="170">
        <v>0.45501234339277552</v>
      </c>
      <c r="Q198" s="174">
        <v>48303</v>
      </c>
      <c r="R198" s="177"/>
    </row>
    <row r="199" spans="1:18" ht="15" x14ac:dyDescent="0.2">
      <c r="A199" s="142" t="s">
        <v>1220</v>
      </c>
      <c r="B199" s="143" t="s">
        <v>1220</v>
      </c>
      <c r="C199" s="170" t="s">
        <v>1068</v>
      </c>
      <c r="D199" s="143" t="s">
        <v>3552</v>
      </c>
      <c r="E199" s="145" t="s">
        <v>3930</v>
      </c>
      <c r="F199" s="145" t="s">
        <v>3930</v>
      </c>
      <c r="G199" s="143" t="s">
        <v>3553</v>
      </c>
      <c r="H199" s="143" t="s">
        <v>3554</v>
      </c>
      <c r="I199" s="143" t="s">
        <v>312</v>
      </c>
      <c r="J199" s="143" t="s">
        <v>1210</v>
      </c>
      <c r="K199" s="163">
        <v>44136</v>
      </c>
      <c r="L199" s="144">
        <v>25117.541000000001</v>
      </c>
      <c r="M199" s="144">
        <v>25117.541000000001</v>
      </c>
      <c r="N199" s="144">
        <v>3010.9656000000014</v>
      </c>
      <c r="O199" s="144">
        <v>3010.9656000000014</v>
      </c>
      <c r="P199" s="170">
        <v>0.11987501483525005</v>
      </c>
      <c r="Q199" s="174">
        <v>46507</v>
      </c>
      <c r="R199" s="177"/>
    </row>
    <row r="200" spans="1:18" ht="15" x14ac:dyDescent="0.2">
      <c r="A200" s="142" t="s">
        <v>1220</v>
      </c>
      <c r="B200" s="143" t="s">
        <v>1220</v>
      </c>
      <c r="C200" s="170" t="s">
        <v>1068</v>
      </c>
      <c r="D200" s="143" t="s">
        <v>3428</v>
      </c>
      <c r="E200" s="145" t="s">
        <v>3930</v>
      </c>
      <c r="F200" s="145" t="s">
        <v>3930</v>
      </c>
      <c r="G200" s="143" t="s">
        <v>3429</v>
      </c>
      <c r="H200" s="143" t="s">
        <v>3430</v>
      </c>
      <c r="I200" s="143" t="s">
        <v>312</v>
      </c>
      <c r="J200" s="143" t="s">
        <v>1211</v>
      </c>
      <c r="K200" s="163">
        <v>44742</v>
      </c>
      <c r="L200" s="144">
        <v>3078.4</v>
      </c>
      <c r="M200" s="144">
        <v>11420.864</v>
      </c>
      <c r="N200" s="144">
        <v>2727.7836300000004</v>
      </c>
      <c r="O200" s="144">
        <v>10120.077267300001</v>
      </c>
      <c r="P200" s="170">
        <v>0.88610434966216223</v>
      </c>
      <c r="Q200" s="174">
        <v>48395</v>
      </c>
      <c r="R200" s="177"/>
    </row>
    <row r="201" spans="1:18" ht="15" x14ac:dyDescent="0.2">
      <c r="A201" s="142" t="s">
        <v>1220</v>
      </c>
      <c r="B201" s="143" t="s">
        <v>1220</v>
      </c>
      <c r="C201" s="170" t="s">
        <v>1068</v>
      </c>
      <c r="D201" s="143" t="s">
        <v>3548</v>
      </c>
      <c r="E201" s="145" t="s">
        <v>3930</v>
      </c>
      <c r="F201" s="145" t="s">
        <v>3930</v>
      </c>
      <c r="G201" s="143" t="s">
        <v>3548</v>
      </c>
      <c r="H201" s="143" t="s">
        <v>3549</v>
      </c>
      <c r="I201" s="143" t="s">
        <v>312</v>
      </c>
      <c r="J201" s="143" t="s">
        <v>1211</v>
      </c>
      <c r="K201" s="163">
        <v>45503</v>
      </c>
      <c r="L201" s="144">
        <v>1800</v>
      </c>
      <c r="M201" s="144">
        <v>6678</v>
      </c>
      <c r="N201" s="144">
        <v>1350</v>
      </c>
      <c r="O201" s="144">
        <v>5008.5</v>
      </c>
      <c r="P201" s="170">
        <v>0.75</v>
      </c>
      <c r="Q201" s="174">
        <v>49155</v>
      </c>
      <c r="R201" s="177"/>
    </row>
    <row r="202" spans="1:18" ht="15" x14ac:dyDescent="0.2">
      <c r="A202" s="142" t="s">
        <v>1220</v>
      </c>
      <c r="B202" s="143" t="s">
        <v>1220</v>
      </c>
      <c r="C202" s="170" t="s">
        <v>1068</v>
      </c>
      <c r="D202" s="143" t="s">
        <v>3445</v>
      </c>
      <c r="E202" s="145" t="s">
        <v>3930</v>
      </c>
      <c r="F202" s="145" t="s">
        <v>3930</v>
      </c>
      <c r="G202" s="143" t="s">
        <v>3448</v>
      </c>
      <c r="H202" s="143" t="s">
        <v>3449</v>
      </c>
      <c r="I202" s="143" t="s">
        <v>312</v>
      </c>
      <c r="J202" s="143" t="s">
        <v>1210</v>
      </c>
      <c r="K202" s="163">
        <v>44286</v>
      </c>
      <c r="L202" s="144">
        <v>15580.59</v>
      </c>
      <c r="M202" s="144">
        <v>15580.59</v>
      </c>
      <c r="N202" s="144">
        <v>5105.4749900000006</v>
      </c>
      <c r="O202" s="144">
        <v>5105.4749900000006</v>
      </c>
      <c r="P202" s="170">
        <v>0.32768174953580065</v>
      </c>
      <c r="Q202" s="174">
        <v>48669</v>
      </c>
      <c r="R202" s="177"/>
    </row>
    <row r="203" spans="1:18" ht="15" x14ac:dyDescent="0.2">
      <c r="A203" s="142" t="s">
        <v>1220</v>
      </c>
      <c r="B203" s="143" t="s">
        <v>1220</v>
      </c>
      <c r="C203" s="170" t="s">
        <v>1068</v>
      </c>
      <c r="D203" s="143" t="s">
        <v>3489</v>
      </c>
      <c r="E203" s="145" t="s">
        <v>3930</v>
      </c>
      <c r="F203" s="145" t="s">
        <v>3930</v>
      </c>
      <c r="G203" s="143" t="s">
        <v>3490</v>
      </c>
      <c r="H203" s="143" t="s">
        <v>3491</v>
      </c>
      <c r="I203" s="143" t="s">
        <v>312</v>
      </c>
      <c r="J203" s="143" t="s">
        <v>1210</v>
      </c>
      <c r="K203" s="163">
        <v>44651</v>
      </c>
      <c r="L203" s="144">
        <v>9744</v>
      </c>
      <c r="M203" s="144">
        <v>9744</v>
      </c>
      <c r="N203" s="144">
        <v>2552.1939900000002</v>
      </c>
      <c r="O203" s="144">
        <v>2552.1939900000002</v>
      </c>
      <c r="P203" s="170">
        <v>0.26192467056650248</v>
      </c>
      <c r="Q203" s="174">
        <v>48304</v>
      </c>
      <c r="R203" s="177"/>
    </row>
    <row r="204" spans="1:18" ht="15" x14ac:dyDescent="0.2">
      <c r="A204" s="142" t="s">
        <v>1220</v>
      </c>
      <c r="B204" s="143" t="s">
        <v>1220</v>
      </c>
      <c r="C204" s="170" t="s">
        <v>1068</v>
      </c>
      <c r="D204" s="143" t="s">
        <v>3660</v>
      </c>
      <c r="E204" s="145" t="s">
        <v>3930</v>
      </c>
      <c r="F204" s="145" t="s">
        <v>3930</v>
      </c>
      <c r="G204" s="143" t="s">
        <v>3661</v>
      </c>
      <c r="H204" s="143" t="s">
        <v>3662</v>
      </c>
      <c r="I204" s="143" t="s">
        <v>312</v>
      </c>
      <c r="J204" s="143" t="s">
        <v>1211</v>
      </c>
      <c r="K204" s="163">
        <v>45503</v>
      </c>
      <c r="L204" s="144">
        <v>2160</v>
      </c>
      <c r="M204" s="144">
        <v>8013.6</v>
      </c>
      <c r="N204" s="144">
        <v>2124.3609999999999</v>
      </c>
      <c r="O204" s="144">
        <v>7881.3793099999994</v>
      </c>
      <c r="P204" s="170">
        <v>0.9835004629629629</v>
      </c>
      <c r="Q204" s="174">
        <v>49155</v>
      </c>
      <c r="R204" s="177"/>
    </row>
    <row r="205" spans="1:18" ht="15" x14ac:dyDescent="0.2">
      <c r="A205" s="142" t="s">
        <v>1220</v>
      </c>
      <c r="B205" s="143" t="s">
        <v>1220</v>
      </c>
      <c r="C205" s="170" t="s">
        <v>1068</v>
      </c>
      <c r="D205" s="143" t="s">
        <v>3339</v>
      </c>
      <c r="E205" s="145" t="s">
        <v>3930</v>
      </c>
      <c r="F205" s="145" t="s">
        <v>3930</v>
      </c>
      <c r="G205" s="143" t="s">
        <v>3340</v>
      </c>
      <c r="H205" s="143" t="s">
        <v>3341</v>
      </c>
      <c r="I205" s="143" t="s">
        <v>312</v>
      </c>
      <c r="J205" s="143" t="s">
        <v>1218</v>
      </c>
      <c r="K205" s="163">
        <v>44143</v>
      </c>
      <c r="L205" s="144">
        <v>4034.174</v>
      </c>
      <c r="M205" s="144">
        <v>16751.504117600001</v>
      </c>
      <c r="N205" s="144">
        <v>535.07283999999981</v>
      </c>
      <c r="O205" s="144">
        <v>2221.8364608159995</v>
      </c>
      <c r="P205" s="170">
        <v>0.13263504251427924</v>
      </c>
      <c r="Q205" s="174">
        <v>48518</v>
      </c>
      <c r="R205" s="177"/>
    </row>
    <row r="206" spans="1:18" ht="15" x14ac:dyDescent="0.2">
      <c r="A206" s="142" t="s">
        <v>1220</v>
      </c>
      <c r="B206" s="143" t="s">
        <v>1220</v>
      </c>
      <c r="C206" s="170" t="s">
        <v>1068</v>
      </c>
      <c r="D206" s="143" t="s">
        <v>3373</v>
      </c>
      <c r="E206" s="145" t="s">
        <v>3930</v>
      </c>
      <c r="F206" s="145" t="s">
        <v>3930</v>
      </c>
      <c r="G206" s="143" t="s">
        <v>3374</v>
      </c>
      <c r="H206" s="143" t="s">
        <v>3375</v>
      </c>
      <c r="I206" s="143" t="s">
        <v>312</v>
      </c>
      <c r="J206" s="143" t="s">
        <v>1218</v>
      </c>
      <c r="K206" s="163">
        <v>44143</v>
      </c>
      <c r="L206" s="144">
        <v>2213.6959999999999</v>
      </c>
      <c r="M206" s="144">
        <v>9192.1512704000015</v>
      </c>
      <c r="N206" s="144">
        <v>64.719049999999825</v>
      </c>
      <c r="O206" s="144">
        <v>268.73938321999924</v>
      </c>
      <c r="P206" s="170">
        <v>2.9235744203359369E-2</v>
      </c>
      <c r="Q206" s="174">
        <v>48052</v>
      </c>
      <c r="R206" s="177"/>
    </row>
    <row r="207" spans="1:18" ht="15" x14ac:dyDescent="0.2">
      <c r="A207" s="142" t="s">
        <v>1220</v>
      </c>
      <c r="B207" s="143" t="s">
        <v>1220</v>
      </c>
      <c r="C207" s="170" t="s">
        <v>1068</v>
      </c>
      <c r="D207" s="143" t="s">
        <v>3350</v>
      </c>
      <c r="E207" s="145" t="s">
        <v>3930</v>
      </c>
      <c r="F207" s="145" t="s">
        <v>3930</v>
      </c>
      <c r="G207" s="143" t="s">
        <v>3351</v>
      </c>
      <c r="H207" s="143" t="s">
        <v>3352</v>
      </c>
      <c r="I207" s="143" t="s">
        <v>312</v>
      </c>
      <c r="J207" s="143" t="s">
        <v>1218</v>
      </c>
      <c r="K207" s="163">
        <v>44143</v>
      </c>
      <c r="L207" s="144">
        <v>3490.77423</v>
      </c>
      <c r="M207" s="144">
        <v>14495.090912652</v>
      </c>
      <c r="N207" s="144">
        <v>602.93314000000009</v>
      </c>
      <c r="O207" s="144">
        <v>2503.6195705360005</v>
      </c>
      <c r="P207" s="170">
        <v>0.17272189499347831</v>
      </c>
      <c r="Q207" s="174">
        <v>47664</v>
      </c>
      <c r="R207" s="177"/>
    </row>
    <row r="208" spans="1:18" ht="15" x14ac:dyDescent="0.2">
      <c r="A208" s="142" t="s">
        <v>1220</v>
      </c>
      <c r="B208" s="143" t="s">
        <v>1220</v>
      </c>
      <c r="C208" s="170" t="s">
        <v>1068</v>
      </c>
      <c r="D208" s="143" t="s">
        <v>3376</v>
      </c>
      <c r="E208" s="145" t="s">
        <v>3930</v>
      </c>
      <c r="F208" s="145" t="s">
        <v>3930</v>
      </c>
      <c r="G208" s="143" t="s">
        <v>3377</v>
      </c>
      <c r="H208" s="143" t="s">
        <v>3378</v>
      </c>
      <c r="I208" s="143" t="s">
        <v>312</v>
      </c>
      <c r="J208" s="143" t="s">
        <v>1211</v>
      </c>
      <c r="K208" s="163">
        <v>44136</v>
      </c>
      <c r="L208" s="144">
        <v>2495.3710000000001</v>
      </c>
      <c r="M208" s="144">
        <v>9257.8264099999997</v>
      </c>
      <c r="N208" s="144">
        <v>32.44</v>
      </c>
      <c r="O208" s="144">
        <v>120.35239999999999</v>
      </c>
      <c r="P208" s="170">
        <v>1.3000070931336462E-2</v>
      </c>
      <c r="Q208" s="174">
        <v>47573</v>
      </c>
      <c r="R208" s="177"/>
    </row>
    <row r="209" spans="1:18" ht="15" x14ac:dyDescent="0.2">
      <c r="A209" s="142" t="s">
        <v>1220</v>
      </c>
      <c r="B209" s="143" t="s">
        <v>1220</v>
      </c>
      <c r="C209" s="170" t="s">
        <v>1068</v>
      </c>
      <c r="D209" s="143" t="s">
        <v>3394</v>
      </c>
      <c r="E209" s="145" t="s">
        <v>3930</v>
      </c>
      <c r="F209" s="145" t="s">
        <v>3930</v>
      </c>
      <c r="G209" s="143" t="s">
        <v>3395</v>
      </c>
      <c r="H209" s="143" t="s">
        <v>3396</v>
      </c>
      <c r="I209" s="143" t="s">
        <v>312</v>
      </c>
      <c r="J209" s="143" t="s">
        <v>1211</v>
      </c>
      <c r="K209" s="163">
        <v>44136</v>
      </c>
      <c r="L209" s="144">
        <v>3385.64419</v>
      </c>
      <c r="M209" s="144">
        <v>12560.7399449</v>
      </c>
      <c r="N209" s="144">
        <v>581.79071999999974</v>
      </c>
      <c r="O209" s="144">
        <v>2158.443571199999</v>
      </c>
      <c r="P209" s="170">
        <v>0.17184047919695891</v>
      </c>
      <c r="Q209" s="174">
        <v>47789</v>
      </c>
      <c r="R209" s="177"/>
    </row>
    <row r="210" spans="1:18" ht="15" x14ac:dyDescent="0.2">
      <c r="A210" s="142" t="s">
        <v>1220</v>
      </c>
      <c r="B210" s="143" t="s">
        <v>1220</v>
      </c>
      <c r="C210" s="170" t="s">
        <v>1068</v>
      </c>
      <c r="D210" s="143" t="s">
        <v>3285</v>
      </c>
      <c r="E210" s="145" t="s">
        <v>3930</v>
      </c>
      <c r="F210" s="145" t="s">
        <v>3930</v>
      </c>
      <c r="G210" s="143" t="s">
        <v>3286</v>
      </c>
      <c r="H210" s="143" t="s">
        <v>3287</v>
      </c>
      <c r="I210" s="143" t="s">
        <v>312</v>
      </c>
      <c r="J210" s="143" t="s">
        <v>1211</v>
      </c>
      <c r="K210" s="163">
        <v>44136</v>
      </c>
      <c r="L210" s="144">
        <v>2650</v>
      </c>
      <c r="M210" s="144">
        <v>9831.5</v>
      </c>
      <c r="N210" s="144">
        <v>284.26900000000001</v>
      </c>
      <c r="O210" s="144">
        <v>1054.6379899999999</v>
      </c>
      <c r="P210" s="170">
        <v>0.10727132075471699</v>
      </c>
      <c r="Q210" s="174">
        <v>47789</v>
      </c>
      <c r="R210" s="177"/>
    </row>
    <row r="211" spans="1:18" ht="15" x14ac:dyDescent="0.2">
      <c r="A211" s="142" t="s">
        <v>1220</v>
      </c>
      <c r="B211" s="143" t="s">
        <v>1220</v>
      </c>
      <c r="C211" s="170" t="s">
        <v>1068</v>
      </c>
      <c r="D211" s="143" t="s">
        <v>3315</v>
      </c>
      <c r="E211" s="145" t="s">
        <v>3930</v>
      </c>
      <c r="F211" s="145" t="s">
        <v>3930</v>
      </c>
      <c r="G211" s="143" t="s">
        <v>3316</v>
      </c>
      <c r="H211" s="143" t="s">
        <v>3317</v>
      </c>
      <c r="I211" s="143" t="s">
        <v>312</v>
      </c>
      <c r="J211" s="143" t="s">
        <v>1211</v>
      </c>
      <c r="K211" s="163">
        <v>43038</v>
      </c>
      <c r="L211" s="144">
        <v>2533.3349414069171</v>
      </c>
      <c r="M211" s="144">
        <v>9398.6726326196622</v>
      </c>
      <c r="N211" s="144">
        <v>228.71979140691738</v>
      </c>
      <c r="O211" s="144">
        <v>848.55042611966348</v>
      </c>
      <c r="P211" s="170">
        <v>9.0284070877692621E-2</v>
      </c>
      <c r="Q211" s="174">
        <v>46691</v>
      </c>
      <c r="R211" s="177"/>
    </row>
    <row r="212" spans="1:18" ht="15" x14ac:dyDescent="0.2">
      <c r="A212" s="142" t="s">
        <v>1220</v>
      </c>
      <c r="B212" s="143" t="s">
        <v>1220</v>
      </c>
      <c r="C212" s="170" t="s">
        <v>1068</v>
      </c>
      <c r="D212" s="143" t="s">
        <v>3486</v>
      </c>
      <c r="E212" s="145" t="s">
        <v>3930</v>
      </c>
      <c r="F212" s="145" t="s">
        <v>3930</v>
      </c>
      <c r="G212" s="143" t="s">
        <v>3487</v>
      </c>
      <c r="H212" s="143" t="s">
        <v>3488</v>
      </c>
      <c r="I212" s="143" t="s">
        <v>312</v>
      </c>
      <c r="J212" s="143" t="s">
        <v>1210</v>
      </c>
      <c r="K212" s="163">
        <v>44560</v>
      </c>
      <c r="L212" s="144">
        <v>14500.674999999999</v>
      </c>
      <c r="M212" s="144">
        <v>14500.674999999999</v>
      </c>
      <c r="N212" s="144">
        <v>4555.6760000000004</v>
      </c>
      <c r="O212" s="144">
        <v>4555.6760000000004</v>
      </c>
      <c r="P212" s="170">
        <v>0.31416992657238368</v>
      </c>
      <c r="Q212" s="174">
        <v>47118</v>
      </c>
      <c r="R212" s="177"/>
    </row>
    <row r="213" spans="1:18" ht="15" x14ac:dyDescent="0.2">
      <c r="A213" s="142" t="s">
        <v>1220</v>
      </c>
      <c r="B213" s="143" t="s">
        <v>1220</v>
      </c>
      <c r="C213" s="170" t="s">
        <v>1068</v>
      </c>
      <c r="D213" s="143" t="s">
        <v>3423</v>
      </c>
      <c r="E213" s="145" t="s">
        <v>3930</v>
      </c>
      <c r="F213" s="145" t="s">
        <v>3930</v>
      </c>
      <c r="G213" s="143" t="s">
        <v>3424</v>
      </c>
      <c r="H213" s="143" t="s">
        <v>3425</v>
      </c>
      <c r="I213" s="143" t="s">
        <v>312</v>
      </c>
      <c r="J213" s="143" t="s">
        <v>1211</v>
      </c>
      <c r="K213" s="163">
        <v>44560</v>
      </c>
      <c r="L213" s="144">
        <v>1461.6</v>
      </c>
      <c r="M213" s="144">
        <v>5422.5360000000001</v>
      </c>
      <c r="N213" s="144">
        <v>945.13698999999986</v>
      </c>
      <c r="O213" s="144">
        <v>3506.4582328999995</v>
      </c>
      <c r="P213" s="170">
        <v>0.64664545019157083</v>
      </c>
      <c r="Q213" s="174">
        <v>47118</v>
      </c>
      <c r="R213" s="177"/>
    </row>
    <row r="214" spans="1:18" ht="15" x14ac:dyDescent="0.2">
      <c r="A214" s="142" t="s">
        <v>1220</v>
      </c>
      <c r="B214" s="143" t="s">
        <v>1220</v>
      </c>
      <c r="C214" s="170" t="s">
        <v>1068</v>
      </c>
      <c r="D214" s="143" t="s">
        <v>3423</v>
      </c>
      <c r="E214" s="145" t="s">
        <v>3930</v>
      </c>
      <c r="F214" s="145" t="s">
        <v>3930</v>
      </c>
      <c r="G214" s="143" t="s">
        <v>3435</v>
      </c>
      <c r="H214" s="143" t="s">
        <v>3436</v>
      </c>
      <c r="I214" s="143" t="s">
        <v>312</v>
      </c>
      <c r="J214" s="143" t="s">
        <v>1211</v>
      </c>
      <c r="K214" s="163">
        <v>44560</v>
      </c>
      <c r="L214" s="144">
        <v>974.4</v>
      </c>
      <c r="M214" s="144">
        <v>3615.0239999999999</v>
      </c>
      <c r="N214" s="144">
        <v>925.37398999999994</v>
      </c>
      <c r="O214" s="144">
        <v>3433.1375028999996</v>
      </c>
      <c r="P214" s="170">
        <v>0.94968595032840719</v>
      </c>
      <c r="Q214" s="174">
        <v>47118</v>
      </c>
      <c r="R214" s="177"/>
    </row>
    <row r="215" spans="1:18" ht="15" x14ac:dyDescent="0.2">
      <c r="A215" s="142" t="s">
        <v>1220</v>
      </c>
      <c r="B215" s="143" t="s">
        <v>1220</v>
      </c>
      <c r="C215" s="170" t="s">
        <v>1068</v>
      </c>
      <c r="D215" s="143" t="s">
        <v>3303</v>
      </c>
      <c r="E215" s="145" t="s">
        <v>3930</v>
      </c>
      <c r="F215" s="145" t="s">
        <v>3930</v>
      </c>
      <c r="G215" s="143" t="s">
        <v>3304</v>
      </c>
      <c r="H215" s="143" t="s">
        <v>3305</v>
      </c>
      <c r="I215" s="143" t="s">
        <v>312</v>
      </c>
      <c r="J215" s="143" t="s">
        <v>1211</v>
      </c>
      <c r="K215" s="163">
        <v>44560</v>
      </c>
      <c r="L215" s="144">
        <v>3654</v>
      </c>
      <c r="M215" s="144">
        <v>13556.34</v>
      </c>
      <c r="N215" s="144">
        <v>2686.2339900000002</v>
      </c>
      <c r="O215" s="144">
        <v>9965.9281028999994</v>
      </c>
      <c r="P215" s="170">
        <v>0.73514887520525452</v>
      </c>
      <c r="Q215" s="174">
        <v>47118</v>
      </c>
      <c r="R215" s="177"/>
    </row>
    <row r="216" spans="1:18" ht="14.1" customHeight="1" x14ac:dyDescent="0.2">
      <c r="A216" s="154" t="s">
        <v>1205</v>
      </c>
      <c r="B216" s="155" t="s">
        <v>1206</v>
      </c>
      <c r="C216" s="145" t="s">
        <v>3930</v>
      </c>
      <c r="D216" s="145" t="s">
        <v>3930</v>
      </c>
      <c r="E216" s="145" t="s">
        <v>3930</v>
      </c>
      <c r="F216" s="145" t="s">
        <v>3930</v>
      </c>
      <c r="G216" s="145" t="s">
        <v>3930</v>
      </c>
      <c r="H216" s="145" t="s">
        <v>3930</v>
      </c>
      <c r="I216" s="145" t="s">
        <v>3930</v>
      </c>
      <c r="J216" s="145" t="s">
        <v>3930</v>
      </c>
      <c r="K216" s="145" t="s">
        <v>3930</v>
      </c>
      <c r="L216" s="145" t="s">
        <v>3930</v>
      </c>
      <c r="M216" s="145" t="s">
        <v>3930</v>
      </c>
      <c r="N216" s="145" t="s">
        <v>3930</v>
      </c>
      <c r="O216" s="145" t="s">
        <v>3930</v>
      </c>
      <c r="P216" s="145" t="s">
        <v>3930</v>
      </c>
      <c r="Q216" s="156" t="s">
        <v>3930</v>
      </c>
      <c r="R216" s="177"/>
    </row>
    <row r="217" spans="1:18" ht="14.1" customHeight="1" x14ac:dyDescent="0.2">
      <c r="A217" s="154" t="s">
        <v>1205</v>
      </c>
      <c r="B217" s="155" t="s">
        <v>1215</v>
      </c>
      <c r="C217" s="145" t="s">
        <v>3930</v>
      </c>
      <c r="D217" s="145" t="s">
        <v>3930</v>
      </c>
      <c r="E217" s="145" t="s">
        <v>3930</v>
      </c>
      <c r="F217" s="145" t="s">
        <v>3930</v>
      </c>
      <c r="G217" s="145" t="s">
        <v>3930</v>
      </c>
      <c r="H217" s="145" t="s">
        <v>3930</v>
      </c>
      <c r="I217" s="145" t="s">
        <v>3930</v>
      </c>
      <c r="J217" s="145" t="s">
        <v>3930</v>
      </c>
      <c r="K217" s="145" t="s">
        <v>3930</v>
      </c>
      <c r="L217" s="145" t="s">
        <v>3930</v>
      </c>
      <c r="M217" s="145" t="s">
        <v>3930</v>
      </c>
      <c r="N217" s="145" t="s">
        <v>3930</v>
      </c>
      <c r="O217" s="145" t="s">
        <v>3930</v>
      </c>
      <c r="P217" s="145" t="s">
        <v>3930</v>
      </c>
      <c r="Q217" s="156" t="s">
        <v>3930</v>
      </c>
      <c r="R217" s="177"/>
    </row>
    <row r="218" spans="1:18" ht="14.1" customHeight="1" x14ac:dyDescent="0.2">
      <c r="A218" s="154" t="s">
        <v>1220</v>
      </c>
      <c r="B218" s="155" t="s">
        <v>1221</v>
      </c>
      <c r="C218" s="145" t="s">
        <v>3930</v>
      </c>
      <c r="D218" s="145" t="s">
        <v>3930</v>
      </c>
      <c r="E218" s="145" t="s">
        <v>3930</v>
      </c>
      <c r="F218" s="145" t="s">
        <v>3930</v>
      </c>
      <c r="G218" s="145" t="s">
        <v>3930</v>
      </c>
      <c r="H218" s="145" t="s">
        <v>3930</v>
      </c>
      <c r="I218" s="145" t="s">
        <v>3930</v>
      </c>
      <c r="J218" s="145" t="s">
        <v>3930</v>
      </c>
      <c r="K218" s="145" t="s">
        <v>3930</v>
      </c>
      <c r="L218" s="145" t="s">
        <v>3930</v>
      </c>
      <c r="M218" s="145" t="s">
        <v>3930</v>
      </c>
      <c r="N218" s="145" t="s">
        <v>3930</v>
      </c>
      <c r="O218" s="145" t="s">
        <v>3930</v>
      </c>
      <c r="P218" s="145" t="s">
        <v>3930</v>
      </c>
      <c r="Q218" s="156" t="s">
        <v>3930</v>
      </c>
      <c r="R218" s="177"/>
    </row>
    <row r="219" spans="1:18" ht="14.1" customHeight="1" x14ac:dyDescent="0.2">
      <c r="A219" s="157" t="s">
        <v>1220</v>
      </c>
      <c r="B219" s="158" t="s">
        <v>1222</v>
      </c>
      <c r="C219" s="151" t="s">
        <v>3930</v>
      </c>
      <c r="D219" s="151" t="s">
        <v>3930</v>
      </c>
      <c r="E219" s="151" t="s">
        <v>3930</v>
      </c>
      <c r="F219" s="151" t="s">
        <v>3930</v>
      </c>
      <c r="G219" s="151" t="s">
        <v>3930</v>
      </c>
      <c r="H219" s="151" t="s">
        <v>3930</v>
      </c>
      <c r="I219" s="151" t="s">
        <v>3930</v>
      </c>
      <c r="J219" s="151" t="s">
        <v>3930</v>
      </c>
      <c r="K219" s="151" t="s">
        <v>3930</v>
      </c>
      <c r="L219" s="151" t="s">
        <v>3930</v>
      </c>
      <c r="M219" s="151" t="s">
        <v>3930</v>
      </c>
      <c r="N219" s="151" t="s">
        <v>3930</v>
      </c>
      <c r="O219" s="151" t="s">
        <v>3930</v>
      </c>
      <c r="P219" s="151" t="s">
        <v>3930</v>
      </c>
      <c r="Q219" s="159" t="s">
        <v>3930</v>
      </c>
      <c r="R219" s="177"/>
    </row>
    <row r="220" spans="1:18" ht="14.1" customHeight="1" x14ac:dyDescent="0.2">
      <c r="A220" s="177" t="s">
        <v>3946</v>
      </c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</row>
    <row r="221" spans="1:18" ht="14.1" customHeight="1" x14ac:dyDescent="0.2">
      <c r="A221" s="2" t="s">
        <v>3945</v>
      </c>
    </row>
    <row r="222" spans="1:18" ht="14.1" customHeight="1" x14ac:dyDescent="0.2">
      <c r="A222" s="179"/>
    </row>
  </sheetData>
  <sheetProtection formatColumns="0"/>
  <dataConsolidate/>
  <mergeCells count="2">
    <mergeCell ref="A220:Q220"/>
    <mergeCell ref="R2:R219"/>
  </mergeCells>
  <dataValidations count="1"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7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2"/>
      <c r="B4" s="72" t="s">
        <v>206</v>
      </c>
      <c r="C4" s="18" t="s">
        <v>204</v>
      </c>
      <c r="D4" s="18"/>
    </row>
    <row r="5" spans="1:8" x14ac:dyDescent="0.2">
      <c r="A5" s="103"/>
      <c r="B5" s="73"/>
      <c r="C5" s="18" t="s">
        <v>207</v>
      </c>
      <c r="D5" s="18"/>
    </row>
    <row r="6" spans="1:8" x14ac:dyDescent="0.2">
      <c r="A6" s="103"/>
      <c r="B6" s="73"/>
      <c r="C6" s="18" t="s">
        <v>208</v>
      </c>
      <c r="D6" s="18"/>
    </row>
    <row r="7" spans="1:8" x14ac:dyDescent="0.2">
      <c r="A7" s="103"/>
      <c r="B7" s="73"/>
      <c r="C7" s="18" t="s">
        <v>209</v>
      </c>
      <c r="D7" s="18"/>
    </row>
    <row r="8" spans="1:8" x14ac:dyDescent="0.2">
      <c r="A8" s="103"/>
      <c r="B8" s="73"/>
      <c r="C8" s="18" t="s">
        <v>210</v>
      </c>
      <c r="D8" s="18"/>
    </row>
    <row r="9" spans="1:8" x14ac:dyDescent="0.2">
      <c r="A9" s="103"/>
      <c r="B9" s="73"/>
      <c r="C9" s="18" t="s">
        <v>211</v>
      </c>
      <c r="D9" s="18"/>
    </row>
    <row r="10" spans="1:8" x14ac:dyDescent="0.2">
      <c r="A10" s="103"/>
      <c r="B10" s="73"/>
      <c r="C10" s="18" t="s">
        <v>212</v>
      </c>
      <c r="D10" s="18"/>
    </row>
    <row r="11" spans="1:8" x14ac:dyDescent="0.2">
      <c r="A11" s="103"/>
      <c r="B11" s="73"/>
      <c r="C11" s="18" t="s">
        <v>213</v>
      </c>
      <c r="D11" s="18"/>
      <c r="E11" t="s">
        <v>214</v>
      </c>
    </row>
    <row r="12" spans="1:8" x14ac:dyDescent="0.2">
      <c r="A12" s="103"/>
      <c r="B12" s="73"/>
      <c r="C12" s="18" t="s">
        <v>215</v>
      </c>
      <c r="D12" s="18"/>
      <c r="E12" t="s">
        <v>214</v>
      </c>
    </row>
    <row r="13" spans="1:8" x14ac:dyDescent="0.2">
      <c r="A13" s="103"/>
      <c r="B13" s="73"/>
      <c r="C13" s="18" t="s">
        <v>216</v>
      </c>
      <c r="D13" s="18"/>
    </row>
    <row r="14" spans="1:8" x14ac:dyDescent="0.2">
      <c r="A14" s="103"/>
      <c r="B14" s="73"/>
      <c r="C14" s="18" t="s">
        <v>217</v>
      </c>
      <c r="D14" s="18"/>
    </row>
    <row r="15" spans="1:8" x14ac:dyDescent="0.2">
      <c r="A15" s="103"/>
      <c r="B15" s="73"/>
      <c r="C15" s="18" t="s">
        <v>218</v>
      </c>
      <c r="D15" s="18"/>
    </row>
    <row r="16" spans="1:8" x14ac:dyDescent="0.2">
      <c r="A16" s="103"/>
      <c r="B16" s="73"/>
      <c r="C16" s="18" t="s">
        <v>219</v>
      </c>
      <c r="D16" s="18"/>
    </row>
    <row r="17" spans="1:4" x14ac:dyDescent="0.2">
      <c r="A17" s="103"/>
      <c r="B17" s="73"/>
      <c r="C17" s="18" t="s">
        <v>220</v>
      </c>
      <c r="D17" s="18"/>
    </row>
    <row r="18" spans="1:4" x14ac:dyDescent="0.2">
      <c r="A18" s="103"/>
      <c r="B18" s="73"/>
      <c r="C18" s="18" t="s">
        <v>221</v>
      </c>
      <c r="D18" s="18"/>
    </row>
    <row r="19" spans="1:4" x14ac:dyDescent="0.2">
      <c r="A19" s="103"/>
      <c r="B19" s="73"/>
      <c r="C19" s="18" t="s">
        <v>222</v>
      </c>
      <c r="D19" s="18"/>
    </row>
    <row r="20" spans="1:4" x14ac:dyDescent="0.2">
      <c r="A20" s="103"/>
      <c r="B20" s="73"/>
      <c r="C20" s="18" t="s">
        <v>223</v>
      </c>
      <c r="D20" s="18"/>
    </row>
    <row r="21" spans="1:4" x14ac:dyDescent="0.2">
      <c r="A21" s="103"/>
      <c r="B21" s="73"/>
      <c r="C21" s="18" t="s">
        <v>224</v>
      </c>
      <c r="D21" s="18"/>
    </row>
    <row r="22" spans="1:4" x14ac:dyDescent="0.2">
      <c r="A22" s="103"/>
      <c r="B22" s="73"/>
      <c r="C22" s="18" t="s">
        <v>225</v>
      </c>
      <c r="D22" s="18"/>
    </row>
    <row r="23" spans="1:4" x14ac:dyDescent="0.2">
      <c r="A23" s="103"/>
      <c r="B23" s="73"/>
      <c r="C23" s="18" t="s">
        <v>226</v>
      </c>
      <c r="D23" s="18"/>
    </row>
    <row r="24" spans="1:4" x14ac:dyDescent="0.2">
      <c r="A24" s="103"/>
      <c r="B24" s="73"/>
      <c r="C24" s="18" t="s">
        <v>227</v>
      </c>
      <c r="D24" s="18"/>
    </row>
    <row r="25" spans="1:4" x14ac:dyDescent="0.2">
      <c r="A25" s="103"/>
      <c r="B25" s="73"/>
      <c r="C25" s="18" t="s">
        <v>228</v>
      </c>
      <c r="D25" s="18"/>
    </row>
    <row r="26" spans="1:4" x14ac:dyDescent="0.2">
      <c r="A26" s="103"/>
      <c r="B26" s="73"/>
      <c r="C26" s="18" t="s">
        <v>229</v>
      </c>
      <c r="D26" s="18"/>
    </row>
    <row r="27" spans="1:4" x14ac:dyDescent="0.2">
      <c r="A27" s="103"/>
      <c r="B27" s="73"/>
      <c r="C27" s="18" t="s">
        <v>230</v>
      </c>
      <c r="D27" s="18"/>
    </row>
    <row r="28" spans="1:4" x14ac:dyDescent="0.2">
      <c r="A28" s="103"/>
      <c r="B28" s="73"/>
      <c r="C28" s="18" t="s">
        <v>231</v>
      </c>
      <c r="D28" s="18"/>
    </row>
    <row r="29" spans="1:4" x14ac:dyDescent="0.2">
      <c r="A29" s="103"/>
      <c r="B29" s="73"/>
      <c r="C29" s="18" t="s">
        <v>232</v>
      </c>
      <c r="D29" s="18"/>
    </row>
    <row r="30" spans="1:4" x14ac:dyDescent="0.2">
      <c r="A30" s="103"/>
      <c r="B30" s="73"/>
      <c r="C30" s="18" t="s">
        <v>233</v>
      </c>
      <c r="D30" s="18"/>
    </row>
    <row r="31" spans="1:4" x14ac:dyDescent="0.2">
      <c r="A31" s="103"/>
      <c r="B31" s="73"/>
      <c r="C31" s="18" t="s">
        <v>234</v>
      </c>
      <c r="D31" s="18"/>
    </row>
    <row r="32" spans="1:4" x14ac:dyDescent="0.2">
      <c r="A32" s="103"/>
      <c r="B32" s="73"/>
      <c r="C32" s="18" t="s">
        <v>235</v>
      </c>
      <c r="D32" s="18"/>
    </row>
    <row r="33" spans="1:5" x14ac:dyDescent="0.2">
      <c r="A33" s="103"/>
      <c r="B33" s="73"/>
      <c r="C33" s="18" t="s">
        <v>236</v>
      </c>
      <c r="D33" s="18"/>
    </row>
    <row r="34" spans="1:5" x14ac:dyDescent="0.2">
      <c r="A34" s="103"/>
      <c r="B34" s="73"/>
      <c r="C34" s="18" t="s">
        <v>237</v>
      </c>
      <c r="D34" s="18"/>
    </row>
    <row r="35" spans="1:5" x14ac:dyDescent="0.2">
      <c r="A35" s="103"/>
      <c r="B35" s="73"/>
      <c r="C35" s="18" t="s">
        <v>238</v>
      </c>
      <c r="D35" s="18"/>
    </row>
    <row r="36" spans="1:5" x14ac:dyDescent="0.2">
      <c r="A36" s="103"/>
      <c r="B36" s="73"/>
      <c r="C36" s="18" t="s">
        <v>239</v>
      </c>
      <c r="D36" s="18"/>
      <c r="E36" t="s">
        <v>214</v>
      </c>
    </row>
    <row r="37" spans="1:5" x14ac:dyDescent="0.2">
      <c r="A37" s="103"/>
      <c r="B37" s="73"/>
      <c r="C37" s="98" t="s">
        <v>240</v>
      </c>
      <c r="D37" s="18"/>
      <c r="E37" t="s">
        <v>214</v>
      </c>
    </row>
    <row r="38" spans="1:5" x14ac:dyDescent="0.2">
      <c r="A38" s="103"/>
      <c r="B38" s="73"/>
      <c r="C38" s="18" t="s">
        <v>241</v>
      </c>
      <c r="D38" s="18"/>
    </row>
    <row r="39" spans="1:5" x14ac:dyDescent="0.2">
      <c r="A39" s="103"/>
      <c r="B39" s="73"/>
      <c r="C39" s="18" t="s">
        <v>242</v>
      </c>
      <c r="D39" s="18"/>
    </row>
    <row r="40" spans="1:5" x14ac:dyDescent="0.2">
      <c r="A40" s="103"/>
      <c r="B40" s="73"/>
      <c r="C40" s="18" t="s">
        <v>243</v>
      </c>
      <c r="D40" s="18"/>
      <c r="E40" t="s">
        <v>214</v>
      </c>
    </row>
    <row r="41" spans="1:5" x14ac:dyDescent="0.2">
      <c r="A41" s="103"/>
      <c r="B41" s="73"/>
      <c r="C41" s="18" t="s">
        <v>244</v>
      </c>
      <c r="D41" s="18"/>
    </row>
    <row r="42" spans="1:5" x14ac:dyDescent="0.2">
      <c r="A42" s="103"/>
      <c r="B42" s="73"/>
      <c r="C42" s="18" t="s">
        <v>245</v>
      </c>
      <c r="D42" s="18"/>
    </row>
    <row r="43" spans="1:5" x14ac:dyDescent="0.2">
      <c r="A43" s="103"/>
      <c r="B43" s="73"/>
      <c r="C43" s="18" t="s">
        <v>246</v>
      </c>
      <c r="D43" s="18"/>
    </row>
    <row r="44" spans="1:5" x14ac:dyDescent="0.2">
      <c r="A44" s="103"/>
      <c r="B44" s="73"/>
      <c r="C44" s="18" t="s">
        <v>247</v>
      </c>
      <c r="D44" s="18"/>
    </row>
    <row r="45" spans="1:5" x14ac:dyDescent="0.2">
      <c r="A45" s="103"/>
      <c r="B45" s="73"/>
      <c r="C45" s="18" t="s">
        <v>248</v>
      </c>
      <c r="D45" s="18"/>
    </row>
    <row r="46" spans="1:5" x14ac:dyDescent="0.2">
      <c r="A46" s="103"/>
      <c r="B46" s="73"/>
      <c r="C46" s="18" t="s">
        <v>249</v>
      </c>
      <c r="D46" s="18"/>
      <c r="E46" t="s">
        <v>214</v>
      </c>
    </row>
    <row r="47" spans="1:5" x14ac:dyDescent="0.2">
      <c r="A47" s="103"/>
      <c r="B47" s="73"/>
      <c r="C47" s="18" t="s">
        <v>250</v>
      </c>
      <c r="D47" s="18"/>
    </row>
    <row r="48" spans="1:5" x14ac:dyDescent="0.2">
      <c r="A48" s="103"/>
      <c r="B48" s="73"/>
      <c r="C48" s="18" t="s">
        <v>251</v>
      </c>
      <c r="D48" s="18"/>
    </row>
    <row r="49" spans="1:5" x14ac:dyDescent="0.2">
      <c r="A49" s="103"/>
      <c r="B49" s="73"/>
      <c r="C49" s="18" t="s">
        <v>252</v>
      </c>
      <c r="D49" s="18"/>
    </row>
    <row r="50" spans="1:5" x14ac:dyDescent="0.2">
      <c r="A50" s="103"/>
      <c r="B50" s="73"/>
      <c r="C50" s="18" t="s">
        <v>253</v>
      </c>
      <c r="D50" s="18"/>
    </row>
    <row r="51" spans="1:5" x14ac:dyDescent="0.2">
      <c r="A51" s="103"/>
      <c r="B51" s="73"/>
      <c r="C51" s="18" t="s">
        <v>254</v>
      </c>
      <c r="D51" s="18"/>
    </row>
    <row r="52" spans="1:5" x14ac:dyDescent="0.2">
      <c r="A52" s="103"/>
      <c r="B52" s="73"/>
      <c r="C52" s="18" t="s">
        <v>255</v>
      </c>
      <c r="D52" s="18"/>
    </row>
    <row r="53" spans="1:5" x14ac:dyDescent="0.2">
      <c r="A53" s="103"/>
      <c r="B53" s="73"/>
      <c r="C53" s="18" t="s">
        <v>256</v>
      </c>
      <c r="D53" s="18"/>
    </row>
    <row r="54" spans="1:5" x14ac:dyDescent="0.2">
      <c r="A54" s="103"/>
      <c r="B54" s="73"/>
      <c r="C54" s="18" t="s">
        <v>257</v>
      </c>
      <c r="D54" s="18"/>
    </row>
    <row r="55" spans="1:5" x14ac:dyDescent="0.2">
      <c r="A55" s="103"/>
      <c r="B55" s="73"/>
      <c r="C55" s="18" t="s">
        <v>258</v>
      </c>
      <c r="D55" s="18"/>
    </row>
    <row r="56" spans="1:5" x14ac:dyDescent="0.2">
      <c r="A56" s="103"/>
      <c r="B56" s="73"/>
      <c r="C56" s="18" t="s">
        <v>259</v>
      </c>
      <c r="D56" s="18"/>
    </row>
    <row r="57" spans="1:5" x14ac:dyDescent="0.2">
      <c r="A57" s="103"/>
      <c r="B57" s="73"/>
      <c r="C57" s="18" t="s">
        <v>260</v>
      </c>
      <c r="D57" s="18"/>
    </row>
    <row r="58" spans="1:5" x14ac:dyDescent="0.2">
      <c r="A58" s="103"/>
      <c r="B58" s="73"/>
      <c r="C58" s="18" t="s">
        <v>261</v>
      </c>
      <c r="D58" s="18"/>
    </row>
    <row r="59" spans="1:5" x14ac:dyDescent="0.2">
      <c r="A59" s="103"/>
      <c r="B59" s="73"/>
      <c r="C59" s="18" t="s">
        <v>262</v>
      </c>
      <c r="D59" s="18"/>
    </row>
    <row r="60" spans="1:5" x14ac:dyDescent="0.2">
      <c r="A60" s="103"/>
      <c r="B60" s="73"/>
      <c r="C60" s="18" t="s">
        <v>263</v>
      </c>
      <c r="D60" s="18"/>
    </row>
    <row r="61" spans="1:5" x14ac:dyDescent="0.2">
      <c r="A61" s="103"/>
      <c r="B61" s="73"/>
      <c r="C61" s="18" t="s">
        <v>264</v>
      </c>
      <c r="D61" s="18"/>
    </row>
    <row r="62" spans="1:5" x14ac:dyDescent="0.2">
      <c r="A62" s="103"/>
      <c r="B62" s="73"/>
      <c r="C62" s="18" t="s">
        <v>265</v>
      </c>
      <c r="D62" s="18"/>
    </row>
    <row r="63" spans="1:5" x14ac:dyDescent="0.2">
      <c r="A63" s="103"/>
      <c r="B63" s="73"/>
      <c r="C63" s="18" t="s">
        <v>266</v>
      </c>
      <c r="D63" s="18"/>
      <c r="E63" t="s">
        <v>214</v>
      </c>
    </row>
    <row r="64" spans="1:5" x14ac:dyDescent="0.2">
      <c r="A64" s="103"/>
      <c r="B64" s="73"/>
      <c r="C64" s="18" t="s">
        <v>267</v>
      </c>
      <c r="D64" s="18"/>
    </row>
    <row r="65" spans="1:4" x14ac:dyDescent="0.2">
      <c r="A65" s="103"/>
      <c r="B65" s="73"/>
      <c r="C65" s="18" t="s">
        <v>268</v>
      </c>
      <c r="D65" s="18"/>
    </row>
    <row r="66" spans="1:4" x14ac:dyDescent="0.2">
      <c r="A66" s="103"/>
      <c r="B66" s="73"/>
      <c r="C66" s="18" t="s">
        <v>269</v>
      </c>
      <c r="D66" s="18"/>
    </row>
    <row r="67" spans="1:4" x14ac:dyDescent="0.2">
      <c r="A67" s="103"/>
      <c r="B67" s="73"/>
      <c r="C67" s="18" t="s">
        <v>270</v>
      </c>
      <c r="D67" s="18"/>
    </row>
    <row r="68" spans="1:4" x14ac:dyDescent="0.2">
      <c r="A68" s="103"/>
      <c r="B68" s="73"/>
      <c r="C68" s="18" t="s">
        <v>271</v>
      </c>
      <c r="D68" s="18"/>
    </row>
    <row r="69" spans="1:4" x14ac:dyDescent="0.2">
      <c r="A69" s="103"/>
      <c r="B69" s="73"/>
      <c r="C69" s="18" t="s">
        <v>272</v>
      </c>
      <c r="D69" s="18"/>
    </row>
    <row r="70" spans="1:4" x14ac:dyDescent="0.2">
      <c r="A70" s="103"/>
      <c r="B70" s="73"/>
      <c r="C70" s="18" t="s">
        <v>273</v>
      </c>
      <c r="D70" s="18"/>
    </row>
    <row r="71" spans="1:4" x14ac:dyDescent="0.2">
      <c r="A71" s="103"/>
      <c r="B71" s="73"/>
      <c r="C71" s="18" t="s">
        <v>274</v>
      </c>
      <c r="D71" s="18"/>
    </row>
    <row r="72" spans="1:4" x14ac:dyDescent="0.2">
      <c r="A72" s="103"/>
      <c r="B72" s="73"/>
      <c r="C72" s="18" t="s">
        <v>275</v>
      </c>
      <c r="D72" s="18"/>
    </row>
    <row r="73" spans="1:4" x14ac:dyDescent="0.2">
      <c r="A73" s="103"/>
      <c r="B73" s="73"/>
      <c r="C73" s="18" t="s">
        <v>276</v>
      </c>
      <c r="D73" s="18"/>
    </row>
    <row r="74" spans="1:4" x14ac:dyDescent="0.2">
      <c r="A74" s="103"/>
      <c r="B74" s="73"/>
      <c r="C74" s="18" t="s">
        <v>277</v>
      </c>
      <c r="D74" s="18"/>
    </row>
    <row r="75" spans="1:4" x14ac:dyDescent="0.2">
      <c r="A75" s="103"/>
      <c r="B75" s="73"/>
      <c r="C75" s="18" t="s">
        <v>278</v>
      </c>
      <c r="D75" s="18"/>
    </row>
    <row r="76" spans="1:4" x14ac:dyDescent="0.2">
      <c r="A76" s="103"/>
      <c r="B76" s="73"/>
      <c r="C76" s="18" t="s">
        <v>279</v>
      </c>
      <c r="D76" s="18"/>
    </row>
    <row r="77" spans="1:4" x14ac:dyDescent="0.2">
      <c r="A77" s="103"/>
      <c r="B77" s="73"/>
      <c r="C77" s="18" t="s">
        <v>280</v>
      </c>
      <c r="D77" s="18"/>
    </row>
    <row r="78" spans="1:4" x14ac:dyDescent="0.2">
      <c r="A78" s="103"/>
      <c r="B78" s="73"/>
      <c r="C78" s="18" t="s">
        <v>281</v>
      </c>
      <c r="D78" s="18"/>
    </row>
    <row r="79" spans="1:4" x14ac:dyDescent="0.2">
      <c r="A79" s="103"/>
      <c r="B79" s="73"/>
      <c r="C79" s="18" t="s">
        <v>282</v>
      </c>
      <c r="D79" s="18"/>
    </row>
    <row r="80" spans="1:4" x14ac:dyDescent="0.2">
      <c r="A80" s="103"/>
      <c r="B80" s="73"/>
      <c r="C80" s="18" t="s">
        <v>283</v>
      </c>
      <c r="D80" s="18"/>
    </row>
    <row r="81" spans="1:5" x14ac:dyDescent="0.2">
      <c r="A81" s="103"/>
      <c r="B81" s="73"/>
      <c r="C81" s="18" t="s">
        <v>284</v>
      </c>
      <c r="D81" s="18"/>
    </row>
    <row r="82" spans="1:5" x14ac:dyDescent="0.2">
      <c r="A82" s="103"/>
      <c r="B82" s="73"/>
      <c r="C82" s="18" t="s">
        <v>285</v>
      </c>
      <c r="D82" s="18"/>
    </row>
    <row r="83" spans="1:5" x14ac:dyDescent="0.2">
      <c r="A83" s="103"/>
      <c r="B83" s="73"/>
      <c r="C83" s="18" t="s">
        <v>286</v>
      </c>
      <c r="D83" s="18"/>
    </row>
    <row r="84" spans="1:5" x14ac:dyDescent="0.2">
      <c r="A84" s="103"/>
      <c r="B84" s="73"/>
      <c r="C84" s="18" t="s">
        <v>287</v>
      </c>
      <c r="D84" s="18"/>
    </row>
    <row r="85" spans="1:5" x14ac:dyDescent="0.2">
      <c r="A85" s="103"/>
      <c r="B85" s="73"/>
      <c r="C85" s="18" t="s">
        <v>288</v>
      </c>
      <c r="D85" s="18"/>
    </row>
    <row r="86" spans="1:5" x14ac:dyDescent="0.2">
      <c r="A86" s="103"/>
      <c r="B86" s="73"/>
      <c r="C86" s="18" t="s">
        <v>289</v>
      </c>
      <c r="D86" s="18"/>
    </row>
    <row r="87" spans="1:5" x14ac:dyDescent="0.2">
      <c r="A87" s="103"/>
      <c r="B87" s="73"/>
      <c r="C87" s="18" t="s">
        <v>290</v>
      </c>
      <c r="D87" s="18"/>
    </row>
    <row r="88" spans="1:5" x14ac:dyDescent="0.2">
      <c r="A88" s="103"/>
      <c r="B88" s="73"/>
      <c r="C88" s="18" t="s">
        <v>291</v>
      </c>
      <c r="D88" s="18"/>
    </row>
    <row r="89" spans="1:5" x14ac:dyDescent="0.2">
      <c r="A89" s="103"/>
      <c r="B89" s="73"/>
      <c r="C89" s="18" t="s">
        <v>292</v>
      </c>
      <c r="D89" s="18"/>
    </row>
    <row r="90" spans="1:5" x14ac:dyDescent="0.2">
      <c r="A90" s="103"/>
      <c r="B90" s="73"/>
      <c r="C90" s="18" t="s">
        <v>293</v>
      </c>
      <c r="D90" s="18"/>
    </row>
    <row r="91" spans="1:5" x14ac:dyDescent="0.2">
      <c r="A91" s="103"/>
      <c r="B91" s="73"/>
      <c r="C91" s="18" t="s">
        <v>294</v>
      </c>
      <c r="D91" s="18"/>
    </row>
    <row r="92" spans="1:5" x14ac:dyDescent="0.2">
      <c r="A92" s="103"/>
      <c r="B92" s="73"/>
      <c r="C92" s="18" t="s">
        <v>295</v>
      </c>
      <c r="D92" s="18"/>
    </row>
    <row r="93" spans="1:5" x14ac:dyDescent="0.2">
      <c r="A93" s="103"/>
      <c r="B93" s="73"/>
      <c r="C93" s="18" t="s">
        <v>296</v>
      </c>
      <c r="D93" s="18"/>
    </row>
    <row r="94" spans="1:5" x14ac:dyDescent="0.2">
      <c r="A94" s="103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3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3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3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3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3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3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3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3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3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3"/>
      <c r="B111" s="48" t="s">
        <v>53</v>
      </c>
      <c r="C111" s="18" t="s">
        <v>309</v>
      </c>
      <c r="D111" s="18"/>
    </row>
    <row r="112" spans="1:5" x14ac:dyDescent="0.2">
      <c r="A112" s="103"/>
      <c r="B112" s="49"/>
      <c r="C112" s="18" t="s">
        <v>315</v>
      </c>
      <c r="D112" s="18"/>
    </row>
    <row r="113" spans="1:4" x14ac:dyDescent="0.2">
      <c r="A113" s="103"/>
      <c r="B113" s="50"/>
      <c r="C113" s="18" t="s">
        <v>316</v>
      </c>
      <c r="D113" s="18"/>
    </row>
    <row r="114" spans="1:4" x14ac:dyDescent="0.2">
      <c r="A114" s="104"/>
      <c r="B114" s="104" t="s">
        <v>317</v>
      </c>
      <c r="C114" s="17" t="s">
        <v>309</v>
      </c>
      <c r="D114" s="17"/>
    </row>
    <row r="115" spans="1:4" x14ac:dyDescent="0.2">
      <c r="A115" s="104"/>
      <c r="B115" s="104"/>
      <c r="C115" s="17" t="s">
        <v>310</v>
      </c>
      <c r="D115" s="17"/>
    </row>
    <row r="116" spans="1:4" x14ac:dyDescent="0.2">
      <c r="A116" s="104"/>
      <c r="B116" s="104"/>
      <c r="C116" s="17" t="s">
        <v>311</v>
      </c>
      <c r="D116" s="17"/>
    </row>
    <row r="117" spans="1:4" x14ac:dyDescent="0.2">
      <c r="A117" s="104"/>
      <c r="B117" s="104"/>
      <c r="C117" s="17" t="s">
        <v>313</v>
      </c>
      <c r="D117" s="17"/>
    </row>
    <row r="118" spans="1:4" x14ac:dyDescent="0.2">
      <c r="A118" s="102"/>
      <c r="B118" s="66" t="s">
        <v>151</v>
      </c>
      <c r="C118" s="18" t="s">
        <v>309</v>
      </c>
      <c r="D118" s="18"/>
    </row>
    <row r="119" spans="1:4" x14ac:dyDescent="0.2">
      <c r="A119" s="101"/>
      <c r="B119" s="83"/>
      <c r="C119" s="18" t="s">
        <v>318</v>
      </c>
      <c r="D119" s="18"/>
    </row>
    <row r="120" spans="1:4" x14ac:dyDescent="0.2">
      <c r="A120" s="101"/>
      <c r="B120" s="83"/>
      <c r="C120" s="18" t="s">
        <v>311</v>
      </c>
      <c r="D120" s="18"/>
    </row>
    <row r="121" spans="1:4" x14ac:dyDescent="0.2">
      <c r="A121" s="101"/>
      <c r="B121" s="83"/>
      <c r="C121" s="18" t="s">
        <v>312</v>
      </c>
      <c r="D121" s="18"/>
    </row>
    <row r="122" spans="1:4" x14ac:dyDescent="0.2">
      <c r="A122" s="101"/>
      <c r="B122" s="83"/>
      <c r="C122" s="18" t="s">
        <v>310</v>
      </c>
      <c r="D122" s="18"/>
    </row>
    <row r="123" spans="1:4" x14ac:dyDescent="0.2">
      <c r="A123" s="101"/>
      <c r="B123" s="83"/>
      <c r="C123" s="18" t="s">
        <v>319</v>
      </c>
      <c r="D123" s="18"/>
    </row>
    <row r="124" spans="1:4" x14ac:dyDescent="0.2">
      <c r="A124" s="101"/>
      <c r="B124" s="83"/>
      <c r="C124" s="18" t="s">
        <v>320</v>
      </c>
      <c r="D124" s="18"/>
    </row>
    <row r="125" spans="1:4" x14ac:dyDescent="0.2">
      <c r="A125" s="101"/>
      <c r="B125" s="83"/>
      <c r="C125" s="18" t="s">
        <v>313</v>
      </c>
      <c r="D125" s="18"/>
    </row>
    <row r="126" spans="1:4" x14ac:dyDescent="0.2">
      <c r="A126" s="103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3"/>
      <c r="B132" s="49" t="s">
        <v>324</v>
      </c>
      <c r="C132" s="18" t="s">
        <v>321</v>
      </c>
      <c r="D132" s="18"/>
    </row>
    <row r="133" spans="1:5" x14ac:dyDescent="0.2">
      <c r="A133" s="103"/>
      <c r="B133" s="49"/>
      <c r="C133" s="18" t="s">
        <v>312</v>
      </c>
      <c r="D133" s="18"/>
    </row>
    <row r="134" spans="1:5" x14ac:dyDescent="0.2">
      <c r="A134" s="105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2"/>
      <c r="B146" s="51" t="s">
        <v>337</v>
      </c>
      <c r="C146" s="18" t="s">
        <v>338</v>
      </c>
      <c r="D146" s="18"/>
    </row>
    <row r="147" spans="1:4" x14ac:dyDescent="0.2">
      <c r="A147" s="105"/>
      <c r="B147" s="53"/>
      <c r="C147" s="18" t="s">
        <v>339</v>
      </c>
      <c r="D147" s="18"/>
    </row>
    <row r="148" spans="1:4" x14ac:dyDescent="0.2">
      <c r="A148" s="106"/>
      <c r="B148" s="107" t="s">
        <v>70</v>
      </c>
      <c r="C148" s="17" t="s">
        <v>340</v>
      </c>
      <c r="D148" s="17" t="s">
        <v>341</v>
      </c>
    </row>
    <row r="149" spans="1:4" x14ac:dyDescent="0.2">
      <c r="A149" s="108"/>
      <c r="B149" s="108"/>
      <c r="C149" s="17" t="s">
        <v>342</v>
      </c>
      <c r="D149" s="17" t="s">
        <v>343</v>
      </c>
    </row>
    <row r="150" spans="1:4" x14ac:dyDescent="0.2">
      <c r="A150" s="108"/>
      <c r="B150" s="108"/>
      <c r="C150" s="17" t="s">
        <v>344</v>
      </c>
      <c r="D150" s="17" t="s">
        <v>345</v>
      </c>
    </row>
    <row r="151" spans="1:4" x14ac:dyDescent="0.2">
      <c r="A151" s="108"/>
      <c r="B151" s="108"/>
      <c r="C151" s="17" t="s">
        <v>346</v>
      </c>
      <c r="D151" s="17" t="s">
        <v>347</v>
      </c>
    </row>
    <row r="152" spans="1:4" x14ac:dyDescent="0.2">
      <c r="A152" s="108"/>
      <c r="B152" s="108"/>
      <c r="C152" s="17" t="s">
        <v>348</v>
      </c>
      <c r="D152" s="17" t="s">
        <v>349</v>
      </c>
    </row>
    <row r="153" spans="1:4" x14ac:dyDescent="0.2">
      <c r="A153" s="108"/>
      <c r="B153" s="108"/>
      <c r="C153" s="17" t="s">
        <v>350</v>
      </c>
      <c r="D153" s="17" t="s">
        <v>351</v>
      </c>
    </row>
    <row r="154" spans="1:4" x14ac:dyDescent="0.2">
      <c r="A154" s="108"/>
      <c r="B154" s="108"/>
      <c r="C154" s="17" t="s">
        <v>352</v>
      </c>
      <c r="D154" s="17" t="s">
        <v>353</v>
      </c>
    </row>
    <row r="155" spans="1:4" x14ac:dyDescent="0.2">
      <c r="A155" s="108"/>
      <c r="B155" s="108"/>
      <c r="C155" s="17" t="s">
        <v>354</v>
      </c>
      <c r="D155" s="17" t="s">
        <v>355</v>
      </c>
    </row>
    <row r="156" spans="1:4" x14ac:dyDescent="0.2">
      <c r="A156" s="108"/>
      <c r="B156" s="108"/>
      <c r="C156" s="17" t="s">
        <v>356</v>
      </c>
      <c r="D156" s="17" t="s">
        <v>357</v>
      </c>
    </row>
    <row r="157" spans="1:4" x14ac:dyDescent="0.2">
      <c r="A157" s="108"/>
      <c r="B157" s="108"/>
      <c r="C157" s="17" t="s">
        <v>358</v>
      </c>
      <c r="D157" s="17" t="s">
        <v>359</v>
      </c>
    </row>
    <row r="158" spans="1:4" x14ac:dyDescent="0.2">
      <c r="A158" s="108"/>
      <c r="B158" s="108"/>
      <c r="C158" s="17" t="s">
        <v>360</v>
      </c>
      <c r="D158" s="17" t="s">
        <v>361</v>
      </c>
    </row>
    <row r="159" spans="1:4" x14ac:dyDescent="0.2">
      <c r="A159" s="108"/>
      <c r="B159" s="108"/>
      <c r="C159" s="17" t="s">
        <v>362</v>
      </c>
      <c r="D159" s="17" t="s">
        <v>363</v>
      </c>
    </row>
    <row r="160" spans="1:4" x14ac:dyDescent="0.2">
      <c r="A160" s="108"/>
      <c r="B160" s="108"/>
      <c r="C160" s="17" t="s">
        <v>364</v>
      </c>
      <c r="D160" s="17" t="s">
        <v>365</v>
      </c>
    </row>
    <row r="161" spans="1:4" x14ac:dyDescent="0.2">
      <c r="A161" s="108"/>
      <c r="B161" s="108"/>
      <c r="C161" s="17" t="s">
        <v>366</v>
      </c>
      <c r="D161" s="17" t="s">
        <v>367</v>
      </c>
    </row>
    <row r="162" spans="1:4" x14ac:dyDescent="0.2">
      <c r="A162" s="108"/>
      <c r="B162" s="108"/>
      <c r="C162" s="17" t="s">
        <v>368</v>
      </c>
      <c r="D162" s="17" t="s">
        <v>369</v>
      </c>
    </row>
    <row r="163" spans="1:4" x14ac:dyDescent="0.2">
      <c r="A163" s="108"/>
      <c r="B163" s="108"/>
      <c r="C163" s="17" t="s">
        <v>370</v>
      </c>
      <c r="D163" s="17" t="s">
        <v>371</v>
      </c>
    </row>
    <row r="164" spans="1:4" x14ac:dyDescent="0.2">
      <c r="A164" s="108"/>
      <c r="B164" s="108"/>
      <c r="C164" s="17" t="s">
        <v>372</v>
      </c>
      <c r="D164" s="17" t="s">
        <v>373</v>
      </c>
    </row>
    <row r="165" spans="1:4" x14ac:dyDescent="0.2">
      <c r="A165" s="108"/>
      <c r="B165" s="108"/>
      <c r="C165" s="17" t="s">
        <v>374</v>
      </c>
      <c r="D165" s="17" t="s">
        <v>375</v>
      </c>
    </row>
    <row r="166" spans="1:4" x14ac:dyDescent="0.2">
      <c r="A166" s="108"/>
      <c r="B166" s="108"/>
      <c r="C166" s="17" t="s">
        <v>376</v>
      </c>
      <c r="D166" s="17" t="s">
        <v>377</v>
      </c>
    </row>
    <row r="167" spans="1:4" x14ac:dyDescent="0.2">
      <c r="A167" s="108"/>
      <c r="B167" s="108"/>
      <c r="C167" s="17" t="s">
        <v>378</v>
      </c>
      <c r="D167" s="17" t="s">
        <v>379</v>
      </c>
    </row>
    <row r="168" spans="1:4" x14ac:dyDescent="0.2">
      <c r="A168" s="108"/>
      <c r="B168" s="108"/>
      <c r="C168" s="17" t="s">
        <v>380</v>
      </c>
      <c r="D168" s="17" t="s">
        <v>381</v>
      </c>
    </row>
    <row r="169" spans="1:4" x14ac:dyDescent="0.2">
      <c r="A169" s="108"/>
      <c r="B169" s="108"/>
      <c r="C169" s="17" t="s">
        <v>382</v>
      </c>
      <c r="D169" s="17" t="s">
        <v>383</v>
      </c>
    </row>
    <row r="170" spans="1:4" x14ac:dyDescent="0.2">
      <c r="A170" s="108"/>
      <c r="B170" s="108"/>
      <c r="C170" s="17" t="s">
        <v>384</v>
      </c>
      <c r="D170" s="17" t="s">
        <v>385</v>
      </c>
    </row>
    <row r="171" spans="1:4" x14ac:dyDescent="0.2">
      <c r="A171" s="108"/>
      <c r="B171" s="108"/>
      <c r="C171" s="17" t="s">
        <v>386</v>
      </c>
      <c r="D171" s="17" t="s">
        <v>387</v>
      </c>
    </row>
    <row r="172" spans="1:4" x14ac:dyDescent="0.2">
      <c r="A172" s="108"/>
      <c r="B172" s="108"/>
      <c r="C172" s="17" t="s">
        <v>388</v>
      </c>
      <c r="D172" s="17" t="s">
        <v>389</v>
      </c>
    </row>
    <row r="173" spans="1:4" x14ac:dyDescent="0.2">
      <c r="A173" s="108"/>
      <c r="B173" s="108"/>
      <c r="C173" s="17" t="s">
        <v>390</v>
      </c>
      <c r="D173" s="17" t="s">
        <v>391</v>
      </c>
    </row>
    <row r="174" spans="1:4" x14ac:dyDescent="0.2">
      <c r="A174" s="108"/>
      <c r="B174" s="108"/>
      <c r="C174" s="17" t="s">
        <v>392</v>
      </c>
      <c r="D174" s="17" t="s">
        <v>393</v>
      </c>
    </row>
    <row r="175" spans="1:4" x14ac:dyDescent="0.2">
      <c r="A175" s="108"/>
      <c r="B175" s="108"/>
      <c r="C175" s="17" t="s">
        <v>394</v>
      </c>
      <c r="D175" s="17" t="s">
        <v>395</v>
      </c>
    </row>
    <row r="176" spans="1:4" x14ac:dyDescent="0.2">
      <c r="A176" s="108"/>
      <c r="B176" s="108"/>
      <c r="C176" s="17" t="s">
        <v>396</v>
      </c>
      <c r="D176" s="17" t="s">
        <v>397</v>
      </c>
    </row>
    <row r="177" spans="1:5" x14ac:dyDescent="0.2">
      <c r="A177" s="108"/>
      <c r="B177" s="108"/>
      <c r="C177" s="17" t="s">
        <v>398</v>
      </c>
      <c r="D177" s="17" t="s">
        <v>399</v>
      </c>
    </row>
    <row r="178" spans="1:5" x14ac:dyDescent="0.2">
      <c r="A178" s="108"/>
      <c r="B178" s="108"/>
      <c r="C178" s="17" t="s">
        <v>400</v>
      </c>
      <c r="D178" s="17" t="s">
        <v>401</v>
      </c>
    </row>
    <row r="179" spans="1:5" x14ac:dyDescent="0.2">
      <c r="A179" s="108"/>
      <c r="B179" s="108"/>
      <c r="C179" s="17" t="s">
        <v>402</v>
      </c>
      <c r="D179" s="17" t="s">
        <v>403</v>
      </c>
    </row>
    <row r="180" spans="1:5" x14ac:dyDescent="0.2">
      <c r="A180" s="108"/>
      <c r="B180" s="108"/>
      <c r="C180" s="17" t="s">
        <v>404</v>
      </c>
      <c r="D180" s="17" t="s">
        <v>405</v>
      </c>
      <c r="E180" t="s">
        <v>214</v>
      </c>
    </row>
    <row r="181" spans="1:5" x14ac:dyDescent="0.2">
      <c r="A181" s="108"/>
      <c r="B181" s="108"/>
      <c r="C181" s="17" t="s">
        <v>314</v>
      </c>
      <c r="D181" s="17" t="s">
        <v>314</v>
      </c>
    </row>
    <row r="182" spans="1:5" x14ac:dyDescent="0.2">
      <c r="A182" s="102"/>
      <c r="B182" s="51" t="s">
        <v>406</v>
      </c>
      <c r="C182" s="38" t="s">
        <v>407</v>
      </c>
      <c r="D182" s="38"/>
    </row>
    <row r="183" spans="1:5" x14ac:dyDescent="0.2">
      <c r="A183" s="103"/>
      <c r="B183" s="52"/>
      <c r="C183" s="38" t="s">
        <v>408</v>
      </c>
      <c r="D183" s="38"/>
    </row>
    <row r="184" spans="1:5" x14ac:dyDescent="0.2">
      <c r="A184" s="103"/>
      <c r="B184" s="52"/>
      <c r="C184" s="38" t="s">
        <v>409</v>
      </c>
      <c r="D184" s="38"/>
    </row>
    <row r="185" spans="1:5" x14ac:dyDescent="0.2">
      <c r="A185" s="105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2"/>
      <c r="B188" s="51" t="s">
        <v>58</v>
      </c>
      <c r="C188" s="39" t="s">
        <v>413</v>
      </c>
      <c r="D188" s="39" t="s">
        <v>414</v>
      </c>
    </row>
    <row r="189" spans="1:5" x14ac:dyDescent="0.2">
      <c r="A189" s="103"/>
      <c r="B189" s="52"/>
      <c r="C189" s="39" t="s">
        <v>415</v>
      </c>
      <c r="D189" s="39" t="s">
        <v>416</v>
      </c>
    </row>
    <row r="190" spans="1:5" x14ac:dyDescent="0.2">
      <c r="A190" s="103"/>
      <c r="B190" s="52"/>
      <c r="C190" s="39" t="s">
        <v>312</v>
      </c>
      <c r="D190" s="39" t="s">
        <v>312</v>
      </c>
    </row>
    <row r="191" spans="1:5" x14ac:dyDescent="0.2">
      <c r="A191" s="103"/>
      <c r="B191" s="52"/>
      <c r="C191" s="39" t="s">
        <v>417</v>
      </c>
      <c r="D191" s="39" t="s">
        <v>418</v>
      </c>
    </row>
    <row r="192" spans="1:5" x14ac:dyDescent="0.2">
      <c r="A192" s="103"/>
      <c r="B192" s="52"/>
      <c r="C192" s="39" t="s">
        <v>419</v>
      </c>
      <c r="D192" s="39" t="s">
        <v>420</v>
      </c>
    </row>
    <row r="193" spans="1:4" x14ac:dyDescent="0.2">
      <c r="A193" s="103"/>
      <c r="B193" s="52"/>
      <c r="C193" s="39" t="s">
        <v>421</v>
      </c>
      <c r="D193" s="39" t="s">
        <v>422</v>
      </c>
    </row>
    <row r="194" spans="1:4" x14ac:dyDescent="0.2">
      <c r="A194" s="103"/>
      <c r="B194" s="52"/>
      <c r="C194" s="39" t="s">
        <v>423</v>
      </c>
      <c r="D194" s="39" t="s">
        <v>424</v>
      </c>
    </row>
    <row r="195" spans="1:4" x14ac:dyDescent="0.2">
      <c r="A195" s="103"/>
      <c r="B195" s="52"/>
      <c r="C195" s="39" t="s">
        <v>425</v>
      </c>
      <c r="D195" s="39" t="s">
        <v>426</v>
      </c>
    </row>
    <row r="196" spans="1:4" x14ac:dyDescent="0.2">
      <c r="A196" s="103"/>
      <c r="B196" s="52"/>
      <c r="C196" s="39" t="s">
        <v>427</v>
      </c>
      <c r="D196" s="39" t="s">
        <v>428</v>
      </c>
    </row>
    <row r="197" spans="1:4" x14ac:dyDescent="0.2">
      <c r="A197" s="103"/>
      <c r="B197" s="52"/>
      <c r="C197" s="39" t="s">
        <v>429</v>
      </c>
      <c r="D197" s="39" t="s">
        <v>430</v>
      </c>
    </row>
    <row r="198" spans="1:4" x14ac:dyDescent="0.2">
      <c r="A198" s="103"/>
      <c r="B198" s="52"/>
      <c r="C198" s="39" t="s">
        <v>431</v>
      </c>
      <c r="D198" s="39" t="s">
        <v>432</v>
      </c>
    </row>
    <row r="199" spans="1:4" x14ac:dyDescent="0.2">
      <c r="A199" s="103"/>
      <c r="B199" s="52"/>
      <c r="C199" s="39" t="s">
        <v>433</v>
      </c>
      <c r="D199" s="39" t="s">
        <v>434</v>
      </c>
    </row>
    <row r="200" spans="1:4" x14ac:dyDescent="0.2">
      <c r="A200" s="103"/>
      <c r="B200" s="52"/>
      <c r="C200" s="39" t="s">
        <v>314</v>
      </c>
      <c r="D200" s="39" t="s">
        <v>314</v>
      </c>
    </row>
    <row r="201" spans="1:4" x14ac:dyDescent="0.2">
      <c r="A201" s="105"/>
      <c r="B201" s="53"/>
      <c r="C201" s="39" t="s">
        <v>410</v>
      </c>
      <c r="D201" s="39" t="s">
        <v>435</v>
      </c>
    </row>
    <row r="202" spans="1:4" x14ac:dyDescent="0.2">
      <c r="A202" s="107"/>
      <c r="B202" s="107" t="s">
        <v>83</v>
      </c>
      <c r="C202" s="17" t="s">
        <v>436</v>
      </c>
      <c r="D202" s="17"/>
    </row>
    <row r="203" spans="1:4" x14ac:dyDescent="0.2">
      <c r="A203" s="108"/>
      <c r="B203" s="108"/>
      <c r="C203" s="17" t="s">
        <v>437</v>
      </c>
      <c r="D203" s="17"/>
    </row>
    <row r="204" spans="1:4" x14ac:dyDescent="0.2">
      <c r="A204" s="108"/>
      <c r="B204" s="108"/>
      <c r="C204" s="17" t="s">
        <v>438</v>
      </c>
      <c r="D204" s="17"/>
    </row>
    <row r="205" spans="1:4" x14ac:dyDescent="0.2">
      <c r="A205" s="108"/>
      <c r="B205" s="108"/>
      <c r="C205" s="17" t="s">
        <v>439</v>
      </c>
      <c r="D205" s="17"/>
    </row>
    <row r="206" spans="1:4" x14ac:dyDescent="0.2">
      <c r="A206" s="108"/>
      <c r="B206" s="108"/>
      <c r="C206" s="17" t="s">
        <v>440</v>
      </c>
      <c r="D206" s="17"/>
    </row>
    <row r="207" spans="1:4" x14ac:dyDescent="0.2">
      <c r="A207" s="108"/>
      <c r="B207" s="108"/>
      <c r="C207" s="17" t="s">
        <v>441</v>
      </c>
      <c r="D207" s="17"/>
    </row>
    <row r="208" spans="1:4" x14ac:dyDescent="0.2">
      <c r="A208" s="108"/>
      <c r="B208" s="108"/>
      <c r="C208" s="17" t="s">
        <v>442</v>
      </c>
      <c r="D208" s="17"/>
    </row>
    <row r="209" spans="1:5" x14ac:dyDescent="0.2">
      <c r="A209" s="108"/>
      <c r="B209" s="108"/>
      <c r="C209" s="17" t="s">
        <v>443</v>
      </c>
      <c r="D209" s="17"/>
    </row>
    <row r="210" spans="1:5" x14ac:dyDescent="0.2">
      <c r="A210" s="108"/>
      <c r="B210" s="108"/>
      <c r="C210" s="17" t="s">
        <v>444</v>
      </c>
      <c r="D210" s="17"/>
    </row>
    <row r="211" spans="1:5" x14ac:dyDescent="0.2">
      <c r="A211" s="108"/>
      <c r="B211" s="108"/>
      <c r="C211" s="17" t="s">
        <v>445</v>
      </c>
      <c r="D211" s="17"/>
    </row>
    <row r="212" spans="1:5" x14ac:dyDescent="0.2">
      <c r="A212" s="108"/>
      <c r="B212" s="108"/>
      <c r="C212" s="17" t="s">
        <v>446</v>
      </c>
      <c r="D212" s="17"/>
    </row>
    <row r="213" spans="1:5" x14ac:dyDescent="0.2">
      <c r="A213" s="108"/>
      <c r="B213" s="108"/>
      <c r="C213" s="17" t="s">
        <v>447</v>
      </c>
      <c r="D213" s="17"/>
    </row>
    <row r="214" spans="1:5" x14ac:dyDescent="0.2">
      <c r="A214" s="108"/>
      <c r="B214" s="108"/>
      <c r="C214" s="17" t="s">
        <v>448</v>
      </c>
      <c r="D214" s="17"/>
    </row>
    <row r="215" spans="1:5" x14ac:dyDescent="0.2">
      <c r="A215" s="108"/>
      <c r="B215" s="108"/>
      <c r="C215" s="17" t="s">
        <v>449</v>
      </c>
      <c r="D215" s="17"/>
    </row>
    <row r="216" spans="1:5" x14ac:dyDescent="0.2">
      <c r="A216" s="108"/>
      <c r="B216" s="108"/>
      <c r="C216" s="17" t="s">
        <v>450</v>
      </c>
      <c r="D216" s="17"/>
    </row>
    <row r="217" spans="1:5" x14ac:dyDescent="0.2">
      <c r="A217" s="108"/>
      <c r="B217" s="108"/>
      <c r="C217" s="17" t="s">
        <v>451</v>
      </c>
      <c r="D217" s="17"/>
    </row>
    <row r="218" spans="1:5" x14ac:dyDescent="0.2">
      <c r="A218" s="108"/>
      <c r="B218" s="108"/>
      <c r="C218" s="17" t="s">
        <v>452</v>
      </c>
      <c r="D218" s="17" t="s">
        <v>453</v>
      </c>
      <c r="E218" t="s">
        <v>214</v>
      </c>
    </row>
    <row r="219" spans="1:5" x14ac:dyDescent="0.2">
      <c r="A219" s="108"/>
      <c r="B219" s="108"/>
      <c r="C219" s="17" t="s">
        <v>454</v>
      </c>
      <c r="D219" s="17"/>
    </row>
    <row r="220" spans="1:5" x14ac:dyDescent="0.2">
      <c r="A220" s="108"/>
      <c r="B220" s="108"/>
      <c r="C220" s="17" t="s">
        <v>455</v>
      </c>
      <c r="D220" s="17"/>
    </row>
    <row r="221" spans="1:5" x14ac:dyDescent="0.2">
      <c r="A221" s="108"/>
      <c r="B221" s="108"/>
      <c r="C221" s="17" t="s">
        <v>456</v>
      </c>
      <c r="D221" s="17"/>
    </row>
    <row r="222" spans="1:5" x14ac:dyDescent="0.2">
      <c r="A222" s="108"/>
      <c r="B222" s="108"/>
      <c r="C222" s="17" t="s">
        <v>457</v>
      </c>
      <c r="D222" s="17"/>
    </row>
    <row r="223" spans="1:5" x14ac:dyDescent="0.2">
      <c r="A223" s="108"/>
      <c r="B223" s="108"/>
      <c r="C223" s="17" t="s">
        <v>458</v>
      </c>
      <c r="D223" s="17"/>
    </row>
    <row r="224" spans="1:5" x14ac:dyDescent="0.2">
      <c r="A224" s="108"/>
      <c r="B224" s="108"/>
      <c r="C224" s="17" t="s">
        <v>459</v>
      </c>
      <c r="D224" s="17"/>
    </row>
    <row r="225" spans="1:4" x14ac:dyDescent="0.2">
      <c r="A225" s="108"/>
      <c r="B225" s="108"/>
      <c r="C225" s="17" t="s">
        <v>460</v>
      </c>
      <c r="D225" s="17"/>
    </row>
    <row r="226" spans="1:4" x14ac:dyDescent="0.2">
      <c r="A226" s="108"/>
      <c r="B226" s="108"/>
      <c r="C226" s="17" t="s">
        <v>461</v>
      </c>
      <c r="D226" s="17"/>
    </row>
    <row r="227" spans="1:4" x14ac:dyDescent="0.2">
      <c r="A227" s="108"/>
      <c r="B227" s="108"/>
      <c r="C227" s="17" t="s">
        <v>462</v>
      </c>
      <c r="D227" s="17"/>
    </row>
    <row r="228" spans="1:4" x14ac:dyDescent="0.2">
      <c r="A228" s="108"/>
      <c r="B228" s="108"/>
      <c r="C228" s="17" t="s">
        <v>463</v>
      </c>
      <c r="D228" s="17"/>
    </row>
    <row r="229" spans="1:4" x14ac:dyDescent="0.2">
      <c r="A229" s="108"/>
      <c r="B229" s="108"/>
      <c r="C229" s="17" t="s">
        <v>464</v>
      </c>
      <c r="D229" s="17"/>
    </row>
    <row r="230" spans="1:4" x14ac:dyDescent="0.2">
      <c r="A230" s="108"/>
      <c r="B230" s="108"/>
      <c r="C230" s="17" t="s">
        <v>465</v>
      </c>
      <c r="D230" s="17"/>
    </row>
    <row r="231" spans="1:4" x14ac:dyDescent="0.2">
      <c r="A231" s="108"/>
      <c r="B231" s="108"/>
      <c r="C231" s="17" t="s">
        <v>466</v>
      </c>
      <c r="D231" s="17"/>
    </row>
    <row r="232" spans="1:4" x14ac:dyDescent="0.2">
      <c r="A232" s="108"/>
      <c r="B232" s="108"/>
      <c r="C232" s="17" t="s">
        <v>467</v>
      </c>
      <c r="D232" s="17"/>
    </row>
    <row r="233" spans="1:4" x14ac:dyDescent="0.2">
      <c r="A233" s="108"/>
      <c r="B233" s="108"/>
      <c r="C233" s="17" t="s">
        <v>468</v>
      </c>
      <c r="D233" s="17"/>
    </row>
    <row r="234" spans="1:4" x14ac:dyDescent="0.2">
      <c r="A234" s="108"/>
      <c r="B234" s="108"/>
      <c r="C234" s="17" t="s">
        <v>469</v>
      </c>
      <c r="D234" s="17"/>
    </row>
    <row r="235" spans="1:4" x14ac:dyDescent="0.2">
      <c r="A235" s="108"/>
      <c r="B235" s="108"/>
      <c r="C235" s="17" t="s">
        <v>470</v>
      </c>
      <c r="D235" s="17"/>
    </row>
    <row r="236" spans="1:4" x14ac:dyDescent="0.2">
      <c r="A236" s="108"/>
      <c r="B236" s="108"/>
      <c r="C236" s="17" t="s">
        <v>471</v>
      </c>
      <c r="D236" s="17"/>
    </row>
    <row r="237" spans="1:4" x14ac:dyDescent="0.2">
      <c r="A237" s="108"/>
      <c r="B237" s="108"/>
      <c r="C237" s="17" t="s">
        <v>472</v>
      </c>
      <c r="D237" s="17"/>
    </row>
    <row r="238" spans="1:4" x14ac:dyDescent="0.2">
      <c r="A238" s="108"/>
      <c r="B238" s="108"/>
      <c r="C238" s="17" t="s">
        <v>24</v>
      </c>
      <c r="D238" s="17"/>
    </row>
    <row r="239" spans="1:4" x14ac:dyDescent="0.2">
      <c r="A239" s="108"/>
      <c r="B239" s="108"/>
      <c r="C239" s="17" t="s">
        <v>473</v>
      </c>
      <c r="D239" s="17"/>
    </row>
    <row r="240" spans="1:4" x14ac:dyDescent="0.2">
      <c r="A240" s="108"/>
      <c r="B240" s="108"/>
      <c r="C240" s="17" t="s">
        <v>474</v>
      </c>
      <c r="D240" s="17"/>
    </row>
    <row r="241" spans="1:4" x14ac:dyDescent="0.2">
      <c r="A241" s="108"/>
      <c r="B241" s="108"/>
      <c r="C241" s="17" t="s">
        <v>475</v>
      </c>
      <c r="D241" s="17"/>
    </row>
    <row r="242" spans="1:4" x14ac:dyDescent="0.2">
      <c r="A242" s="108"/>
      <c r="B242" s="108"/>
      <c r="C242" s="17" t="s">
        <v>476</v>
      </c>
      <c r="D242" s="17"/>
    </row>
    <row r="243" spans="1:4" x14ac:dyDescent="0.2">
      <c r="A243" s="108"/>
      <c r="B243" s="108"/>
      <c r="C243" s="17" t="s">
        <v>477</v>
      </c>
      <c r="D243" s="17"/>
    </row>
    <row r="244" spans="1:4" x14ac:dyDescent="0.2">
      <c r="A244" s="108"/>
      <c r="B244" s="108"/>
      <c r="C244" s="17" t="s">
        <v>478</v>
      </c>
      <c r="D244" s="17"/>
    </row>
    <row r="245" spans="1:4" x14ac:dyDescent="0.2">
      <c r="A245" s="108"/>
      <c r="B245" s="108"/>
      <c r="C245" s="17" t="s">
        <v>479</v>
      </c>
      <c r="D245" s="17"/>
    </row>
    <row r="246" spans="1:4" x14ac:dyDescent="0.2">
      <c r="A246" s="108"/>
      <c r="B246" s="108"/>
      <c r="C246" s="17" t="s">
        <v>480</v>
      </c>
      <c r="D246" s="17"/>
    </row>
    <row r="247" spans="1:4" x14ac:dyDescent="0.2">
      <c r="A247" s="108"/>
      <c r="B247" s="108"/>
      <c r="C247" s="17" t="s">
        <v>481</v>
      </c>
      <c r="D247" s="17"/>
    </row>
    <row r="248" spans="1:4" x14ac:dyDescent="0.2">
      <c r="A248" s="108"/>
      <c r="B248" s="108"/>
      <c r="C248" s="17" t="s">
        <v>482</v>
      </c>
      <c r="D248" s="17"/>
    </row>
    <row r="249" spans="1:4" x14ac:dyDescent="0.2">
      <c r="A249" s="108"/>
      <c r="B249" s="108"/>
      <c r="C249" s="17" t="s">
        <v>483</v>
      </c>
      <c r="D249" s="17"/>
    </row>
    <row r="250" spans="1:4" x14ac:dyDescent="0.2">
      <c r="A250" s="108"/>
      <c r="B250" s="108"/>
      <c r="C250" s="17" t="s">
        <v>484</v>
      </c>
      <c r="D250" s="17"/>
    </row>
    <row r="251" spans="1:4" x14ac:dyDescent="0.2">
      <c r="A251" s="108"/>
      <c r="B251" s="108"/>
      <c r="C251" s="17" t="s">
        <v>485</v>
      </c>
      <c r="D251" s="17"/>
    </row>
    <row r="252" spans="1:4" x14ac:dyDescent="0.2">
      <c r="A252" s="108"/>
      <c r="B252" s="108"/>
      <c r="C252" s="17" t="s">
        <v>314</v>
      </c>
      <c r="D252" s="17"/>
    </row>
    <row r="253" spans="1:4" x14ac:dyDescent="0.2">
      <c r="A253" s="108"/>
      <c r="B253" s="108"/>
      <c r="C253" s="17" t="s">
        <v>486</v>
      </c>
      <c r="D253" s="17"/>
    </row>
    <row r="254" spans="1:4" x14ac:dyDescent="0.2">
      <c r="A254" s="108"/>
      <c r="B254" s="108"/>
      <c r="C254" s="17" t="s">
        <v>487</v>
      </c>
      <c r="D254" s="17"/>
    </row>
    <row r="255" spans="1:4" x14ac:dyDescent="0.2">
      <c r="A255" s="108"/>
      <c r="B255" s="108"/>
      <c r="C255" s="17" t="s">
        <v>488</v>
      </c>
      <c r="D255" s="17"/>
    </row>
    <row r="256" spans="1:4" x14ac:dyDescent="0.2">
      <c r="A256" s="108"/>
      <c r="B256" s="108"/>
      <c r="C256" s="17" t="s">
        <v>489</v>
      </c>
      <c r="D256" s="17"/>
    </row>
    <row r="257" spans="1:5" x14ac:dyDescent="0.2">
      <c r="A257" s="108"/>
      <c r="B257" s="108"/>
      <c r="C257" s="17" t="s">
        <v>490</v>
      </c>
      <c r="D257" s="17"/>
    </row>
    <row r="258" spans="1:5" x14ac:dyDescent="0.2">
      <c r="A258" s="108"/>
      <c r="B258" s="108"/>
      <c r="C258" s="17" t="s">
        <v>491</v>
      </c>
      <c r="D258" s="17"/>
    </row>
    <row r="259" spans="1:5" x14ac:dyDescent="0.2">
      <c r="A259" s="108"/>
      <c r="B259" s="108"/>
      <c r="C259" s="17" t="s">
        <v>492</v>
      </c>
      <c r="D259" s="17"/>
    </row>
    <row r="260" spans="1:5" x14ac:dyDescent="0.2">
      <c r="A260" s="108"/>
      <c r="B260" s="108"/>
      <c r="C260" s="17" t="s">
        <v>493</v>
      </c>
      <c r="D260" s="17"/>
    </row>
    <row r="261" spans="1:5" x14ac:dyDescent="0.2">
      <c r="A261" s="108"/>
      <c r="B261" s="108"/>
      <c r="C261" s="17" t="s">
        <v>494</v>
      </c>
      <c r="D261" s="17"/>
    </row>
    <row r="262" spans="1:5" x14ac:dyDescent="0.2">
      <c r="A262" s="108"/>
      <c r="B262" s="108"/>
      <c r="C262" s="17" t="s">
        <v>495</v>
      </c>
      <c r="D262" s="17"/>
    </row>
    <row r="263" spans="1:5" x14ac:dyDescent="0.2">
      <c r="A263" s="108"/>
      <c r="B263" s="108"/>
      <c r="C263" s="17" t="s">
        <v>496</v>
      </c>
      <c r="D263" s="17"/>
    </row>
    <row r="264" spans="1:5" x14ac:dyDescent="0.2">
      <c r="A264" s="108"/>
      <c r="B264" s="108"/>
      <c r="C264" s="17" t="s">
        <v>497</v>
      </c>
      <c r="D264" s="17"/>
    </row>
    <row r="265" spans="1:5" x14ac:dyDescent="0.2">
      <c r="A265" s="108"/>
      <c r="B265" s="108"/>
      <c r="C265" s="17" t="s">
        <v>498</v>
      </c>
      <c r="D265" s="17"/>
    </row>
    <row r="266" spans="1:5" x14ac:dyDescent="0.2">
      <c r="A266" s="108"/>
      <c r="B266" s="108"/>
      <c r="C266" s="17" t="s">
        <v>499</v>
      </c>
      <c r="D266" s="17"/>
    </row>
    <row r="267" spans="1:5" x14ac:dyDescent="0.2">
      <c r="A267" s="108"/>
      <c r="B267" s="108"/>
      <c r="C267" s="17" t="s">
        <v>500</v>
      </c>
      <c r="D267" s="17"/>
    </row>
    <row r="268" spans="1:5" x14ac:dyDescent="0.2">
      <c r="A268" s="108"/>
      <c r="B268" s="108"/>
      <c r="C268" s="17" t="s">
        <v>501</v>
      </c>
      <c r="D268" s="17"/>
    </row>
    <row r="269" spans="1:5" x14ac:dyDescent="0.2">
      <c r="A269" s="108"/>
      <c r="B269" s="108"/>
      <c r="C269" s="17" t="s">
        <v>502</v>
      </c>
      <c r="D269" s="17"/>
    </row>
    <row r="270" spans="1:5" x14ac:dyDescent="0.2">
      <c r="A270" s="108"/>
      <c r="B270" s="108"/>
      <c r="C270" s="17" t="s">
        <v>503</v>
      </c>
      <c r="D270" s="17" t="s">
        <v>504</v>
      </c>
      <c r="E270" t="s">
        <v>214</v>
      </c>
    </row>
    <row r="271" spans="1:5" x14ac:dyDescent="0.2">
      <c r="A271" s="108"/>
      <c r="B271" s="108"/>
      <c r="C271" s="17" t="s">
        <v>505</v>
      </c>
      <c r="D271" s="17" t="s">
        <v>506</v>
      </c>
      <c r="E271" t="s">
        <v>214</v>
      </c>
    </row>
    <row r="272" spans="1:5" x14ac:dyDescent="0.2">
      <c r="A272" s="108"/>
      <c r="B272" s="108"/>
      <c r="C272" s="17" t="s">
        <v>507</v>
      </c>
      <c r="D272" s="17" t="s">
        <v>508</v>
      </c>
      <c r="E272" t="s">
        <v>214</v>
      </c>
    </row>
    <row r="273" spans="1:5" x14ac:dyDescent="0.2">
      <c r="A273" s="108"/>
      <c r="B273" s="108"/>
      <c r="C273" s="17" t="s">
        <v>509</v>
      </c>
      <c r="D273" s="17"/>
    </row>
    <row r="274" spans="1:5" x14ac:dyDescent="0.2">
      <c r="A274" s="108"/>
      <c r="B274" s="108"/>
      <c r="C274" s="17" t="s">
        <v>510</v>
      </c>
      <c r="D274" s="17" t="s">
        <v>511</v>
      </c>
      <c r="E274" t="s">
        <v>214</v>
      </c>
    </row>
    <row r="275" spans="1:5" x14ac:dyDescent="0.2">
      <c r="A275" s="108"/>
      <c r="B275" s="108"/>
      <c r="C275" s="17" t="s">
        <v>512</v>
      </c>
      <c r="D275" s="17"/>
    </row>
    <row r="276" spans="1:5" x14ac:dyDescent="0.2">
      <c r="A276" s="108"/>
      <c r="B276" s="108"/>
      <c r="C276" s="17" t="s">
        <v>513</v>
      </c>
      <c r="D276" s="17"/>
    </row>
    <row r="277" spans="1:5" x14ac:dyDescent="0.2">
      <c r="A277" s="108"/>
      <c r="B277" s="108"/>
      <c r="C277" s="17" t="s">
        <v>514</v>
      </c>
      <c r="D277" s="17"/>
    </row>
    <row r="278" spans="1:5" x14ac:dyDescent="0.2">
      <c r="A278" s="108"/>
      <c r="B278" s="108"/>
      <c r="C278" s="17" t="s">
        <v>515</v>
      </c>
      <c r="D278" s="17"/>
    </row>
    <row r="279" spans="1:5" x14ac:dyDescent="0.2">
      <c r="A279" s="108"/>
      <c r="B279" s="108"/>
      <c r="C279" s="17" t="s">
        <v>516</v>
      </c>
      <c r="D279" s="17"/>
    </row>
    <row r="280" spans="1:5" x14ac:dyDescent="0.2">
      <c r="A280" s="108"/>
      <c r="B280" s="108"/>
      <c r="C280" s="17" t="s">
        <v>517</v>
      </c>
      <c r="D280" s="17"/>
    </row>
    <row r="281" spans="1:5" x14ac:dyDescent="0.2">
      <c r="A281" s="108"/>
      <c r="B281" s="108"/>
      <c r="C281" s="17" t="s">
        <v>518</v>
      </c>
      <c r="D281" s="17"/>
    </row>
    <row r="282" spans="1:5" x14ac:dyDescent="0.2">
      <c r="A282" s="108"/>
      <c r="B282" s="108"/>
      <c r="C282" s="17" t="s">
        <v>519</v>
      </c>
      <c r="D282" s="17" t="s">
        <v>520</v>
      </c>
      <c r="E282" t="s">
        <v>214</v>
      </c>
    </row>
    <row r="283" spans="1:5" x14ac:dyDescent="0.2">
      <c r="A283" s="108"/>
      <c r="B283" s="108"/>
      <c r="C283" s="17" t="s">
        <v>521</v>
      </c>
      <c r="D283" s="17"/>
    </row>
    <row r="284" spans="1:5" x14ac:dyDescent="0.2">
      <c r="A284" s="108"/>
      <c r="B284" s="108"/>
      <c r="C284" s="17" t="s">
        <v>522</v>
      </c>
      <c r="D284" s="17" t="s">
        <v>523</v>
      </c>
      <c r="E284" t="s">
        <v>214</v>
      </c>
    </row>
    <row r="285" spans="1:5" x14ac:dyDescent="0.2">
      <c r="A285" s="108"/>
      <c r="B285" s="108"/>
      <c r="C285" s="17" t="s">
        <v>524</v>
      </c>
      <c r="D285" s="17"/>
    </row>
    <row r="286" spans="1:5" x14ac:dyDescent="0.2">
      <c r="A286" s="108"/>
      <c r="B286" s="108"/>
      <c r="C286" s="17" t="s">
        <v>525</v>
      </c>
      <c r="D286" s="17"/>
    </row>
    <row r="287" spans="1:5" x14ac:dyDescent="0.2">
      <c r="A287" s="108"/>
      <c r="B287" s="108"/>
      <c r="C287" s="17" t="s">
        <v>526</v>
      </c>
      <c r="D287" s="17"/>
    </row>
    <row r="288" spans="1:5" x14ac:dyDescent="0.2">
      <c r="A288" s="108"/>
      <c r="B288" s="108"/>
      <c r="C288" s="17" t="s">
        <v>527</v>
      </c>
      <c r="D288" s="17"/>
    </row>
    <row r="289" spans="1:5" x14ac:dyDescent="0.2">
      <c r="A289" s="108"/>
      <c r="B289" s="108"/>
      <c r="C289" s="17" t="s">
        <v>528</v>
      </c>
      <c r="D289" s="17" t="s">
        <v>529</v>
      </c>
      <c r="E289" t="s">
        <v>214</v>
      </c>
    </row>
    <row r="290" spans="1:5" x14ac:dyDescent="0.2">
      <c r="A290" s="108"/>
      <c r="B290" s="108"/>
      <c r="C290" s="17" t="s">
        <v>530</v>
      </c>
      <c r="D290" s="17"/>
    </row>
    <row r="291" spans="1:5" x14ac:dyDescent="0.2">
      <c r="A291" s="108"/>
      <c r="B291" s="108"/>
      <c r="C291" s="17" t="s">
        <v>531</v>
      </c>
      <c r="D291" s="17"/>
    </row>
    <row r="292" spans="1:5" x14ac:dyDescent="0.2">
      <c r="A292" s="108"/>
      <c r="B292" s="108"/>
      <c r="C292" s="17" t="s">
        <v>532</v>
      </c>
      <c r="D292" s="17"/>
    </row>
    <row r="293" spans="1:5" x14ac:dyDescent="0.2">
      <c r="A293" s="108"/>
      <c r="B293" s="108"/>
      <c r="C293" s="17" t="s">
        <v>533</v>
      </c>
      <c r="D293" s="17"/>
    </row>
    <row r="294" spans="1:5" x14ac:dyDescent="0.2">
      <c r="A294" s="108"/>
      <c r="B294" s="108"/>
      <c r="C294" s="17" t="s">
        <v>534</v>
      </c>
      <c r="D294" s="17"/>
    </row>
    <row r="295" spans="1:5" x14ac:dyDescent="0.2">
      <c r="A295" s="108"/>
      <c r="B295" s="108"/>
      <c r="C295" s="17" t="s">
        <v>535</v>
      </c>
      <c r="D295" s="17"/>
    </row>
    <row r="296" spans="1:5" x14ac:dyDescent="0.2">
      <c r="A296" s="108"/>
      <c r="B296" s="108"/>
      <c r="C296" s="17" t="s">
        <v>536</v>
      </c>
      <c r="D296" s="17"/>
    </row>
    <row r="297" spans="1:5" x14ac:dyDescent="0.2">
      <c r="A297" s="108"/>
      <c r="B297" s="108"/>
      <c r="C297" s="17" t="s">
        <v>537</v>
      </c>
      <c r="D297" s="17" t="s">
        <v>538</v>
      </c>
      <c r="E297" t="s">
        <v>214</v>
      </c>
    </row>
    <row r="298" spans="1:5" x14ac:dyDescent="0.2">
      <c r="A298" s="108"/>
      <c r="B298" s="108"/>
      <c r="C298" s="17" t="s">
        <v>539</v>
      </c>
      <c r="D298" s="17"/>
    </row>
    <row r="299" spans="1:5" x14ac:dyDescent="0.2">
      <c r="A299" s="108"/>
      <c r="B299" s="108"/>
      <c r="C299" s="17" t="s">
        <v>540</v>
      </c>
      <c r="D299" s="17"/>
    </row>
    <row r="300" spans="1:5" x14ac:dyDescent="0.2">
      <c r="A300" s="108"/>
      <c r="B300" s="108"/>
      <c r="C300" s="17" t="s">
        <v>541</v>
      </c>
      <c r="D300" s="17"/>
      <c r="E300" t="s">
        <v>214</v>
      </c>
    </row>
    <row r="301" spans="1:5" x14ac:dyDescent="0.2">
      <c r="A301" s="108"/>
      <c r="B301" s="108"/>
      <c r="C301" s="17" t="s">
        <v>542</v>
      </c>
      <c r="D301" s="17"/>
    </row>
    <row r="302" spans="1:5" x14ac:dyDescent="0.2">
      <c r="A302" s="108"/>
      <c r="B302" s="108"/>
      <c r="C302" s="17" t="s">
        <v>543</v>
      </c>
      <c r="D302" s="17"/>
    </row>
    <row r="303" spans="1:5" x14ac:dyDescent="0.2">
      <c r="A303" s="108"/>
      <c r="B303" s="108"/>
      <c r="C303" s="17" t="s">
        <v>544</v>
      </c>
      <c r="D303" s="17"/>
    </row>
    <row r="304" spans="1:5" x14ac:dyDescent="0.2">
      <c r="A304" s="108"/>
      <c r="B304" s="108"/>
      <c r="C304" s="17" t="s">
        <v>545</v>
      </c>
      <c r="D304" s="17"/>
    </row>
    <row r="305" spans="1:5" x14ac:dyDescent="0.2">
      <c r="A305" s="108"/>
      <c r="B305" s="108"/>
      <c r="C305" s="17" t="s">
        <v>546</v>
      </c>
      <c r="D305" s="17"/>
    </row>
    <row r="306" spans="1:5" x14ac:dyDescent="0.2">
      <c r="A306" s="108"/>
      <c r="B306" s="108"/>
      <c r="C306" s="17" t="s">
        <v>547</v>
      </c>
      <c r="D306" s="17"/>
    </row>
    <row r="307" spans="1:5" x14ac:dyDescent="0.2">
      <c r="A307" s="108"/>
      <c r="B307" s="108"/>
      <c r="C307" s="17" t="s">
        <v>548</v>
      </c>
      <c r="D307" s="17"/>
    </row>
    <row r="308" spans="1:5" x14ac:dyDescent="0.2">
      <c r="A308" s="108"/>
      <c r="B308" s="108"/>
      <c r="C308" s="17" t="s">
        <v>549</v>
      </c>
      <c r="D308" s="17"/>
    </row>
    <row r="309" spans="1:5" x14ac:dyDescent="0.2">
      <c r="A309" s="108"/>
      <c r="B309" s="108"/>
      <c r="C309" s="17" t="s">
        <v>550</v>
      </c>
      <c r="D309" s="17"/>
    </row>
    <row r="310" spans="1:5" x14ac:dyDescent="0.2">
      <c r="A310" s="108"/>
      <c r="B310" s="108"/>
      <c r="C310" s="17" t="s">
        <v>551</v>
      </c>
      <c r="D310" s="17"/>
      <c r="E310" t="s">
        <v>214</v>
      </c>
    </row>
    <row r="311" spans="1:5" x14ac:dyDescent="0.2">
      <c r="A311" s="108"/>
      <c r="B311" s="108"/>
      <c r="C311" s="17" t="s">
        <v>552</v>
      </c>
      <c r="D311" s="17"/>
      <c r="E311" t="s">
        <v>214</v>
      </c>
    </row>
    <row r="312" spans="1:5" x14ac:dyDescent="0.2">
      <c r="A312" s="108"/>
      <c r="B312" s="108"/>
      <c r="C312" s="17" t="s">
        <v>553</v>
      </c>
      <c r="D312" s="17"/>
      <c r="E312" t="s">
        <v>214</v>
      </c>
    </row>
    <row r="313" spans="1:5" x14ac:dyDescent="0.2">
      <c r="A313" s="108"/>
      <c r="B313" s="108"/>
      <c r="C313" s="17" t="s">
        <v>554</v>
      </c>
      <c r="D313" s="17"/>
    </row>
    <row r="314" spans="1:5" x14ac:dyDescent="0.2">
      <c r="A314" s="108"/>
      <c r="B314" s="108"/>
      <c r="C314" s="17" t="s">
        <v>555</v>
      </c>
      <c r="D314" s="17"/>
    </row>
    <row r="315" spans="1:5" x14ac:dyDescent="0.2">
      <c r="A315" s="108"/>
      <c r="B315" s="108"/>
      <c r="C315" s="17" t="s">
        <v>556</v>
      </c>
      <c r="D315" s="17"/>
    </row>
    <row r="316" spans="1:5" x14ac:dyDescent="0.2">
      <c r="A316" s="108"/>
      <c r="B316" s="108"/>
      <c r="C316" s="17" t="s">
        <v>557</v>
      </c>
      <c r="D316" s="17"/>
    </row>
    <row r="317" spans="1:5" x14ac:dyDescent="0.2">
      <c r="A317" s="108"/>
      <c r="B317" s="108"/>
      <c r="C317" s="17" t="s">
        <v>558</v>
      </c>
      <c r="D317" s="17"/>
    </row>
    <row r="318" spans="1:5" x14ac:dyDescent="0.2">
      <c r="A318" s="108"/>
      <c r="B318" s="108"/>
      <c r="C318" s="17" t="s">
        <v>559</v>
      </c>
      <c r="D318" s="93" t="s">
        <v>560</v>
      </c>
      <c r="E318" t="s">
        <v>214</v>
      </c>
    </row>
    <row r="319" spans="1:5" x14ac:dyDescent="0.2">
      <c r="A319" s="108"/>
      <c r="B319" s="108"/>
      <c r="C319" s="17" t="s">
        <v>561</v>
      </c>
      <c r="D319" s="17"/>
    </row>
    <row r="320" spans="1:5" x14ac:dyDescent="0.2">
      <c r="A320" s="108"/>
      <c r="B320" s="108"/>
      <c r="C320" s="17" t="s">
        <v>562</v>
      </c>
      <c r="D320" s="17"/>
    </row>
    <row r="321" spans="1:5" x14ac:dyDescent="0.2">
      <c r="A321" s="108"/>
      <c r="B321" s="108"/>
      <c r="C321" s="17" t="s">
        <v>563</v>
      </c>
      <c r="D321" s="17"/>
    </row>
    <row r="322" spans="1:5" x14ac:dyDescent="0.2">
      <c r="A322" s="108"/>
      <c r="B322" s="108"/>
      <c r="C322" s="17" t="s">
        <v>564</v>
      </c>
      <c r="D322" s="17"/>
    </row>
    <row r="323" spans="1:5" x14ac:dyDescent="0.2">
      <c r="A323" s="108"/>
      <c r="B323" s="108"/>
      <c r="C323" s="17" t="s">
        <v>565</v>
      </c>
      <c r="D323" s="17"/>
    </row>
    <row r="324" spans="1:5" x14ac:dyDescent="0.2">
      <c r="A324" s="108"/>
      <c r="B324" s="108"/>
      <c r="C324" s="17" t="s">
        <v>566</v>
      </c>
      <c r="D324" s="17"/>
    </row>
    <row r="325" spans="1:5" x14ac:dyDescent="0.2">
      <c r="A325" s="108"/>
      <c r="B325" s="108"/>
      <c r="C325" s="17" t="s">
        <v>567</v>
      </c>
      <c r="D325" s="17"/>
    </row>
    <row r="326" spans="1:5" x14ac:dyDescent="0.2">
      <c r="A326" s="108"/>
      <c r="B326" s="108"/>
      <c r="C326" s="17" t="s">
        <v>568</v>
      </c>
      <c r="D326" s="17"/>
    </row>
    <row r="327" spans="1:5" x14ac:dyDescent="0.2">
      <c r="A327" s="108"/>
      <c r="B327" s="108"/>
      <c r="C327" s="17" t="s">
        <v>569</v>
      </c>
      <c r="D327" s="17"/>
    </row>
    <row r="328" spans="1:5" x14ac:dyDescent="0.2">
      <c r="A328" s="102"/>
      <c r="B328" s="109" t="s">
        <v>90</v>
      </c>
      <c r="C328" s="39" t="s">
        <v>570</v>
      </c>
      <c r="D328" s="39"/>
      <c r="E328" t="s">
        <v>214</v>
      </c>
    </row>
    <row r="329" spans="1:5" x14ac:dyDescent="0.2">
      <c r="A329" s="103"/>
      <c r="B329" s="110"/>
      <c r="C329" s="39" t="s">
        <v>571</v>
      </c>
      <c r="D329" s="39"/>
      <c r="E329" t="s">
        <v>214</v>
      </c>
    </row>
    <row r="330" spans="1:5" x14ac:dyDescent="0.2">
      <c r="A330" s="103"/>
      <c r="B330" s="110"/>
      <c r="C330" s="95" t="s">
        <v>572</v>
      </c>
      <c r="D330" s="39"/>
      <c r="E330" t="s">
        <v>214</v>
      </c>
    </row>
    <row r="331" spans="1:5" x14ac:dyDescent="0.2">
      <c r="A331" s="103"/>
      <c r="B331" s="110"/>
      <c r="C331" s="94" t="s">
        <v>573</v>
      </c>
      <c r="D331" s="39"/>
      <c r="E331" t="s">
        <v>214</v>
      </c>
    </row>
    <row r="332" spans="1:5" x14ac:dyDescent="0.2">
      <c r="A332" s="103"/>
      <c r="B332" s="110"/>
      <c r="C332" s="94" t="s">
        <v>574</v>
      </c>
      <c r="D332" s="39"/>
      <c r="E332" t="s">
        <v>214</v>
      </c>
    </row>
    <row r="333" spans="1:5" x14ac:dyDescent="0.2">
      <c r="A333" s="103"/>
      <c r="B333" s="110"/>
      <c r="C333" s="94" t="s">
        <v>575</v>
      </c>
      <c r="D333" s="39"/>
      <c r="E333" t="s">
        <v>214</v>
      </c>
    </row>
    <row r="334" spans="1:5" x14ac:dyDescent="0.2">
      <c r="A334" s="103"/>
      <c r="B334" s="110"/>
      <c r="C334" s="94" t="s">
        <v>576</v>
      </c>
      <c r="D334" s="39"/>
      <c r="E334" t="s">
        <v>214</v>
      </c>
    </row>
    <row r="335" spans="1:5" x14ac:dyDescent="0.2">
      <c r="A335" s="103"/>
      <c r="B335" s="110"/>
      <c r="C335" s="39" t="s">
        <v>577</v>
      </c>
      <c r="D335" s="39"/>
      <c r="E335" t="s">
        <v>214</v>
      </c>
    </row>
    <row r="336" spans="1:5" x14ac:dyDescent="0.2">
      <c r="A336" s="103"/>
      <c r="B336" s="110"/>
      <c r="C336" s="39" t="s">
        <v>578</v>
      </c>
      <c r="D336" s="39"/>
      <c r="E336" t="s">
        <v>214</v>
      </c>
    </row>
    <row r="337" spans="1:5" x14ac:dyDescent="0.2">
      <c r="A337" s="103"/>
      <c r="B337" s="110"/>
      <c r="C337" s="39" t="s">
        <v>579</v>
      </c>
      <c r="D337" s="39"/>
      <c r="E337" t="s">
        <v>214</v>
      </c>
    </row>
    <row r="338" spans="1:5" x14ac:dyDescent="0.2">
      <c r="A338" s="103"/>
      <c r="B338" s="110"/>
      <c r="C338" s="39" t="s">
        <v>580</v>
      </c>
      <c r="D338" s="39"/>
      <c r="E338" t="s">
        <v>214</v>
      </c>
    </row>
    <row r="339" spans="1:5" x14ac:dyDescent="0.2">
      <c r="A339" s="103"/>
      <c r="B339" s="110"/>
      <c r="C339" s="39" t="s">
        <v>581</v>
      </c>
      <c r="D339" s="39"/>
      <c r="E339" t="s">
        <v>214</v>
      </c>
    </row>
    <row r="340" spans="1:5" x14ac:dyDescent="0.2">
      <c r="A340" s="103"/>
      <c r="B340" s="110"/>
      <c r="C340" s="39" t="s">
        <v>582</v>
      </c>
      <c r="D340" s="39"/>
      <c r="E340" t="s">
        <v>214</v>
      </c>
    </row>
    <row r="341" spans="1:5" x14ac:dyDescent="0.2">
      <c r="A341" s="103"/>
      <c r="B341" s="110"/>
      <c r="C341" s="39" t="s">
        <v>583</v>
      </c>
      <c r="D341" s="39"/>
      <c r="E341" t="s">
        <v>214</v>
      </c>
    </row>
    <row r="342" spans="1:5" x14ac:dyDescent="0.2">
      <c r="A342" s="103"/>
      <c r="B342" s="110"/>
      <c r="C342" s="39" t="s">
        <v>584</v>
      </c>
      <c r="D342" s="39"/>
      <c r="E342" t="s">
        <v>214</v>
      </c>
    </row>
    <row r="343" spans="1:5" x14ac:dyDescent="0.2">
      <c r="A343" s="103"/>
      <c r="B343" s="110"/>
      <c r="C343" s="39" t="s">
        <v>585</v>
      </c>
      <c r="D343" s="39"/>
      <c r="E343" t="s">
        <v>214</v>
      </c>
    </row>
    <row r="344" spans="1:5" x14ac:dyDescent="0.2">
      <c r="A344" s="103"/>
      <c r="B344" s="110"/>
      <c r="C344" s="39" t="s">
        <v>586</v>
      </c>
      <c r="D344" s="39"/>
      <c r="E344" t="s">
        <v>214</v>
      </c>
    </row>
    <row r="345" spans="1:5" x14ac:dyDescent="0.2">
      <c r="A345" s="103"/>
      <c r="B345" s="110"/>
      <c r="C345" s="39" t="s">
        <v>587</v>
      </c>
      <c r="D345" s="39"/>
      <c r="E345" t="s">
        <v>214</v>
      </c>
    </row>
    <row r="346" spans="1:5" x14ac:dyDescent="0.2">
      <c r="A346" s="103"/>
      <c r="B346" s="110"/>
      <c r="C346" s="39" t="s">
        <v>588</v>
      </c>
      <c r="D346" s="39"/>
      <c r="E346" t="s">
        <v>214</v>
      </c>
    </row>
    <row r="347" spans="1:5" x14ac:dyDescent="0.2">
      <c r="A347" s="103"/>
      <c r="B347" s="110"/>
      <c r="C347" s="39" t="s">
        <v>589</v>
      </c>
      <c r="D347" s="39"/>
      <c r="E347" t="s">
        <v>214</v>
      </c>
    </row>
    <row r="348" spans="1:5" x14ac:dyDescent="0.2">
      <c r="A348" s="103"/>
      <c r="B348" s="110"/>
      <c r="C348" s="39" t="s">
        <v>590</v>
      </c>
      <c r="D348" s="39"/>
      <c r="E348" t="s">
        <v>214</v>
      </c>
    </row>
    <row r="349" spans="1:5" x14ac:dyDescent="0.2">
      <c r="A349" s="103"/>
      <c r="B349" s="110"/>
      <c r="C349" s="39" t="s">
        <v>591</v>
      </c>
      <c r="D349" s="39"/>
      <c r="E349" t="s">
        <v>214</v>
      </c>
    </row>
    <row r="350" spans="1:5" x14ac:dyDescent="0.2">
      <c r="A350" s="103"/>
      <c r="B350" s="110"/>
      <c r="C350" s="39" t="s">
        <v>592</v>
      </c>
      <c r="D350" s="39"/>
      <c r="E350" t="s">
        <v>214</v>
      </c>
    </row>
    <row r="351" spans="1:5" x14ac:dyDescent="0.2">
      <c r="A351" s="103"/>
      <c r="B351" s="110"/>
      <c r="C351" s="39" t="s">
        <v>593</v>
      </c>
      <c r="D351" s="39"/>
      <c r="E351" t="s">
        <v>214</v>
      </c>
    </row>
    <row r="352" spans="1:5" x14ac:dyDescent="0.2">
      <c r="A352" s="103"/>
      <c r="B352" s="110"/>
      <c r="C352" s="39" t="s">
        <v>594</v>
      </c>
      <c r="D352" s="39"/>
      <c r="E352" t="s">
        <v>214</v>
      </c>
    </row>
    <row r="353" spans="1:5" x14ac:dyDescent="0.2">
      <c r="A353" s="103"/>
      <c r="B353" s="110"/>
      <c r="C353" s="39" t="s">
        <v>595</v>
      </c>
      <c r="D353" s="39"/>
      <c r="E353" t="s">
        <v>214</v>
      </c>
    </row>
    <row r="354" spans="1:5" x14ac:dyDescent="0.2">
      <c r="A354" s="103"/>
      <c r="B354" s="110"/>
      <c r="C354" s="39" t="s">
        <v>596</v>
      </c>
      <c r="D354" s="39"/>
      <c r="E354" t="s">
        <v>214</v>
      </c>
    </row>
    <row r="355" spans="1:5" x14ac:dyDescent="0.2">
      <c r="A355" s="103"/>
      <c r="B355" s="110"/>
      <c r="C355" s="39" t="s">
        <v>597</v>
      </c>
      <c r="D355" s="39"/>
      <c r="E355" t="s">
        <v>214</v>
      </c>
    </row>
    <row r="356" spans="1:5" x14ac:dyDescent="0.2">
      <c r="A356" s="103"/>
      <c r="B356" s="110"/>
      <c r="C356" s="39" t="s">
        <v>598</v>
      </c>
      <c r="D356" s="39"/>
      <c r="E356" t="s">
        <v>214</v>
      </c>
    </row>
    <row r="357" spans="1:5" x14ac:dyDescent="0.2">
      <c r="A357" s="103"/>
      <c r="B357" s="110"/>
      <c r="C357" s="39" t="s">
        <v>599</v>
      </c>
      <c r="D357" s="39"/>
      <c r="E357" t="s">
        <v>214</v>
      </c>
    </row>
    <row r="358" spans="1:5" x14ac:dyDescent="0.2">
      <c r="A358" s="103"/>
      <c r="B358" s="110"/>
      <c r="C358" s="39" t="s">
        <v>600</v>
      </c>
      <c r="D358" s="39"/>
      <c r="E358" t="s">
        <v>214</v>
      </c>
    </row>
    <row r="359" spans="1:5" x14ac:dyDescent="0.2">
      <c r="A359" s="103"/>
      <c r="B359" s="110"/>
      <c r="C359" s="39" t="s">
        <v>601</v>
      </c>
      <c r="D359" s="39"/>
      <c r="E359" t="s">
        <v>214</v>
      </c>
    </row>
    <row r="360" spans="1:5" x14ac:dyDescent="0.2">
      <c r="A360" s="103"/>
      <c r="B360" s="110"/>
      <c r="C360" s="39" t="s">
        <v>602</v>
      </c>
      <c r="D360" s="39"/>
      <c r="E360" t="s">
        <v>214</v>
      </c>
    </row>
    <row r="361" spans="1:5" x14ac:dyDescent="0.2">
      <c r="A361" s="103"/>
      <c r="B361" s="110"/>
      <c r="C361" s="39" t="s">
        <v>603</v>
      </c>
      <c r="D361" s="39"/>
      <c r="E361" t="s">
        <v>214</v>
      </c>
    </row>
    <row r="362" spans="1:5" x14ac:dyDescent="0.2">
      <c r="A362" s="103"/>
      <c r="B362" s="110"/>
      <c r="C362" s="39" t="s">
        <v>604</v>
      </c>
      <c r="D362" s="39"/>
      <c r="E362" t="s">
        <v>214</v>
      </c>
    </row>
    <row r="363" spans="1:5" x14ac:dyDescent="0.2">
      <c r="A363" s="103"/>
      <c r="B363" s="110"/>
      <c r="C363" s="39" t="s">
        <v>605</v>
      </c>
      <c r="D363" s="39"/>
      <c r="E363" t="s">
        <v>214</v>
      </c>
    </row>
    <row r="364" spans="1:5" x14ac:dyDescent="0.2">
      <c r="A364" s="103"/>
      <c r="B364" s="110"/>
      <c r="C364" s="39" t="s">
        <v>606</v>
      </c>
      <c r="D364" s="39"/>
      <c r="E364" t="s">
        <v>214</v>
      </c>
    </row>
    <row r="365" spans="1:5" x14ac:dyDescent="0.2">
      <c r="A365" s="103"/>
      <c r="B365" s="110"/>
      <c r="C365" s="39" t="s">
        <v>607</v>
      </c>
      <c r="D365" s="39"/>
      <c r="E365" t="s">
        <v>214</v>
      </c>
    </row>
    <row r="366" spans="1:5" x14ac:dyDescent="0.2">
      <c r="A366" s="103"/>
      <c r="B366" s="110"/>
      <c r="C366" s="39" t="s">
        <v>608</v>
      </c>
      <c r="D366" s="39"/>
      <c r="E366" t="s">
        <v>214</v>
      </c>
    </row>
    <row r="367" spans="1:5" x14ac:dyDescent="0.2">
      <c r="A367" s="103"/>
      <c r="B367" s="110"/>
      <c r="C367" s="39" t="s">
        <v>609</v>
      </c>
      <c r="D367" s="39"/>
      <c r="E367" t="s">
        <v>214</v>
      </c>
    </row>
    <row r="368" spans="1:5" x14ac:dyDescent="0.2">
      <c r="A368" s="103"/>
      <c r="B368" s="110"/>
      <c r="C368" s="39" t="s">
        <v>610</v>
      </c>
      <c r="D368" s="39"/>
      <c r="E368" t="s">
        <v>214</v>
      </c>
    </row>
    <row r="369" spans="1:5" x14ac:dyDescent="0.2">
      <c r="A369" s="103"/>
      <c r="B369" s="110"/>
      <c r="C369" s="39" t="s">
        <v>611</v>
      </c>
      <c r="D369" s="39"/>
      <c r="E369" t="s">
        <v>214</v>
      </c>
    </row>
    <row r="370" spans="1:5" x14ac:dyDescent="0.2">
      <c r="A370" s="103"/>
      <c r="B370" s="110"/>
      <c r="C370" s="39" t="s">
        <v>612</v>
      </c>
      <c r="D370" s="39"/>
      <c r="E370" t="s">
        <v>214</v>
      </c>
    </row>
    <row r="371" spans="1:5" x14ac:dyDescent="0.2">
      <c r="A371" s="103"/>
      <c r="B371" s="110"/>
      <c r="C371" s="39" t="s">
        <v>613</v>
      </c>
      <c r="D371" s="39"/>
      <c r="E371" t="s">
        <v>214</v>
      </c>
    </row>
    <row r="372" spans="1:5" x14ac:dyDescent="0.2">
      <c r="A372" s="103"/>
      <c r="B372" s="110"/>
      <c r="C372" s="39" t="s">
        <v>614</v>
      </c>
      <c r="D372" s="39"/>
      <c r="E372" t="s">
        <v>214</v>
      </c>
    </row>
    <row r="373" spans="1:5" x14ac:dyDescent="0.2">
      <c r="A373" s="103"/>
      <c r="B373" s="110"/>
      <c r="C373" s="39" t="s">
        <v>615</v>
      </c>
      <c r="D373" s="39"/>
      <c r="E373" t="s">
        <v>214</v>
      </c>
    </row>
    <row r="374" spans="1:5" x14ac:dyDescent="0.2">
      <c r="A374" s="103"/>
      <c r="B374" s="110"/>
      <c r="C374" s="39" t="s">
        <v>616</v>
      </c>
      <c r="D374" s="39"/>
      <c r="E374" t="s">
        <v>214</v>
      </c>
    </row>
    <row r="375" spans="1:5" x14ac:dyDescent="0.2">
      <c r="A375" s="103"/>
      <c r="B375" s="110"/>
      <c r="C375" s="39" t="s">
        <v>617</v>
      </c>
      <c r="D375" s="39"/>
      <c r="E375" t="s">
        <v>214</v>
      </c>
    </row>
    <row r="376" spans="1:5" x14ac:dyDescent="0.2">
      <c r="A376" s="103"/>
      <c r="B376" s="110"/>
      <c r="C376" s="39" t="s">
        <v>618</v>
      </c>
      <c r="D376" s="39"/>
      <c r="E376" t="s">
        <v>214</v>
      </c>
    </row>
    <row r="377" spans="1:5" x14ac:dyDescent="0.2">
      <c r="A377" s="103"/>
      <c r="B377" s="110"/>
      <c r="C377" s="39" t="s">
        <v>619</v>
      </c>
      <c r="D377" s="39"/>
      <c r="E377" t="s">
        <v>214</v>
      </c>
    </row>
    <row r="378" spans="1:5" x14ac:dyDescent="0.2">
      <c r="A378" s="103"/>
      <c r="B378" s="110"/>
      <c r="C378" s="39" t="s">
        <v>620</v>
      </c>
      <c r="D378" s="39"/>
      <c r="E378" t="s">
        <v>214</v>
      </c>
    </row>
    <row r="379" spans="1:5" x14ac:dyDescent="0.2">
      <c r="A379" s="103"/>
      <c r="B379" s="110"/>
      <c r="C379" s="39" t="s">
        <v>621</v>
      </c>
      <c r="D379" s="39"/>
      <c r="E379" t="s">
        <v>214</v>
      </c>
    </row>
    <row r="380" spans="1:5" x14ac:dyDescent="0.2">
      <c r="A380" s="103"/>
      <c r="B380" s="110"/>
      <c r="C380" s="39" t="s">
        <v>622</v>
      </c>
      <c r="D380" s="39"/>
      <c r="E380" t="s">
        <v>214</v>
      </c>
    </row>
    <row r="381" spans="1:5" x14ac:dyDescent="0.2">
      <c r="A381" s="103"/>
      <c r="B381" s="110"/>
      <c r="C381" s="39" t="s">
        <v>623</v>
      </c>
      <c r="D381" s="39"/>
      <c r="E381" t="s">
        <v>214</v>
      </c>
    </row>
    <row r="382" spans="1:5" x14ac:dyDescent="0.2">
      <c r="A382" s="103"/>
      <c r="B382" s="110"/>
      <c r="C382" s="39" t="s">
        <v>624</v>
      </c>
      <c r="D382" s="39"/>
      <c r="E382" t="s">
        <v>214</v>
      </c>
    </row>
    <row r="383" spans="1:5" x14ac:dyDescent="0.2">
      <c r="A383" s="103"/>
      <c r="B383" s="110"/>
      <c r="C383" s="39" t="s">
        <v>625</v>
      </c>
      <c r="D383" s="39"/>
      <c r="E383" t="s">
        <v>214</v>
      </c>
    </row>
    <row r="384" spans="1:5" x14ac:dyDescent="0.2">
      <c r="A384" s="103"/>
      <c r="B384" s="110"/>
      <c r="C384" s="39" t="s">
        <v>626</v>
      </c>
      <c r="D384" s="39"/>
      <c r="E384" t="s">
        <v>214</v>
      </c>
    </row>
    <row r="385" spans="1:5" x14ac:dyDescent="0.2">
      <c r="A385" s="103"/>
      <c r="B385" s="110"/>
      <c r="C385" s="39" t="s">
        <v>627</v>
      </c>
      <c r="D385" s="39"/>
      <c r="E385" t="s">
        <v>214</v>
      </c>
    </row>
    <row r="386" spans="1:5" x14ac:dyDescent="0.2">
      <c r="A386" s="103"/>
      <c r="B386" s="110"/>
      <c r="C386" s="39" t="s">
        <v>628</v>
      </c>
      <c r="D386" s="39"/>
      <c r="E386" t="s">
        <v>214</v>
      </c>
    </row>
    <row r="387" spans="1:5" x14ac:dyDescent="0.2">
      <c r="A387" s="103"/>
      <c r="B387" s="110"/>
      <c r="C387" s="39" t="s">
        <v>629</v>
      </c>
      <c r="D387" s="39"/>
      <c r="E387" t="s">
        <v>214</v>
      </c>
    </row>
    <row r="388" spans="1:5" x14ac:dyDescent="0.2">
      <c r="A388" s="103"/>
      <c r="B388" s="110"/>
      <c r="C388" s="39" t="s">
        <v>630</v>
      </c>
      <c r="D388" s="39"/>
      <c r="E388" t="s">
        <v>214</v>
      </c>
    </row>
    <row r="389" spans="1:5" x14ac:dyDescent="0.2">
      <c r="A389" s="103"/>
      <c r="B389" s="110"/>
      <c r="C389" s="39" t="s">
        <v>631</v>
      </c>
      <c r="D389" s="39"/>
      <c r="E389" t="s">
        <v>214</v>
      </c>
    </row>
    <row r="390" spans="1:5" x14ac:dyDescent="0.2">
      <c r="A390" s="103"/>
      <c r="B390" s="110"/>
      <c r="C390" s="39" t="s">
        <v>632</v>
      </c>
      <c r="D390" s="39"/>
      <c r="E390" t="s">
        <v>214</v>
      </c>
    </row>
    <row r="391" spans="1:5" x14ac:dyDescent="0.2">
      <c r="A391" s="103"/>
      <c r="B391" s="110"/>
      <c r="C391" s="39" t="s">
        <v>633</v>
      </c>
      <c r="D391" s="39"/>
      <c r="E391" t="s">
        <v>214</v>
      </c>
    </row>
    <row r="392" spans="1:5" x14ac:dyDescent="0.2">
      <c r="A392" s="103"/>
      <c r="B392" s="110"/>
      <c r="C392" s="39" t="s">
        <v>634</v>
      </c>
      <c r="D392" s="39"/>
      <c r="E392" t="s">
        <v>214</v>
      </c>
    </row>
    <row r="393" spans="1:5" x14ac:dyDescent="0.2">
      <c r="A393" s="103"/>
      <c r="B393" s="110"/>
      <c r="C393" s="39" t="s">
        <v>635</v>
      </c>
      <c r="D393" s="39"/>
      <c r="E393" t="s">
        <v>214</v>
      </c>
    </row>
    <row r="394" spans="1:5" x14ac:dyDescent="0.2">
      <c r="A394" s="103"/>
      <c r="B394" s="110"/>
      <c r="C394" s="39" t="s">
        <v>636</v>
      </c>
      <c r="D394" s="39"/>
      <c r="E394" t="s">
        <v>214</v>
      </c>
    </row>
    <row r="395" spans="1:5" x14ac:dyDescent="0.2">
      <c r="A395" s="103"/>
      <c r="B395" s="110"/>
      <c r="C395" s="39" t="s">
        <v>637</v>
      </c>
      <c r="D395" s="39"/>
      <c r="E395" t="s">
        <v>214</v>
      </c>
    </row>
    <row r="396" spans="1:5" x14ac:dyDescent="0.2">
      <c r="A396" s="103"/>
      <c r="B396" s="110"/>
      <c r="C396" s="39" t="s">
        <v>638</v>
      </c>
      <c r="D396" s="39"/>
      <c r="E396" t="s">
        <v>214</v>
      </c>
    </row>
    <row r="397" spans="1:5" x14ac:dyDescent="0.2">
      <c r="A397" s="103"/>
      <c r="B397" s="110"/>
      <c r="C397" s="39" t="s">
        <v>639</v>
      </c>
      <c r="D397" s="39"/>
      <c r="E397" t="s">
        <v>214</v>
      </c>
    </row>
    <row r="398" spans="1:5" x14ac:dyDescent="0.2">
      <c r="A398" s="103"/>
      <c r="B398" s="110"/>
      <c r="C398" s="39" t="s">
        <v>640</v>
      </c>
      <c r="D398" s="39"/>
      <c r="E398" t="s">
        <v>214</v>
      </c>
    </row>
    <row r="399" spans="1:5" x14ac:dyDescent="0.2">
      <c r="A399" s="103"/>
      <c r="B399" s="110"/>
      <c r="C399" s="39" t="s">
        <v>641</v>
      </c>
      <c r="D399" s="39"/>
      <c r="E399" t="s">
        <v>214</v>
      </c>
    </row>
    <row r="400" spans="1:5" x14ac:dyDescent="0.2">
      <c r="A400" s="103"/>
      <c r="B400" s="110"/>
      <c r="C400" s="39" t="s">
        <v>642</v>
      </c>
      <c r="D400" s="39"/>
      <c r="E400" t="s">
        <v>214</v>
      </c>
    </row>
    <row r="401" spans="1:5" x14ac:dyDescent="0.2">
      <c r="A401" s="103"/>
      <c r="B401" s="110"/>
      <c r="C401" s="39" t="s">
        <v>643</v>
      </c>
      <c r="D401" s="39"/>
      <c r="E401" t="s">
        <v>214</v>
      </c>
    </row>
    <row r="402" spans="1:5" x14ac:dyDescent="0.2">
      <c r="A402" s="103"/>
      <c r="B402" s="110"/>
      <c r="C402" s="39" t="s">
        <v>644</v>
      </c>
      <c r="D402" s="39"/>
      <c r="E402" t="s">
        <v>214</v>
      </c>
    </row>
    <row r="403" spans="1:5" x14ac:dyDescent="0.2">
      <c r="A403" s="103"/>
      <c r="B403" s="110"/>
      <c r="C403" s="39" t="s">
        <v>645</v>
      </c>
      <c r="D403" s="39"/>
      <c r="E403" t="s">
        <v>214</v>
      </c>
    </row>
    <row r="404" spans="1:5" x14ac:dyDescent="0.2">
      <c r="A404" s="103"/>
      <c r="B404" s="110"/>
      <c r="C404" s="39" t="s">
        <v>646</v>
      </c>
      <c r="D404" s="39"/>
      <c r="E404" t="s">
        <v>214</v>
      </c>
    </row>
    <row r="405" spans="1:5" x14ac:dyDescent="0.2">
      <c r="A405" s="103"/>
      <c r="B405" s="110"/>
      <c r="C405" s="39" t="s">
        <v>647</v>
      </c>
      <c r="D405" s="39"/>
      <c r="E405" t="s">
        <v>214</v>
      </c>
    </row>
    <row r="406" spans="1:5" x14ac:dyDescent="0.2">
      <c r="A406" s="103"/>
      <c r="B406" s="110"/>
      <c r="C406" s="39" t="s">
        <v>648</v>
      </c>
      <c r="D406" s="39"/>
      <c r="E406" t="s">
        <v>214</v>
      </c>
    </row>
    <row r="407" spans="1:5" x14ac:dyDescent="0.2">
      <c r="A407" s="103"/>
      <c r="B407" s="110"/>
      <c r="C407" s="39" t="s">
        <v>649</v>
      </c>
      <c r="D407" s="39"/>
      <c r="E407" t="s">
        <v>214</v>
      </c>
    </row>
    <row r="408" spans="1:5" x14ac:dyDescent="0.2">
      <c r="A408" s="103"/>
      <c r="B408" s="110"/>
      <c r="C408" s="39" t="s">
        <v>650</v>
      </c>
      <c r="D408" s="39"/>
      <c r="E408" t="s">
        <v>214</v>
      </c>
    </row>
    <row r="409" spans="1:5" x14ac:dyDescent="0.2">
      <c r="A409" s="103"/>
      <c r="B409" s="110"/>
      <c r="C409" s="39" t="s">
        <v>651</v>
      </c>
      <c r="D409" s="39"/>
      <c r="E409" t="s">
        <v>214</v>
      </c>
    </row>
    <row r="410" spans="1:5" x14ac:dyDescent="0.2">
      <c r="A410" s="103"/>
      <c r="B410" s="110"/>
      <c r="C410" s="39" t="s">
        <v>652</v>
      </c>
      <c r="D410" s="39"/>
      <c r="E410" t="s">
        <v>214</v>
      </c>
    </row>
    <row r="411" spans="1:5" x14ac:dyDescent="0.2">
      <c r="A411" s="103"/>
      <c r="B411" s="110"/>
      <c r="C411" s="39" t="s">
        <v>653</v>
      </c>
      <c r="D411" s="39"/>
      <c r="E411" t="s">
        <v>214</v>
      </c>
    </row>
    <row r="412" spans="1:5" x14ac:dyDescent="0.2">
      <c r="A412" s="103"/>
      <c r="B412" s="110"/>
      <c r="C412" s="39" t="s">
        <v>654</v>
      </c>
      <c r="D412" s="39"/>
      <c r="E412" t="s">
        <v>214</v>
      </c>
    </row>
    <row r="413" spans="1:5" x14ac:dyDescent="0.2">
      <c r="A413" s="103"/>
      <c r="B413" s="110"/>
      <c r="C413" s="39" t="s">
        <v>655</v>
      </c>
      <c r="D413" s="39"/>
      <c r="E413" t="s">
        <v>214</v>
      </c>
    </row>
    <row r="414" spans="1:5" x14ac:dyDescent="0.2">
      <c r="A414" s="103"/>
      <c r="B414" s="110"/>
      <c r="C414" s="39" t="s">
        <v>656</v>
      </c>
      <c r="D414" s="39"/>
      <c r="E414" t="s">
        <v>214</v>
      </c>
    </row>
    <row r="415" spans="1:5" x14ac:dyDescent="0.2">
      <c r="A415" s="103"/>
      <c r="B415" s="110"/>
      <c r="C415" s="39" t="s">
        <v>657</v>
      </c>
      <c r="D415" s="39"/>
      <c r="E415" t="s">
        <v>214</v>
      </c>
    </row>
    <row r="416" spans="1:5" x14ac:dyDescent="0.2">
      <c r="A416" s="103"/>
      <c r="B416" s="110"/>
      <c r="C416" s="39" t="s">
        <v>658</v>
      </c>
      <c r="D416" s="39"/>
      <c r="E416" t="s">
        <v>214</v>
      </c>
    </row>
    <row r="417" spans="1:5" x14ac:dyDescent="0.2">
      <c r="A417" s="103"/>
      <c r="B417" s="110"/>
      <c r="C417" s="39" t="s">
        <v>659</v>
      </c>
      <c r="D417" s="39"/>
      <c r="E417" t="s">
        <v>214</v>
      </c>
    </row>
    <row r="418" spans="1:5" x14ac:dyDescent="0.2">
      <c r="A418" s="103"/>
      <c r="B418" s="110"/>
      <c r="C418" s="39" t="s">
        <v>660</v>
      </c>
      <c r="D418" s="39"/>
      <c r="E418" t="s">
        <v>214</v>
      </c>
    </row>
    <row r="419" spans="1:5" x14ac:dyDescent="0.2">
      <c r="A419" s="103"/>
      <c r="B419" s="110"/>
      <c r="C419" s="39" t="s">
        <v>661</v>
      </c>
      <c r="D419" s="39"/>
      <c r="E419" t="s">
        <v>214</v>
      </c>
    </row>
    <row r="420" spans="1:5" x14ac:dyDescent="0.2">
      <c r="A420" s="103"/>
      <c r="B420" s="110"/>
      <c r="C420" s="39" t="s">
        <v>662</v>
      </c>
      <c r="D420" s="39"/>
      <c r="E420" t="s">
        <v>214</v>
      </c>
    </row>
    <row r="421" spans="1:5" x14ac:dyDescent="0.2">
      <c r="A421" s="103"/>
      <c r="B421" s="110"/>
      <c r="C421" s="39" t="s">
        <v>663</v>
      </c>
      <c r="D421" s="39"/>
      <c r="E421" t="s">
        <v>214</v>
      </c>
    </row>
    <row r="422" spans="1:5" x14ac:dyDescent="0.2">
      <c r="A422" s="103"/>
      <c r="B422" s="110"/>
      <c r="C422" s="39" t="s">
        <v>664</v>
      </c>
      <c r="D422" s="39"/>
      <c r="E422" t="s">
        <v>214</v>
      </c>
    </row>
    <row r="423" spans="1:5" x14ac:dyDescent="0.2">
      <c r="A423" s="103"/>
      <c r="B423" s="110"/>
      <c r="C423" s="39" t="s">
        <v>665</v>
      </c>
      <c r="D423" s="39"/>
      <c r="E423" t="s">
        <v>214</v>
      </c>
    </row>
    <row r="424" spans="1:5" x14ac:dyDescent="0.2">
      <c r="A424" s="103"/>
      <c r="B424" s="110"/>
      <c r="C424" s="39" t="s">
        <v>666</v>
      </c>
      <c r="D424" s="39"/>
      <c r="E424" t="s">
        <v>214</v>
      </c>
    </row>
    <row r="425" spans="1:5" x14ac:dyDescent="0.2">
      <c r="A425" s="103"/>
      <c r="B425" s="110"/>
      <c r="C425" s="39" t="s">
        <v>667</v>
      </c>
      <c r="D425" s="39"/>
      <c r="E425" t="s">
        <v>214</v>
      </c>
    </row>
    <row r="426" spans="1:5" x14ac:dyDescent="0.2">
      <c r="A426" s="103"/>
      <c r="B426" s="110"/>
      <c r="C426" s="39" t="s">
        <v>668</v>
      </c>
      <c r="D426" s="39"/>
      <c r="E426" t="s">
        <v>214</v>
      </c>
    </row>
    <row r="427" spans="1:5" x14ac:dyDescent="0.2">
      <c r="A427" s="103"/>
      <c r="B427" s="110"/>
      <c r="C427" s="39" t="s">
        <v>669</v>
      </c>
      <c r="D427" s="39"/>
      <c r="E427" t="s">
        <v>214</v>
      </c>
    </row>
    <row r="428" spans="1:5" x14ac:dyDescent="0.2">
      <c r="A428" s="103"/>
      <c r="B428" s="110"/>
      <c r="C428" s="39" t="s">
        <v>670</v>
      </c>
      <c r="D428" s="39"/>
      <c r="E428" t="s">
        <v>214</v>
      </c>
    </row>
    <row r="429" spans="1:5" x14ac:dyDescent="0.2">
      <c r="A429" s="103"/>
      <c r="B429" s="110"/>
      <c r="C429" s="39" t="s">
        <v>671</v>
      </c>
      <c r="D429" s="39"/>
      <c r="E429" t="s">
        <v>214</v>
      </c>
    </row>
    <row r="430" spans="1:5" x14ac:dyDescent="0.2">
      <c r="A430" s="103"/>
      <c r="B430" s="110"/>
      <c r="C430" s="39" t="s">
        <v>672</v>
      </c>
      <c r="D430" s="39"/>
      <c r="E430" t="s">
        <v>214</v>
      </c>
    </row>
    <row r="431" spans="1:5" x14ac:dyDescent="0.2">
      <c r="A431" s="103"/>
      <c r="B431" s="110"/>
      <c r="C431" s="39" t="s">
        <v>673</v>
      </c>
      <c r="D431" s="39"/>
      <c r="E431" t="s">
        <v>214</v>
      </c>
    </row>
    <row r="432" spans="1:5" x14ac:dyDescent="0.2">
      <c r="A432" s="103"/>
      <c r="B432" s="110"/>
      <c r="C432" s="39" t="s">
        <v>674</v>
      </c>
      <c r="D432" s="39"/>
      <c r="E432" t="s">
        <v>214</v>
      </c>
    </row>
    <row r="433" spans="1:5" x14ac:dyDescent="0.2">
      <c r="A433" s="103"/>
      <c r="B433" s="110"/>
      <c r="C433" s="39" t="s">
        <v>675</v>
      </c>
      <c r="D433" s="39"/>
      <c r="E433" t="s">
        <v>214</v>
      </c>
    </row>
    <row r="434" spans="1:5" x14ac:dyDescent="0.2">
      <c r="A434" s="103"/>
      <c r="B434" s="110"/>
      <c r="C434" s="39" t="s">
        <v>676</v>
      </c>
      <c r="D434" s="39"/>
      <c r="E434" t="s">
        <v>214</v>
      </c>
    </row>
    <row r="435" spans="1:5" x14ac:dyDescent="0.2">
      <c r="A435" s="103"/>
      <c r="B435" s="110"/>
      <c r="C435" s="39" t="s">
        <v>677</v>
      </c>
      <c r="D435" s="39"/>
      <c r="E435" t="s">
        <v>214</v>
      </c>
    </row>
    <row r="436" spans="1:5" x14ac:dyDescent="0.2">
      <c r="A436" s="103"/>
      <c r="B436" s="110"/>
      <c r="C436" s="39" t="s">
        <v>678</v>
      </c>
      <c r="D436" s="39"/>
      <c r="E436" t="s">
        <v>214</v>
      </c>
    </row>
    <row r="437" spans="1:5" x14ac:dyDescent="0.2">
      <c r="A437" s="103"/>
      <c r="B437" s="110"/>
      <c r="C437" s="39" t="s">
        <v>679</v>
      </c>
      <c r="D437" s="39"/>
      <c r="E437" t="s">
        <v>214</v>
      </c>
    </row>
    <row r="438" spans="1:5" x14ac:dyDescent="0.2">
      <c r="A438" s="103"/>
      <c r="B438" s="110"/>
      <c r="C438" s="39" t="s">
        <v>680</v>
      </c>
      <c r="D438" s="39"/>
      <c r="E438" t="s">
        <v>214</v>
      </c>
    </row>
    <row r="439" spans="1:5" x14ac:dyDescent="0.2">
      <c r="A439" s="103"/>
      <c r="B439" s="110"/>
      <c r="C439" s="39" t="s">
        <v>681</v>
      </c>
      <c r="D439" s="39"/>
      <c r="E439" t="s">
        <v>214</v>
      </c>
    </row>
    <row r="440" spans="1:5" x14ac:dyDescent="0.2">
      <c r="A440" s="103"/>
      <c r="B440" s="110"/>
      <c r="C440" s="39" t="s">
        <v>682</v>
      </c>
      <c r="D440" s="39"/>
      <c r="E440" t="s">
        <v>214</v>
      </c>
    </row>
    <row r="441" spans="1:5" x14ac:dyDescent="0.2">
      <c r="A441" s="103"/>
      <c r="B441" s="110"/>
      <c r="C441" s="39" t="s">
        <v>683</v>
      </c>
      <c r="D441" s="39"/>
      <c r="E441" t="s">
        <v>214</v>
      </c>
    </row>
    <row r="442" spans="1:5" x14ac:dyDescent="0.2">
      <c r="A442" s="103"/>
      <c r="B442" s="110"/>
      <c r="C442" s="39" t="s">
        <v>684</v>
      </c>
      <c r="D442" s="39"/>
      <c r="E442" t="s">
        <v>214</v>
      </c>
    </row>
    <row r="443" spans="1:5" x14ac:dyDescent="0.2">
      <c r="A443" s="103"/>
      <c r="B443" s="110"/>
      <c r="C443" s="39" t="s">
        <v>685</v>
      </c>
      <c r="D443" s="39"/>
      <c r="E443" t="s">
        <v>214</v>
      </c>
    </row>
    <row r="444" spans="1:5" x14ac:dyDescent="0.2">
      <c r="A444" s="103"/>
      <c r="B444" s="110"/>
      <c r="C444" s="39" t="s">
        <v>686</v>
      </c>
      <c r="D444" s="39"/>
      <c r="E444" t="s">
        <v>214</v>
      </c>
    </row>
    <row r="445" spans="1:5" x14ac:dyDescent="0.2">
      <c r="A445" s="103"/>
      <c r="B445" s="110"/>
      <c r="C445" s="39" t="s">
        <v>687</v>
      </c>
      <c r="D445" s="39"/>
      <c r="E445" t="s">
        <v>214</v>
      </c>
    </row>
    <row r="446" spans="1:5" x14ac:dyDescent="0.2">
      <c r="A446" s="103"/>
      <c r="B446" s="110"/>
      <c r="C446" s="39" t="s">
        <v>688</v>
      </c>
      <c r="D446" s="39"/>
      <c r="E446" t="s">
        <v>214</v>
      </c>
    </row>
    <row r="447" spans="1:5" x14ac:dyDescent="0.2">
      <c r="A447" s="103"/>
      <c r="B447" s="110"/>
      <c r="C447" s="39" t="s">
        <v>689</v>
      </c>
      <c r="D447" s="39"/>
      <c r="E447" t="s">
        <v>214</v>
      </c>
    </row>
    <row r="448" spans="1:5" x14ac:dyDescent="0.2">
      <c r="A448" s="103"/>
      <c r="B448" s="110"/>
      <c r="C448" s="39" t="s">
        <v>690</v>
      </c>
      <c r="D448" s="39"/>
      <c r="E448" t="s">
        <v>214</v>
      </c>
    </row>
    <row r="449" spans="1:5" x14ac:dyDescent="0.2">
      <c r="A449" s="103"/>
      <c r="B449" s="110"/>
      <c r="C449" s="39" t="s">
        <v>691</v>
      </c>
      <c r="D449" s="39"/>
      <c r="E449" t="s">
        <v>214</v>
      </c>
    </row>
    <row r="450" spans="1:5" x14ac:dyDescent="0.2">
      <c r="A450" s="103"/>
      <c r="B450" s="110"/>
      <c r="C450" s="39" t="s">
        <v>692</v>
      </c>
      <c r="D450" s="39"/>
      <c r="E450" t="s">
        <v>214</v>
      </c>
    </row>
    <row r="451" spans="1:5" x14ac:dyDescent="0.2">
      <c r="A451" s="103"/>
      <c r="B451" s="110"/>
      <c r="C451" s="39" t="s">
        <v>693</v>
      </c>
      <c r="D451" s="39"/>
      <c r="E451" t="s">
        <v>214</v>
      </c>
    </row>
    <row r="452" spans="1:5" x14ac:dyDescent="0.2">
      <c r="A452" s="103"/>
      <c r="B452" s="110"/>
      <c r="C452" s="39" t="s">
        <v>694</v>
      </c>
      <c r="D452" s="39"/>
      <c r="E452" t="s">
        <v>214</v>
      </c>
    </row>
    <row r="453" spans="1:5" x14ac:dyDescent="0.2">
      <c r="A453" s="103"/>
      <c r="B453" s="110"/>
      <c r="C453" s="39" t="s">
        <v>695</v>
      </c>
      <c r="D453" s="39"/>
      <c r="E453" t="s">
        <v>214</v>
      </c>
    </row>
    <row r="454" spans="1:5" x14ac:dyDescent="0.2">
      <c r="A454" s="103"/>
      <c r="B454" s="110"/>
      <c r="C454" s="39" t="s">
        <v>696</v>
      </c>
      <c r="D454" s="39"/>
      <c r="E454" t="s">
        <v>214</v>
      </c>
    </row>
    <row r="455" spans="1:5" x14ac:dyDescent="0.2">
      <c r="A455" s="103"/>
      <c r="B455" s="110"/>
      <c r="C455" s="39" t="s">
        <v>697</v>
      </c>
      <c r="D455" s="39"/>
      <c r="E455" t="s">
        <v>214</v>
      </c>
    </row>
    <row r="456" spans="1:5" x14ac:dyDescent="0.2">
      <c r="A456" s="103"/>
      <c r="B456" s="110"/>
      <c r="C456" s="39" t="s">
        <v>698</v>
      </c>
      <c r="D456" s="39"/>
      <c r="E456" t="s">
        <v>214</v>
      </c>
    </row>
    <row r="457" spans="1:5" x14ac:dyDescent="0.2">
      <c r="A457" s="103"/>
      <c r="B457" s="110"/>
      <c r="C457" s="39" t="s">
        <v>699</v>
      </c>
      <c r="D457" s="39"/>
      <c r="E457" t="s">
        <v>214</v>
      </c>
    </row>
    <row r="458" spans="1:5" x14ac:dyDescent="0.2">
      <c r="A458" s="103"/>
      <c r="B458" s="110"/>
      <c r="C458" s="39" t="s">
        <v>700</v>
      </c>
      <c r="D458" s="39"/>
      <c r="E458" t="s">
        <v>214</v>
      </c>
    </row>
    <row r="459" spans="1:5" x14ac:dyDescent="0.2">
      <c r="A459" s="103"/>
      <c r="B459" s="110"/>
      <c r="C459" s="39" t="s">
        <v>701</v>
      </c>
      <c r="D459" s="39"/>
      <c r="E459" t="s">
        <v>214</v>
      </c>
    </row>
    <row r="460" spans="1:5" x14ac:dyDescent="0.2">
      <c r="A460" s="103"/>
      <c r="B460" s="110"/>
      <c r="C460" s="39" t="s">
        <v>702</v>
      </c>
      <c r="D460" s="39"/>
      <c r="E460" t="s">
        <v>214</v>
      </c>
    </row>
    <row r="461" spans="1:5" x14ac:dyDescent="0.2">
      <c r="A461" s="103"/>
      <c r="B461" s="110"/>
      <c r="C461" s="39" t="s">
        <v>703</v>
      </c>
      <c r="D461" s="39"/>
      <c r="E461" t="s">
        <v>214</v>
      </c>
    </row>
    <row r="462" spans="1:5" x14ac:dyDescent="0.2">
      <c r="A462" s="103"/>
      <c r="B462" s="110"/>
      <c r="C462" s="39" t="s">
        <v>704</v>
      </c>
      <c r="D462" s="39"/>
      <c r="E462" t="s">
        <v>214</v>
      </c>
    </row>
    <row r="463" spans="1:5" x14ac:dyDescent="0.2">
      <c r="A463" s="103"/>
      <c r="B463" s="110"/>
      <c r="C463" s="39" t="s">
        <v>705</v>
      </c>
      <c r="D463" s="39"/>
      <c r="E463" t="s">
        <v>214</v>
      </c>
    </row>
    <row r="464" spans="1:5" x14ac:dyDescent="0.2">
      <c r="A464" s="103"/>
      <c r="B464" s="110"/>
      <c r="C464" s="39" t="s">
        <v>706</v>
      </c>
      <c r="D464" s="39"/>
      <c r="E464" t="s">
        <v>214</v>
      </c>
    </row>
    <row r="465" spans="1:5" x14ac:dyDescent="0.2">
      <c r="A465" s="103"/>
      <c r="B465" s="110"/>
      <c r="C465" s="39" t="s">
        <v>707</v>
      </c>
      <c r="D465" s="39"/>
      <c r="E465" t="s">
        <v>214</v>
      </c>
    </row>
    <row r="466" spans="1:5" x14ac:dyDescent="0.2">
      <c r="A466" s="103"/>
      <c r="B466" s="110"/>
      <c r="C466" s="39" t="s">
        <v>708</v>
      </c>
      <c r="D466" s="39"/>
      <c r="E466" t="s">
        <v>214</v>
      </c>
    </row>
    <row r="467" spans="1:5" x14ac:dyDescent="0.2">
      <c r="A467" s="103"/>
      <c r="B467" s="110"/>
      <c r="C467" s="39" t="s">
        <v>709</v>
      </c>
      <c r="D467" s="39"/>
      <c r="E467" t="s">
        <v>214</v>
      </c>
    </row>
    <row r="468" spans="1:5" x14ac:dyDescent="0.2">
      <c r="A468" s="103"/>
      <c r="B468" s="110"/>
      <c r="C468" s="39" t="s">
        <v>710</v>
      </c>
      <c r="D468" s="39"/>
      <c r="E468" t="s">
        <v>214</v>
      </c>
    </row>
    <row r="469" spans="1:5" x14ac:dyDescent="0.2">
      <c r="A469" s="103"/>
      <c r="B469" s="110"/>
      <c r="C469" s="39" t="s">
        <v>711</v>
      </c>
      <c r="D469" s="39"/>
      <c r="E469" t="s">
        <v>214</v>
      </c>
    </row>
    <row r="470" spans="1:5" x14ac:dyDescent="0.2">
      <c r="A470" s="103"/>
      <c r="B470" s="110"/>
      <c r="C470" s="39" t="s">
        <v>712</v>
      </c>
      <c r="D470" s="39"/>
      <c r="E470" t="s">
        <v>214</v>
      </c>
    </row>
    <row r="471" spans="1:5" x14ac:dyDescent="0.2">
      <c r="A471" s="103"/>
      <c r="B471" s="110"/>
      <c r="C471" s="39" t="s">
        <v>713</v>
      </c>
      <c r="D471" s="39"/>
      <c r="E471" t="s">
        <v>214</v>
      </c>
    </row>
    <row r="472" spans="1:5" x14ac:dyDescent="0.2">
      <c r="A472" s="103"/>
      <c r="B472" s="110"/>
      <c r="C472" s="39" t="s">
        <v>714</v>
      </c>
      <c r="D472" s="39"/>
      <c r="E472" t="s">
        <v>214</v>
      </c>
    </row>
    <row r="473" spans="1:5" x14ac:dyDescent="0.2">
      <c r="A473" s="103"/>
      <c r="B473" s="110"/>
      <c r="C473" s="39" t="s">
        <v>715</v>
      </c>
      <c r="D473" s="39"/>
      <c r="E473" t="s">
        <v>214</v>
      </c>
    </row>
    <row r="474" spans="1:5" x14ac:dyDescent="0.2">
      <c r="A474" s="103"/>
      <c r="B474" s="110"/>
      <c r="C474" s="39" t="s">
        <v>716</v>
      </c>
      <c r="D474" s="39"/>
      <c r="E474" t="s">
        <v>214</v>
      </c>
    </row>
    <row r="475" spans="1:5" x14ac:dyDescent="0.2">
      <c r="A475" s="103"/>
      <c r="B475" s="110"/>
      <c r="C475" s="39" t="s">
        <v>717</v>
      </c>
      <c r="D475" s="39"/>
      <c r="E475" t="s">
        <v>214</v>
      </c>
    </row>
    <row r="476" spans="1:5" x14ac:dyDescent="0.2">
      <c r="A476" s="103"/>
      <c r="B476" s="110"/>
      <c r="C476" s="39" t="s">
        <v>718</v>
      </c>
      <c r="D476" s="39"/>
      <c r="E476" t="s">
        <v>214</v>
      </c>
    </row>
    <row r="477" spans="1:5" x14ac:dyDescent="0.2">
      <c r="A477" s="103"/>
      <c r="B477" s="110"/>
      <c r="C477" s="39" t="s">
        <v>719</v>
      </c>
      <c r="D477" s="39"/>
      <c r="E477" t="s">
        <v>214</v>
      </c>
    </row>
    <row r="478" spans="1:5" x14ac:dyDescent="0.2">
      <c r="A478" s="103"/>
      <c r="B478" s="110"/>
      <c r="C478" s="39" t="s">
        <v>720</v>
      </c>
      <c r="D478" s="39"/>
      <c r="E478" t="s">
        <v>214</v>
      </c>
    </row>
    <row r="479" spans="1:5" x14ac:dyDescent="0.2">
      <c r="A479" s="103"/>
      <c r="B479" s="110"/>
      <c r="C479" s="39" t="s">
        <v>721</v>
      </c>
      <c r="D479" s="39"/>
      <c r="E479" t="s">
        <v>214</v>
      </c>
    </row>
    <row r="480" spans="1:5" x14ac:dyDescent="0.2">
      <c r="A480" s="103"/>
      <c r="B480" s="110"/>
      <c r="C480" s="39" t="s">
        <v>722</v>
      </c>
      <c r="D480" s="39"/>
      <c r="E480" t="s">
        <v>214</v>
      </c>
    </row>
    <row r="481" spans="1:5" x14ac:dyDescent="0.2">
      <c r="A481" s="103"/>
      <c r="B481" s="110"/>
      <c r="C481" s="39" t="s">
        <v>723</v>
      </c>
      <c r="D481" s="39"/>
      <c r="E481" t="s">
        <v>214</v>
      </c>
    </row>
    <row r="482" spans="1:5" x14ac:dyDescent="0.2">
      <c r="A482" s="103"/>
      <c r="B482" s="110"/>
      <c r="C482" s="39" t="s">
        <v>724</v>
      </c>
      <c r="D482" s="39"/>
      <c r="E482" t="s">
        <v>214</v>
      </c>
    </row>
    <row r="483" spans="1:5" x14ac:dyDescent="0.2">
      <c r="A483" s="103"/>
      <c r="B483" s="110"/>
      <c r="C483" s="39" t="s">
        <v>725</v>
      </c>
      <c r="D483" s="39"/>
      <c r="E483" t="s">
        <v>214</v>
      </c>
    </row>
    <row r="484" spans="1:5" x14ac:dyDescent="0.2">
      <c r="A484" s="103"/>
      <c r="B484" s="110"/>
      <c r="C484" s="39" t="s">
        <v>726</v>
      </c>
      <c r="D484" s="39"/>
      <c r="E484" t="s">
        <v>214</v>
      </c>
    </row>
    <row r="485" spans="1:5" x14ac:dyDescent="0.2">
      <c r="A485" s="103"/>
      <c r="B485" s="110"/>
      <c r="C485" s="39" t="s">
        <v>727</v>
      </c>
      <c r="D485" s="39"/>
      <c r="E485" t="s">
        <v>214</v>
      </c>
    </row>
    <row r="486" spans="1:5" x14ac:dyDescent="0.2">
      <c r="A486" s="103"/>
      <c r="B486" s="110"/>
      <c r="C486" s="39" t="s">
        <v>728</v>
      </c>
      <c r="D486" s="39"/>
      <c r="E486" t="s">
        <v>214</v>
      </c>
    </row>
    <row r="487" spans="1:5" x14ac:dyDescent="0.2">
      <c r="A487" s="103"/>
      <c r="B487" s="110"/>
      <c r="C487" s="39" t="s">
        <v>729</v>
      </c>
      <c r="D487" s="39"/>
      <c r="E487" t="s">
        <v>214</v>
      </c>
    </row>
    <row r="488" spans="1:5" x14ac:dyDescent="0.2">
      <c r="A488" s="103"/>
      <c r="B488" s="110"/>
      <c r="C488" s="39" t="s">
        <v>730</v>
      </c>
      <c r="D488" s="39"/>
      <c r="E488" t="s">
        <v>214</v>
      </c>
    </row>
    <row r="489" spans="1:5" x14ac:dyDescent="0.2">
      <c r="A489" s="103"/>
      <c r="B489" s="110"/>
      <c r="C489" s="39" t="s">
        <v>314</v>
      </c>
      <c r="D489" s="39"/>
    </row>
    <row r="490" spans="1:5" x14ac:dyDescent="0.2">
      <c r="A490" s="103"/>
      <c r="B490" s="110"/>
      <c r="C490" s="39" t="s">
        <v>731</v>
      </c>
      <c r="D490" s="39"/>
    </row>
    <row r="491" spans="1:5" x14ac:dyDescent="0.2">
      <c r="A491" s="103"/>
      <c r="B491" s="110"/>
      <c r="C491" s="39" t="s">
        <v>732</v>
      </c>
      <c r="D491" s="39"/>
    </row>
    <row r="492" spans="1:5" x14ac:dyDescent="0.2">
      <c r="A492" s="103"/>
      <c r="B492" s="110"/>
      <c r="C492" s="39" t="s">
        <v>733</v>
      </c>
      <c r="D492" s="39"/>
    </row>
    <row r="493" spans="1:5" x14ac:dyDescent="0.2">
      <c r="A493" s="103"/>
      <c r="B493" s="110"/>
      <c r="C493" s="39" t="s">
        <v>734</v>
      </c>
      <c r="D493" s="39"/>
    </row>
    <row r="494" spans="1:5" x14ac:dyDescent="0.2">
      <c r="A494" s="103"/>
      <c r="B494" s="110"/>
      <c r="C494" s="39" t="s">
        <v>735</v>
      </c>
      <c r="D494" s="39"/>
    </row>
    <row r="495" spans="1:5" x14ac:dyDescent="0.2">
      <c r="A495" s="103"/>
      <c r="B495" s="110"/>
      <c r="C495" s="39" t="s">
        <v>736</v>
      </c>
      <c r="D495" s="39"/>
    </row>
    <row r="496" spans="1:5" x14ac:dyDescent="0.2">
      <c r="A496" s="103"/>
      <c r="B496" s="110"/>
      <c r="C496" s="39" t="s">
        <v>737</v>
      </c>
      <c r="D496" s="39"/>
    </row>
    <row r="497" spans="1:4" x14ac:dyDescent="0.2">
      <c r="A497" s="103"/>
      <c r="B497" s="110"/>
      <c r="C497" s="39" t="s">
        <v>738</v>
      </c>
      <c r="D497" s="39"/>
    </row>
    <row r="498" spans="1:4" x14ac:dyDescent="0.2">
      <c r="A498" s="105"/>
      <c r="B498" s="111"/>
      <c r="C498" s="39" t="s">
        <v>569</v>
      </c>
      <c r="D498" s="39"/>
    </row>
    <row r="499" spans="1:4" x14ac:dyDescent="0.2">
      <c r="A499" s="107"/>
      <c r="B499" s="112" t="s">
        <v>739</v>
      </c>
      <c r="C499" s="37" t="s">
        <v>440</v>
      </c>
      <c r="D499" s="37"/>
    </row>
    <row r="500" spans="1:4" x14ac:dyDescent="0.2">
      <c r="A500" s="108"/>
      <c r="B500" s="112"/>
      <c r="C500" s="37" t="s">
        <v>740</v>
      </c>
      <c r="D500" s="37"/>
    </row>
    <row r="501" spans="1:4" x14ac:dyDescent="0.2">
      <c r="A501" s="108"/>
      <c r="B501" s="112"/>
      <c r="C501" s="37" t="s">
        <v>741</v>
      </c>
      <c r="D501" s="37"/>
    </row>
    <row r="502" spans="1:4" x14ac:dyDescent="0.2">
      <c r="A502" s="108"/>
      <c r="B502" s="112"/>
      <c r="C502" s="37" t="s">
        <v>742</v>
      </c>
      <c r="D502" s="37"/>
    </row>
    <row r="503" spans="1:4" x14ac:dyDescent="0.2">
      <c r="A503" s="108"/>
      <c r="B503" s="112"/>
      <c r="C503" s="37" t="s">
        <v>743</v>
      </c>
      <c r="D503" s="37"/>
    </row>
    <row r="504" spans="1:4" x14ac:dyDescent="0.2">
      <c r="A504" s="108"/>
      <c r="B504" s="112"/>
      <c r="C504" s="37" t="s">
        <v>744</v>
      </c>
      <c r="D504" s="37"/>
    </row>
    <row r="505" spans="1:4" x14ac:dyDescent="0.2">
      <c r="A505" s="108"/>
      <c r="B505" s="112"/>
      <c r="C505" s="37" t="s">
        <v>745</v>
      </c>
      <c r="D505" s="37"/>
    </row>
    <row r="506" spans="1:4" x14ac:dyDescent="0.2">
      <c r="A506" s="108"/>
      <c r="B506" s="112"/>
      <c r="C506" s="37" t="s">
        <v>746</v>
      </c>
      <c r="D506" s="37"/>
    </row>
    <row r="507" spans="1:4" x14ac:dyDescent="0.2">
      <c r="A507" s="108"/>
      <c r="B507" s="112"/>
      <c r="C507" s="37" t="s">
        <v>747</v>
      </c>
      <c r="D507" s="37"/>
    </row>
    <row r="508" spans="1:4" x14ac:dyDescent="0.2">
      <c r="A508" s="108"/>
      <c r="B508" s="112"/>
      <c r="C508" s="37" t="s">
        <v>748</v>
      </c>
      <c r="D508" s="37"/>
    </row>
    <row r="509" spans="1:4" x14ac:dyDescent="0.2">
      <c r="A509" s="108"/>
      <c r="B509" s="112"/>
      <c r="C509" s="37" t="s">
        <v>749</v>
      </c>
      <c r="D509" s="37"/>
    </row>
    <row r="510" spans="1:4" x14ac:dyDescent="0.2">
      <c r="A510" s="108"/>
      <c r="B510" s="112"/>
      <c r="C510" s="37" t="s">
        <v>750</v>
      </c>
      <c r="D510" s="37"/>
    </row>
    <row r="511" spans="1:4" x14ac:dyDescent="0.2">
      <c r="A511" s="108"/>
      <c r="B511" s="112"/>
      <c r="C511" s="37" t="s">
        <v>751</v>
      </c>
      <c r="D511" s="37"/>
    </row>
    <row r="512" spans="1:4" x14ac:dyDescent="0.2">
      <c r="A512" s="108"/>
      <c r="B512" s="112"/>
      <c r="C512" s="37" t="s">
        <v>485</v>
      </c>
      <c r="D512" s="37"/>
    </row>
    <row r="513" spans="1:4" x14ac:dyDescent="0.2">
      <c r="A513" s="108"/>
      <c r="B513" s="112"/>
      <c r="C513" s="37" t="s">
        <v>314</v>
      </c>
      <c r="D513" s="37"/>
    </row>
    <row r="514" spans="1:4" x14ac:dyDescent="0.2">
      <c r="A514" s="103"/>
      <c r="B514" s="48" t="s">
        <v>752</v>
      </c>
      <c r="C514" s="39" t="s">
        <v>338</v>
      </c>
      <c r="D514" s="39"/>
    </row>
    <row r="515" spans="1:4" x14ac:dyDescent="0.2">
      <c r="A515" s="105"/>
      <c r="B515" s="50"/>
      <c r="C515" s="39" t="s">
        <v>339</v>
      </c>
      <c r="D515" s="39"/>
    </row>
    <row r="516" spans="1:4" x14ac:dyDescent="0.2">
      <c r="A516" s="108"/>
      <c r="B516" s="112" t="s">
        <v>98</v>
      </c>
      <c r="C516" s="37" t="s">
        <v>753</v>
      </c>
      <c r="D516" s="37"/>
    </row>
    <row r="517" spans="1:4" x14ac:dyDescent="0.2">
      <c r="A517" s="108"/>
      <c r="B517" s="112"/>
      <c r="C517" s="37" t="s">
        <v>754</v>
      </c>
      <c r="D517" s="37"/>
    </row>
    <row r="518" spans="1:4" x14ac:dyDescent="0.2">
      <c r="A518" s="108"/>
      <c r="B518" s="112"/>
      <c r="C518" s="37" t="s">
        <v>755</v>
      </c>
      <c r="D518" s="37"/>
    </row>
    <row r="519" spans="1:4" x14ac:dyDescent="0.2">
      <c r="A519" s="108"/>
      <c r="B519" s="112"/>
      <c r="C519" s="37" t="s">
        <v>756</v>
      </c>
      <c r="D519" s="37"/>
    </row>
    <row r="520" spans="1:4" x14ac:dyDescent="0.2">
      <c r="A520" s="84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8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5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5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8"/>
      <c r="B592" s="112" t="s">
        <v>159</v>
      </c>
      <c r="C592" s="37" t="s">
        <v>823</v>
      </c>
      <c r="D592" s="37"/>
    </row>
    <row r="593" spans="1:4" x14ac:dyDescent="0.2">
      <c r="A593" s="108"/>
      <c r="B593" s="112"/>
      <c r="C593" s="37" t="s">
        <v>824</v>
      </c>
      <c r="D593" s="37"/>
    </row>
    <row r="594" spans="1:4" x14ac:dyDescent="0.2">
      <c r="A594" s="108"/>
      <c r="B594" s="112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6"/>
      <c r="B596" s="88"/>
      <c r="C596" s="87" t="s">
        <v>339</v>
      </c>
      <c r="D596" s="39"/>
    </row>
    <row r="597" spans="1:4" x14ac:dyDescent="0.2">
      <c r="A597" s="107"/>
      <c r="B597" s="107" t="s">
        <v>114</v>
      </c>
      <c r="C597" s="37" t="s">
        <v>825</v>
      </c>
      <c r="D597" s="37"/>
    </row>
    <row r="598" spans="1:4" x14ac:dyDescent="0.2">
      <c r="A598" s="108"/>
      <c r="B598" s="108"/>
      <c r="C598" s="37" t="s">
        <v>826</v>
      </c>
      <c r="D598" s="37"/>
    </row>
    <row r="599" spans="1:4" x14ac:dyDescent="0.2">
      <c r="A599" s="108"/>
      <c r="B599" s="108"/>
      <c r="C599" s="37" t="s">
        <v>827</v>
      </c>
      <c r="D599" s="37"/>
    </row>
    <row r="600" spans="1:4" x14ac:dyDescent="0.2">
      <c r="A600" s="108"/>
      <c r="B600" s="108"/>
      <c r="C600" s="37" t="s">
        <v>828</v>
      </c>
      <c r="D600" s="37"/>
    </row>
    <row r="601" spans="1:4" x14ac:dyDescent="0.2">
      <c r="A601" s="108"/>
      <c r="B601" s="108"/>
      <c r="C601" s="37" t="s">
        <v>829</v>
      </c>
      <c r="D601" s="37"/>
    </row>
    <row r="602" spans="1:4" x14ac:dyDescent="0.2">
      <c r="A602" s="108"/>
      <c r="B602" s="108"/>
      <c r="C602" s="37" t="s">
        <v>830</v>
      </c>
      <c r="D602" s="37"/>
    </row>
    <row r="603" spans="1:4" x14ac:dyDescent="0.2">
      <c r="A603" s="108"/>
      <c r="B603" s="108"/>
      <c r="C603" s="37" t="s">
        <v>831</v>
      </c>
      <c r="D603" s="37"/>
    </row>
    <row r="604" spans="1:4" x14ac:dyDescent="0.2">
      <c r="A604" s="108"/>
      <c r="B604" s="108"/>
      <c r="C604" s="37" t="s">
        <v>832</v>
      </c>
      <c r="D604" s="37"/>
    </row>
    <row r="605" spans="1:4" x14ac:dyDescent="0.2">
      <c r="A605" s="108"/>
      <c r="B605" s="108"/>
      <c r="C605" s="37" t="s">
        <v>833</v>
      </c>
      <c r="D605" s="37"/>
    </row>
    <row r="606" spans="1:4" x14ac:dyDescent="0.2">
      <c r="A606" s="108"/>
      <c r="B606" s="108"/>
      <c r="C606" s="37" t="s">
        <v>834</v>
      </c>
      <c r="D606" s="37"/>
    </row>
    <row r="607" spans="1:4" x14ac:dyDescent="0.2">
      <c r="A607" s="108"/>
      <c r="B607" s="108"/>
      <c r="C607" s="37" t="s">
        <v>835</v>
      </c>
      <c r="D607" s="37"/>
    </row>
    <row r="608" spans="1:4" x14ac:dyDescent="0.2">
      <c r="A608" s="108"/>
      <c r="B608" s="108"/>
      <c r="C608" s="37" t="s">
        <v>836</v>
      </c>
      <c r="D608" s="37"/>
    </row>
    <row r="609" spans="1:5" x14ac:dyDescent="0.2">
      <c r="A609" s="108"/>
      <c r="B609" s="108"/>
      <c r="C609" s="37" t="s">
        <v>837</v>
      </c>
      <c r="D609" s="37"/>
    </row>
    <row r="610" spans="1:5" x14ac:dyDescent="0.2">
      <c r="A610" s="108"/>
      <c r="B610" s="108"/>
      <c r="C610" s="37" t="s">
        <v>838</v>
      </c>
      <c r="D610" s="37"/>
    </row>
    <row r="611" spans="1:5" x14ac:dyDescent="0.2">
      <c r="A611" s="108"/>
      <c r="B611" s="108"/>
      <c r="C611" s="37" t="s">
        <v>839</v>
      </c>
      <c r="D611" s="37"/>
    </row>
    <row r="612" spans="1:5" x14ac:dyDescent="0.2">
      <c r="A612" s="108"/>
      <c r="B612" s="108"/>
      <c r="C612" s="37" t="s">
        <v>840</v>
      </c>
      <c r="D612" s="37"/>
    </row>
    <row r="613" spans="1:5" x14ac:dyDescent="0.2">
      <c r="A613" s="108"/>
      <c r="B613" s="108"/>
      <c r="C613" s="37" t="s">
        <v>841</v>
      </c>
      <c r="D613" s="37"/>
    </row>
    <row r="614" spans="1:5" x14ac:dyDescent="0.2">
      <c r="A614" s="108"/>
      <c r="B614" s="108"/>
      <c r="C614" s="37" t="s">
        <v>842</v>
      </c>
      <c r="D614" s="37"/>
    </row>
    <row r="615" spans="1:5" x14ac:dyDescent="0.2">
      <c r="A615" s="108"/>
      <c r="B615" s="108"/>
      <c r="C615" s="37" t="s">
        <v>843</v>
      </c>
      <c r="D615" s="37"/>
    </row>
    <row r="616" spans="1:5" x14ac:dyDescent="0.2">
      <c r="A616" s="108"/>
      <c r="B616" s="108"/>
      <c r="C616" s="37" t="s">
        <v>844</v>
      </c>
      <c r="D616" s="37"/>
    </row>
    <row r="617" spans="1:5" x14ac:dyDescent="0.2">
      <c r="A617" s="108"/>
      <c r="B617" s="108"/>
      <c r="C617" s="37" t="s">
        <v>845</v>
      </c>
      <c r="D617" s="37"/>
    </row>
    <row r="618" spans="1:5" x14ac:dyDescent="0.2">
      <c r="A618" s="108"/>
      <c r="B618" s="108"/>
      <c r="C618" s="37" t="s">
        <v>846</v>
      </c>
      <c r="D618" s="37"/>
    </row>
    <row r="619" spans="1:5" x14ac:dyDescent="0.2">
      <c r="A619" s="108"/>
      <c r="B619" s="108"/>
      <c r="C619" s="37" t="s">
        <v>847</v>
      </c>
      <c r="D619" s="37"/>
    </row>
    <row r="620" spans="1:5" x14ac:dyDescent="0.2">
      <c r="A620" s="108"/>
      <c r="B620" s="108"/>
      <c r="C620" s="37" t="s">
        <v>569</v>
      </c>
      <c r="D620" s="37"/>
    </row>
    <row r="621" spans="1:5" x14ac:dyDescent="0.2">
      <c r="A621" s="108"/>
      <c r="B621" s="108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8"/>
      <c r="B634" s="112" t="s">
        <v>178</v>
      </c>
      <c r="C634" s="37" t="s">
        <v>859</v>
      </c>
      <c r="D634" s="37" t="s">
        <v>860</v>
      </c>
    </row>
    <row r="635" spans="1:5" x14ac:dyDescent="0.2">
      <c r="A635" s="108"/>
      <c r="B635" s="112"/>
      <c r="C635" s="37" t="s">
        <v>861</v>
      </c>
      <c r="D635" s="37" t="s">
        <v>862</v>
      </c>
    </row>
    <row r="636" spans="1:5" x14ac:dyDescent="0.2">
      <c r="A636" s="108"/>
      <c r="B636" s="112"/>
      <c r="C636" s="37" t="s">
        <v>863</v>
      </c>
      <c r="D636" s="37" t="s">
        <v>864</v>
      </c>
    </row>
    <row r="637" spans="1:5" x14ac:dyDescent="0.2">
      <c r="A637" s="108"/>
      <c r="B637" s="112"/>
      <c r="C637" s="37" t="s">
        <v>865</v>
      </c>
      <c r="D637" s="37" t="s">
        <v>866</v>
      </c>
    </row>
    <row r="638" spans="1:5" x14ac:dyDescent="0.2">
      <c r="A638" s="108"/>
      <c r="B638" s="112"/>
      <c r="C638" s="37" t="s">
        <v>867</v>
      </c>
      <c r="D638" s="37" t="s">
        <v>868</v>
      </c>
    </row>
    <row r="639" spans="1:5" x14ac:dyDescent="0.2">
      <c r="A639" s="108"/>
      <c r="B639" s="112"/>
      <c r="C639" s="37" t="s">
        <v>869</v>
      </c>
      <c r="D639" s="37" t="s">
        <v>870</v>
      </c>
    </row>
    <row r="640" spans="1:5" x14ac:dyDescent="0.2">
      <c r="A640" s="108"/>
      <c r="B640" s="112"/>
      <c r="C640" s="37" t="s">
        <v>871</v>
      </c>
      <c r="D640" s="37" t="s">
        <v>872</v>
      </c>
    </row>
    <row r="641" spans="1:4" x14ac:dyDescent="0.2">
      <c r="A641" s="108"/>
      <c r="B641" s="112"/>
      <c r="C641" s="37" t="s">
        <v>873</v>
      </c>
      <c r="D641" s="37" t="s">
        <v>873</v>
      </c>
    </row>
    <row r="642" spans="1:4" x14ac:dyDescent="0.2">
      <c r="A642" s="108"/>
      <c r="B642" s="112"/>
      <c r="C642" s="37" t="s">
        <v>314</v>
      </c>
      <c r="D642" s="37"/>
    </row>
    <row r="643" spans="1:4" x14ac:dyDescent="0.2">
      <c r="A643" s="109"/>
      <c r="B643" s="109" t="s">
        <v>874</v>
      </c>
      <c r="C643" s="39" t="s">
        <v>875</v>
      </c>
      <c r="D643" s="39" t="s">
        <v>876</v>
      </c>
    </row>
    <row r="644" spans="1:4" x14ac:dyDescent="0.2">
      <c r="A644" s="110"/>
      <c r="B644" s="110"/>
      <c r="C644" s="39" t="s">
        <v>877</v>
      </c>
      <c r="D644" s="39" t="s">
        <v>878</v>
      </c>
    </row>
    <row r="645" spans="1:4" x14ac:dyDescent="0.2">
      <c r="A645" s="110"/>
      <c r="B645" s="110"/>
      <c r="C645" s="39" t="s">
        <v>879</v>
      </c>
      <c r="D645" s="39" t="s">
        <v>880</v>
      </c>
    </row>
    <row r="646" spans="1:4" x14ac:dyDescent="0.2">
      <c r="A646" s="110"/>
      <c r="B646" s="110"/>
      <c r="C646" s="39" t="s">
        <v>881</v>
      </c>
      <c r="D646" s="39" t="s">
        <v>882</v>
      </c>
    </row>
    <row r="647" spans="1:4" x14ac:dyDescent="0.2">
      <c r="A647" s="110"/>
      <c r="B647" s="110"/>
      <c r="C647" s="39" t="s">
        <v>883</v>
      </c>
      <c r="D647" s="39"/>
    </row>
    <row r="648" spans="1:4" x14ac:dyDescent="0.2">
      <c r="A648" s="111"/>
      <c r="B648" s="111"/>
      <c r="C648" s="39" t="s">
        <v>314</v>
      </c>
      <c r="D648" s="39"/>
    </row>
    <row r="649" spans="1:4" x14ac:dyDescent="0.2">
      <c r="A649" s="108"/>
      <c r="B649" s="112" t="s">
        <v>103</v>
      </c>
      <c r="C649" s="37" t="s">
        <v>884</v>
      </c>
      <c r="D649" s="37"/>
    </row>
    <row r="650" spans="1:4" x14ac:dyDescent="0.2">
      <c r="A650" s="108"/>
      <c r="B650" s="112"/>
      <c r="C650" s="37" t="s">
        <v>885</v>
      </c>
      <c r="D650" s="37"/>
    </row>
    <row r="651" spans="1:4" x14ac:dyDescent="0.2">
      <c r="A651" s="108"/>
      <c r="B651" s="112"/>
      <c r="C651" s="37" t="s">
        <v>886</v>
      </c>
      <c r="D651" s="37"/>
    </row>
    <row r="652" spans="1:4" x14ac:dyDescent="0.2">
      <c r="A652" s="108"/>
      <c r="B652" s="112"/>
      <c r="C652" s="37" t="s">
        <v>887</v>
      </c>
      <c r="D652" s="37"/>
    </row>
    <row r="653" spans="1:4" x14ac:dyDescent="0.2">
      <c r="A653" s="108"/>
      <c r="B653" s="112"/>
      <c r="C653" s="37" t="s">
        <v>314</v>
      </c>
      <c r="D653" s="37"/>
    </row>
    <row r="654" spans="1:4" x14ac:dyDescent="0.2">
      <c r="A654" s="109"/>
      <c r="B654" s="109" t="s">
        <v>104</v>
      </c>
      <c r="C654" s="39" t="s">
        <v>888</v>
      </c>
      <c r="D654" s="39"/>
    </row>
    <row r="655" spans="1:4" x14ac:dyDescent="0.2">
      <c r="A655" s="110"/>
      <c r="B655" s="110"/>
      <c r="C655" s="39" t="s">
        <v>889</v>
      </c>
      <c r="D655" s="39"/>
    </row>
    <row r="656" spans="1:4" x14ac:dyDescent="0.2">
      <c r="A656" s="108"/>
      <c r="B656" s="112" t="s">
        <v>17</v>
      </c>
      <c r="C656" s="37" t="s">
        <v>15</v>
      </c>
      <c r="D656" s="37"/>
    </row>
    <row r="657" spans="1:6" x14ac:dyDescent="0.2">
      <c r="A657" s="108"/>
      <c r="B657" s="112"/>
      <c r="C657" s="37" t="s">
        <v>16</v>
      </c>
      <c r="D657" s="37"/>
    </row>
    <row r="658" spans="1:6" x14ac:dyDescent="0.2">
      <c r="A658" s="109"/>
      <c r="B658" s="109" t="s">
        <v>139</v>
      </c>
      <c r="C658" s="39" t="s">
        <v>890</v>
      </c>
      <c r="D658" s="39"/>
    </row>
    <row r="659" spans="1:6" x14ac:dyDescent="0.2">
      <c r="A659" s="110"/>
      <c r="B659" s="110"/>
      <c r="C659" s="39" t="s">
        <v>891</v>
      </c>
      <c r="D659" s="39"/>
    </row>
    <row r="660" spans="1:6" x14ac:dyDescent="0.2">
      <c r="A660" s="110"/>
      <c r="B660" s="110"/>
      <c r="C660" s="39" t="s">
        <v>892</v>
      </c>
      <c r="D660" s="39"/>
    </row>
    <row r="661" spans="1:6" x14ac:dyDescent="0.2">
      <c r="A661" s="110"/>
      <c r="B661" s="110"/>
      <c r="C661" s="39" t="s">
        <v>893</v>
      </c>
      <c r="D661" s="39"/>
    </row>
    <row r="662" spans="1:6" x14ac:dyDescent="0.2">
      <c r="A662" s="110"/>
      <c r="B662" s="110"/>
      <c r="C662" s="39" t="s">
        <v>894</v>
      </c>
      <c r="D662" s="39"/>
    </row>
    <row r="663" spans="1:6" x14ac:dyDescent="0.2">
      <c r="A663" s="110"/>
      <c r="B663" s="110"/>
      <c r="C663" s="39" t="s">
        <v>895</v>
      </c>
      <c r="D663" s="39"/>
    </row>
    <row r="664" spans="1:6" x14ac:dyDescent="0.2">
      <c r="A664" s="110"/>
      <c r="B664" s="110"/>
      <c r="C664" s="39" t="s">
        <v>314</v>
      </c>
      <c r="D664" s="39"/>
    </row>
    <row r="665" spans="1:6" x14ac:dyDescent="0.2">
      <c r="A665" s="111"/>
      <c r="B665" s="111"/>
      <c r="C665" s="39" t="s">
        <v>896</v>
      </c>
      <c r="D665" s="39"/>
    </row>
    <row r="666" spans="1:6" x14ac:dyDescent="0.2">
      <c r="A666" s="108"/>
      <c r="B666" s="112" t="s">
        <v>140</v>
      </c>
      <c r="C666" s="37" t="s">
        <v>897</v>
      </c>
      <c r="D666" s="37"/>
    </row>
    <row r="667" spans="1:6" x14ac:dyDescent="0.2">
      <c r="A667" s="108"/>
      <c r="B667" s="112"/>
      <c r="C667" s="37" t="s">
        <v>898</v>
      </c>
      <c r="D667" s="37"/>
      <c r="F667" s="7"/>
    </row>
    <row r="668" spans="1:6" x14ac:dyDescent="0.2">
      <c r="A668" s="109"/>
      <c r="B668" s="109" t="s">
        <v>85</v>
      </c>
      <c r="C668" s="39" t="s">
        <v>899</v>
      </c>
      <c r="D668" s="39"/>
    </row>
    <row r="669" spans="1:6" x14ac:dyDescent="0.2">
      <c r="A669" s="110"/>
      <c r="B669" s="110"/>
      <c r="C669" s="39" t="s">
        <v>900</v>
      </c>
      <c r="D669" s="39"/>
    </row>
    <row r="670" spans="1:6" x14ac:dyDescent="0.2">
      <c r="A670" s="110"/>
      <c r="B670" s="110"/>
      <c r="C670" s="39" t="s">
        <v>901</v>
      </c>
      <c r="D670" s="39"/>
    </row>
    <row r="671" spans="1:6" x14ac:dyDescent="0.2">
      <c r="A671" s="110"/>
      <c r="B671" s="110"/>
      <c r="C671" s="39" t="s">
        <v>902</v>
      </c>
      <c r="D671" s="39"/>
    </row>
    <row r="672" spans="1:6" x14ac:dyDescent="0.2">
      <c r="A672" s="110"/>
      <c r="B672" s="110"/>
      <c r="C672" s="39" t="s">
        <v>903</v>
      </c>
      <c r="D672" s="39"/>
    </row>
    <row r="673" spans="1:4" x14ac:dyDescent="0.2">
      <c r="A673" s="110"/>
      <c r="B673" s="110"/>
      <c r="C673" s="39" t="s">
        <v>904</v>
      </c>
      <c r="D673" s="39"/>
    </row>
    <row r="674" spans="1:4" x14ac:dyDescent="0.2">
      <c r="A674" s="110"/>
      <c r="B674" s="110"/>
      <c r="C674" s="39" t="s">
        <v>905</v>
      </c>
      <c r="D674" s="39"/>
    </row>
    <row r="675" spans="1:4" x14ac:dyDescent="0.2">
      <c r="A675" s="110"/>
      <c r="B675" s="110"/>
      <c r="C675" s="39" t="s">
        <v>906</v>
      </c>
      <c r="D675" s="39"/>
    </row>
    <row r="676" spans="1:4" x14ac:dyDescent="0.2">
      <c r="A676" s="110"/>
      <c r="B676" s="110"/>
      <c r="C676" s="39" t="s">
        <v>907</v>
      </c>
      <c r="D676" s="39"/>
    </row>
    <row r="677" spans="1:4" x14ac:dyDescent="0.2">
      <c r="A677" s="110"/>
      <c r="B677" s="110"/>
      <c r="C677" s="39" t="s">
        <v>908</v>
      </c>
      <c r="D677" s="39"/>
    </row>
    <row r="678" spans="1:4" x14ac:dyDescent="0.2">
      <c r="A678" s="110"/>
      <c r="B678" s="110"/>
      <c r="C678" s="39" t="s">
        <v>569</v>
      </c>
      <c r="D678" s="39"/>
    </row>
    <row r="679" spans="1:4" x14ac:dyDescent="0.2">
      <c r="A679" s="111"/>
      <c r="B679" s="111"/>
      <c r="C679" s="39" t="s">
        <v>896</v>
      </c>
      <c r="D679" s="39"/>
    </row>
    <row r="680" spans="1:4" x14ac:dyDescent="0.2">
      <c r="A680" s="113"/>
      <c r="B680" s="113" t="s">
        <v>143</v>
      </c>
      <c r="C680" s="37" t="s">
        <v>890</v>
      </c>
      <c r="D680" s="37"/>
    </row>
    <row r="681" spans="1:4" x14ac:dyDescent="0.2">
      <c r="A681" s="104"/>
      <c r="B681" s="104"/>
      <c r="C681" s="37" t="s">
        <v>891</v>
      </c>
      <c r="D681" s="37"/>
    </row>
    <row r="682" spans="1:4" x14ac:dyDescent="0.2">
      <c r="A682" s="104"/>
      <c r="B682" s="104"/>
      <c r="C682" s="37" t="s">
        <v>892</v>
      </c>
      <c r="D682" s="37"/>
    </row>
    <row r="683" spans="1:4" x14ac:dyDescent="0.2">
      <c r="A683" s="104"/>
      <c r="B683" s="104"/>
      <c r="C683" s="37" t="s">
        <v>893</v>
      </c>
      <c r="D683" s="37"/>
    </row>
    <row r="684" spans="1:4" x14ac:dyDescent="0.2">
      <c r="A684" s="104"/>
      <c r="B684" s="104"/>
      <c r="C684" s="37" t="s">
        <v>894</v>
      </c>
      <c r="D684" s="37"/>
    </row>
    <row r="685" spans="1:4" x14ac:dyDescent="0.2">
      <c r="A685" s="104"/>
      <c r="B685" s="104"/>
      <c r="C685" s="37" t="s">
        <v>895</v>
      </c>
      <c r="D685" s="37"/>
    </row>
    <row r="686" spans="1:4" x14ac:dyDescent="0.2">
      <c r="A686" s="104"/>
      <c r="B686" s="104"/>
      <c r="C686" s="37" t="s">
        <v>314</v>
      </c>
      <c r="D686" s="37"/>
    </row>
    <row r="687" spans="1:4" x14ac:dyDescent="0.2">
      <c r="A687" s="104"/>
      <c r="B687" s="104"/>
      <c r="C687" s="37" t="s">
        <v>896</v>
      </c>
      <c r="D687" s="37"/>
    </row>
    <row r="688" spans="1:4" x14ac:dyDescent="0.2">
      <c r="A688" s="109"/>
      <c r="B688" s="48" t="s">
        <v>909</v>
      </c>
      <c r="C688" s="39" t="s">
        <v>910</v>
      </c>
      <c r="D688" s="39"/>
    </row>
    <row r="689" spans="1:4" x14ac:dyDescent="0.2">
      <c r="A689" s="110"/>
      <c r="B689" s="50"/>
      <c r="C689" s="39" t="s">
        <v>911</v>
      </c>
      <c r="D689" s="39"/>
    </row>
    <row r="690" spans="1:4" x14ac:dyDescent="0.2">
      <c r="A690" s="113"/>
      <c r="B690" s="113" t="s">
        <v>142</v>
      </c>
      <c r="C690" s="37" t="s">
        <v>912</v>
      </c>
      <c r="D690" s="37"/>
    </row>
    <row r="691" spans="1:4" x14ac:dyDescent="0.2">
      <c r="A691" s="104"/>
      <c r="B691" s="104"/>
      <c r="C691" s="37" t="s">
        <v>913</v>
      </c>
      <c r="D691" s="37"/>
    </row>
    <row r="692" spans="1:4" x14ac:dyDescent="0.2">
      <c r="A692" s="109"/>
      <c r="B692" s="109" t="s">
        <v>134</v>
      </c>
      <c r="C692" s="39" t="s">
        <v>914</v>
      </c>
      <c r="D692" s="39"/>
    </row>
    <row r="693" spans="1:4" x14ac:dyDescent="0.2">
      <c r="A693" s="110"/>
      <c r="B693" s="110"/>
      <c r="C693" s="39" t="s">
        <v>745</v>
      </c>
      <c r="D693" s="39"/>
    </row>
    <row r="694" spans="1:4" x14ac:dyDescent="0.2">
      <c r="A694" s="110"/>
      <c r="B694" s="110"/>
      <c r="C694" s="39" t="s">
        <v>915</v>
      </c>
      <c r="D694" s="39"/>
    </row>
    <row r="695" spans="1:4" x14ac:dyDescent="0.2">
      <c r="A695" s="110"/>
      <c r="B695" s="110"/>
      <c r="C695" s="39" t="s">
        <v>916</v>
      </c>
      <c r="D695" s="39"/>
    </row>
    <row r="696" spans="1:4" x14ac:dyDescent="0.2">
      <c r="A696" s="110"/>
      <c r="B696" s="110"/>
      <c r="C696" s="39" t="s">
        <v>917</v>
      </c>
      <c r="D696" s="39"/>
    </row>
    <row r="697" spans="1:4" x14ac:dyDescent="0.2">
      <c r="A697" s="110"/>
      <c r="B697" s="110"/>
      <c r="C697" s="39" t="s">
        <v>83</v>
      </c>
      <c r="D697" s="39"/>
    </row>
    <row r="698" spans="1:4" x14ac:dyDescent="0.2">
      <c r="A698" s="110"/>
      <c r="B698" s="110"/>
      <c r="C698" s="39" t="s">
        <v>918</v>
      </c>
      <c r="D698" s="39"/>
    </row>
    <row r="699" spans="1:4" x14ac:dyDescent="0.2">
      <c r="A699" s="110"/>
      <c r="B699" s="110"/>
      <c r="C699" s="39" t="s">
        <v>919</v>
      </c>
      <c r="D699" s="39"/>
    </row>
    <row r="700" spans="1:4" x14ac:dyDescent="0.2">
      <c r="A700" s="110"/>
      <c r="B700" s="110"/>
      <c r="C700" s="39" t="s">
        <v>314</v>
      </c>
      <c r="D700" s="39"/>
    </row>
    <row r="701" spans="1:4" x14ac:dyDescent="0.2">
      <c r="A701" s="113"/>
      <c r="B701" s="113" t="s">
        <v>135</v>
      </c>
      <c r="C701" s="37" t="s">
        <v>436</v>
      </c>
      <c r="D701" s="37"/>
    </row>
    <row r="702" spans="1:4" x14ac:dyDescent="0.2">
      <c r="A702" s="104"/>
      <c r="B702" s="104"/>
      <c r="C702" s="37" t="s">
        <v>437</v>
      </c>
      <c r="D702" s="37"/>
    </row>
    <row r="703" spans="1:4" x14ac:dyDescent="0.2">
      <c r="A703" s="104"/>
      <c r="B703" s="104"/>
      <c r="C703" s="37" t="s">
        <v>438</v>
      </c>
      <c r="D703" s="37"/>
    </row>
    <row r="704" spans="1:4" x14ac:dyDescent="0.2">
      <c r="A704" s="104"/>
      <c r="B704" s="104"/>
      <c r="C704" s="37" t="s">
        <v>439</v>
      </c>
      <c r="D704" s="37"/>
    </row>
    <row r="705" spans="1:5" x14ac:dyDescent="0.2">
      <c r="A705" s="104"/>
      <c r="B705" s="104"/>
      <c r="C705" s="37" t="s">
        <v>440</v>
      </c>
      <c r="D705" s="37"/>
    </row>
    <row r="706" spans="1:5" x14ac:dyDescent="0.2">
      <c r="A706" s="104"/>
      <c r="B706" s="104"/>
      <c r="C706" s="37" t="s">
        <v>441</v>
      </c>
      <c r="D706" s="37"/>
    </row>
    <row r="707" spans="1:5" x14ac:dyDescent="0.2">
      <c r="A707" s="104"/>
      <c r="B707" s="104"/>
      <c r="C707" s="37" t="s">
        <v>443</v>
      </c>
      <c r="D707" s="37"/>
    </row>
    <row r="708" spans="1:5" x14ac:dyDescent="0.2">
      <c r="A708" s="104"/>
      <c r="B708" s="104"/>
      <c r="C708" s="37" t="s">
        <v>444</v>
      </c>
      <c r="D708" s="37"/>
    </row>
    <row r="709" spans="1:5" x14ac:dyDescent="0.2">
      <c r="A709" s="104"/>
      <c r="B709" s="104"/>
      <c r="C709" s="37" t="s">
        <v>445</v>
      </c>
      <c r="D709" s="37"/>
    </row>
    <row r="710" spans="1:5" x14ac:dyDescent="0.2">
      <c r="A710" s="104"/>
      <c r="B710" s="104"/>
      <c r="C710" s="37" t="s">
        <v>446</v>
      </c>
      <c r="D710" s="37"/>
    </row>
    <row r="711" spans="1:5" x14ac:dyDescent="0.2">
      <c r="A711" s="104"/>
      <c r="B711" s="104"/>
      <c r="C711" s="37" t="s">
        <v>447</v>
      </c>
      <c r="D711" s="37"/>
    </row>
    <row r="712" spans="1:5" x14ac:dyDescent="0.2">
      <c r="A712" s="104"/>
      <c r="B712" s="104"/>
      <c r="C712" s="37" t="s">
        <v>448</v>
      </c>
      <c r="D712" s="37"/>
    </row>
    <row r="713" spans="1:5" x14ac:dyDescent="0.2">
      <c r="A713" s="104"/>
      <c r="B713" s="104"/>
      <c r="C713" s="37" t="s">
        <v>449</v>
      </c>
      <c r="D713" s="37"/>
    </row>
    <row r="714" spans="1:5" x14ac:dyDescent="0.2">
      <c r="A714" s="104"/>
      <c r="B714" s="104"/>
      <c r="C714" s="37" t="s">
        <v>450</v>
      </c>
      <c r="D714" s="37"/>
    </row>
    <row r="715" spans="1:5" x14ac:dyDescent="0.2">
      <c r="A715" s="104"/>
      <c r="B715" s="104"/>
      <c r="C715" s="37" t="s">
        <v>451</v>
      </c>
      <c r="D715" s="37"/>
    </row>
    <row r="716" spans="1:5" x14ac:dyDescent="0.2">
      <c r="A716" s="104"/>
      <c r="B716" s="104"/>
      <c r="C716" s="37" t="s">
        <v>452</v>
      </c>
      <c r="D716" s="37" t="s">
        <v>453</v>
      </c>
      <c r="E716" t="s">
        <v>214</v>
      </c>
    </row>
    <row r="717" spans="1:5" x14ac:dyDescent="0.2">
      <c r="A717" s="104"/>
      <c r="B717" s="104"/>
      <c r="C717" s="37" t="s">
        <v>454</v>
      </c>
      <c r="D717" s="37"/>
    </row>
    <row r="718" spans="1:5" x14ac:dyDescent="0.2">
      <c r="A718" s="104"/>
      <c r="B718" s="104"/>
      <c r="C718" s="37" t="s">
        <v>455</v>
      </c>
      <c r="D718" s="37"/>
    </row>
    <row r="719" spans="1:5" x14ac:dyDescent="0.2">
      <c r="A719" s="104"/>
      <c r="B719" s="104"/>
      <c r="C719" s="37" t="s">
        <v>456</v>
      </c>
      <c r="D719" s="37"/>
    </row>
    <row r="720" spans="1:5" x14ac:dyDescent="0.2">
      <c r="A720" s="104"/>
      <c r="B720" s="104"/>
      <c r="C720" s="37" t="s">
        <v>457</v>
      </c>
      <c r="D720" s="37"/>
    </row>
    <row r="721" spans="1:4" x14ac:dyDescent="0.2">
      <c r="A721" s="104"/>
      <c r="B721" s="104"/>
      <c r="C721" s="37" t="s">
        <v>458</v>
      </c>
      <c r="D721" s="37"/>
    </row>
    <row r="722" spans="1:4" x14ac:dyDescent="0.2">
      <c r="A722" s="104"/>
      <c r="B722" s="104"/>
      <c r="C722" s="37" t="s">
        <v>459</v>
      </c>
      <c r="D722" s="37"/>
    </row>
    <row r="723" spans="1:4" x14ac:dyDescent="0.2">
      <c r="A723" s="104"/>
      <c r="B723" s="104"/>
      <c r="C723" s="37" t="s">
        <v>460</v>
      </c>
      <c r="D723" s="37"/>
    </row>
    <row r="724" spans="1:4" x14ac:dyDescent="0.2">
      <c r="A724" s="104"/>
      <c r="B724" s="104"/>
      <c r="C724" s="37" t="s">
        <v>461</v>
      </c>
      <c r="D724" s="37"/>
    </row>
    <row r="725" spans="1:4" x14ac:dyDescent="0.2">
      <c r="A725" s="104"/>
      <c r="B725" s="104"/>
      <c r="C725" s="37" t="s">
        <v>462</v>
      </c>
      <c r="D725" s="37"/>
    </row>
    <row r="726" spans="1:4" x14ac:dyDescent="0.2">
      <c r="A726" s="104"/>
      <c r="B726" s="104"/>
      <c r="C726" s="37" t="s">
        <v>463</v>
      </c>
      <c r="D726" s="37"/>
    </row>
    <row r="727" spans="1:4" x14ac:dyDescent="0.2">
      <c r="A727" s="104"/>
      <c r="B727" s="104"/>
      <c r="C727" s="37" t="s">
        <v>464</v>
      </c>
      <c r="D727" s="37"/>
    </row>
    <row r="728" spans="1:4" x14ac:dyDescent="0.2">
      <c r="A728" s="104"/>
      <c r="B728" s="104"/>
      <c r="C728" s="37" t="s">
        <v>465</v>
      </c>
      <c r="D728" s="37"/>
    </row>
    <row r="729" spans="1:4" x14ac:dyDescent="0.2">
      <c r="A729" s="104"/>
      <c r="B729" s="104"/>
      <c r="C729" s="37" t="s">
        <v>466</v>
      </c>
      <c r="D729" s="37"/>
    </row>
    <row r="730" spans="1:4" x14ac:dyDescent="0.2">
      <c r="A730" s="104"/>
      <c r="B730" s="104"/>
      <c r="C730" s="37" t="s">
        <v>467</v>
      </c>
      <c r="D730" s="37"/>
    </row>
    <row r="731" spans="1:4" x14ac:dyDescent="0.2">
      <c r="A731" s="104"/>
      <c r="B731" s="104"/>
      <c r="C731" s="37" t="s">
        <v>468</v>
      </c>
      <c r="D731" s="37"/>
    </row>
    <row r="732" spans="1:4" x14ac:dyDescent="0.2">
      <c r="A732" s="104"/>
      <c r="B732" s="104"/>
      <c r="C732" s="37" t="s">
        <v>469</v>
      </c>
      <c r="D732" s="37"/>
    </row>
    <row r="733" spans="1:4" x14ac:dyDescent="0.2">
      <c r="A733" s="104"/>
      <c r="B733" s="104"/>
      <c r="C733" s="37" t="s">
        <v>470</v>
      </c>
      <c r="D733" s="37"/>
    </row>
    <row r="734" spans="1:4" x14ac:dyDescent="0.2">
      <c r="A734" s="104"/>
      <c r="B734" s="104"/>
      <c r="C734" s="37" t="s">
        <v>471</v>
      </c>
      <c r="D734" s="37"/>
    </row>
    <row r="735" spans="1:4" x14ac:dyDescent="0.2">
      <c r="A735" s="104"/>
      <c r="B735" s="104"/>
      <c r="C735" s="37" t="s">
        <v>472</v>
      </c>
      <c r="D735" s="37"/>
    </row>
    <row r="736" spans="1:4" x14ac:dyDescent="0.2">
      <c r="A736" s="104"/>
      <c r="B736" s="104"/>
      <c r="C736" s="37" t="s">
        <v>24</v>
      </c>
      <c r="D736" s="37"/>
    </row>
    <row r="737" spans="1:4" x14ac:dyDescent="0.2">
      <c r="A737" s="104"/>
      <c r="B737" s="104"/>
      <c r="C737" s="37" t="s">
        <v>473</v>
      </c>
      <c r="D737" s="37"/>
    </row>
    <row r="738" spans="1:4" x14ac:dyDescent="0.2">
      <c r="A738" s="104"/>
      <c r="B738" s="104"/>
      <c r="C738" s="37" t="s">
        <v>474</v>
      </c>
      <c r="D738" s="37"/>
    </row>
    <row r="739" spans="1:4" x14ac:dyDescent="0.2">
      <c r="A739" s="104"/>
      <c r="B739" s="104"/>
      <c r="C739" s="37" t="s">
        <v>475</v>
      </c>
      <c r="D739" s="37"/>
    </row>
    <row r="740" spans="1:4" x14ac:dyDescent="0.2">
      <c r="A740" s="104"/>
      <c r="B740" s="104"/>
      <c r="C740" s="37" t="s">
        <v>476</v>
      </c>
      <c r="D740" s="37"/>
    </row>
    <row r="741" spans="1:4" x14ac:dyDescent="0.2">
      <c r="A741" s="104"/>
      <c r="B741" s="104"/>
      <c r="C741" s="37" t="s">
        <v>477</v>
      </c>
      <c r="D741" s="37"/>
    </row>
    <row r="742" spans="1:4" x14ac:dyDescent="0.2">
      <c r="A742" s="104"/>
      <c r="B742" s="104"/>
      <c r="C742" s="37" t="s">
        <v>478</v>
      </c>
      <c r="D742" s="37"/>
    </row>
    <row r="743" spans="1:4" x14ac:dyDescent="0.2">
      <c r="A743" s="104"/>
      <c r="B743" s="104"/>
      <c r="C743" s="37" t="s">
        <v>479</v>
      </c>
      <c r="D743" s="37"/>
    </row>
    <row r="744" spans="1:4" x14ac:dyDescent="0.2">
      <c r="A744" s="104"/>
      <c r="B744" s="104"/>
      <c r="C744" s="37" t="s">
        <v>480</v>
      </c>
      <c r="D744" s="37"/>
    </row>
    <row r="745" spans="1:4" x14ac:dyDescent="0.2">
      <c r="A745" s="104"/>
      <c r="B745" s="104"/>
      <c r="C745" s="37" t="s">
        <v>481</v>
      </c>
      <c r="D745" s="37"/>
    </row>
    <row r="746" spans="1:4" x14ac:dyDescent="0.2">
      <c r="A746" s="104"/>
      <c r="B746" s="104"/>
      <c r="C746" s="37" t="s">
        <v>482</v>
      </c>
      <c r="D746" s="37"/>
    </row>
    <row r="747" spans="1:4" x14ac:dyDescent="0.2">
      <c r="A747" s="104"/>
      <c r="B747" s="104"/>
      <c r="C747" s="37" t="s">
        <v>483</v>
      </c>
      <c r="D747" s="37"/>
    </row>
    <row r="748" spans="1:4" x14ac:dyDescent="0.2">
      <c r="A748" s="104"/>
      <c r="B748" s="104"/>
      <c r="C748" s="37" t="s">
        <v>484</v>
      </c>
      <c r="D748" s="37"/>
    </row>
    <row r="749" spans="1:4" x14ac:dyDescent="0.2">
      <c r="A749" s="104"/>
      <c r="B749" s="104"/>
      <c r="C749" s="37" t="s">
        <v>485</v>
      </c>
      <c r="D749" s="37"/>
    </row>
    <row r="750" spans="1:4" x14ac:dyDescent="0.2">
      <c r="A750" s="104"/>
      <c r="B750" s="104"/>
      <c r="C750" s="37" t="s">
        <v>204</v>
      </c>
      <c r="D750" s="37"/>
    </row>
    <row r="751" spans="1:4" x14ac:dyDescent="0.2">
      <c r="A751" s="104"/>
      <c r="B751" s="104"/>
      <c r="C751" s="37" t="s">
        <v>207</v>
      </c>
      <c r="D751" s="37"/>
    </row>
    <row r="752" spans="1:4" x14ac:dyDescent="0.2">
      <c r="A752" s="104"/>
      <c r="B752" s="104"/>
      <c r="C752" s="37" t="s">
        <v>208</v>
      </c>
      <c r="D752" s="37"/>
    </row>
    <row r="753" spans="1:4" x14ac:dyDescent="0.2">
      <c r="A753" s="104"/>
      <c r="B753" s="104"/>
      <c r="C753" s="37" t="s">
        <v>209</v>
      </c>
      <c r="D753" s="37"/>
    </row>
    <row r="754" spans="1:4" x14ac:dyDescent="0.2">
      <c r="A754" s="104"/>
      <c r="B754" s="104"/>
      <c r="C754" s="37" t="s">
        <v>210</v>
      </c>
      <c r="D754" s="37"/>
    </row>
    <row r="755" spans="1:4" x14ac:dyDescent="0.2">
      <c r="A755" s="104"/>
      <c r="B755" s="104"/>
      <c r="C755" s="37" t="s">
        <v>211</v>
      </c>
      <c r="D755" s="37"/>
    </row>
    <row r="756" spans="1:4" x14ac:dyDescent="0.2">
      <c r="A756" s="104"/>
      <c r="B756" s="104"/>
      <c r="C756" s="37" t="s">
        <v>212</v>
      </c>
      <c r="D756" s="37"/>
    </row>
    <row r="757" spans="1:4" x14ac:dyDescent="0.2">
      <c r="A757" s="104"/>
      <c r="B757" s="104"/>
      <c r="C757" s="37" t="s">
        <v>213</v>
      </c>
      <c r="D757" s="37"/>
    </row>
    <row r="758" spans="1:4" x14ac:dyDescent="0.2">
      <c r="A758" s="104"/>
      <c r="B758" s="104"/>
      <c r="C758" s="37" t="s">
        <v>215</v>
      </c>
      <c r="D758" s="37"/>
    </row>
    <row r="759" spans="1:4" x14ac:dyDescent="0.2">
      <c r="A759" s="104"/>
      <c r="B759" s="104"/>
      <c r="C759" s="37" t="s">
        <v>216</v>
      </c>
      <c r="D759" s="37"/>
    </row>
    <row r="760" spans="1:4" x14ac:dyDescent="0.2">
      <c r="A760" s="104"/>
      <c r="B760" s="104"/>
      <c r="C760" s="37" t="s">
        <v>217</v>
      </c>
      <c r="D760" s="37"/>
    </row>
    <row r="761" spans="1:4" x14ac:dyDescent="0.2">
      <c r="A761" s="104"/>
      <c r="B761" s="104"/>
      <c r="C761" s="37" t="s">
        <v>218</v>
      </c>
      <c r="D761" s="37"/>
    </row>
    <row r="762" spans="1:4" x14ac:dyDescent="0.2">
      <c r="A762" s="104"/>
      <c r="B762" s="104"/>
      <c r="C762" s="37" t="s">
        <v>219</v>
      </c>
      <c r="D762" s="37"/>
    </row>
    <row r="763" spans="1:4" x14ac:dyDescent="0.2">
      <c r="A763" s="104"/>
      <c r="B763" s="104"/>
      <c r="C763" s="37" t="s">
        <v>220</v>
      </c>
      <c r="D763" s="37"/>
    </row>
    <row r="764" spans="1:4" x14ac:dyDescent="0.2">
      <c r="A764" s="104"/>
      <c r="B764" s="104"/>
      <c r="C764" s="37" t="s">
        <v>221</v>
      </c>
      <c r="D764" s="37"/>
    </row>
    <row r="765" spans="1:4" x14ac:dyDescent="0.2">
      <c r="A765" s="104"/>
      <c r="B765" s="104"/>
      <c r="C765" s="37" t="s">
        <v>222</v>
      </c>
      <c r="D765" s="37"/>
    </row>
    <row r="766" spans="1:4" x14ac:dyDescent="0.2">
      <c r="A766" s="104"/>
      <c r="B766" s="104"/>
      <c r="C766" s="37" t="s">
        <v>223</v>
      </c>
      <c r="D766" s="37"/>
    </row>
    <row r="767" spans="1:4" x14ac:dyDescent="0.2">
      <c r="A767" s="104"/>
      <c r="B767" s="104"/>
      <c r="C767" s="37" t="s">
        <v>224</v>
      </c>
      <c r="D767" s="37"/>
    </row>
    <row r="768" spans="1:4" x14ac:dyDescent="0.2">
      <c r="A768" s="104"/>
      <c r="B768" s="104"/>
      <c r="C768" s="37" t="s">
        <v>225</v>
      </c>
      <c r="D768" s="37"/>
    </row>
    <row r="769" spans="1:5" x14ac:dyDescent="0.2">
      <c r="A769" s="104"/>
      <c r="B769" s="104"/>
      <c r="C769" s="37" t="s">
        <v>226</v>
      </c>
      <c r="D769" s="37"/>
    </row>
    <row r="770" spans="1:5" x14ac:dyDescent="0.2">
      <c r="A770" s="104"/>
      <c r="B770" s="104"/>
      <c r="C770" s="37" t="s">
        <v>227</v>
      </c>
      <c r="D770" s="37"/>
    </row>
    <row r="771" spans="1:5" x14ac:dyDescent="0.2">
      <c r="A771" s="104"/>
      <c r="B771" s="104"/>
      <c r="C771" s="37" t="s">
        <v>228</v>
      </c>
      <c r="D771" s="37"/>
    </row>
    <row r="772" spans="1:5" x14ac:dyDescent="0.2">
      <c r="A772" s="104"/>
      <c r="B772" s="104"/>
      <c r="C772" s="37" t="s">
        <v>229</v>
      </c>
      <c r="D772" s="37"/>
    </row>
    <row r="773" spans="1:5" x14ac:dyDescent="0.2">
      <c r="A773" s="104"/>
      <c r="B773" s="104"/>
      <c r="C773" s="37" t="s">
        <v>230</v>
      </c>
      <c r="D773" s="37"/>
    </row>
    <row r="774" spans="1:5" x14ac:dyDescent="0.2">
      <c r="A774" s="104"/>
      <c r="B774" s="104"/>
      <c r="C774" s="37" t="s">
        <v>231</v>
      </c>
      <c r="D774" s="37"/>
    </row>
    <row r="775" spans="1:5" x14ac:dyDescent="0.2">
      <c r="A775" s="104"/>
      <c r="B775" s="104"/>
      <c r="C775" s="37" t="s">
        <v>232</v>
      </c>
      <c r="D775" s="37"/>
    </row>
    <row r="776" spans="1:5" x14ac:dyDescent="0.2">
      <c r="A776" s="104"/>
      <c r="B776" s="104"/>
      <c r="C776" s="37" t="s">
        <v>233</v>
      </c>
      <c r="D776" s="37"/>
    </row>
    <row r="777" spans="1:5" x14ac:dyDescent="0.2">
      <c r="A777" s="104"/>
      <c r="B777" s="104"/>
      <c r="C777" s="37" t="s">
        <v>234</v>
      </c>
      <c r="D777" s="37"/>
    </row>
    <row r="778" spans="1:5" x14ac:dyDescent="0.2">
      <c r="A778" s="104"/>
      <c r="B778" s="104"/>
      <c r="C778" s="37" t="s">
        <v>235</v>
      </c>
      <c r="D778" s="37"/>
    </row>
    <row r="779" spans="1:5" x14ac:dyDescent="0.2">
      <c r="A779" s="104"/>
      <c r="B779" s="104"/>
      <c r="C779" s="37" t="s">
        <v>236</v>
      </c>
      <c r="D779" s="37"/>
    </row>
    <row r="780" spans="1:5" x14ac:dyDescent="0.2">
      <c r="A780" s="104"/>
      <c r="B780" s="104"/>
      <c r="C780" s="37" t="s">
        <v>237</v>
      </c>
      <c r="D780" s="37"/>
    </row>
    <row r="781" spans="1:5" x14ac:dyDescent="0.2">
      <c r="A781" s="104"/>
      <c r="B781" s="104"/>
      <c r="C781" s="37" t="s">
        <v>238</v>
      </c>
      <c r="D781" s="37"/>
    </row>
    <row r="782" spans="1:5" x14ac:dyDescent="0.2">
      <c r="A782" s="104"/>
      <c r="B782" s="104"/>
      <c r="C782" s="37" t="s">
        <v>239</v>
      </c>
      <c r="D782" s="37"/>
      <c r="E782" t="s">
        <v>214</v>
      </c>
    </row>
    <row r="783" spans="1:5" x14ac:dyDescent="0.2">
      <c r="A783" s="104"/>
      <c r="B783" s="104"/>
      <c r="C783" s="37" t="s">
        <v>240</v>
      </c>
      <c r="D783" s="37"/>
      <c r="E783" t="s">
        <v>214</v>
      </c>
    </row>
    <row r="784" spans="1:5" x14ac:dyDescent="0.2">
      <c r="A784" s="104"/>
      <c r="B784" s="104"/>
      <c r="C784" s="37" t="s">
        <v>243</v>
      </c>
      <c r="D784" s="37"/>
      <c r="E784" t="s">
        <v>214</v>
      </c>
    </row>
    <row r="785" spans="1:5" x14ac:dyDescent="0.2">
      <c r="A785" s="104"/>
      <c r="B785" s="104"/>
      <c r="C785" s="37" t="s">
        <v>244</v>
      </c>
      <c r="D785" s="37"/>
    </row>
    <row r="786" spans="1:5" x14ac:dyDescent="0.2">
      <c r="A786" s="104"/>
      <c r="B786" s="104"/>
      <c r="C786" s="37" t="s">
        <v>245</v>
      </c>
      <c r="D786" s="37"/>
    </row>
    <row r="787" spans="1:5" x14ac:dyDescent="0.2">
      <c r="A787" s="104"/>
      <c r="B787" s="104"/>
      <c r="C787" s="37" t="s">
        <v>246</v>
      </c>
      <c r="D787" s="37"/>
    </row>
    <row r="788" spans="1:5" x14ac:dyDescent="0.2">
      <c r="A788" s="104"/>
      <c r="B788" s="104"/>
      <c r="C788" s="37" t="s">
        <v>247</v>
      </c>
      <c r="D788" s="37"/>
    </row>
    <row r="789" spans="1:5" x14ac:dyDescent="0.2">
      <c r="A789" s="104"/>
      <c r="B789" s="104"/>
      <c r="C789" s="37" t="s">
        <v>248</v>
      </c>
      <c r="D789" s="37"/>
    </row>
    <row r="790" spans="1:5" x14ac:dyDescent="0.2">
      <c r="A790" s="104"/>
      <c r="B790" s="104"/>
      <c r="C790" s="37" t="s">
        <v>249</v>
      </c>
      <c r="D790" s="37"/>
      <c r="E790" t="s">
        <v>214</v>
      </c>
    </row>
    <row r="791" spans="1:5" x14ac:dyDescent="0.2">
      <c r="A791" s="104"/>
      <c r="B791" s="104"/>
      <c r="C791" s="37" t="s">
        <v>250</v>
      </c>
      <c r="D791" s="37"/>
    </row>
    <row r="792" spans="1:5" x14ac:dyDescent="0.2">
      <c r="A792" s="104"/>
      <c r="B792" s="104"/>
      <c r="C792" s="37" t="s">
        <v>251</v>
      </c>
      <c r="D792" s="37"/>
    </row>
    <row r="793" spans="1:5" x14ac:dyDescent="0.2">
      <c r="A793" s="104"/>
      <c r="B793" s="104"/>
      <c r="C793" s="37" t="s">
        <v>252</v>
      </c>
      <c r="D793" s="37"/>
    </row>
    <row r="794" spans="1:5" x14ac:dyDescent="0.2">
      <c r="A794" s="104"/>
      <c r="B794" s="104"/>
      <c r="C794" s="37" t="s">
        <v>920</v>
      </c>
      <c r="D794" s="37"/>
    </row>
    <row r="795" spans="1:5" x14ac:dyDescent="0.2">
      <c r="A795" s="104"/>
      <c r="B795" s="104"/>
      <c r="C795" s="37" t="s">
        <v>253</v>
      </c>
      <c r="D795" s="37"/>
    </row>
    <row r="796" spans="1:5" x14ac:dyDescent="0.2">
      <c r="A796" s="104"/>
      <c r="B796" s="104"/>
      <c r="C796" s="37" t="s">
        <v>254</v>
      </c>
      <c r="D796" s="37"/>
    </row>
    <row r="797" spans="1:5" x14ac:dyDescent="0.2">
      <c r="A797" s="104"/>
      <c r="B797" s="104"/>
      <c r="C797" s="37" t="s">
        <v>255</v>
      </c>
      <c r="D797" s="37"/>
    </row>
    <row r="798" spans="1:5" x14ac:dyDescent="0.2">
      <c r="A798" s="104"/>
      <c r="B798" s="104"/>
      <c r="C798" s="37" t="s">
        <v>256</v>
      </c>
      <c r="D798" s="37"/>
    </row>
    <row r="799" spans="1:5" x14ac:dyDescent="0.2">
      <c r="A799" s="104"/>
      <c r="B799" s="104"/>
      <c r="C799" s="37" t="s">
        <v>257</v>
      </c>
      <c r="D799" s="37"/>
    </row>
    <row r="800" spans="1:5" x14ac:dyDescent="0.2">
      <c r="A800" s="104"/>
      <c r="B800" s="104"/>
      <c r="C800" s="37" t="s">
        <v>258</v>
      </c>
      <c r="D800" s="37"/>
    </row>
    <row r="801" spans="1:5" x14ac:dyDescent="0.2">
      <c r="A801" s="104"/>
      <c r="B801" s="104"/>
      <c r="C801" s="37" t="s">
        <v>259</v>
      </c>
      <c r="D801" s="37"/>
    </row>
    <row r="802" spans="1:5" x14ac:dyDescent="0.2">
      <c r="A802" s="104"/>
      <c r="B802" s="104"/>
      <c r="C802" s="37" t="s">
        <v>260</v>
      </c>
      <c r="D802" s="37"/>
    </row>
    <row r="803" spans="1:5" x14ac:dyDescent="0.2">
      <c r="A803" s="104"/>
      <c r="B803" s="104"/>
      <c r="C803" s="37" t="s">
        <v>261</v>
      </c>
      <c r="D803" s="37"/>
    </row>
    <row r="804" spans="1:5" x14ac:dyDescent="0.2">
      <c r="A804" s="104"/>
      <c r="B804" s="104"/>
      <c r="C804" s="37" t="s">
        <v>262</v>
      </c>
      <c r="D804" s="37"/>
    </row>
    <row r="805" spans="1:5" x14ac:dyDescent="0.2">
      <c r="A805" s="104"/>
      <c r="B805" s="104"/>
      <c r="C805" s="37" t="s">
        <v>263</v>
      </c>
      <c r="D805" s="37"/>
    </row>
    <row r="806" spans="1:5" x14ac:dyDescent="0.2">
      <c r="A806" s="104"/>
      <c r="B806" s="104"/>
      <c r="C806" s="37" t="s">
        <v>264</v>
      </c>
      <c r="D806" s="37"/>
    </row>
    <row r="807" spans="1:5" x14ac:dyDescent="0.2">
      <c r="A807" s="104"/>
      <c r="B807" s="104"/>
      <c r="C807" s="37" t="s">
        <v>265</v>
      </c>
      <c r="D807" s="37"/>
    </row>
    <row r="808" spans="1:5" x14ac:dyDescent="0.2">
      <c r="A808" s="104"/>
      <c r="B808" s="104"/>
      <c r="C808" s="37" t="s">
        <v>267</v>
      </c>
      <c r="D808" s="37"/>
    </row>
    <row r="809" spans="1:5" x14ac:dyDescent="0.2">
      <c r="A809" s="104"/>
      <c r="B809" s="104"/>
      <c r="C809" s="37" t="s">
        <v>266</v>
      </c>
      <c r="D809" s="37"/>
      <c r="E809" t="s">
        <v>214</v>
      </c>
    </row>
    <row r="810" spans="1:5" x14ac:dyDescent="0.2">
      <c r="A810" s="104"/>
      <c r="B810" s="104"/>
      <c r="C810" s="37" t="s">
        <v>268</v>
      </c>
      <c r="D810" s="37"/>
    </row>
    <row r="811" spans="1:5" x14ac:dyDescent="0.2">
      <c r="A811" s="104"/>
      <c r="B811" s="104"/>
      <c r="C811" s="37" t="s">
        <v>269</v>
      </c>
      <c r="D811" s="37"/>
    </row>
    <row r="812" spans="1:5" x14ac:dyDescent="0.2">
      <c r="A812" s="104"/>
      <c r="B812" s="104"/>
      <c r="C812" s="37" t="s">
        <v>270</v>
      </c>
      <c r="D812" s="37"/>
    </row>
    <row r="813" spans="1:5" x14ac:dyDescent="0.2">
      <c r="A813" s="104"/>
      <c r="B813" s="104"/>
      <c r="C813" s="37" t="s">
        <v>271</v>
      </c>
      <c r="D813" s="37"/>
    </row>
    <row r="814" spans="1:5" x14ac:dyDescent="0.2">
      <c r="A814" s="104"/>
      <c r="B814" s="104"/>
      <c r="C814" s="37" t="s">
        <v>272</v>
      </c>
      <c r="D814" s="37"/>
    </row>
    <row r="815" spans="1:5" x14ac:dyDescent="0.2">
      <c r="A815" s="104"/>
      <c r="B815" s="104"/>
      <c r="C815" s="37" t="s">
        <v>273</v>
      </c>
      <c r="D815" s="37"/>
    </row>
    <row r="816" spans="1:5" x14ac:dyDescent="0.2">
      <c r="A816" s="104"/>
      <c r="B816" s="104"/>
      <c r="C816" s="37" t="s">
        <v>274</v>
      </c>
      <c r="D816" s="37"/>
    </row>
    <row r="817" spans="1:4" x14ac:dyDescent="0.2">
      <c r="A817" s="104"/>
      <c r="B817" s="104"/>
      <c r="C817" s="37" t="s">
        <v>275</v>
      </c>
      <c r="D817" s="37"/>
    </row>
    <row r="818" spans="1:4" x14ac:dyDescent="0.2">
      <c r="A818" s="104"/>
      <c r="B818" s="104"/>
      <c r="C818" s="37" t="s">
        <v>276</v>
      </c>
      <c r="D818" s="37"/>
    </row>
    <row r="819" spans="1:4" x14ac:dyDescent="0.2">
      <c r="A819" s="104"/>
      <c r="B819" s="104"/>
      <c r="C819" s="37" t="s">
        <v>277</v>
      </c>
      <c r="D819" s="37"/>
    </row>
    <row r="820" spans="1:4" x14ac:dyDescent="0.2">
      <c r="A820" s="104"/>
      <c r="B820" s="104"/>
      <c r="C820" s="37" t="s">
        <v>278</v>
      </c>
      <c r="D820" s="37"/>
    </row>
    <row r="821" spans="1:4" x14ac:dyDescent="0.2">
      <c r="A821" s="104"/>
      <c r="B821" s="104"/>
      <c r="C821" s="37" t="s">
        <v>279</v>
      </c>
      <c r="D821" s="37"/>
    </row>
    <row r="822" spans="1:4" x14ac:dyDescent="0.2">
      <c r="A822" s="104"/>
      <c r="B822" s="104"/>
      <c r="C822" s="37" t="s">
        <v>280</v>
      </c>
      <c r="D822" s="37"/>
    </row>
    <row r="823" spans="1:4" x14ac:dyDescent="0.2">
      <c r="A823" s="104"/>
      <c r="B823" s="104"/>
      <c r="C823" s="37" t="s">
        <v>281</v>
      </c>
      <c r="D823" s="37"/>
    </row>
    <row r="824" spans="1:4" x14ac:dyDescent="0.2">
      <c r="A824" s="104"/>
      <c r="B824" s="104"/>
      <c r="C824" s="37" t="s">
        <v>282</v>
      </c>
      <c r="D824" s="37"/>
    </row>
    <row r="825" spans="1:4" x14ac:dyDescent="0.2">
      <c r="A825" s="104"/>
      <c r="B825" s="104"/>
      <c r="C825" s="37" t="s">
        <v>283</v>
      </c>
      <c r="D825" s="37"/>
    </row>
    <row r="826" spans="1:4" x14ac:dyDescent="0.2">
      <c r="A826" s="104"/>
      <c r="B826" s="104"/>
      <c r="C826" s="37" t="s">
        <v>284</v>
      </c>
      <c r="D826" s="37"/>
    </row>
    <row r="827" spans="1:4" x14ac:dyDescent="0.2">
      <c r="A827" s="104"/>
      <c r="B827" s="104"/>
      <c r="C827" s="37" t="s">
        <v>285</v>
      </c>
      <c r="D827" s="37"/>
    </row>
    <row r="828" spans="1:4" x14ac:dyDescent="0.2">
      <c r="A828" s="104"/>
      <c r="B828" s="104"/>
      <c r="C828" s="37" t="s">
        <v>286</v>
      </c>
      <c r="D828" s="37"/>
    </row>
    <row r="829" spans="1:4" x14ac:dyDescent="0.2">
      <c r="A829" s="104"/>
      <c r="B829" s="104"/>
      <c r="C829" s="37" t="s">
        <v>287</v>
      </c>
      <c r="D829" s="37"/>
    </row>
    <row r="830" spans="1:4" x14ac:dyDescent="0.2">
      <c r="A830" s="104"/>
      <c r="B830" s="104"/>
      <c r="C830" s="37" t="s">
        <v>288</v>
      </c>
      <c r="D830" s="37"/>
    </row>
    <row r="831" spans="1:4" x14ac:dyDescent="0.2">
      <c r="A831" s="104"/>
      <c r="B831" s="104"/>
      <c r="C831" s="37" t="s">
        <v>921</v>
      </c>
      <c r="D831" s="114" t="s">
        <v>922</v>
      </c>
    </row>
    <row r="832" spans="1:4" x14ac:dyDescent="0.2">
      <c r="A832" s="104"/>
      <c r="B832" s="104"/>
      <c r="C832" s="37" t="s">
        <v>923</v>
      </c>
      <c r="D832" s="114" t="s">
        <v>300</v>
      </c>
    </row>
    <row r="833" spans="1:4" x14ac:dyDescent="0.2">
      <c r="A833" s="104"/>
      <c r="B833" s="104"/>
      <c r="C833" s="37" t="s">
        <v>924</v>
      </c>
      <c r="D833" s="114" t="s">
        <v>300</v>
      </c>
    </row>
    <row r="834" spans="1:4" ht="15" x14ac:dyDescent="0.25">
      <c r="A834" s="104"/>
      <c r="B834" s="104"/>
      <c r="C834" s="37" t="s">
        <v>925</v>
      </c>
      <c r="D834" s="91"/>
    </row>
    <row r="835" spans="1:4" x14ac:dyDescent="0.2">
      <c r="A835" s="104"/>
      <c r="B835" s="104"/>
      <c r="C835" s="37" t="s">
        <v>296</v>
      </c>
      <c r="D835" s="37"/>
    </row>
    <row r="836" spans="1:4" x14ac:dyDescent="0.2">
      <c r="A836" s="104"/>
      <c r="B836" s="104"/>
      <c r="C836" s="37" t="s">
        <v>291</v>
      </c>
      <c r="D836" s="37"/>
    </row>
    <row r="837" spans="1:4" x14ac:dyDescent="0.2">
      <c r="A837" s="104"/>
      <c r="B837" s="104"/>
      <c r="C837" s="37" t="s">
        <v>292</v>
      </c>
      <c r="D837" s="37"/>
    </row>
    <row r="838" spans="1:4" x14ac:dyDescent="0.2">
      <c r="A838" s="104"/>
      <c r="B838" s="104"/>
      <c r="C838" s="37" t="s">
        <v>289</v>
      </c>
      <c r="D838" s="37"/>
    </row>
    <row r="839" spans="1:4" x14ac:dyDescent="0.2">
      <c r="A839" s="104"/>
      <c r="B839" s="104"/>
      <c r="C839" s="37" t="s">
        <v>293</v>
      </c>
      <c r="D839" s="37"/>
    </row>
    <row r="840" spans="1:4" x14ac:dyDescent="0.2">
      <c r="A840" s="104"/>
      <c r="B840" s="104"/>
      <c r="C840" s="37" t="s">
        <v>290</v>
      </c>
      <c r="D840" s="37"/>
    </row>
    <row r="841" spans="1:4" x14ac:dyDescent="0.2">
      <c r="A841" s="104"/>
      <c r="B841" s="104"/>
      <c r="C841" s="37" t="s">
        <v>294</v>
      </c>
      <c r="D841" s="37"/>
    </row>
    <row r="842" spans="1:4" x14ac:dyDescent="0.2">
      <c r="A842" s="104"/>
      <c r="B842" s="104"/>
      <c r="C842" s="37" t="s">
        <v>926</v>
      </c>
      <c r="D842" s="37"/>
    </row>
    <row r="843" spans="1:4" x14ac:dyDescent="0.2">
      <c r="A843" s="104"/>
      <c r="B843" s="104"/>
      <c r="C843" s="37" t="s">
        <v>927</v>
      </c>
      <c r="D843" s="37"/>
    </row>
    <row r="844" spans="1:4" x14ac:dyDescent="0.2">
      <c r="A844" s="104"/>
      <c r="B844" s="104"/>
      <c r="C844" s="37" t="s">
        <v>928</v>
      </c>
      <c r="D844" s="37"/>
    </row>
    <row r="845" spans="1:4" x14ac:dyDescent="0.2">
      <c r="A845" s="104"/>
      <c r="B845" s="104"/>
      <c r="C845" s="37" t="s">
        <v>929</v>
      </c>
      <c r="D845" s="37"/>
    </row>
    <row r="846" spans="1:4" x14ac:dyDescent="0.2">
      <c r="A846" s="104"/>
      <c r="B846" s="104"/>
      <c r="C846" s="37" t="s">
        <v>930</v>
      </c>
      <c r="D846" s="37"/>
    </row>
    <row r="847" spans="1:4" x14ac:dyDescent="0.2">
      <c r="A847" s="104"/>
      <c r="B847" s="104"/>
      <c r="C847" s="37" t="s">
        <v>931</v>
      </c>
      <c r="D847" s="37"/>
    </row>
    <row r="848" spans="1:4" x14ac:dyDescent="0.2">
      <c r="A848" s="104"/>
      <c r="B848" s="104"/>
      <c r="C848" s="37" t="s">
        <v>932</v>
      </c>
      <c r="D848" s="37"/>
    </row>
    <row r="849" spans="1:4" x14ac:dyDescent="0.2">
      <c r="A849" s="104"/>
      <c r="B849" s="104"/>
      <c r="C849" s="37" t="s">
        <v>933</v>
      </c>
      <c r="D849" s="37"/>
    </row>
    <row r="850" spans="1:4" x14ac:dyDescent="0.2">
      <c r="A850" s="104"/>
      <c r="B850" s="104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4" t="s">
        <v>19</v>
      </c>
      <c r="B853" s="104" t="s">
        <v>54</v>
      </c>
      <c r="C853" s="37" t="s">
        <v>934</v>
      </c>
      <c r="D853" s="37"/>
    </row>
    <row r="854" spans="1:4" x14ac:dyDescent="0.2">
      <c r="A854" s="104"/>
      <c r="B854" s="104"/>
      <c r="C854" s="37" t="s">
        <v>935</v>
      </c>
      <c r="D854" s="37"/>
    </row>
    <row r="855" spans="1:4" x14ac:dyDescent="0.2">
      <c r="A855" s="104"/>
      <c r="B855" s="104"/>
      <c r="C855" s="37" t="s">
        <v>936</v>
      </c>
      <c r="D855" s="37"/>
    </row>
    <row r="856" spans="1:4" x14ac:dyDescent="0.2">
      <c r="A856" s="104"/>
      <c r="B856" s="104"/>
      <c r="C856" s="37" t="s">
        <v>937</v>
      </c>
      <c r="D856" s="37"/>
    </row>
    <row r="857" spans="1:4" x14ac:dyDescent="0.2">
      <c r="A857" s="104"/>
      <c r="B857" s="104"/>
      <c r="C857" s="37" t="s">
        <v>938</v>
      </c>
      <c r="D857" s="37"/>
    </row>
    <row r="858" spans="1:4" x14ac:dyDescent="0.2">
      <c r="A858" s="104"/>
      <c r="B858" s="104"/>
      <c r="C858" s="37" t="s">
        <v>939</v>
      </c>
      <c r="D858" s="37"/>
    </row>
    <row r="859" spans="1:4" x14ac:dyDescent="0.2">
      <c r="A859" s="104"/>
      <c r="B859" s="104"/>
      <c r="C859" s="37" t="s">
        <v>940</v>
      </c>
      <c r="D859" s="37"/>
    </row>
    <row r="860" spans="1:4" x14ac:dyDescent="0.2">
      <c r="A860" s="104"/>
      <c r="B860" s="104"/>
      <c r="C860" s="37" t="s">
        <v>941</v>
      </c>
      <c r="D860" s="37"/>
    </row>
    <row r="861" spans="1:4" x14ac:dyDescent="0.2">
      <c r="A861" s="104"/>
      <c r="B861" s="104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4" t="s">
        <v>21</v>
      </c>
      <c r="B870" s="104" t="s">
        <v>54</v>
      </c>
      <c r="C870" s="37" t="s">
        <v>943</v>
      </c>
      <c r="D870" s="37"/>
    </row>
    <row r="871" spans="1:4" x14ac:dyDescent="0.2">
      <c r="A871" s="104"/>
      <c r="B871" s="104"/>
      <c r="C871" s="37" t="s">
        <v>945</v>
      </c>
      <c r="D871" s="37"/>
    </row>
    <row r="872" spans="1:4" x14ac:dyDescent="0.2">
      <c r="A872" s="104"/>
      <c r="B872" s="104"/>
      <c r="C872" s="37" t="s">
        <v>947</v>
      </c>
      <c r="D872" s="37"/>
    </row>
    <row r="873" spans="1:4" x14ac:dyDescent="0.2">
      <c r="A873" s="104"/>
      <c r="B873" s="104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5" t="s">
        <v>29</v>
      </c>
      <c r="B906" s="115" t="s">
        <v>54</v>
      </c>
      <c r="C906" s="42" t="s">
        <v>975</v>
      </c>
      <c r="D906" s="42"/>
    </row>
    <row r="907" spans="1:4" x14ac:dyDescent="0.2">
      <c r="A907" s="104"/>
      <c r="B907" s="104"/>
      <c r="C907" s="42" t="s">
        <v>976</v>
      </c>
      <c r="D907" s="42"/>
    </row>
    <row r="908" spans="1:4" x14ac:dyDescent="0.2">
      <c r="A908" s="104"/>
      <c r="B908" s="104"/>
      <c r="C908" s="37" t="s">
        <v>977</v>
      </c>
      <c r="D908" s="37"/>
    </row>
    <row r="909" spans="1:4" x14ac:dyDescent="0.2">
      <c r="A909" s="104"/>
      <c r="B909" s="104"/>
      <c r="C909" s="37" t="s">
        <v>978</v>
      </c>
      <c r="D909" s="37"/>
    </row>
    <row r="910" spans="1:4" x14ac:dyDescent="0.2">
      <c r="A910" s="104"/>
      <c r="B910" s="104"/>
      <c r="C910" s="37" t="s">
        <v>979</v>
      </c>
      <c r="D910" s="37"/>
    </row>
    <row r="911" spans="1:4" x14ac:dyDescent="0.2">
      <c r="A911" s="104"/>
      <c r="B911" s="104"/>
      <c r="C911" s="37" t="s">
        <v>980</v>
      </c>
      <c r="D911" s="37"/>
    </row>
    <row r="912" spans="1:4" x14ac:dyDescent="0.2">
      <c r="A912" s="116" t="s">
        <v>30</v>
      </c>
      <c r="B912" s="116" t="s">
        <v>54</v>
      </c>
      <c r="C912" s="44" t="s">
        <v>943</v>
      </c>
      <c r="D912" s="44"/>
    </row>
    <row r="913" spans="1:5" x14ac:dyDescent="0.2">
      <c r="A913" s="110"/>
      <c r="B913" s="110"/>
      <c r="C913" s="44" t="s">
        <v>944</v>
      </c>
      <c r="D913" s="44"/>
    </row>
    <row r="914" spans="1:5" x14ac:dyDescent="0.2">
      <c r="A914" s="110"/>
      <c r="B914" s="110"/>
      <c r="C914" s="39" t="s">
        <v>945</v>
      </c>
      <c r="D914" s="39"/>
    </row>
    <row r="915" spans="1:5" x14ac:dyDescent="0.2">
      <c r="A915" s="110"/>
      <c r="B915" s="110"/>
      <c r="C915" s="39" t="s">
        <v>946</v>
      </c>
      <c r="D915" s="39"/>
    </row>
    <row r="916" spans="1:5" x14ac:dyDescent="0.2">
      <c r="A916" s="110"/>
      <c r="B916" s="110"/>
      <c r="C916" s="39" t="s">
        <v>947</v>
      </c>
      <c r="D916" s="39"/>
    </row>
    <row r="917" spans="1:5" x14ac:dyDescent="0.2">
      <c r="A917" s="110"/>
      <c r="B917" s="110"/>
      <c r="C917" s="39" t="s">
        <v>948</v>
      </c>
      <c r="D917" s="39"/>
    </row>
    <row r="918" spans="1:5" x14ac:dyDescent="0.2">
      <c r="A918" s="110"/>
      <c r="B918" s="110"/>
      <c r="C918" s="44" t="s">
        <v>949</v>
      </c>
      <c r="D918" s="44"/>
    </row>
    <row r="919" spans="1:5" x14ac:dyDescent="0.2">
      <c r="A919" s="110"/>
      <c r="B919" s="110"/>
      <c r="C919" s="44" t="s">
        <v>950</v>
      </c>
      <c r="D919" s="44"/>
    </row>
    <row r="920" spans="1:5" ht="15" x14ac:dyDescent="0.25">
      <c r="A920" s="115" t="s">
        <v>31</v>
      </c>
      <c r="B920" s="115" t="s">
        <v>54</v>
      </c>
      <c r="C920" s="42" t="s">
        <v>981</v>
      </c>
      <c r="D920" s="42"/>
      <c r="E920" s="43"/>
    </row>
    <row r="921" spans="1:5" ht="15" x14ac:dyDescent="0.25">
      <c r="A921" s="104"/>
      <c r="B921" s="104"/>
      <c r="C921" s="42" t="s">
        <v>982</v>
      </c>
      <c r="D921" s="42"/>
      <c r="E921" s="43"/>
    </row>
    <row r="922" spans="1:5" ht="15" x14ac:dyDescent="0.25">
      <c r="A922" s="104"/>
      <c r="B922" s="104"/>
      <c r="C922" s="37" t="s">
        <v>983</v>
      </c>
      <c r="D922" s="37"/>
      <c r="E922" s="43"/>
    </row>
    <row r="923" spans="1:5" ht="15" x14ac:dyDescent="0.25">
      <c r="A923" s="104"/>
      <c r="B923" s="104"/>
      <c r="C923" s="37" t="s">
        <v>984</v>
      </c>
      <c r="D923" s="37"/>
      <c r="E923" s="43"/>
    </row>
    <row r="924" spans="1:5" ht="15" x14ac:dyDescent="0.25">
      <c r="A924" s="104"/>
      <c r="B924" s="104"/>
      <c r="C924" s="37" t="s">
        <v>985</v>
      </c>
      <c r="D924" s="37"/>
      <c r="E924" s="43"/>
    </row>
    <row r="925" spans="1:5" x14ac:dyDescent="0.2">
      <c r="A925" s="104"/>
      <c r="B925" s="104"/>
      <c r="C925" s="37" t="s">
        <v>314</v>
      </c>
      <c r="D925" s="37"/>
    </row>
    <row r="926" spans="1:5" x14ac:dyDescent="0.2">
      <c r="A926" s="116" t="s">
        <v>32</v>
      </c>
      <c r="B926" s="116" t="s">
        <v>54</v>
      </c>
      <c r="C926" s="39" t="s">
        <v>986</v>
      </c>
      <c r="D926" s="39"/>
    </row>
    <row r="927" spans="1:5" x14ac:dyDescent="0.2">
      <c r="A927" s="110"/>
      <c r="B927" s="110"/>
      <c r="C927" s="39" t="s">
        <v>987</v>
      </c>
      <c r="D927" s="39"/>
    </row>
    <row r="928" spans="1:5" x14ac:dyDescent="0.2">
      <c r="A928" s="110"/>
      <c r="B928" s="110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9"/>
      <c r="B945" s="89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90"/>
      <c r="B976" s="89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6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8"/>
      <c r="B1073"/>
      <c r="C1073"/>
      <c r="D1073" s="98"/>
      <c r="E1073"/>
      <c r="F1073"/>
      <c r="G1073"/>
      <c r="H1073"/>
    </row>
    <row r="1074" spans="1:8" s="10" customFormat="1" x14ac:dyDescent="0.2">
      <c r="A1074" s="117"/>
      <c r="B1074"/>
      <c r="C1074"/>
      <c r="D1074" s="98"/>
      <c r="E1074"/>
      <c r="F1074"/>
      <c r="G1074"/>
      <c r="H1074"/>
    </row>
    <row r="1075" spans="1:8" s="10" customFormat="1" x14ac:dyDescent="0.2">
      <c r="A1075" s="98"/>
      <c r="B1075"/>
      <c r="C1075" s="13"/>
      <c r="D1075" s="98"/>
      <c r="E1075"/>
      <c r="F1075"/>
      <c r="G1075"/>
      <c r="H1075"/>
    </row>
    <row r="1076" spans="1:8" s="10" customFormat="1" x14ac:dyDescent="0.2">
      <c r="A1076" s="98"/>
      <c r="B1076"/>
      <c r="C1076" s="13" t="s">
        <v>309</v>
      </c>
      <c r="D1076" s="98"/>
      <c r="E1076"/>
      <c r="F1076"/>
      <c r="G1076"/>
      <c r="H1076"/>
    </row>
    <row r="1077" spans="1:8" s="10" customFormat="1" x14ac:dyDescent="0.2">
      <c r="A1077" s="98"/>
      <c r="B1077"/>
      <c r="C1077" s="13" t="s">
        <v>80</v>
      </c>
      <c r="D1077" s="98"/>
      <c r="E1077"/>
      <c r="F1077"/>
      <c r="G1077"/>
      <c r="H1077"/>
    </row>
    <row r="1078" spans="1:8" s="10" customFormat="1" x14ac:dyDescent="0.2">
      <c r="A1078" s="98"/>
      <c r="B1078"/>
      <c r="C1078" s="13" t="s">
        <v>310</v>
      </c>
      <c r="D1078" s="98"/>
      <c r="E1078"/>
      <c r="F1078"/>
      <c r="G1078"/>
      <c r="H1078"/>
    </row>
    <row r="1079" spans="1:8" s="10" customFormat="1" x14ac:dyDescent="0.2">
      <c r="A1079" s="98"/>
      <c r="B1079"/>
      <c r="C1079" s="13" t="s">
        <v>313</v>
      </c>
      <c r="D1079" s="98"/>
      <c r="E1079"/>
      <c r="F1079"/>
      <c r="G1079"/>
      <c r="H1079"/>
    </row>
    <row r="1080" spans="1:8" s="10" customFormat="1" x14ac:dyDescent="0.2">
      <c r="A1080" s="98"/>
      <c r="B1080"/>
      <c r="C1080" s="13"/>
      <c r="D1080" s="98"/>
      <c r="E1080"/>
      <c r="F1080"/>
      <c r="G1080"/>
      <c r="H1080"/>
    </row>
    <row r="1081" spans="1:8" s="10" customFormat="1" x14ac:dyDescent="0.2">
      <c r="A1081" s="98"/>
      <c r="B1081"/>
      <c r="C1081" s="13" t="s">
        <v>309</v>
      </c>
      <c r="D1081" s="98"/>
      <c r="E1081"/>
      <c r="F1081"/>
      <c r="G1081"/>
      <c r="H1081"/>
    </row>
    <row r="1082" spans="1:8" s="10" customFormat="1" x14ac:dyDescent="0.2">
      <c r="A1082" s="98"/>
      <c r="B1082"/>
      <c r="C1082" s="13" t="s">
        <v>80</v>
      </c>
      <c r="D1082" s="98"/>
      <c r="E1082"/>
      <c r="F1082"/>
      <c r="G1082"/>
      <c r="H1082"/>
    </row>
    <row r="1083" spans="1:8" s="10" customFormat="1" x14ac:dyDescent="0.2">
      <c r="A1083" s="98"/>
      <c r="B1083"/>
      <c r="C1083" s="13" t="s">
        <v>310</v>
      </c>
      <c r="D1083" s="98"/>
      <c r="E1083"/>
      <c r="F1083"/>
      <c r="G1083"/>
      <c r="H1083"/>
    </row>
    <row r="1084" spans="1:8" s="10" customFormat="1" x14ac:dyDescent="0.2">
      <c r="A1084" s="98"/>
      <c r="B1084"/>
      <c r="C1084" s="13" t="s">
        <v>313</v>
      </c>
      <c r="D1084" s="98"/>
      <c r="E1084"/>
      <c r="F1084"/>
      <c r="G1084"/>
      <c r="H1084"/>
    </row>
    <row r="1085" spans="1:8" s="10" customFormat="1" x14ac:dyDescent="0.2">
      <c r="A1085" s="98"/>
      <c r="B1085"/>
      <c r="C1085" s="13" t="s">
        <v>311</v>
      </c>
      <c r="D1085" s="98"/>
      <c r="E1085"/>
      <c r="F1085"/>
      <c r="G1085"/>
      <c r="H1085"/>
    </row>
    <row r="1086" spans="1:8" s="10" customFormat="1" x14ac:dyDescent="0.2">
      <c r="A1086" s="98"/>
      <c r="B1086"/>
      <c r="C1086" s="13"/>
      <c r="D1086" s="98"/>
      <c r="E1086"/>
      <c r="F1086"/>
      <c r="G1086"/>
      <c r="H1086"/>
    </row>
    <row r="1087" spans="1:8" s="10" customFormat="1" x14ac:dyDescent="0.2">
      <c r="A1087" s="98"/>
      <c r="B1087"/>
      <c r="C1087" s="13" t="s">
        <v>309</v>
      </c>
      <c r="D1087" s="98"/>
      <c r="E1087"/>
      <c r="F1087"/>
      <c r="G1087"/>
      <c r="H1087"/>
    </row>
    <row r="1088" spans="1:8" s="10" customFormat="1" x14ac:dyDescent="0.2">
      <c r="A1088" s="98"/>
      <c r="B1088"/>
      <c r="C1088" s="13" t="s">
        <v>80</v>
      </c>
      <c r="D1088" s="98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98"/>
      <c r="E1089"/>
      <c r="F1089"/>
      <c r="G1089"/>
      <c r="H1089"/>
    </row>
    <row r="1090" spans="2:8" s="10" customFormat="1" x14ac:dyDescent="0.2">
      <c r="B1090"/>
      <c r="C1090" s="13"/>
      <c r="D1090" s="98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98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98"/>
      <c r="E1092"/>
      <c r="F1092"/>
      <c r="G1092"/>
      <c r="H1092"/>
    </row>
    <row r="1093" spans="2:8" s="10" customFormat="1" x14ac:dyDescent="0.2">
      <c r="B1093"/>
      <c r="C1093" s="13"/>
      <c r="D1093" s="98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98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98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98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98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98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98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98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98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98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98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98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98"/>
      <c r="E1105"/>
      <c r="F1105"/>
      <c r="G1105"/>
      <c r="H1105"/>
    </row>
    <row r="1106" spans="2:8" s="10" customFormat="1" x14ac:dyDescent="0.2">
      <c r="B1106"/>
      <c r="C1106" s="13"/>
      <c r="D1106" s="98"/>
      <c r="E1106"/>
      <c r="F1106"/>
      <c r="G1106"/>
      <c r="H1106"/>
    </row>
    <row r="1107" spans="2:8" s="10" customFormat="1" x14ac:dyDescent="0.2">
      <c r="B1107"/>
      <c r="C1107" s="13"/>
      <c r="D1107" s="98"/>
      <c r="E1107"/>
      <c r="F1107"/>
      <c r="G1107"/>
      <c r="H1107"/>
    </row>
    <row r="1108" spans="2:8" x14ac:dyDescent="0.2">
      <c r="C1108" s="13" t="s">
        <v>884</v>
      </c>
      <c r="D1108" s="98"/>
    </row>
    <row r="1109" spans="2:8" s="10" customFormat="1" x14ac:dyDescent="0.2">
      <c r="B1109"/>
      <c r="C1109" s="13" t="s">
        <v>885</v>
      </c>
      <c r="D1109" s="98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98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98"/>
      <c r="E1111"/>
      <c r="F1111"/>
      <c r="G1111"/>
      <c r="H1111"/>
    </row>
    <row r="1112" spans="2:8" s="10" customFormat="1" x14ac:dyDescent="0.2">
      <c r="B1112"/>
      <c r="C1112" s="13"/>
      <c r="D1112" s="98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98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98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98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98"/>
      <c r="E1116"/>
      <c r="F1116"/>
      <c r="G1116"/>
      <c r="H1116"/>
    </row>
    <row r="1117" spans="2:8" s="10" customFormat="1" x14ac:dyDescent="0.2">
      <c r="B1117"/>
      <c r="C1117" s="13"/>
      <c r="D1117" s="98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98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98"/>
      <c r="E1119"/>
      <c r="F1119"/>
      <c r="G1119"/>
      <c r="H1119"/>
    </row>
    <row r="1120" spans="2:8" s="10" customFormat="1" x14ac:dyDescent="0.2">
      <c r="B1120"/>
      <c r="C1120" s="13"/>
      <c r="D1120" s="98"/>
      <c r="E1120"/>
      <c r="F1120"/>
      <c r="G1120"/>
      <c r="H1120"/>
    </row>
    <row r="1121" spans="2:8" x14ac:dyDescent="0.2">
      <c r="C1121" s="13" t="s">
        <v>325</v>
      </c>
      <c r="D1121" s="98"/>
    </row>
    <row r="1122" spans="2:8" s="10" customFormat="1" x14ac:dyDescent="0.2">
      <c r="B1122"/>
      <c r="C1122" s="13" t="s">
        <v>327</v>
      </c>
      <c r="D1122" s="98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98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98"/>
      <c r="E1124"/>
      <c r="F1124"/>
      <c r="G1124"/>
      <c r="H1124"/>
    </row>
    <row r="1125" spans="2:8" x14ac:dyDescent="0.2">
      <c r="C1125" s="13" t="s">
        <v>336</v>
      </c>
      <c r="D1125" s="98"/>
    </row>
    <row r="1126" spans="2:8" x14ac:dyDescent="0.2">
      <c r="C1126" s="13" t="s">
        <v>314</v>
      </c>
      <c r="D1126" s="98"/>
    </row>
    <row r="1129" spans="2:8" x14ac:dyDescent="0.2">
      <c r="C1129" s="13" t="s">
        <v>436</v>
      </c>
      <c r="D1129" s="98"/>
    </row>
    <row r="1130" spans="2:8" x14ac:dyDescent="0.2">
      <c r="C1130" s="13" t="s">
        <v>437</v>
      </c>
      <c r="D1130" s="98"/>
    </row>
    <row r="1131" spans="2:8" x14ac:dyDescent="0.2">
      <c r="C1131" s="13" t="s">
        <v>439</v>
      </c>
      <c r="D1131" s="98"/>
    </row>
    <row r="1132" spans="2:8" x14ac:dyDescent="0.2">
      <c r="C1132" s="13" t="s">
        <v>440</v>
      </c>
      <c r="D1132" s="98"/>
    </row>
    <row r="1133" spans="2:8" x14ac:dyDescent="0.2">
      <c r="C1133" s="13" t="s">
        <v>441</v>
      </c>
      <c r="D1133" s="98"/>
    </row>
    <row r="1134" spans="2:8" x14ac:dyDescent="0.2">
      <c r="C1134" s="13" t="s">
        <v>443</v>
      </c>
      <c r="D1134" s="98"/>
    </row>
    <row r="1135" spans="2:8" x14ac:dyDescent="0.2">
      <c r="C1135" s="13" t="s">
        <v>444</v>
      </c>
      <c r="D1135" s="98"/>
    </row>
    <row r="1136" spans="2:8" x14ac:dyDescent="0.2">
      <c r="C1136" s="13" t="s">
        <v>445</v>
      </c>
      <c r="D1136" s="98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8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8" t="s">
        <v>1076</v>
      </c>
      <c r="B1" s="79" t="s">
        <v>1077</v>
      </c>
      <c r="C1" s="79" t="s">
        <v>1078</v>
      </c>
      <c r="D1" s="80" t="s">
        <v>1079</v>
      </c>
      <c r="E1" s="92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2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2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2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2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2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2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2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2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2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2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2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2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2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1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2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2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2"/>
    </row>
    <row r="19" spans="1:4" ht="15.75" x14ac:dyDescent="0.2">
      <c r="A19" s="33" t="s">
        <v>19</v>
      </c>
      <c r="B19" s="29"/>
      <c r="C19" s="28"/>
      <c r="D19" s="82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2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2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2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2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2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2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2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2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2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2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2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2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2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2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2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2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2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2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2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2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2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2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2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2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2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2"/>
    </row>
    <row r="46" spans="1:4" ht="15.75" x14ac:dyDescent="0.2">
      <c r="A46" s="33" t="s">
        <v>20</v>
      </c>
      <c r="B46" s="29"/>
      <c r="C46" s="28"/>
      <c r="D46" s="82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2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2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2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2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2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2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2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2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2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2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2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2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2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2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2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2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2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2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2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2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2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2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2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2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1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2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2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2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2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2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2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2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2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2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2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2"/>
    </row>
    <row r="83" spans="1:4" ht="15.75" x14ac:dyDescent="0.2">
      <c r="A83" s="33" t="s">
        <v>21</v>
      </c>
      <c r="B83" s="29"/>
      <c r="C83" s="28"/>
      <c r="D83" s="82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2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2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2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2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2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2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2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2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2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2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2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2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2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2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2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2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2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2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2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2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2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2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2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2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1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2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2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2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2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2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2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2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2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2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2"/>
    </row>
    <row r="119" spans="1:4" ht="15.75" x14ac:dyDescent="0.2">
      <c r="A119" s="33" t="s">
        <v>22</v>
      </c>
      <c r="B119" s="29"/>
      <c r="C119" s="28"/>
      <c r="D119" s="82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2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2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2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2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2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2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2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2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2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2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2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2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2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2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2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2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2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2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2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2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2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2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2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2"/>
    </row>
    <row r="144" spans="1:4" ht="15.75" x14ac:dyDescent="0.2">
      <c r="A144" s="33" t="s">
        <v>1083</v>
      </c>
      <c r="B144" s="29"/>
      <c r="C144" s="28"/>
      <c r="D144" s="82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2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2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2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2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2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2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2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2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2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2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2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2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2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2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2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2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2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2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2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2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2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2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2"/>
    </row>
    <row r="168" spans="1:5" ht="15.75" x14ac:dyDescent="0.2">
      <c r="A168" s="33" t="s">
        <v>24</v>
      </c>
      <c r="B168" s="29"/>
      <c r="C168" s="28"/>
      <c r="D168" s="82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2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2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2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2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2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2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2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2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2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2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2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2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2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2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2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2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2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2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2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2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2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2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2"/>
    </row>
    <row r="192" spans="1:4" ht="15.75" x14ac:dyDescent="0.2">
      <c r="A192" s="33" t="s">
        <v>25</v>
      </c>
      <c r="B192" s="29"/>
      <c r="C192" s="28"/>
      <c r="D192" s="82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2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2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2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2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2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2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2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2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2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2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2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2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2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2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2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2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2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2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2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2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2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2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2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2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2"/>
    </row>
    <row r="218" spans="1:4" ht="15.75" x14ac:dyDescent="0.2">
      <c r="A218" s="33" t="s">
        <v>26</v>
      </c>
      <c r="B218" s="29"/>
      <c r="C218" s="28"/>
      <c r="D218" s="82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2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2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2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2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2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2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2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2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2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2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2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2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2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2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2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2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2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2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2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2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2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2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2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2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2"/>
    </row>
    <row r="244" spans="1:4" ht="15.75" x14ac:dyDescent="0.2">
      <c r="A244" s="33" t="s">
        <v>27</v>
      </c>
      <c r="B244" s="29"/>
      <c r="C244" s="28"/>
      <c r="D244" s="82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2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2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2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2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2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2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2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2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2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2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2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2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2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2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2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2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2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2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2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2"/>
    </row>
    <row r="265" spans="1:4" ht="15.75" x14ac:dyDescent="0.2">
      <c r="A265" s="33" t="s">
        <v>28</v>
      </c>
      <c r="B265" s="29"/>
      <c r="C265" s="28"/>
      <c r="D265" s="82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2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2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2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2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2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2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2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2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2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2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2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2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2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2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2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2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2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2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2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2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2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2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2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2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2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2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2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2"/>
    </row>
    <row r="294" spans="1:4" ht="15.75" x14ac:dyDescent="0.2">
      <c r="A294" s="33" t="s">
        <v>29</v>
      </c>
      <c r="B294" s="29"/>
      <c r="C294" s="28"/>
      <c r="D294" s="82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2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2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2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2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2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2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2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2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2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2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2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2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2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2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2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2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2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2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2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2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2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2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2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2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2"/>
    </row>
    <row r="320" spans="1:4" ht="15.75" x14ac:dyDescent="0.2">
      <c r="A320" s="33" t="s">
        <v>30</v>
      </c>
      <c r="B320" s="29"/>
      <c r="C320" s="28"/>
      <c r="D320" s="82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2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2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2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2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2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2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2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2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2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2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2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2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2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2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2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2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2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2"/>
    </row>
    <row r="339" spans="1:4" ht="15.75" x14ac:dyDescent="0.2">
      <c r="A339" s="33" t="s">
        <v>31</v>
      </c>
      <c r="B339" s="29"/>
      <c r="C339" s="28"/>
      <c r="D339" s="82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2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2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2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2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2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2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2"/>
    </row>
    <row r="347" spans="1:4" ht="15.75" x14ac:dyDescent="0.2">
      <c r="A347" s="33" t="s">
        <v>32</v>
      </c>
      <c r="B347" s="29"/>
      <c r="C347" s="28"/>
      <c r="D347" s="82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2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2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2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2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2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2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2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2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2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2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2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2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2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2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2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2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2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2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2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2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2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2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2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2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2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1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1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2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2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2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2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2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2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2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2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2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2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2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2"/>
    </row>
    <row r="387" spans="1:4" ht="15.75" x14ac:dyDescent="0.2">
      <c r="A387" s="33" t="s">
        <v>33</v>
      </c>
      <c r="B387" s="29"/>
      <c r="C387" s="28"/>
      <c r="D387" s="82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2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2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2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2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2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2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2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2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2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2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2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2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2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2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2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2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2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2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2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2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2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2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2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2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1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2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2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2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2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2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2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2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2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2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2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2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2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2"/>
    </row>
    <row r="426" spans="1:4" ht="15.75" x14ac:dyDescent="0.2">
      <c r="A426" s="33" t="s">
        <v>34</v>
      </c>
      <c r="B426" s="29"/>
      <c r="C426" s="28"/>
      <c r="D426" s="82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2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2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2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2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2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2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2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2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2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2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2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2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2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2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2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2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2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2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2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2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2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2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2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2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2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2"/>
    </row>
    <row r="453" spans="1:4" ht="15.75" x14ac:dyDescent="0.2">
      <c r="A453" s="33" t="s">
        <v>1086</v>
      </c>
      <c r="B453" s="29"/>
      <c r="C453" s="28"/>
      <c r="D453" s="82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2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2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2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1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1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2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1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2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2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1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2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1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1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2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2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2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2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2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2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2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2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2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2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2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2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2"/>
    </row>
    <row r="480" spans="1:4" ht="15.75" x14ac:dyDescent="0.2">
      <c r="A480" s="33" t="s">
        <v>36</v>
      </c>
      <c r="B480" s="29"/>
      <c r="C480" s="28"/>
      <c r="D480" s="82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2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2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2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2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2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2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2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2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2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2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2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2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2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2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2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2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2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2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2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2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2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2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2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2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2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2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2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2"/>
    </row>
    <row r="509" spans="1:4" ht="15.75" x14ac:dyDescent="0.2">
      <c r="A509" s="33" t="s">
        <v>37</v>
      </c>
      <c r="B509" s="29"/>
      <c r="C509" s="28"/>
      <c r="D509" s="82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2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2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2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2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2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2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2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2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2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2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2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2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2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2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2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2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2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2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2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2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2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2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2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2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2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2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2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2"/>
    </row>
    <row r="538" spans="1:4" ht="15.75" x14ac:dyDescent="0.2">
      <c r="A538" s="33" t="s">
        <v>38</v>
      </c>
      <c r="B538" s="29"/>
      <c r="C538" s="28"/>
      <c r="D538" s="82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2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2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2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2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2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2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2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2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2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2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2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2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2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2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2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2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2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2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2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2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2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2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2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2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2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2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2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2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2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2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2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2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2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1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2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1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1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1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2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2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2"/>
    </row>
    <row r="580" spans="1:4" ht="15.75" x14ac:dyDescent="0.2">
      <c r="A580" s="33" t="s">
        <v>39</v>
      </c>
      <c r="B580" s="29"/>
      <c r="C580" s="28"/>
      <c r="D580" s="82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2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2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1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1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1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1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2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2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2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1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2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2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2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1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2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2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2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2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2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2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2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2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1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1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1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2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2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2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1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1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1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2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1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1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1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2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2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1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2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2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2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1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1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2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2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2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2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2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2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1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2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2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2"/>
    </row>
    <row r="634" spans="1:4" ht="15.75" x14ac:dyDescent="0.2">
      <c r="A634" s="33" t="s">
        <v>40</v>
      </c>
      <c r="B634" s="29"/>
      <c r="C634" s="28"/>
      <c r="D634" s="82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2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2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2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2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2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2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2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2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2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2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2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2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2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2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2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2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2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2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2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2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2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2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2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2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2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2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2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2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2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2"/>
    </row>
    <row r="665" spans="1:4" ht="15.75" x14ac:dyDescent="0.2">
      <c r="A665" s="33" t="s">
        <v>41</v>
      </c>
      <c r="B665" s="29"/>
      <c r="C665" s="28"/>
      <c r="D665" s="82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2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2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2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2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2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2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2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2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2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2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2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2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2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2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1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2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2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2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2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2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2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2"/>
    </row>
    <row r="688" spans="1:4" ht="15.75" x14ac:dyDescent="0.2">
      <c r="A688" s="33" t="s">
        <v>42</v>
      </c>
      <c r="B688" s="29"/>
      <c r="C688" s="28"/>
      <c r="D688" s="82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2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2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2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2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2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2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2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2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2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2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2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1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2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1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2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2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2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2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2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2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2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2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2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2"/>
    </row>
    <row r="713" spans="1:4" ht="15.75" x14ac:dyDescent="0.2">
      <c r="A713" s="33" t="s">
        <v>43</v>
      </c>
      <c r="B713" s="29"/>
      <c r="C713" s="28"/>
      <c r="D713" s="82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2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2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2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2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2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2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2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2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2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2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2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2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2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2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2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2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2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2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2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2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2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2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2"/>
    </row>
    <row r="737" spans="1:4" ht="15.75" x14ac:dyDescent="0.2">
      <c r="A737" s="33" t="s">
        <v>1093</v>
      </c>
      <c r="B737" s="29"/>
      <c r="C737" s="28"/>
      <c r="D737" s="82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2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2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2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2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2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2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2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2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2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2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2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2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2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2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2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2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2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2"/>
    </row>
    <row r="756" spans="1:4" ht="15.75" x14ac:dyDescent="0.2">
      <c r="A756" s="33" t="s">
        <v>45</v>
      </c>
      <c r="B756" s="29"/>
      <c r="C756" s="28"/>
      <c r="D756" s="82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2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2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1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2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1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1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2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2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1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2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2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2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2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2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2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2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2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2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2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2"/>
    </row>
    <row r="777" spans="1:4" ht="15.75" x14ac:dyDescent="0.2">
      <c r="A777" s="33" t="s">
        <v>47</v>
      </c>
      <c r="B777" s="29"/>
      <c r="C777" s="28"/>
      <c r="D777" s="82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2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2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2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2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1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1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78</vt:i4>
      </vt:variant>
    </vt:vector>
  </HeadingPairs>
  <TitlesOfParts>
    <vt:vector size="113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מקרא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2024-11-07T08:44:21Z</dcterms:modified>
  <cp:category/>
  <cp:contentStatus/>
</cp:coreProperties>
</file>